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table+xml" PartName="/xl/tables/table1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Client ID Records_v1" sheetId="1" r:id="rId4"/>
    <sheet state="visible" name="PLEASE READ ME" sheetId="2" r:id="rId5"/>
    <sheet state="visible" name="SEARCH BAR" sheetId="3" r:id="rId6"/>
    <sheet state="visible" name="Client ID Records_v2" sheetId="4" r:id="rId7"/>
    <sheet state="visible" name="Project Records_v2" sheetId="5" r:id="rId8"/>
    <sheet state="visible" name="Charge SlipBilling" sheetId="6" r:id="rId9"/>
    <sheet state="visible" name="Income Summary" sheetId="7" r:id="rId10"/>
    <sheet state="hidden" name="Project Records_v1" sheetId="8" r:id="rId11"/>
    <sheet state="hidden" name="STATS Summary" sheetId="9" r:id="rId12"/>
    <sheet state="visible" name="DASHBOARD" sheetId="10" r:id="rId13"/>
  </sheets>
  <definedNames>
    <definedName hidden="1" localSheetId="3" name="Z_6EC50E29_9690_420A_A092_47BC53FD5CDD_.wvu.FilterData">'Client ID Records_v2'!$A$1:$J$1003</definedName>
  </definedNames>
  <calcPr/>
  <customWorkbookViews>
    <customWorkbookView activeSheetId="0" maximized="1" windowHeight="0" windowWidth="0" guid="{6EC50E29-9690-420A-A092-47BC53FD5CDD}" name="Filter 1"/>
  </customWorkbookViews>
</workbook>
</file>

<file path=xl/sharedStrings.xml><?xml version="1.0" encoding="utf-8"?>
<sst xmlns="http://schemas.openxmlformats.org/spreadsheetml/2006/main" count="8899" uniqueCount="2444">
  <si>
    <t>Date Received</t>
  </si>
  <si>
    <t>Client Name</t>
  </si>
  <si>
    <t>Assigned Sex At Birth</t>
  </si>
  <si>
    <t>Client ID Number</t>
  </si>
  <si>
    <t>Status</t>
  </si>
  <si>
    <t>Designation</t>
  </si>
  <si>
    <t>Institution</t>
  </si>
  <si>
    <t>Department / Laboratory</t>
  </si>
  <si>
    <t>Telephone Number</t>
  </si>
  <si>
    <t>Mobile Number</t>
  </si>
  <si>
    <t>Fax Number</t>
  </si>
  <si>
    <t>Email Address</t>
  </si>
  <si>
    <t>Mailing Address</t>
  </si>
  <si>
    <t>2019</t>
  </si>
  <si>
    <t>Philippine Genome Center Visayas</t>
  </si>
  <si>
    <t>CL-2019-</t>
  </si>
  <si>
    <t>000</t>
  </si>
  <si>
    <t>Ongoing</t>
  </si>
  <si>
    <t>2020</t>
  </si>
  <si>
    <t>Nowena S. Solidum</t>
  </si>
  <si>
    <t>F</t>
  </si>
  <si>
    <t>CL-2020-</t>
  </si>
  <si>
    <t>Completed</t>
  </si>
  <si>
    <t>Instructor</t>
  </si>
  <si>
    <t>Capiz State University</t>
  </si>
  <si>
    <t>Fishery Department</t>
  </si>
  <si>
    <t>N/A</t>
  </si>
  <si>
    <t>nowena_solidum@yahoo.com</t>
  </si>
  <si>
    <t>Fishery Department, Capiz State University - Dayao Satellite College, Dayao, Roxas City, Capiz</t>
  </si>
  <si>
    <t>Marissa C. Naorbe</t>
  </si>
  <si>
    <t>castromarissa99@gmail.com</t>
  </si>
  <si>
    <t>Shirleen Grace Brillantes</t>
  </si>
  <si>
    <t>Faculty</t>
  </si>
  <si>
    <t>Samar State University</t>
  </si>
  <si>
    <t>Marine Biology</t>
  </si>
  <si>
    <t>sweetbrillantes@gmail.com</t>
  </si>
  <si>
    <t>Samar State University - Mercedes, Mercedes, Catbalogan City, Samar 6700</t>
  </si>
  <si>
    <t>Irene Jean C. Lagumbay</t>
  </si>
  <si>
    <t>Instructor I</t>
  </si>
  <si>
    <t>irenelagumbay95@gmail.com</t>
  </si>
  <si>
    <t>Talisay, Bontoc, Southern Leyte</t>
  </si>
  <si>
    <t>Rhodmar D. Panis</t>
  </si>
  <si>
    <t>M</t>
  </si>
  <si>
    <t>SRS I</t>
  </si>
  <si>
    <t>OVPRES/ Micro Lab</t>
  </si>
  <si>
    <t>rhodmar.divino@ssu.up.edu.ph</t>
  </si>
  <si>
    <t>Jay T. Torrefiel</t>
  </si>
  <si>
    <t>UPV Tacloban College</t>
  </si>
  <si>
    <t>DNSM</t>
  </si>
  <si>
    <t>jattorrefiel@gmail.com</t>
  </si>
  <si>
    <t>779 San Mateo St., Brangay 4, Jaro, Leyte</t>
  </si>
  <si>
    <t>Rhyzz Jane Balinos</t>
  </si>
  <si>
    <t>Laboratory Aide</t>
  </si>
  <si>
    <t>UP Visayas</t>
  </si>
  <si>
    <t>CFOS IA (DOST TGMPPEFET)</t>
  </si>
  <si>
    <t>rhyzz.jane@gmail.com</t>
  </si>
  <si>
    <t>Bolho, Miagao, Iloilo</t>
  </si>
  <si>
    <t>Mary Antonette F. Atilano</t>
  </si>
  <si>
    <t>University Research Associate I</t>
  </si>
  <si>
    <t>atilanomaryantonette@gmail.com</t>
  </si>
  <si>
    <t>Alvin M. Doroteo</t>
  </si>
  <si>
    <t>University of Antique</t>
  </si>
  <si>
    <t>COFES</t>
  </si>
  <si>
    <t>doroteoalvin@yahoo.com</t>
  </si>
  <si>
    <t>Rema C. Sibonga</t>
  </si>
  <si>
    <t>Early Career Researcher</t>
  </si>
  <si>
    <t>GlobalSeaweedSTARProejct, CFOS IA</t>
  </si>
  <si>
    <t>09171409960; 09985315320</t>
  </si>
  <si>
    <t>rcsibonga@gmail.com</t>
  </si>
  <si>
    <t>Institute of Aquaculture, College of Fisheries and Ocean Sciences, University of the Philippines Visayas, Miagao, 5023, Iloilo</t>
  </si>
  <si>
    <t>Karen Claire S. Ebreo</t>
  </si>
  <si>
    <t>Research Assistant</t>
  </si>
  <si>
    <t>Taklong Barcoding Initiative, Marine Biodiversity and Evolution Lab, Division of Biological Sciences</t>
  </si>
  <si>
    <t>(033) 315 8160</t>
  </si>
  <si>
    <t>ksebreo@up.edu.ph</t>
  </si>
  <si>
    <t>Room 124, CAS Bldg., Division of Biological Sciences, College of Arts and Sciences, University of the Philippines Visayas, Miagao, Iloilo</t>
  </si>
  <si>
    <t>Kyle R. Castañares</t>
  </si>
  <si>
    <t>kyleresmac@gmail.com</t>
  </si>
  <si>
    <t>IA-Hatchery Complex, University of the Philippines Visayas, Miagao 5023, Iloilo</t>
  </si>
  <si>
    <t>Angel Queenee D. Dequito</t>
  </si>
  <si>
    <t>Assistant Professor/Project Leader</t>
  </si>
  <si>
    <t>addequito@up.edu.ph</t>
  </si>
  <si>
    <t>CFOS-IA, UP Visayas, Miagao, Iloilo</t>
  </si>
  <si>
    <t>Nadalene Faith N. Cartago</t>
  </si>
  <si>
    <t>MS Fisheries (Aquaculture)</t>
  </si>
  <si>
    <t>CFOS IA</t>
  </si>
  <si>
    <t>nadelenefaithcartago@yahoo.com</t>
  </si>
  <si>
    <t>42 Quezon Street, Miagao, Iloilo</t>
  </si>
  <si>
    <t>Karl Angelo P. Tenizo</t>
  </si>
  <si>
    <t>Science Research Assistant</t>
  </si>
  <si>
    <t>CFOS IA ("Ice-ice Project"</t>
  </si>
  <si>
    <t>kptenizo@up.edu.ph</t>
  </si>
  <si>
    <t>Nonato's Extension, Brgy. Baybay Norte, Miagao, Iloilo</t>
  </si>
  <si>
    <t>Gabrielle Troy A. Cuevas</t>
  </si>
  <si>
    <t>Department of Chemistry</t>
  </si>
  <si>
    <t>gacuevas@up.edu.ph</t>
  </si>
  <si>
    <t>Department of Chemistry, College of Arts and Sciences, UP Visayas</t>
  </si>
  <si>
    <t>Wilson F. Medrocillo</t>
  </si>
  <si>
    <t>wfmedrocillo@up.edu.ph</t>
  </si>
  <si>
    <t>RA Lounge, CAS Basement, College of Arts and Sciences, UP Visayas</t>
  </si>
  <si>
    <t>Leonilo F. Endoma</t>
  </si>
  <si>
    <t>Cancelled</t>
  </si>
  <si>
    <t>CFOS IFPT Chemistry Lab</t>
  </si>
  <si>
    <t>lfendoma@up.edu.ph</t>
  </si>
  <si>
    <t>Dominique P. Mediodia</t>
  </si>
  <si>
    <t>Instructor/Project Leader</t>
  </si>
  <si>
    <t>dpmediodia@up.edu.ph</t>
  </si>
  <si>
    <t>UPV Museum of Natural Sciences, UP Visayas, Miagao, Iloilo 5023</t>
  </si>
  <si>
    <t xml:space="preserve">Ma. Novem Grace Ylayron </t>
  </si>
  <si>
    <t>CFOS IMFO/MFPA Project</t>
  </si>
  <si>
    <t>maylayron@up.edu.ph</t>
  </si>
  <si>
    <t>UPV CFOS IMFO</t>
  </si>
  <si>
    <t>Carmelo del Castillo</t>
  </si>
  <si>
    <t>Assistant Professor</t>
  </si>
  <si>
    <t>csdelcastillo@up.edu.ph</t>
  </si>
  <si>
    <t>UPV</t>
  </si>
  <si>
    <t>Pretty Lee Silva</t>
  </si>
  <si>
    <t>SOTECH/MS Chem Eng (Diliman)</t>
  </si>
  <si>
    <t>Loina Henzel A. Delgado</t>
  </si>
  <si>
    <t>023</t>
  </si>
  <si>
    <t>Student Assistant</t>
  </si>
  <si>
    <t>ladelgado1@up.edu.ph</t>
  </si>
  <si>
    <t>Denise V. Miranda</t>
  </si>
  <si>
    <t>024</t>
  </si>
  <si>
    <t>CFOS IA (DOST Ice-Ice</t>
  </si>
  <si>
    <t>09777305977</t>
  </si>
  <si>
    <t>dvmiranda@up.edu.ph</t>
  </si>
  <si>
    <t>#49 Tajanlangit St., Brgy. Tacas, Miagao, Iloilo</t>
  </si>
  <si>
    <t>2021</t>
  </si>
  <si>
    <t>Alain C. Juayang</t>
  </si>
  <si>
    <t>CL-2021-</t>
  </si>
  <si>
    <t>Section Head</t>
  </si>
  <si>
    <t>Corazon Locsin Montelibano Memorial Regional Hospital</t>
  </si>
  <si>
    <t>Molecular Laboratory</t>
  </si>
  <si>
    <t>09226942501</t>
  </si>
  <si>
    <t>alainjuayang@yahoo.com</t>
  </si>
  <si>
    <t>Molecular Laboratory, Corazon L. Montelibano Memorial Regional Hospital, Burgos-Lacson St., Bacolod City</t>
  </si>
  <si>
    <t>Jezreel Teruel Ywayan</t>
  </si>
  <si>
    <t>Chief Medical Technologist</t>
  </si>
  <si>
    <t>Bacolod Queen of Mercy Hospital</t>
  </si>
  <si>
    <t>09231531678</t>
  </si>
  <si>
    <t>jbtywayanmolecular2020@gmail.com</t>
  </si>
  <si>
    <t>Bacolod Queen of Mercy Hospital Molecular Laboratory, LN Eroreco Drive, Mandalagan, Bacolod City 6100</t>
  </si>
  <si>
    <t>Leni G. Yap-Dejeto</t>
  </si>
  <si>
    <t xml:space="preserve">Professor 6 </t>
  </si>
  <si>
    <t>Division of Natural Science and Mathematics</t>
  </si>
  <si>
    <t>+6353 3218299</t>
  </si>
  <si>
    <t>+639368135357</t>
  </si>
  <si>
    <t>6353 3255108</t>
  </si>
  <si>
    <t>lgyapdejeto@up.edu.ph</t>
  </si>
  <si>
    <t>UPV Tacloban College, Magsaysay Blvd., Tacloban City, Leyte 6500</t>
  </si>
  <si>
    <t>Dianne Frances Penuela</t>
  </si>
  <si>
    <t>Division of Biological Sciences</t>
  </si>
  <si>
    <t>323 2733</t>
  </si>
  <si>
    <t>09052565544</t>
  </si>
  <si>
    <t>dapenuela@up.edu.ph</t>
  </si>
  <si>
    <t>Brgy. Abangay, Dingle, Iloilo</t>
  </si>
  <si>
    <t>Roxanne Cabebe</t>
  </si>
  <si>
    <t>09760511920</t>
  </si>
  <si>
    <t>racabebe@up.edu.ph</t>
  </si>
  <si>
    <t>Brgy. Mat-y, Miagao, Iloilo</t>
  </si>
  <si>
    <t>Albert C. Noblezada</t>
  </si>
  <si>
    <t>09165448358</t>
  </si>
  <si>
    <t>acnoblezada@up.edu.ph</t>
  </si>
  <si>
    <t>Brgy. Buenavista, Leon, Iloilo</t>
  </si>
  <si>
    <t>Arlene L . Avillanosa</t>
  </si>
  <si>
    <t>Project Leader</t>
  </si>
  <si>
    <t>Western Philippines University</t>
  </si>
  <si>
    <t>WPU GeM-PHIL Project</t>
  </si>
  <si>
    <t>09278173880</t>
  </si>
  <si>
    <t>arlene.avillanosa@wpu.edu.ph</t>
  </si>
  <si>
    <t>Room 9, Second Floor (ABBA R&amp;D Center), College of Fisheries and Aquatic Science (CFAS), WPU-Puerto Princesa Campus, Sta. Monica, Puerto Princesa City</t>
  </si>
  <si>
    <t>Reymart S. Dagaraga</t>
  </si>
  <si>
    <t>University Research Associate</t>
  </si>
  <si>
    <t xml:space="preserve">09678700527
09475042638
09958698243       </t>
  </si>
  <si>
    <t>gemphilproject@gmail.com</t>
  </si>
  <si>
    <t>Jasper D. Pacho</t>
  </si>
  <si>
    <t>09507960935</t>
  </si>
  <si>
    <t>jasperpacho181@gmail.com</t>
  </si>
  <si>
    <t>Kristina Samantha Lacson</t>
  </si>
  <si>
    <t>09561765997</t>
  </si>
  <si>
    <t>kblacson@up.edu.ph</t>
  </si>
  <si>
    <t>College of Arts and Sciences (CAS) Buidling, University of the Philippines Visayas, Miagao, Iloilo 5023</t>
  </si>
  <si>
    <t>Concepcion Ponce</t>
  </si>
  <si>
    <t>09951970469</t>
  </si>
  <si>
    <t>cpponce@upv.edu.ph</t>
  </si>
  <si>
    <t>Carolyn T. Mejares</t>
  </si>
  <si>
    <t xml:space="preserve">School of Technology, UP Visayas </t>
  </si>
  <si>
    <t>09174804428</t>
  </si>
  <si>
    <t>ctmejares@up.edu.ph</t>
  </si>
  <si>
    <t>School of Technology, University of the Philippines Visayas, Miagao, Iloilo</t>
  </si>
  <si>
    <t>2022</t>
  </si>
  <si>
    <t>Rowena E. Cadiz</t>
  </si>
  <si>
    <t>CL-2022-</t>
  </si>
  <si>
    <t>University Research Associate II</t>
  </si>
  <si>
    <t>recadiz@up.edu.ph</t>
  </si>
  <si>
    <t>Institute of Aquaculutre, College of Fisheries and Ocean Science, University of the Philippines Visayas, Miagao, Iloilo</t>
  </si>
  <si>
    <t>Eric Zeus C. Rizo</t>
  </si>
  <si>
    <t>09153101800</t>
  </si>
  <si>
    <t>ecrizo@up.edu.ph</t>
  </si>
  <si>
    <t>Neki's Bldg., Zulueta Ave., Brgy. Ubos-Ilawod, Miagao, Iloilo</t>
  </si>
  <si>
    <t>Shea Kathleen P. Guinto</t>
  </si>
  <si>
    <t>Ocean Bio Lab</t>
  </si>
  <si>
    <t>09178587562</t>
  </si>
  <si>
    <t>spguinto@up.edu.ph</t>
  </si>
  <si>
    <t>Rother M. Gaudiel</t>
  </si>
  <si>
    <t>CFOS IMFO</t>
  </si>
  <si>
    <t>333158851</t>
  </si>
  <si>
    <t>09569874648</t>
  </si>
  <si>
    <t>rmgaudiel@up.edu.ph</t>
  </si>
  <si>
    <t>John Rey F. Rasgo</t>
  </si>
  <si>
    <t>BS Fisheries IV</t>
  </si>
  <si>
    <t>09612217613</t>
  </si>
  <si>
    <t>jfrasgo@up.edu.ph</t>
  </si>
  <si>
    <t>Noble Apartment, Hinolan St., Brgy. Baybay Sur, Miagao, Iloilo</t>
  </si>
  <si>
    <t>Luke Dranoel D. Atencio</t>
  </si>
  <si>
    <t>University Researcher I</t>
  </si>
  <si>
    <t>OVCRE-RRC</t>
  </si>
  <si>
    <t>09958160186</t>
  </si>
  <si>
    <t>ldatencio@up.edu.ph</t>
  </si>
  <si>
    <t>Regional Research Center, New Academic Complex, University of the Philippines Visayas, Miagao, Iloilo</t>
  </si>
  <si>
    <t>Whelver N. Surnido</t>
  </si>
  <si>
    <t>0936618579</t>
  </si>
  <si>
    <t>wnsurnido@up.edu.ph</t>
  </si>
  <si>
    <t>GN Boarding House, Nonato Ext. Street, Baybay Norte, Miagao, Iloilo</t>
  </si>
  <si>
    <t>Kingsley John de los Santos</t>
  </si>
  <si>
    <t>MS Biology</t>
  </si>
  <si>
    <t>09995569350</t>
  </si>
  <si>
    <t>kdelossantos@up.edu.ph</t>
  </si>
  <si>
    <t>117 Queszon St., Mat-y, 5023 Miagao, Iloilo</t>
  </si>
  <si>
    <t>Karl C. Abismo</t>
  </si>
  <si>
    <t>09458533418</t>
  </si>
  <si>
    <t>kcabismo@up.edu.ph</t>
  </si>
  <si>
    <t>482 Aqunio Nobleza West, Janiuay, Iloilo</t>
  </si>
  <si>
    <t>Stephen G. Sabinay</t>
  </si>
  <si>
    <t>Center Head</t>
  </si>
  <si>
    <t>West Visayas State University</t>
  </si>
  <si>
    <t>Center for Biotech and Biomedical Research, College of Medicine</t>
  </si>
  <si>
    <t>09983115444</t>
  </si>
  <si>
    <t>ssabinay@wvsu.edu.ph</t>
  </si>
  <si>
    <t>4th Floor, Roxas Hall Annex, College of Medicine, West Visayas State University, La Paz, Iloilo City</t>
  </si>
  <si>
    <t>Benedict Maralit</t>
  </si>
  <si>
    <t>Philip Alviola</t>
  </si>
  <si>
    <t>Isabel Grace Gatpatan</t>
  </si>
  <si>
    <t>College of Arts and Sciences</t>
  </si>
  <si>
    <t>09507678137</t>
  </si>
  <si>
    <t>isabelagrasya@gmail.com</t>
  </si>
  <si>
    <t>Camille Rose T. Mueda</t>
  </si>
  <si>
    <t>MS Molecular Biology and Biotechnology</t>
  </si>
  <si>
    <t>UP Los Banos</t>
  </si>
  <si>
    <t>Institute of Biological Sciences</t>
  </si>
  <si>
    <t>09086043843</t>
  </si>
  <si>
    <t>ctmueda@up.edu.ph</t>
  </si>
  <si>
    <t>Zulueta Ave., Miagao, Iloilo</t>
  </si>
  <si>
    <t>Beverly T. Jaspe</t>
  </si>
  <si>
    <t>Project Leader, Diwal Project</t>
  </si>
  <si>
    <t>Aklan State University - New Washington Campus</t>
  </si>
  <si>
    <t>Fisheries and Marine Sciences Department</t>
  </si>
  <si>
    <t>Zeth Rodario Bebit</t>
  </si>
  <si>
    <t>Department of Chemistry, College of Arts and Sciences, UP Visayas, Miagao, Iloilo 5023</t>
  </si>
  <si>
    <t>Kneessa Louie G. Dato-on</t>
  </si>
  <si>
    <t>MS Microbiology Student</t>
  </si>
  <si>
    <t>09563167064</t>
  </si>
  <si>
    <t>kgdatoon@up.edu.ph</t>
  </si>
  <si>
    <t>Leogiver G. Mañosca</t>
  </si>
  <si>
    <t>Philippine Science High School - MIMAROPA Region Campus</t>
  </si>
  <si>
    <t>Brgy. Rizal, Odiongan Romblon</t>
  </si>
  <si>
    <t>Rhudith Cabulong</t>
  </si>
  <si>
    <t>rbcabulong@up.edu.ph</t>
  </si>
  <si>
    <t>Microbiology Laboratory, College of Arts and Sciences, University of the Philippines Visayas, 5023 Miagao, Iloilo</t>
  </si>
  <si>
    <t>Viva Princess A. Basa</t>
  </si>
  <si>
    <t>SRA</t>
  </si>
  <si>
    <t>MIndoro State University</t>
  </si>
  <si>
    <t>Research and Development Extension</t>
  </si>
  <si>
    <t>vivaprincessbasa@icloud.com</t>
  </si>
  <si>
    <t>Pinagsabangan II, Curva Naujan, 5204 , Orien Mindoro</t>
  </si>
  <si>
    <t>Katherine P. Sanchez</t>
  </si>
  <si>
    <t>Associate Proffesor III/ Project Leader - Goby</t>
  </si>
  <si>
    <t>nyctarinia@gmail.com</t>
  </si>
  <si>
    <t>Macatoc, Victoria, Oriental, Mindoro</t>
  </si>
  <si>
    <t>Jermaine Ritzchelle D. Marquez</t>
  </si>
  <si>
    <t>College of Teacher Education</t>
  </si>
  <si>
    <t>jrmarquez2790@gmail.com</t>
  </si>
  <si>
    <t>Block 12 Lot 13 Carnation St. Maria Luisa Subd. Suqui, Calapan City, Oriental Mindoro</t>
  </si>
  <si>
    <t>Elsie Y. Guibone</t>
  </si>
  <si>
    <t>R &amp; D Coordinator/ Projet Staff, Goby Project</t>
  </si>
  <si>
    <t>Institute of Fisheries</t>
  </si>
  <si>
    <t>gebrielle10@gmail.com</t>
  </si>
  <si>
    <t>MinSu, Bongabong Campus, Brgy. Labasan, Bongabong, Oriental Mindoro</t>
  </si>
  <si>
    <t>Rommel Gestuveo</t>
  </si>
  <si>
    <t>Assistant Professor/ Project Leader</t>
  </si>
  <si>
    <t>033-3310237</t>
  </si>
  <si>
    <t>rjgestuveo@up.edu.ph</t>
  </si>
  <si>
    <t>Division of Biological Sciences, College of Arts and Sciences, Tomas Fonacier Hall, UP Visayas, Miagao, Iloilo 5023</t>
  </si>
  <si>
    <t>Frenche B. Hechanova</t>
  </si>
  <si>
    <t>fbhechanova@up.edu.ph</t>
  </si>
  <si>
    <t>Rizal Ilawod St., Zone 1, Cabatuan, Iloilo 5031</t>
  </si>
  <si>
    <t>Jade G. Pahila</t>
  </si>
  <si>
    <t>University Researcher I/Project Leader</t>
  </si>
  <si>
    <t>UPV Regional Research Center</t>
  </si>
  <si>
    <t>Food, Feeds, and Functional Nutrition Laboratory</t>
  </si>
  <si>
    <t>jgpahila@up.edu.ph</t>
  </si>
  <si>
    <t>Regional Research Center Building, University of the Philippines Visayas Miagao, 5023, Iloilo</t>
  </si>
  <si>
    <t>Cezarie L. Golingay</t>
  </si>
  <si>
    <t>DOST CIP Graduate Fellow</t>
  </si>
  <si>
    <t>DOST Dried Microalgal Biomass Project (Food, Feeds, and Functional Nutrition Laboratory)</t>
  </si>
  <si>
    <t xml:space="preserve">  N/A</t>
  </si>
  <si>
    <t>clgolingay@up.edu.ph</t>
  </si>
  <si>
    <t>Ella Marie E. Villaruz</t>
  </si>
  <si>
    <t>Science Research Analyst</t>
  </si>
  <si>
    <t>eevillaruz@up.edu.ph</t>
  </si>
  <si>
    <t>Antoniette Lorain Z. Dimaano</t>
  </si>
  <si>
    <t>Laboratory Aide II</t>
  </si>
  <si>
    <t>azdimaano@up.edu.ph</t>
  </si>
  <si>
    <t>Pauline Anne Lamela</t>
  </si>
  <si>
    <t>BS in Biology IV student</t>
  </si>
  <si>
    <t>College of Arts and Sciences Division of Biological Sciences</t>
  </si>
  <si>
    <t>pmlamela@up.edu.ph</t>
  </si>
  <si>
    <t>College of Arts and Sciences Division of Biological Sciences, University of the Philippines Visayas Miagao, 5023, Iloilo</t>
  </si>
  <si>
    <t>Raymond Cabarles</t>
  </si>
  <si>
    <t>Fish 219 – Advanced Fish Genetics Graduate Student</t>
  </si>
  <si>
    <t>Emelyn Joy Mameloco</t>
  </si>
  <si>
    <t>Edcel T. Resano</t>
  </si>
  <si>
    <t>Yobhel Grace T. Diputado</t>
  </si>
  <si>
    <t>075A</t>
  </si>
  <si>
    <t>ytdiputado@up.edu.ph</t>
  </si>
  <si>
    <t>2023</t>
  </si>
  <si>
    <t>Persie Persie Mark Sienes</t>
  </si>
  <si>
    <t>CL-2023-</t>
  </si>
  <si>
    <t>Siliman University</t>
  </si>
  <si>
    <t>Dr. Sitti Zayda Halun</t>
  </si>
  <si>
    <t>Program Leader</t>
  </si>
  <si>
    <t>Mindanao State University in Tawi-Tawi</t>
  </si>
  <si>
    <t xml:space="preserve">Seaweed Research and Development Center, 
</t>
  </si>
  <si>
    <t>szhalun@msutawi-tawi.edu.ph</t>
  </si>
  <si>
    <t xml:space="preserve">Seaweed Research and Development Center, Mindanao State University in Tawi-Tawi
Sanga-Sanga, Bongao, Tawi-Tawi, Philippines
</t>
  </si>
  <si>
    <t>Reynaldo P. Peja Jr.</t>
  </si>
  <si>
    <t>Visayas State University - Alangalang</t>
  </si>
  <si>
    <t>June Rey A. Montajes</t>
  </si>
  <si>
    <t>Visayas State University Tolosa</t>
  </si>
  <si>
    <t>Fisheries</t>
  </si>
  <si>
    <t>(053) 604</t>
  </si>
  <si>
    <t>0992 933 7825 | 0997 069 9927</t>
  </si>
  <si>
    <t>junerey.montajes@vsu.edu.ph</t>
  </si>
  <si>
    <t>ODREIC, 2/F KOICA (New Administration) Building, Maharlika Highway, Tanghas,
Tolosa, Leyte</t>
  </si>
  <si>
    <t>Shereen A. Merro</t>
  </si>
  <si>
    <t>(053) 601</t>
  </si>
  <si>
    <t>0917 407 6762</t>
  </si>
  <si>
    <t>shereen.merro@vsu.edu.ph</t>
  </si>
  <si>
    <t>ODAA, G/F KOICA (New Administration) Building, Maharlika Highway, Tanghas,
Tolosa, Leyte</t>
  </si>
  <si>
    <t>Jay Marie V. Lumantas</t>
  </si>
  <si>
    <t>075B</t>
  </si>
  <si>
    <t>Arnel Adrian Rara</t>
  </si>
  <si>
    <t>BS Chemical Engineering</t>
  </si>
  <si>
    <t>Claire Samantha Juanico</t>
  </si>
  <si>
    <t>Phd Student- Marine Biotech</t>
  </si>
  <si>
    <t>Rose Ann Lumapan</t>
  </si>
  <si>
    <t>Undergraduate Student (BS Fisheries IV)</t>
  </si>
  <si>
    <t>CFOS IFPT</t>
  </si>
  <si>
    <t>09491129316</t>
  </si>
  <si>
    <t>rvlumapan@up.edu.ph</t>
  </si>
  <si>
    <t>Balay Madyaas, UPV Dormitory Area</t>
  </si>
  <si>
    <t>Karmelie Jane Monaya</t>
  </si>
  <si>
    <t>URA I</t>
  </si>
  <si>
    <t>09179155714</t>
  </si>
  <si>
    <t>kmmonaya@up.edu.ph</t>
  </si>
  <si>
    <t>IFPT Wet LAboratories, UPV Campus, Miagao, Iloilo</t>
  </si>
  <si>
    <t>Beatrice L. Anacita</t>
  </si>
  <si>
    <t>BS Biology IV</t>
  </si>
  <si>
    <t>blanacita@up.edu.ph</t>
  </si>
  <si>
    <t>St. Therese Boarding House, Brgy. Mat-y, Miagao, Iloilo</t>
  </si>
  <si>
    <t>Kyla Julienne P. Talaman</t>
  </si>
  <si>
    <t>kptalaman@up.edu.ph</t>
  </si>
  <si>
    <t>Trisha Marie Santos</t>
  </si>
  <si>
    <t>tesantos2@up.edu.ph</t>
  </si>
  <si>
    <t>Trisha Catalya</t>
  </si>
  <si>
    <t>tccatalya@up.edu.ph</t>
  </si>
  <si>
    <t>Balay Gumamela, University of the Philippines Visayas, Brgy. Mat-y, Miagao, Iloilo Philippines 5023</t>
  </si>
  <si>
    <t>Josie Mar G. Cabalo</t>
  </si>
  <si>
    <t>Project Technical Assistant II</t>
  </si>
  <si>
    <t>jgcabalo1@up.edu.ph</t>
  </si>
  <si>
    <t>Brgy. Camangahan, Guimbal, Iloilo 5022</t>
  </si>
  <si>
    <t>Carlo S. Gregorio</t>
  </si>
  <si>
    <t>MS Ocean Sciences</t>
  </si>
  <si>
    <t>csgregorio@up.edu.ph</t>
  </si>
  <si>
    <t>Sitio Macaebang Norte, Ginictan, Altavas, Aklan</t>
  </si>
  <si>
    <t>Elize Margareth C. Sibulan</t>
  </si>
  <si>
    <t>ecsibulan@up.edu.ph</t>
  </si>
  <si>
    <t>Unidos, Nabas, Aklan</t>
  </si>
  <si>
    <t>Abigail F. Padua</t>
  </si>
  <si>
    <t>BS Biology (Biotech)</t>
  </si>
  <si>
    <t>WVSU Biotechnology &amp; Biomedical Research Labroatory</t>
  </si>
  <si>
    <t>abigail.padua@wvsu.edu.ph</t>
  </si>
  <si>
    <t>Rachel A. Casio</t>
  </si>
  <si>
    <t>Draftsman I</t>
  </si>
  <si>
    <t>Department of Environmental and Natural Resources</t>
  </si>
  <si>
    <t>Conservation and Development Division</t>
  </si>
  <si>
    <t>(033) 328 1813</t>
  </si>
  <si>
    <t>oisaacra@gmail.com; denrcddr6.2018@gmail.com</t>
  </si>
  <si>
    <t>DENR Regional Office 6, Pepita Aquino St., Port Area, Iloilo City</t>
  </si>
  <si>
    <t>Jojie P. Gereza</t>
  </si>
  <si>
    <t>Forester I</t>
  </si>
  <si>
    <t>cenroiloilo@denr.gov.ph</t>
  </si>
  <si>
    <t>DENR CENRO Guimbal, Brgy. Guibongan, Miagao, Iloilo</t>
  </si>
  <si>
    <t>Ella Marie Kristine Baldove</t>
  </si>
  <si>
    <t>Research and Development Specialist</t>
  </si>
  <si>
    <t>Feedmix Specialist Inc. II</t>
  </si>
  <si>
    <t>Microalgae Department</t>
  </si>
  <si>
    <t>Ma Jowina Galarion</t>
  </si>
  <si>
    <t>PhD Student</t>
  </si>
  <si>
    <t>University of Glasgow</t>
  </si>
  <si>
    <t>Medical Research Council</t>
  </si>
  <si>
    <t>m.galarion.1@research.gla.ac.uk</t>
  </si>
  <si>
    <t>22A Yen St., Villa Arca II, Brgy. Baesa, Quezon City, Philippines</t>
  </si>
  <si>
    <t>Harold P. Mediodia</t>
  </si>
  <si>
    <t>Special Science Teacher 3</t>
  </si>
  <si>
    <t>PSHS Western Visayas Campus</t>
  </si>
  <si>
    <t>(033) 329 5644</t>
  </si>
  <si>
    <t>hmediodia@wvc.pshs.edu.ph</t>
  </si>
  <si>
    <t>PSHS Western Visayas Campus, Bitoon, Jaro, 5000 Iloilo City</t>
  </si>
  <si>
    <t>Dorothy Jade P. Tacuel</t>
  </si>
  <si>
    <t>Student, Grade 11</t>
  </si>
  <si>
    <t>dptacuel@wvc.pshs.edu.ph</t>
  </si>
  <si>
    <t>Brgy. Dungo C, Mandurriao, Iloilo City</t>
  </si>
  <si>
    <t>Jemiah Ashelle Grace K. Vasquez</t>
  </si>
  <si>
    <t>Student, Grade 10</t>
  </si>
  <si>
    <t>jvasquez2025@wvc.pshs.edu.ph</t>
  </si>
  <si>
    <t>Purok 2, Bgry. Dayao, Roxas City, Capiz, Philippines 5800</t>
  </si>
  <si>
    <t>Mark Calabon</t>
  </si>
  <si>
    <t>mscalabon@up.edu.ph</t>
  </si>
  <si>
    <t>James Nim</t>
  </si>
  <si>
    <t>jmnim@up.edu.ph</t>
  </si>
  <si>
    <t>Sheryll Mesa</t>
  </si>
  <si>
    <t>Senior Aquaculturist</t>
  </si>
  <si>
    <t>Bureau of Fisheries and Aquatic Resource - Regional Fisheries Office 6</t>
  </si>
  <si>
    <t>smyl2428@gmail.com
smesa@bfar.da.gov.ph</t>
  </si>
  <si>
    <t>Ivanne Guillermo</t>
  </si>
  <si>
    <t>Student- MSBio</t>
  </si>
  <si>
    <t>Krshna Mahakaola A. Dueñas</t>
  </si>
  <si>
    <t>BS Biology Student</t>
  </si>
  <si>
    <t>College of Arts and Sciences - Biology Department</t>
  </si>
  <si>
    <t>501-80-61</t>
  </si>
  <si>
    <t>krshna.duenas@wvsu.edu.ph</t>
  </si>
  <si>
    <t>Franco Miguel N. Nodado</t>
  </si>
  <si>
    <t>Medical Student</t>
  </si>
  <si>
    <t>Biotechnology and Microbiology Laboratory, College of Medicine</t>
  </si>
  <si>
    <t>francomiguel.nodado@wvsu.edu.ph</t>
  </si>
  <si>
    <t>Justiniani Apartment, Brgy. of Our Lady of Lourdes, First Street, Jaro, Iloilo City</t>
  </si>
  <si>
    <t>Danielle L. Elevado</t>
  </si>
  <si>
    <t>danielle.elevado@wvsu.edu.ph</t>
  </si>
  <si>
    <t>Rodriguez Boarding House, Brgy. Montinola, Jaro, Iloilo City</t>
  </si>
  <si>
    <t>Yoo Ki Bastol</t>
  </si>
  <si>
    <t>yooki.bastol@wvsu.edu.ph</t>
  </si>
  <si>
    <t>36 A, D.B. Ledesma St., Robleza Compound, Our Lady of Lourdes, Jaro, Iloilo City</t>
  </si>
  <si>
    <t>Zeb Jose Joshua C. Cabalfin</t>
  </si>
  <si>
    <t>zebjosejoshua.cabalfin@wvsu.edu.ph</t>
  </si>
  <si>
    <t>012 Cabaluna St., Leon, Iloilo</t>
  </si>
  <si>
    <t>Maio Vendell V. Sabidong</t>
  </si>
  <si>
    <t>maiosabidong@icloud.com</t>
  </si>
  <si>
    <t>Block 7, Lot 1, Landheights Subdivision, Phase 1, Sampaguita St., Brgy. Quezon, Villa, Iloilo City</t>
  </si>
  <si>
    <t>Jemma Dawn C. Leonardo</t>
  </si>
  <si>
    <t>jemmadawn.leonardo@wvsu.edu.ph</t>
  </si>
  <si>
    <t>A&amp;L Building, Mission Road, Jaro, Iloilo City</t>
  </si>
  <si>
    <t>Leopoldo T. Bacquial II</t>
  </si>
  <si>
    <t>leopoldo.bucquial@wvsu.edu.ph</t>
  </si>
  <si>
    <t>B5 L18 DC3 RPHS Brgy. Alijis, Bacolod City</t>
  </si>
  <si>
    <t xml:space="preserve">Kathleen Mae V. Donoso </t>
  </si>
  <si>
    <t>kathleenmae.donoso@wvsu.edu.ph</t>
  </si>
  <si>
    <t>Apartment 34, Lot 34, Block 4, Ledesco Village, Lapaz, Iloilo City</t>
  </si>
  <si>
    <t>Nove Kris B. Herida</t>
  </si>
  <si>
    <t>novekris.herida@wvsu.edu.ph</t>
  </si>
  <si>
    <t xml:space="preserve">Angel Mae T. Malones </t>
  </si>
  <si>
    <t>angelmae.malones@wvsu.edu.ph</t>
  </si>
  <si>
    <t>Block 6, Lot 1, Bernwood Villas, Brgy. Sto Nino Sur, Villa, Iloilo City</t>
  </si>
  <si>
    <t>Adrienne Marrie S. Bugayon-Janagap</t>
  </si>
  <si>
    <t>Univesity of the Philippines Visayas</t>
  </si>
  <si>
    <t>Divison of Biological Sciences</t>
  </si>
  <si>
    <t>asbugayong@up.edu.ph</t>
  </si>
  <si>
    <t>Division of Biological Sciences, CAS Bldg., UP Visayas, Miagao, Iloilo 5023</t>
  </si>
  <si>
    <t>Joseph Faisan Jr.</t>
  </si>
  <si>
    <t>Assoc. Researcher</t>
  </si>
  <si>
    <t>SEAFDEC</t>
  </si>
  <si>
    <t>AQD</t>
  </si>
  <si>
    <t>jfaisan@seafdec.org.ph</t>
  </si>
  <si>
    <t>SEAFDEC/AQD, Barangay Buyu-an, Tigbauan, Iloilo</t>
  </si>
  <si>
    <t>Nadine Belas</t>
  </si>
  <si>
    <t>University of the Philippines Visayas</t>
  </si>
  <si>
    <t>CFOS-IMFO</t>
  </si>
  <si>
    <t>nnbelas1@up.edu.ph</t>
  </si>
  <si>
    <t>Hollywood St., Brgy. Mat-y, Miagao, Iloilo</t>
  </si>
  <si>
    <t>Maureen Emily V. Niño</t>
  </si>
  <si>
    <t>KIOST LAB</t>
  </si>
  <si>
    <t>mvnino@up.edu.ph</t>
  </si>
  <si>
    <t>Blk. 16, Villa Christina Subd., Calbang, Oton Iloilo</t>
  </si>
  <si>
    <t>Jan Felnesh Exe Bagacay</t>
  </si>
  <si>
    <t>CAS</t>
  </si>
  <si>
    <t>dperalta@dmmmsu.edu.ph</t>
  </si>
  <si>
    <t>Dianne Peralta</t>
  </si>
  <si>
    <t>Project Staff</t>
  </si>
  <si>
    <t>DMMMMSU</t>
  </si>
  <si>
    <t>John Vincent S. Santiago</t>
  </si>
  <si>
    <t>Mindoro State University</t>
  </si>
  <si>
    <t>sottosantiagojohnvincent@gmail.com</t>
  </si>
  <si>
    <t>Dr. Bemerly Sira</t>
  </si>
  <si>
    <t>Department Head</t>
  </si>
  <si>
    <t>Western Visayas Medical Center</t>
  </si>
  <si>
    <t>bems_patho@yahoo.com</t>
  </si>
  <si>
    <t>Philip Ian P. Padilla</t>
  </si>
  <si>
    <t>scberlin@up.edu.ph</t>
  </si>
  <si>
    <t>OVCAA, New Admin Building, University of the Philippines Visyas</t>
  </si>
  <si>
    <t>Christine Teves</t>
  </si>
  <si>
    <t>Science Aide</t>
  </si>
  <si>
    <t>clteves@up.edu.ph</t>
  </si>
  <si>
    <t>Sharmen Berlin</t>
  </si>
  <si>
    <t>Project Assistant 1</t>
  </si>
  <si>
    <t>Kristine Ann Medina</t>
  </si>
  <si>
    <t>Student</t>
  </si>
  <si>
    <t>kbmedina@up.edu.ph</t>
  </si>
  <si>
    <t>Carl Jester Caldito</t>
  </si>
  <si>
    <t>Frea Mae Dela Cruz</t>
  </si>
  <si>
    <t>Gerlie Mae Candole</t>
  </si>
  <si>
    <t>LC May C. Gasit</t>
  </si>
  <si>
    <t>CFOS Institute of Aquaculture DOST Blood Cockle Project</t>
  </si>
  <si>
    <t>lcgasit@up.edu.ph</t>
  </si>
  <si>
    <t>Nonato's Compound, Brgy. Sapa, Miagao, Iloilo</t>
  </si>
  <si>
    <t>Dencee Jean T. Ledesma</t>
  </si>
  <si>
    <t>Project Technical Specialist I</t>
  </si>
  <si>
    <t>DOST-ITDI-VIP</t>
  </si>
  <si>
    <t>virology.tomatoproject@gmail.com</t>
  </si>
  <si>
    <t>DOST Cmpd., General Santos Avenue, Bicutan, Taguig City, Philippines</t>
  </si>
  <si>
    <t>2024</t>
  </si>
  <si>
    <t>Jonie C. Yee, Ph.D.</t>
  </si>
  <si>
    <t>CL-2024-</t>
  </si>
  <si>
    <t>Biology Department Chairman / NRCP Project Leader</t>
  </si>
  <si>
    <t>University of San Carlos</t>
  </si>
  <si>
    <t>Biology</t>
  </si>
  <si>
    <t>(032) 2300100</t>
  </si>
  <si>
    <t>jcyee@usc.edu.ph</t>
  </si>
  <si>
    <t>Biology Department, College of Science and Arts, University of San Carlos, Nasipit, Talamban, Cebu City</t>
  </si>
  <si>
    <t>Reiner Jan A. Castelo</t>
  </si>
  <si>
    <t>Faculty Researcher</t>
  </si>
  <si>
    <t>Don Mariano Marcos Memorial State University</t>
  </si>
  <si>
    <t>DMMMSU Probiotics Research Project</t>
  </si>
  <si>
    <t>rcastelo@dmmmsu.edu.ph</t>
  </si>
  <si>
    <t>College of Arts and Sciences, DMMMSU-NLUC, Sapilang, Bacnotan, La Union 2515</t>
  </si>
  <si>
    <t>Ma. Theresa P. Crispino-Cachero</t>
  </si>
  <si>
    <t>3cachero@dmmmsu.edu.ph</t>
  </si>
  <si>
    <t>Dianne A. Peralta</t>
  </si>
  <si>
    <t>Project Staff L1</t>
  </si>
  <si>
    <t>Central Administration Building, DMMMSU, Sapilang, Bacnotan, La Union 2515</t>
  </si>
  <si>
    <t>Glennadi R. Rualo</t>
  </si>
  <si>
    <t>grualo@dmmmsu.edu.ph</t>
  </si>
  <si>
    <t>Biological and Physical Sciences Department, College of Arts and Sciences, DMMMSU, Agoo, La Union 2504</t>
  </si>
  <si>
    <t>Diomer B. Serra</t>
  </si>
  <si>
    <t>09467306736; 09662601606</t>
  </si>
  <si>
    <t>dserra@dmmmsu.edu.ph</t>
  </si>
  <si>
    <t>John Raymund D. Torres</t>
  </si>
  <si>
    <t>jrtorres@dmmmsu.edu.ph</t>
  </si>
  <si>
    <t>Kaylen Yvon K. Jalandoni</t>
  </si>
  <si>
    <t>BS in Chemical Engineering Student</t>
  </si>
  <si>
    <t>School of Technology</t>
  </si>
  <si>
    <t>kkjalandoni@up.edu.ph</t>
  </si>
  <si>
    <t>Sheila Mae S. Santander-de Leon</t>
  </si>
  <si>
    <t>Ellen Rose Torremoro</t>
  </si>
  <si>
    <t>MS Student</t>
  </si>
  <si>
    <t>Ferlyn Legarde</t>
  </si>
  <si>
    <t>Ram Nikko U. Delegero</t>
  </si>
  <si>
    <t>rudelegero@up.edu.ph</t>
  </si>
  <si>
    <t>Vincent Jay H. Gado</t>
  </si>
  <si>
    <t>Romblon State University</t>
  </si>
  <si>
    <t>Marine Bio Dept</t>
  </si>
  <si>
    <t>vincent.jay.gado@gmail.com</t>
  </si>
  <si>
    <t>#197 Mablaran St., Linawan, San Andres, Romblon</t>
  </si>
  <si>
    <t>Jordan F. Dorado</t>
  </si>
  <si>
    <t>Fisheries Dept</t>
  </si>
  <si>
    <t>021 National Road, Poblacion, San Andres, Romblon</t>
  </si>
  <si>
    <t>Jessette Mary Pauline Garcia</t>
  </si>
  <si>
    <t>4th Year BS Biology Student</t>
  </si>
  <si>
    <t>College of Medicine - Biotechnology and Biomedical Research Laboratory</t>
  </si>
  <si>
    <t>jessettemarypauline.garcia@wvsu.edu.ph</t>
  </si>
  <si>
    <t>Caryl Anne G. Abulencia</t>
  </si>
  <si>
    <t>carylanne.abulencia@wvsu.edu.ph</t>
  </si>
  <si>
    <t>Kristina Casandra Pava</t>
  </si>
  <si>
    <t>Central Mindanao University</t>
  </si>
  <si>
    <t>s.pava.kristinacasandra@cmu.edu.ph</t>
  </si>
  <si>
    <t>University Town, Musuan, Maramag, Bukidnon 8710</t>
  </si>
  <si>
    <t>Jonalyn Mateo</t>
  </si>
  <si>
    <t>jpmateo@up.edu.ph</t>
  </si>
  <si>
    <t>Mae Dell S. Silfavan</t>
  </si>
  <si>
    <t>CFOS</t>
  </si>
  <si>
    <t>mssilfavan@up.edu.ph</t>
  </si>
  <si>
    <t>Brgy. Bolho, Miagao, Iloilo</t>
  </si>
  <si>
    <t>Jinelyn D. Kapaw-an</t>
  </si>
  <si>
    <t>jdkapawan@up.edu.ph</t>
  </si>
  <si>
    <t>Balay Lampirong, UPV, Miagao, Iloilo</t>
  </si>
  <si>
    <t>Princess Sarah Gabiota</t>
  </si>
  <si>
    <t>pzgabiota@up.edu.ph</t>
  </si>
  <si>
    <t>Stephanie Faith Apines</t>
  </si>
  <si>
    <t>Kharl Marx Adorado</t>
  </si>
  <si>
    <t>Marielle B. Chu</t>
  </si>
  <si>
    <t>University of the Philippines High School in Iloilo, College of Arts and Science</t>
  </si>
  <si>
    <t>(033)332-2677</t>
  </si>
  <si>
    <t>mbchu@up.edu.ph</t>
  </si>
  <si>
    <t>Clarissa L. Gomez</t>
  </si>
  <si>
    <t>Science Research Specialist I</t>
  </si>
  <si>
    <t>Department of Agriculture-National Fisheries Research and Development Institute (DA-NFRDI)</t>
  </si>
  <si>
    <t>nia.santos@nfrdi.da.gov.ph</t>
  </si>
  <si>
    <t>Corporate 101 Building, Mother Ignacia Avenue, Quezon City 1103</t>
  </si>
  <si>
    <t>Arlz Dominic E. Libanan</t>
  </si>
  <si>
    <t xml:space="preserve">Student Researcher </t>
  </si>
  <si>
    <t xml:space="preserve">University of St. La Salle </t>
  </si>
  <si>
    <t>Natural Sciences Department</t>
  </si>
  <si>
    <t>arlzdominiclibanan@gmail.com</t>
  </si>
  <si>
    <t>Adoracion St., Brgy. XIX, Victorias City, Negros Occidental</t>
  </si>
  <si>
    <t>Vien Lowell M. Mapa</t>
  </si>
  <si>
    <t>lowellmayangmapa@gmail.com</t>
  </si>
  <si>
    <t>Zone 2, Immaculada St., Canetown Subd., Brgy. 19-A, Victorias City, Neg. Occ 6119</t>
  </si>
  <si>
    <t>Lesther G. Tadeña</t>
  </si>
  <si>
    <t>lesthertadeña@gmail.com/ s2021049@usls.edu.ph </t>
  </si>
  <si>
    <t xml:space="preserve">Blk 27, Lot 101, Phase 9, Brgy. Pahanocoy, BAcolod City, Neg. Occ. </t>
  </si>
  <si>
    <t>Joshua Miguel Javelosa</t>
  </si>
  <si>
    <t>migueljavelosa97@gmail.com</t>
  </si>
  <si>
    <t>Blk 10, Lot 13-1, Cenon St., Celine Homes, Brgy. Estafania, Bacolod City</t>
  </si>
  <si>
    <t>Briane S. Deo</t>
  </si>
  <si>
    <t>brianeseriosdelo24@gmail.com</t>
  </si>
  <si>
    <t>Lot 13, Block 8, Wahoo Street, Phase II, Cadiz Heights Subdivistion, Brgy. Tinampa-an, Cadiz City, Negros Occidental</t>
  </si>
  <si>
    <t>Elizabeth D. Fernandez</t>
  </si>
  <si>
    <t>fer.eliza2600@gmail.com</t>
  </si>
  <si>
    <t>Blk 2 Lot 6, Capricorn St., Sharina Heights, Brgy. Taculing, Bacolod City, Negros Occidental, Philippines 6100</t>
  </si>
  <si>
    <t>k.khlyraelleg@gmail.com</t>
  </si>
  <si>
    <t>Zone 5, Brgy 11, Quincihan, Hinigaran, Negros Occidental</t>
  </si>
  <si>
    <t>Maria Alexandra S. Geolingo</t>
  </si>
  <si>
    <t>(034) 4358252</t>
  </si>
  <si>
    <t>alexgeolingo@gmail.com</t>
  </si>
  <si>
    <t xml:space="preserve">Block 8, Lot 21, Chancellor St., Buena Park Subd., Villamonte, Bacolod City, Neg. Occ. </t>
  </si>
  <si>
    <t xml:space="preserve">Therese Javellana </t>
  </si>
  <si>
    <t>Technical Assistant III</t>
  </si>
  <si>
    <t>tfjavellana@up.edu.ph</t>
  </si>
  <si>
    <t>Angel Ann H. Vargas</t>
  </si>
  <si>
    <t>CFOS-IA</t>
  </si>
  <si>
    <t>ahvargas@up.edu.ph</t>
  </si>
  <si>
    <t>University of the Philippines Visayas, Hatchery Complex</t>
  </si>
  <si>
    <t>Kimny Claire O. Carmelotes</t>
  </si>
  <si>
    <t>DBS</t>
  </si>
  <si>
    <t>09971642283 / 09914006037</t>
  </si>
  <si>
    <t>kocarmelotes@up.edu.ph</t>
  </si>
  <si>
    <t>Jewelle Marie S. Mejias</t>
  </si>
  <si>
    <t>jsmejias@up.edu.ph</t>
  </si>
  <si>
    <t>Danilee Joshua S. Halaba</t>
  </si>
  <si>
    <t>dshalaba@up.edu.ph</t>
  </si>
  <si>
    <t>Jann Alyanna Toledo</t>
  </si>
  <si>
    <t>Anne-Nora N. Sabirin</t>
  </si>
  <si>
    <r>
      <rPr>
        <rFont val="Arial"/>
        <color rgb="FF000000"/>
      </rPr>
      <t>M.Sc</t>
    </r>
    <r>
      <rPr>
        <rFont val="Arial"/>
        <color theme="1"/>
      </rPr>
      <t>. Biology Student</t>
    </r>
  </si>
  <si>
    <t>Mindanao State University - Iligan Institute of Technology</t>
  </si>
  <si>
    <t>Department of Biological Science</t>
  </si>
  <si>
    <t>anne-nora.sabirin@g.msuiit.edu.ph</t>
  </si>
  <si>
    <t>Animal Ecology Laboratory, PRISM 2nd Floor, Mindanao State University - Iligan Institute of Technology, Andres Bonifacio Ave., Tibanga, Iligan City 9200, Philippines</t>
  </si>
  <si>
    <t>Sanny David Lumayno</t>
  </si>
  <si>
    <t>168a</t>
  </si>
  <si>
    <t>splumayno@up.edu.ph</t>
  </si>
  <si>
    <t>Gleann P. Salido</t>
  </si>
  <si>
    <t>168b</t>
  </si>
  <si>
    <t>Project Technical Aide VI</t>
  </si>
  <si>
    <t>salidogleann@gmail.com</t>
  </si>
  <si>
    <t>Charles R. Andrade</t>
  </si>
  <si>
    <t>Project Technical Aide II</t>
  </si>
  <si>
    <t>charlesandrade40@gmail.com</t>
  </si>
  <si>
    <t>Gavin Louie M. Amolo</t>
  </si>
  <si>
    <t xml:space="preserve">Siargao National Science High School </t>
  </si>
  <si>
    <t>gavinlouieamolo@gmail.com</t>
  </si>
  <si>
    <t>Siargao National High School, Barangay 6, Dapa, Surigao del Norte 8417</t>
  </si>
  <si>
    <t>John Paul Resano</t>
  </si>
  <si>
    <t>Aklan State University</t>
  </si>
  <si>
    <t>johnpaulresano17@gmail.com</t>
  </si>
  <si>
    <t>Laura Elyse J. Cambel</t>
  </si>
  <si>
    <t>Biological Sciences</t>
  </si>
  <si>
    <t>lauraelyse.cambel@wvsu.edu.ph</t>
  </si>
  <si>
    <t>Biological Sciences Department, West Visayas State University, Luna Street, Lapaz, Iloilo City 5001</t>
  </si>
  <si>
    <t>Dr. Jeannemar Genevive Y. Figueras</t>
  </si>
  <si>
    <t>(033) 3200870 loc 1304</t>
  </si>
  <si>
    <t>jeannemargenevive.figueras@wvsu.edu.ph</t>
  </si>
  <si>
    <t>Nikka Marie Murallon</t>
  </si>
  <si>
    <t>nnmurallon@up.edu.ph</t>
  </si>
  <si>
    <t>IA Office, 2nd Floor Villadolid Hall, University of the Philippines Visayas, Miagao, Iloilo</t>
  </si>
  <si>
    <t>Ryuya Matsuda</t>
  </si>
  <si>
    <t>Researcher</t>
  </si>
  <si>
    <t>Japan International Research Center for Agricultural Sciences (JIRCAS)</t>
  </si>
  <si>
    <t>Fishery Division</t>
  </si>
  <si>
    <t>ryuyamatsuda@affrc.go.jp</t>
  </si>
  <si>
    <t>Junelou B. Hinautan</t>
  </si>
  <si>
    <t>MS in Fisheries - Aquaculture</t>
  </si>
  <si>
    <t>jbhinautan@up.edu.ph</t>
  </si>
  <si>
    <t>Purok 4, Barangay Panas, Candihay Bohol 6312</t>
  </si>
  <si>
    <t>Noeme D. Pajarillo</t>
  </si>
  <si>
    <t>MS Fisheries - Aquaculture</t>
  </si>
  <si>
    <t>ndpajarillo@up.edu.ph</t>
  </si>
  <si>
    <t>Brgy. 1, Poblacion, Calbiga, Samar, 6715</t>
  </si>
  <si>
    <t>Jhianaly Erestingcol</t>
  </si>
  <si>
    <t>Passi National High School</t>
  </si>
  <si>
    <t>NA</t>
  </si>
  <si>
    <t>na</t>
  </si>
  <si>
    <t>erestingcoljhianaly@gmail.com</t>
  </si>
  <si>
    <t>FN Grace Cabangisan</t>
  </si>
  <si>
    <t>fnplm@scabangisan@gmail.com</t>
  </si>
  <si>
    <t>Fermina Genson</t>
  </si>
  <si>
    <t>Visayas State University</t>
  </si>
  <si>
    <t>CFAS</t>
  </si>
  <si>
    <t>fermina.genson@vsu.edu.ph</t>
  </si>
  <si>
    <t>VSU Tolosa</t>
  </si>
  <si>
    <t>Fausto dela Cruz</t>
  </si>
  <si>
    <t>MS STudent</t>
  </si>
  <si>
    <t>ISUFST</t>
  </si>
  <si>
    <t>faullie03@yahoo.com</t>
  </si>
  <si>
    <t>Dr Keyur Doolabh</t>
  </si>
  <si>
    <t>Executive Director</t>
  </si>
  <si>
    <t>Healthy Futures Global</t>
  </si>
  <si>
    <t>keyur.doolabh@healthyfutures.global</t>
  </si>
  <si>
    <t>Graziele Ann S. Taclas</t>
  </si>
  <si>
    <t>CAS - University of the Philippines Visayas</t>
  </si>
  <si>
    <t>Oceanbio Laboratory</t>
  </si>
  <si>
    <t>351-9271</t>
  </si>
  <si>
    <t>gstaclas@up.edu.ph</t>
  </si>
  <si>
    <t>Oceanbio Laboratoy, CAS, UP Visayas, Miagao, Iloilo</t>
  </si>
  <si>
    <t>Vince Fuertes</t>
  </si>
  <si>
    <t>Jessa Cortes</t>
  </si>
  <si>
    <t>Josh Emmanuel Castro</t>
  </si>
  <si>
    <t>High School Student</t>
  </si>
  <si>
    <t>UP HSI</t>
  </si>
  <si>
    <t>jdcastro@up.edu.ph</t>
  </si>
  <si>
    <t>Erica Victoria Diaz</t>
  </si>
  <si>
    <t>eddiaz@up.edu.ph</t>
  </si>
  <si>
    <t>Training Conforme only/ No CIS; Failed to assign Client ID earlier</t>
  </si>
  <si>
    <t>Arizza Joy T. Evardone</t>
  </si>
  <si>
    <t>Marietta B. Albina</t>
  </si>
  <si>
    <t>Coleen S. Tibar</t>
  </si>
  <si>
    <t>Christine Joy A. Barongo</t>
  </si>
  <si>
    <t>Laboratory Technician</t>
  </si>
  <si>
    <t xml:space="preserve">Brandon Briggs Cobacha Silvano </t>
  </si>
  <si>
    <t>Instructor III</t>
  </si>
  <si>
    <t xml:space="preserve">Mary Ann B. Madeja </t>
  </si>
  <si>
    <t xml:space="preserve">Fermina C. Genson </t>
  </si>
  <si>
    <t>Maria Dulce L. Alibangbang</t>
  </si>
  <si>
    <t xml:space="preserve">Jimmy E. Salamida </t>
  </si>
  <si>
    <t>Associate Professor I</t>
  </si>
  <si>
    <t>Southern Leyte State University</t>
  </si>
  <si>
    <t>Janine C. Dimzon</t>
  </si>
  <si>
    <t>RIES Head/ Faculty</t>
  </si>
  <si>
    <t xml:space="preserve">Alieza O. Del Socorro </t>
  </si>
  <si>
    <t>Nico Adam L. Antipala</t>
  </si>
  <si>
    <t>Jihan Santanina Alumbro</t>
  </si>
  <si>
    <t>School of Technology, UPV</t>
  </si>
  <si>
    <t>SOTECH</t>
  </si>
  <si>
    <t>Fredson H. Huervana</t>
  </si>
  <si>
    <t>Associate Professor/Project Leader</t>
  </si>
  <si>
    <t>IA</t>
  </si>
  <si>
    <t>fhhuervana@up.edu.ph</t>
  </si>
  <si>
    <t>Kelee Ira B. Noque</t>
  </si>
  <si>
    <t>Project Assistant II</t>
  </si>
  <si>
    <t>DOST-NEED Project II</t>
  </si>
  <si>
    <t>kbnodque@up.edu.ph</t>
  </si>
  <si>
    <t>Cedric Jay A. Nantong</t>
  </si>
  <si>
    <t>canantong@up.edu.ph</t>
  </si>
  <si>
    <t>Christian Molina</t>
  </si>
  <si>
    <t>Ilocos Sur Polytechnic State College</t>
  </si>
  <si>
    <t>ccmolina@dmmmsu.edu.ph</t>
  </si>
  <si>
    <t>Julie Ann Amancio</t>
  </si>
  <si>
    <t>SRS II</t>
  </si>
  <si>
    <t>DOST VI</t>
  </si>
  <si>
    <t>julieamancio@gmail.com</t>
  </si>
  <si>
    <t>Eunice Raiza Panagsagan</t>
  </si>
  <si>
    <t>AKLAN PSTD</t>
  </si>
  <si>
    <t>euniceraiza.repizo@ro6.dost.gov.ph</t>
  </si>
  <si>
    <t>Shaira Mae Valero</t>
  </si>
  <si>
    <t xml:space="preserve">Project Technical Assistant </t>
  </si>
  <si>
    <t>shairamaevalero@gmai.com</t>
  </si>
  <si>
    <t>Raishelle Joyce Arcillas</t>
  </si>
  <si>
    <t>raijdarcillas@gmail.com</t>
  </si>
  <si>
    <t>Janiela Marie Castaño</t>
  </si>
  <si>
    <t>jpcastano@up.edu.ph</t>
  </si>
  <si>
    <t>Kyle Munoz</t>
  </si>
  <si>
    <t>ktmunoz@up.edu.ph</t>
  </si>
  <si>
    <t>Ella Marie Villaruz</t>
  </si>
  <si>
    <t>Kane Janzseen Verayo</t>
  </si>
  <si>
    <t>kvverayo@up.edu.ph</t>
  </si>
  <si>
    <t>Jerna Mae Pabilona</t>
  </si>
  <si>
    <t>jppabilona@up.edu.ph</t>
  </si>
  <si>
    <t>Johannes Magpusao</t>
  </si>
  <si>
    <t>jmmagpusao@up.edu.ph</t>
  </si>
  <si>
    <t>Jan Arcel Agravante</t>
  </si>
  <si>
    <t>jgagravante@up.edu.ph</t>
  </si>
  <si>
    <t>Lynn Angelo A. Bonitillo</t>
  </si>
  <si>
    <t>labonitillo@up.edu.ph</t>
  </si>
  <si>
    <t>Kenn G. Nombre</t>
  </si>
  <si>
    <t>Denovac Project</t>
  </si>
  <si>
    <t>kgnombre@up.edu.ph</t>
  </si>
  <si>
    <t>Jennifer S. Noveda</t>
  </si>
  <si>
    <t>Graduate Student</t>
  </si>
  <si>
    <t>UPV-IFPT</t>
  </si>
  <si>
    <t>FML</t>
  </si>
  <si>
    <t>jsnoveda@up.edu.ph</t>
  </si>
  <si>
    <t>Albaris Tahiluddin</t>
  </si>
  <si>
    <t>Faculty- Asst Prf IV</t>
  </si>
  <si>
    <t>MSU Tawi Tawi</t>
  </si>
  <si>
    <t>MICROBIO LAB</t>
  </si>
  <si>
    <t>09177043148/09094260941</t>
  </si>
  <si>
    <t>albaristahiluddin@msutawi-tawi.edu.ph</t>
  </si>
  <si>
    <t>Column 1</t>
  </si>
  <si>
    <t>INSTRUCTION FOR USE OF CLIENT RECORDS</t>
  </si>
  <si>
    <t xml:space="preserve"> INSTRUCTION FOR USE OF PROJECT RECORDS</t>
  </si>
  <si>
    <t xml:space="preserve"> INSTRUCTION FOR USE OF CHARGE SLIP/BILLING</t>
  </si>
  <si>
    <t>1. The search bar is programmed for quick search of a client and the project(s) where he/she belongs to</t>
  </si>
  <si>
    <t>1. The client records sheet serves as the masterlist of information of all transacting clients.</t>
  </si>
  <si>
    <t>1. The Project records sheet contains the project that a client(s) belongs to. Some client may not belong to a certain project depending on the nature of their engagement.</t>
  </si>
  <si>
    <t>1. The charge slip/billing sheet serves as a summary of all charge slip released to transacting clients.</t>
  </si>
  <si>
    <t>2. Type the client's name under the 'SEARCH CLIENT NAME' cell to search for the information</t>
  </si>
  <si>
    <t>2. Before the service starts, all new transacting client must be given the following forms to process their information in the client records sheet:
- Client Information Sheet (CIS): VSF-LF-CIS-v003
- Client Conforme (CC)</t>
  </si>
  <si>
    <t>2. Choose/type the client's name from the drop down under the 'Client Name' column. If client name is not found, it means that the client is missing in the client records sheet. Input information of the client first before accomplishing the project records sheet.</t>
  </si>
  <si>
    <t>2. A charge slip is released once the service has been rendered or the client has requested it in advance.</t>
  </si>
  <si>
    <t>3. Information includes project/s attached to the client and charging/billing paid</t>
  </si>
  <si>
    <t>3. All information in the client records sheet must be provided by the client as this will be carried over to different database requiring the same information.  Ask client not to leave any information blank.</t>
  </si>
  <si>
    <t>3. All information in the project records sheet must be provided by the client through the CIS. Once forms are accomplished, input ALL information in the sheet.
PLEASE DO NOT LEAVE ANY INFORMATION BLANK.</t>
  </si>
  <si>
    <t>3. The columns E to H are automated. Choose/type the client's name from the drop down in the 'Client Name' column to generate information of columns E to H. Input all other information manually. 
PLEASE DO NOT LEAVE ANY INFORMATION BLANK.</t>
  </si>
  <si>
    <t>4. Once forms are accomplished, input the client's information in the sheet.
PLEASE DO NOT LEAVE ANY INFORMATION BLANK.</t>
  </si>
  <si>
    <t>4. Follow this format for assigning Project ID: P-YYYY-XXX; (XXX is continuous the next year)</t>
  </si>
  <si>
    <t>4. Follow this format for assigning Charge Slip No.: CS-YYYY-XXX (XXX is non-continuous the next year. Start with 001 every start of the year)</t>
  </si>
  <si>
    <r>
      <rPr>
        <rFont val="Arial"/>
        <color theme="1"/>
      </rPr>
      <t xml:space="preserve">5. Follow this format for assigning Client ID: </t>
    </r>
    <r>
      <rPr>
        <rFont val="Arial"/>
        <color theme="1"/>
        <u/>
      </rPr>
      <t>CL-YYYY-XXX;</t>
    </r>
    <r>
      <rPr>
        <rFont val="Arial"/>
        <color theme="1"/>
      </rPr>
      <t xml:space="preserve"> (XXX is continuous the next year)</t>
    </r>
  </si>
  <si>
    <t xml:space="preserve">5. There are instances that a charge slip may not push through until payment due to corrections, cancellation of service, and/or the service requested did not push through. During this instance, mark the released charge slip as 'Cancelled' to avoid including it in the total of revenues during reports. </t>
  </si>
  <si>
    <t xml:space="preserve">6. Regularly update the status of each charging to know if payment has already been made. </t>
  </si>
  <si>
    <r>
      <rPr>
        <rFont val="Arial"/>
        <i/>
        <color theme="1"/>
      </rPr>
      <t>LEGEND:</t>
    </r>
    <r>
      <rPr>
        <rFont val="Arial"/>
        <color theme="1"/>
      </rPr>
      <t xml:space="preserve">
DV. No. - Disbursement Voucher Number; Proof of payment for payments made through procurement process.
OR No. - Official Receipt Number provided by the cash office once OR has been released</t>
    </r>
  </si>
  <si>
    <t>a</t>
  </si>
  <si>
    <t xml:space="preserve">SEARCH CLIENT NAME </t>
  </si>
  <si>
    <t>aye m</t>
  </si>
  <si>
    <t>Affiliation (Department and Institution Name and Address)</t>
  </si>
  <si>
    <t>Sex</t>
  </si>
  <si>
    <t>Project Lead/ Contact Person</t>
  </si>
  <si>
    <t>Project Number</t>
  </si>
  <si>
    <t>Project Title</t>
  </si>
  <si>
    <t>Project Tag</t>
  </si>
  <si>
    <t>Charge Slip No. (CS-yyyy-xxx)</t>
  </si>
  <si>
    <t>Amount</t>
  </si>
  <si>
    <t>Year</t>
  </si>
  <si>
    <t>PGC VISAYAS</t>
  </si>
  <si>
    <t>CL-2019-000</t>
  </si>
  <si>
    <t>PGC Visayas Laboratories
Room 205, 2nd Floor
Regional Research Center
University of the Philippines Visayas
Brgy. Mambatad, Miagao, Iloilo 5023</t>
  </si>
  <si>
    <t>Others</t>
  </si>
  <si>
    <t>pgc.upvisayas@up.edu.ph</t>
  </si>
  <si>
    <t>CL-2020-001</t>
  </si>
  <si>
    <t>CL-2020-002</t>
  </si>
  <si>
    <t>CL-2020-003</t>
  </si>
  <si>
    <t>CL-2020-004</t>
  </si>
  <si>
    <t>CL-2020-005</t>
  </si>
  <si>
    <t>Researcher/Technical Assistant</t>
  </si>
  <si>
    <t>CL-2020-006</t>
  </si>
  <si>
    <t>CL-2020-007</t>
  </si>
  <si>
    <t>CL-2020-008</t>
  </si>
  <si>
    <t>CL-2020-009</t>
  </si>
  <si>
    <t>COFES, University of Antique</t>
  </si>
  <si>
    <t>CL-2020-010</t>
  </si>
  <si>
    <t>09171409960;
09985315320</t>
  </si>
  <si>
    <t>CL-2020-011</t>
  </si>
  <si>
    <t>CL-2020-012</t>
  </si>
  <si>
    <t>CL-2020-013</t>
  </si>
  <si>
    <t>CL-2020-014</t>
  </si>
  <si>
    <t>CL-2020-015</t>
  </si>
  <si>
    <t>CL-2020-016</t>
  </si>
  <si>
    <t>CL-2020-017</t>
  </si>
  <si>
    <t>CL-2020-018</t>
  </si>
  <si>
    <t>Institute of Fish Processing Technology, College of Fisheries and Ocean Sciences, University of the Philippines Visayas</t>
  </si>
  <si>
    <t>CL-2020-019</t>
  </si>
  <si>
    <t>Institute of Marine Fisheries and Oceanology, College of Fisheries and Ocean Sciences, University of the Philippines Visayas</t>
  </si>
  <si>
    <t>CL-2020-020</t>
  </si>
  <si>
    <t>CL-2020-021</t>
  </si>
  <si>
    <t>CL-2020-022</t>
  </si>
  <si>
    <t>School of Technology, University of the Philippines Visayas, Miagao, 5023, Iloilo</t>
  </si>
  <si>
    <t>CL-2020-023</t>
  </si>
  <si>
    <t>CL-2020-024</t>
  </si>
  <si>
    <t>CL-2021-025</t>
  </si>
  <si>
    <t>Staff</t>
  </si>
  <si>
    <t>CL-2021-026</t>
  </si>
  <si>
    <t>CL-2021-027</t>
  </si>
  <si>
    <t>CL-2021-028</t>
  </si>
  <si>
    <t>Division of Biological Sciences, College of Arts and Sciences, University of the Philippines Visayas, Miagao, Iloilo</t>
  </si>
  <si>
    <t>CL-2021-029</t>
  </si>
  <si>
    <t>CL-2021-030</t>
  </si>
  <si>
    <t>CL-2021-031</t>
  </si>
  <si>
    <t>CL-2021-032</t>
  </si>
  <si>
    <t>09678700527
09475042638
09958698243</t>
  </si>
  <si>
    <t>CL-2021-033</t>
  </si>
  <si>
    <t>CL-2021-034</t>
  </si>
  <si>
    <t>CL-2021-035</t>
  </si>
  <si>
    <t>CL-2021-036</t>
  </si>
  <si>
    <t>CL-2022-037</t>
  </si>
  <si>
    <t>CL-2022-038</t>
  </si>
  <si>
    <t>CL-2022-039</t>
  </si>
  <si>
    <t>CL-2022-040</t>
  </si>
  <si>
    <t>CL-2022-041</t>
  </si>
  <si>
    <t>Undergrad Student</t>
  </si>
  <si>
    <t>CL-2022-042</t>
  </si>
  <si>
    <t>CL-2022-043</t>
  </si>
  <si>
    <t>CL-2022-044</t>
  </si>
  <si>
    <t>CL-2022-045</t>
  </si>
  <si>
    <t>CL-2022-046</t>
  </si>
  <si>
    <t>CL-2022-047</t>
  </si>
  <si>
    <t>CL-2022-048</t>
  </si>
  <si>
    <t>University of the Philippine Los Baños</t>
  </si>
  <si>
    <t>CL-2022-049</t>
  </si>
  <si>
    <t>CL-2022-050</t>
  </si>
  <si>
    <t>Institute of Biological Sciences, University of the Philippine Los Baños</t>
  </si>
  <si>
    <t>CL-2022-051</t>
  </si>
  <si>
    <t>Fisheries and Marine Sciences Department, Aklan State University - New Washington Campus</t>
  </si>
  <si>
    <t>CL-2022-052</t>
  </si>
  <si>
    <t>CL-2022-053</t>
  </si>
  <si>
    <t>CL-2022-054</t>
  </si>
  <si>
    <t>CL-2022-055</t>
  </si>
  <si>
    <t>CL-2022-056</t>
  </si>
  <si>
    <t>Research and Development Extension, Mindoro State University</t>
  </si>
  <si>
    <t>CL-2022-057</t>
  </si>
  <si>
    <t>CL-2022-058</t>
  </si>
  <si>
    <t>College of Teacher Education, Mindoro State University</t>
  </si>
  <si>
    <t>CL-2022-059</t>
  </si>
  <si>
    <t>Institute of Fisheries, MinSu, Bongabong Campus, Brgy. Labasan, Bongabong, Oriental Mindoro</t>
  </si>
  <si>
    <t>Faculty, Researcher/Technical Assistant, Phd Student</t>
  </si>
  <si>
    <t>CL-2022-060</t>
  </si>
  <si>
    <t>Faculty, Project Leader</t>
  </si>
  <si>
    <t>CL-2022-061</t>
  </si>
  <si>
    <t>CL-2022-062</t>
  </si>
  <si>
    <t>CL-2022-063</t>
  </si>
  <si>
    <t>Others, Staff, Researcher/Technical Assistant</t>
  </si>
  <si>
    <t>CL-2022-064</t>
  </si>
  <si>
    <t>CL-2022-065</t>
  </si>
  <si>
    <t>CL-2022-066</t>
  </si>
  <si>
    <t>CL-2022-067</t>
  </si>
  <si>
    <t>Phd Student</t>
  </si>
  <si>
    <t>CL-2022-068</t>
  </si>
  <si>
    <t>CL-2022-069</t>
  </si>
  <si>
    <t>CL-2022-075A</t>
  </si>
  <si>
    <t>CL-2023-070</t>
  </si>
  <si>
    <t>persiesienes@su.edu.ph</t>
  </si>
  <si>
    <t>CL-2023-071</t>
  </si>
  <si>
    <t>Seaweed Research and Development Center, Mindanao State University in Tawi-Tawi
Sanga-Sanga, Bongao, Tawi-Tawi, Philippines</t>
  </si>
  <si>
    <t>CL-2023-072</t>
  </si>
  <si>
    <t>CL-2023-073</t>
  </si>
  <si>
    <t>CL-2023-074</t>
  </si>
  <si>
    <t>CL-2023-075</t>
  </si>
  <si>
    <t>CL-2023-076</t>
  </si>
  <si>
    <t>CL-2023-077</t>
  </si>
  <si>
    <t>CL-2023-078</t>
  </si>
  <si>
    <t>CL-2023-079</t>
  </si>
  <si>
    <t>CL-2023-080</t>
  </si>
  <si>
    <t>CL-2023-081</t>
  </si>
  <si>
    <t>CL-2023-082</t>
  </si>
  <si>
    <t>CL-2023-083</t>
  </si>
  <si>
    <t>Division of Biological Sciences, College of Arts and Sciences, UP Visayas Miagao Iloilo</t>
  </si>
  <si>
    <t>CL-2023-084</t>
  </si>
  <si>
    <t>CL-2023-085</t>
  </si>
  <si>
    <t>CL-2023-086</t>
  </si>
  <si>
    <t>CL-2023-087</t>
  </si>
  <si>
    <t>CL-2023-088</t>
  </si>
  <si>
    <t>CL-2023-089</t>
  </si>
  <si>
    <t>CL-2023-090</t>
  </si>
  <si>
    <t>CL-2023-091</t>
  </si>
  <si>
    <t>CL-2023-092</t>
  </si>
  <si>
    <t>Medical Research Council, University of Glasgow</t>
  </si>
  <si>
    <t>CL-2023-093</t>
  </si>
  <si>
    <t>CL-2023-094</t>
  </si>
  <si>
    <t>CL-2023-095</t>
  </si>
  <si>
    <t>Mark S. Calabon</t>
  </si>
  <si>
    <t>CL-2023-096</t>
  </si>
  <si>
    <t>CL-2023-097</t>
  </si>
  <si>
    <t>CL-2023-098</t>
  </si>
  <si>
    <t>CL-2023-099</t>
  </si>
  <si>
    <t>CL-2023-100</t>
  </si>
  <si>
    <t>West Visayas State University, College of Arts and Sciences - Biology Department</t>
  </si>
  <si>
    <t>CL-2023-101</t>
  </si>
  <si>
    <t>Biotechnology and Microbiology Laboratory, College of Medicine, West Visayas State University</t>
  </si>
  <si>
    <t>CL-2023-102</t>
  </si>
  <si>
    <t>CL-2023-103</t>
  </si>
  <si>
    <t>CL-2023-104</t>
  </si>
  <si>
    <t>CL-2023-105</t>
  </si>
  <si>
    <t>CL-2023-106</t>
  </si>
  <si>
    <t>CL-2023-107</t>
  </si>
  <si>
    <t>CL-2023-108</t>
  </si>
  <si>
    <t>CL-2023-109</t>
  </si>
  <si>
    <t>CL-2023-110</t>
  </si>
  <si>
    <t>CL-2023-111</t>
  </si>
  <si>
    <t>CL-2023-112</t>
  </si>
  <si>
    <t>CL-2023-113</t>
  </si>
  <si>
    <t>CL-2023-114</t>
  </si>
  <si>
    <t>CL-2023-115</t>
  </si>
  <si>
    <t>CL-2023-116</t>
  </si>
  <si>
    <t xml:space="preserve">
Don Mariano Marcos Memorial State University</t>
  </si>
  <si>
    <t>CL-2023-117</t>
  </si>
  <si>
    <t>CL-2023-118</t>
  </si>
  <si>
    <t>CL-2023-119</t>
  </si>
  <si>
    <t>CL-2023-120</t>
  </si>
  <si>
    <t>CL-2023-121</t>
  </si>
  <si>
    <t>Staff, Others</t>
  </si>
  <si>
    <t>CL-2023-122</t>
  </si>
  <si>
    <t>CL-2023-123</t>
  </si>
  <si>
    <t>CL-2023-124</t>
  </si>
  <si>
    <t>CL-2023-125</t>
  </si>
  <si>
    <t>CL-2023-126</t>
  </si>
  <si>
    <t>CL-2023-127</t>
  </si>
  <si>
    <t>DOST-ITDI-VIP, DOST Cmpd., General Santos Avenue, Bicutan, Taguig City, Philippines</t>
  </si>
  <si>
    <t>CL-2024-128</t>
  </si>
  <si>
    <t>CL-2024-129</t>
  </si>
  <si>
    <t>CL-2024-130</t>
  </si>
  <si>
    <t>CL-2024-131</t>
  </si>
  <si>
    <t>DMMMSU Probiotics Research Project, Central Administration Building, Don Mariano Marcos Memorial State University, Sapilang, Bacnotan, La Union 2515</t>
  </si>
  <si>
    <t>CL-2024-132</t>
  </si>
  <si>
    <t>CL-2024-133</t>
  </si>
  <si>
    <t>Research/Technical Assistant</t>
  </si>
  <si>
    <t>CL-2024-134</t>
  </si>
  <si>
    <t>CL-2024-135</t>
  </si>
  <si>
    <t>School of Technology, University of the Philippines Visayas</t>
  </si>
  <si>
    <t>CL-2024-136</t>
  </si>
  <si>
    <t>sssantanderdeleon@up.edu.ph</t>
  </si>
  <si>
    <t>CL-2024-137</t>
  </si>
  <si>
    <t>CL-2024-138</t>
  </si>
  <si>
    <t>CL-2024-139</t>
  </si>
  <si>
    <t>CL-2024-140</t>
  </si>
  <si>
    <t>Marine Bio Dept., Romblon State University</t>
  </si>
  <si>
    <t>CL-2024-141</t>
  </si>
  <si>
    <t>Fisheries Dept., Romblon State University</t>
  </si>
  <si>
    <t>CL-2024-142</t>
  </si>
  <si>
    <t>College of Medicine - Biotechnology and Biomedical Research Laboratory, West Visayas State University</t>
  </si>
  <si>
    <t>CL-2024-143</t>
  </si>
  <si>
    <t>CL-2024-144</t>
  </si>
  <si>
    <t>Central Mindanao University, University Town, Musuan, Maramag, Bukidnon 8710</t>
  </si>
  <si>
    <t>CL-2024-145</t>
  </si>
  <si>
    <t>CL-2024-146</t>
  </si>
  <si>
    <t>CL-2024-147</t>
  </si>
  <si>
    <t>CL-2024-148</t>
  </si>
  <si>
    <t>CL-2024-149</t>
  </si>
  <si>
    <t>CL-2024-150</t>
  </si>
  <si>
    <t>CL-2024-151</t>
  </si>
  <si>
    <t>High School Students</t>
  </si>
  <si>
    <t>Mary Nia M. Santos</t>
  </si>
  <si>
    <t>CL-2024-152</t>
  </si>
  <si>
    <t>CL-2024-153</t>
  </si>
  <si>
    <t>Natural Sciences Department, University of St. La Salle
Adoracion St., Brgy. XIX, Victorias City, Negros Occidental</t>
  </si>
  <si>
    <t>CL-2024-154</t>
  </si>
  <si>
    <t>CL-2024-155</t>
  </si>
  <si>
    <t>CL-2024-156</t>
  </si>
  <si>
    <t>CL-2024-157</t>
  </si>
  <si>
    <t>CL-2024-158</t>
  </si>
  <si>
    <t>CL-2024-159</t>
  </si>
  <si>
    <t>CL-2024-160</t>
  </si>
  <si>
    <t>CL-2024-161</t>
  </si>
  <si>
    <t>CL-2024-162</t>
  </si>
  <si>
    <t>CL-2024-163</t>
  </si>
  <si>
    <t>CL-2024-164</t>
  </si>
  <si>
    <t>CL-2024-165</t>
  </si>
  <si>
    <t>CL-2024-166</t>
  </si>
  <si>
    <t>CL-2024-167</t>
  </si>
  <si>
    <t>CL-2024-168a</t>
  </si>
  <si>
    <t>CL-2024-168b</t>
  </si>
  <si>
    <t>CL-2024-169</t>
  </si>
  <si>
    <t>CL-2024-170</t>
  </si>
  <si>
    <t>CL-2024-171</t>
  </si>
  <si>
    <t>CL-2024-172</t>
  </si>
  <si>
    <t>CL-2024-173</t>
  </si>
  <si>
    <t>CL-2024-174</t>
  </si>
  <si>
    <t>CL-2024-175</t>
  </si>
  <si>
    <t>CL-2024-176</t>
  </si>
  <si>
    <t>CL-2024-177</t>
  </si>
  <si>
    <t>CL-2024-178</t>
  </si>
  <si>
    <t>CL-2024-179</t>
  </si>
  <si>
    <t>CL-2024-180</t>
  </si>
  <si>
    <t>CFAS, Visayas State University Tolosa</t>
  </si>
  <si>
    <t>CL-2024-181</t>
  </si>
  <si>
    <t xml:space="preserve">Iloilo State University of Fisheries Science and Technology </t>
  </si>
  <si>
    <t>CL-2024-182</t>
  </si>
  <si>
    <t>CL-2024-183</t>
  </si>
  <si>
    <t>CL-2024-184</t>
  </si>
  <si>
    <t>CL-2024-185</t>
  </si>
  <si>
    <t>IMFO, University of the Philippines Visayas</t>
  </si>
  <si>
    <t>CL-2024-186</t>
  </si>
  <si>
    <t>CL-2024-187</t>
  </si>
  <si>
    <t>CL-2024-188</t>
  </si>
  <si>
    <t>CL-2024-189</t>
  </si>
  <si>
    <t>CL-2024-190</t>
  </si>
  <si>
    <t>CL-2024-191</t>
  </si>
  <si>
    <t>CL-2024-192</t>
  </si>
  <si>
    <t>CL-2024-193</t>
  </si>
  <si>
    <t>CL-2024-194</t>
  </si>
  <si>
    <t>CL-2024-196</t>
  </si>
  <si>
    <t>CL-2024-197</t>
  </si>
  <si>
    <t>CL-2024-198</t>
  </si>
  <si>
    <t>CL-2024-199</t>
  </si>
  <si>
    <t>CL-2024-200</t>
  </si>
  <si>
    <t>CL-2024-201</t>
  </si>
  <si>
    <t>CL-2024-202</t>
  </si>
  <si>
    <t>CFOS-IA, University of the Philippines Visayas</t>
  </si>
  <si>
    <t>CL-2024-203</t>
  </si>
  <si>
    <t>CL-2024-204</t>
  </si>
  <si>
    <t>CL-2024-205</t>
  </si>
  <si>
    <t>CL-2024-206</t>
  </si>
  <si>
    <t>CL-2024-207</t>
  </si>
  <si>
    <t>CL-2024-208</t>
  </si>
  <si>
    <t>CL-2024-209</t>
  </si>
  <si>
    <t>CL-2024-210</t>
  </si>
  <si>
    <t>SOTECH, UP Visayas</t>
  </si>
  <si>
    <t>CL-2024-211</t>
  </si>
  <si>
    <t>CL-2024-212</t>
  </si>
  <si>
    <t>CL-2024-213</t>
  </si>
  <si>
    <t>CL-2024-214</t>
  </si>
  <si>
    <t>CL-2024-215</t>
  </si>
  <si>
    <t>CL-2024-216</t>
  </si>
  <si>
    <t>CL-2024-217</t>
  </si>
  <si>
    <t>CFOS, UP Visayas</t>
  </si>
  <si>
    <t>CL-2024-218</t>
  </si>
  <si>
    <t>CL-2024-219</t>
  </si>
  <si>
    <t>CL-2024-220</t>
  </si>
  <si>
    <t>09177043148
09094260941</t>
  </si>
  <si>
    <t>Maximino R. Abejo III</t>
  </si>
  <si>
    <t>CL-2024-221</t>
  </si>
  <si>
    <t>Center for Limnological, Aquatic Biodiversity, and Mariculture Studies, Cebu Technological University - San Francisco</t>
  </si>
  <si>
    <t>maximinoabejo@ctu.edu.ph</t>
  </si>
  <si>
    <t>Arnel G. Nudalo</t>
  </si>
  <si>
    <t>CL-2024-222</t>
  </si>
  <si>
    <t>arnel.nudalo@ctu.edu.ph</t>
  </si>
  <si>
    <t>Cid Jeriko Dadibalos</t>
  </si>
  <si>
    <t>CL-2024-223</t>
  </si>
  <si>
    <t>csdadibalos@up.edu.ph</t>
  </si>
  <si>
    <t>Dr. Mary Jane S. Apines-Amar</t>
  </si>
  <si>
    <t>CL-2024-224</t>
  </si>
  <si>
    <t>sequencing.pgc.upvisayas@up.edu.ph</t>
  </si>
  <si>
    <t>Christian Jay Rosal</t>
  </si>
  <si>
    <t>CL-2024-225</t>
  </si>
  <si>
    <t>College of Science, University of the Philippines Visayas</t>
  </si>
  <si>
    <t>cprosal1@up.edu.ph</t>
  </si>
  <si>
    <t>Yuga Okamoto</t>
  </si>
  <si>
    <t>CL-2024-226</t>
  </si>
  <si>
    <t>okamoto_yuga974@g.ecc.u-tokyo.ac.jp</t>
  </si>
  <si>
    <t>Melizza Jane M. Collo</t>
  </si>
  <si>
    <t>CL-2024-227</t>
  </si>
  <si>
    <t>mjcollo@ymail.com</t>
  </si>
  <si>
    <t>Robert S. Ablog</t>
  </si>
  <si>
    <t>CL-2024-228</t>
  </si>
  <si>
    <t>rsablog@yahoo.com</t>
  </si>
  <si>
    <t>Daniel Juan B. Ramirez</t>
  </si>
  <si>
    <t>CL-2024-229</t>
  </si>
  <si>
    <t>ajeedan2012@gmail.com</t>
  </si>
  <si>
    <t>Gemalyn L. Tenoc</t>
  </si>
  <si>
    <t>CL-2024-230</t>
  </si>
  <si>
    <t>tenocgemalyn@ispsc.edu.ph</t>
  </si>
  <si>
    <t>Charlene A. Ballesteros</t>
  </si>
  <si>
    <t>CL-2024-231</t>
  </si>
  <si>
    <t>ballesteroscharlene@ispsc.edu.ph</t>
  </si>
  <si>
    <t>Patrick S. Gasmen</t>
  </si>
  <si>
    <t>CL-2024-232</t>
  </si>
  <si>
    <t>gasmenpatrick25@yahoo.com</t>
  </si>
  <si>
    <t>Peter Paul L. Lazo</t>
  </si>
  <si>
    <t>CL-2024-233</t>
  </si>
  <si>
    <t>petpaul021814@gmail.com</t>
  </si>
  <si>
    <t>Clarnic A. Berbegal</t>
  </si>
  <si>
    <t>CL-2025-234</t>
  </si>
  <si>
    <t>caberbegal@up.edu.ph</t>
  </si>
  <si>
    <t>Sabrina Gatdula</t>
  </si>
  <si>
    <t>CL-2025-235</t>
  </si>
  <si>
    <t>Colegio delas Hijas</t>
  </si>
  <si>
    <t>sabgatdula15@gmail.com</t>
  </si>
  <si>
    <t>-</t>
  </si>
  <si>
    <t>Riz Cayelly Sumalapao</t>
  </si>
  <si>
    <t>CL-2025-236</t>
  </si>
  <si>
    <t>Dana Mariae Perez</t>
  </si>
  <si>
    <t>CL-2025-237</t>
  </si>
  <si>
    <t>Precious Quissy Casiple</t>
  </si>
  <si>
    <t>CL-2025-238</t>
  </si>
  <si>
    <t>Hannah Tajolosa</t>
  </si>
  <si>
    <t>CL-2025-239</t>
  </si>
  <si>
    <t>Lea Cababasay</t>
  </si>
  <si>
    <t>CL-2025-240</t>
  </si>
  <si>
    <t>Christy Anne Morales</t>
  </si>
  <si>
    <t>CL-2025-241</t>
  </si>
  <si>
    <t>Gene Seneris</t>
  </si>
  <si>
    <t>CL-2025-242</t>
  </si>
  <si>
    <t>CLSU</t>
  </si>
  <si>
    <t>Jasmine Velo</t>
  </si>
  <si>
    <t>CL-2025-243</t>
  </si>
  <si>
    <t>PGC Visayas</t>
  </si>
  <si>
    <t>jcvelo@up.edu.ph</t>
  </si>
  <si>
    <t>Elijah Estoya</t>
  </si>
  <si>
    <t>CL-2025-244</t>
  </si>
  <si>
    <t>ejestoya@up.edu.ph</t>
  </si>
  <si>
    <t>Thony Steven Buriel</t>
  </si>
  <si>
    <t>CL-2025-245</t>
  </si>
  <si>
    <t>trburiel@up.edu.ph</t>
  </si>
  <si>
    <t>Iñaki Reforma</t>
  </si>
  <si>
    <t>CL-2025-246</t>
  </si>
  <si>
    <t>Lilcah Angelique Opiña</t>
  </si>
  <si>
    <t>CL-2025-247</t>
  </si>
  <si>
    <t>ldopina@up.edu.ph</t>
  </si>
  <si>
    <t>Fred Mc Sapa</t>
  </si>
  <si>
    <t>CL-2025-248</t>
  </si>
  <si>
    <t>fcsara@up.edu.ph</t>
  </si>
  <si>
    <t>Seth Esteban Panes</t>
  </si>
  <si>
    <t>CL-2025-249</t>
  </si>
  <si>
    <t>sethestebanpanes@gmail.com</t>
  </si>
  <si>
    <t>Majoerly Augustine Siccio</t>
  </si>
  <si>
    <t>CL-2025-250</t>
  </si>
  <si>
    <t>mbsiccio@up.edu.ph</t>
  </si>
  <si>
    <t>Eunice Valad-on</t>
  </si>
  <si>
    <t>CL-2025-251</t>
  </si>
  <si>
    <t>ecvaladon@up.edu.ph</t>
  </si>
  <si>
    <t>Bhea Olga de Panay</t>
  </si>
  <si>
    <t>CL-2025-252</t>
  </si>
  <si>
    <t>Sotech, UP Visayas</t>
  </si>
  <si>
    <t>btdepanay@up.edu.ph</t>
  </si>
  <si>
    <t>Harold V. Pena</t>
  </si>
  <si>
    <t>CL-2025-253</t>
  </si>
  <si>
    <t>NRCP Sediment Project, Biology Department University of San Carlos</t>
  </si>
  <si>
    <t>21100173@usc.edu.ph</t>
  </si>
  <si>
    <t>Tiffany Xu</t>
  </si>
  <si>
    <t>CL-2025-254</t>
  </si>
  <si>
    <t>tcxu@up.edu.ph</t>
  </si>
  <si>
    <t>Honnie Joy Balauro</t>
  </si>
  <si>
    <t>CL-2025-255</t>
  </si>
  <si>
    <t>hmbalauro@up.edu.ph</t>
  </si>
  <si>
    <t>Kyle Anthony C. Salinas</t>
  </si>
  <si>
    <t>CL-2025-256</t>
  </si>
  <si>
    <t>kylesalinas61@gmail.com</t>
  </si>
  <si>
    <t>Lordiel M. Miasco</t>
  </si>
  <si>
    <t>CL-2025-257</t>
  </si>
  <si>
    <t>College of Medical Technology, Velez College 41 F. Ramos St., Cebu City</t>
  </si>
  <si>
    <t>miascolptrmt@gmail.com</t>
  </si>
  <si>
    <t>Hazel M. Joyohoy</t>
  </si>
  <si>
    <t>CL-2025-258</t>
  </si>
  <si>
    <t>wiiinklewg@gmail.com</t>
  </si>
  <si>
    <t>John Ryan L. Quijote</t>
  </si>
  <si>
    <t>CL-2025-259</t>
  </si>
  <si>
    <t>ryanquijote21@gmail.com</t>
  </si>
  <si>
    <t>Winnel Joy R. Gonzaga</t>
  </si>
  <si>
    <t>CL-2025-260</t>
  </si>
  <si>
    <t>Alexander N. Nufuar</t>
  </si>
  <si>
    <t>CL-2025-261</t>
  </si>
  <si>
    <t>College of Fisheries and Ocean Science, University of the Philippines Visayas, Miagao, Iloilo</t>
  </si>
  <si>
    <t>annufuar@up.edu.ph</t>
  </si>
  <si>
    <t>Grace C. Guanzon</t>
  </si>
  <si>
    <t>CL-2025-262</t>
  </si>
  <si>
    <t>grace.guanzon@dnsc.edu.ph</t>
  </si>
  <si>
    <t>Joyce P. Rodriguez</t>
  </si>
  <si>
    <t>CL-2025-263</t>
  </si>
  <si>
    <t>joyce.rodriguez@unicampania.it</t>
  </si>
  <si>
    <t>Joshua Y. Divinagracia</t>
  </si>
  <si>
    <t>CL-2025-264</t>
  </si>
  <si>
    <t>joshua.ybz@gmail.com</t>
  </si>
  <si>
    <t>Carl Raymiond D. Consuegra</t>
  </si>
  <si>
    <t>CL-2025-265</t>
  </si>
  <si>
    <t>consuegracarlraymond@gmail.com</t>
  </si>
  <si>
    <t>09085587358
09062738139</t>
  </si>
  <si>
    <t>Ayana Rose R. Mendoza</t>
  </si>
  <si>
    <t>CL-2025-266</t>
  </si>
  <si>
    <t>mendoza.ayanarose@gmail.com</t>
  </si>
  <si>
    <t>Ma. Ardelia Bagona</t>
  </si>
  <si>
    <t>CL-2025-267</t>
  </si>
  <si>
    <t>Iloilo DOctors College</t>
  </si>
  <si>
    <t>ardeliabagona@gmail.com</t>
  </si>
  <si>
    <t>Rey Tantiado</t>
  </si>
  <si>
    <t>CL-2025-268</t>
  </si>
  <si>
    <t>reygtantiado@yahoo.com</t>
  </si>
  <si>
    <t>Reyna Marie Therese S. Sanchez</t>
  </si>
  <si>
    <t>CL-2025-269</t>
  </si>
  <si>
    <t>rmtssanchez@gmail.com</t>
  </si>
  <si>
    <t>Dionie S. Barrientos</t>
  </si>
  <si>
    <t>CL-2025-270</t>
  </si>
  <si>
    <t>dionie.barrientos@asu.edu.ph</t>
  </si>
  <si>
    <t>Ande Bryle Genciana</t>
  </si>
  <si>
    <t>CL-2025-271</t>
  </si>
  <si>
    <t>UPV CFOS IA</t>
  </si>
  <si>
    <t>angenciana@up.edu.ph</t>
  </si>
  <si>
    <t>Evelyn Vedasto</t>
  </si>
  <si>
    <t>CL-2025-272</t>
  </si>
  <si>
    <t>Plant Science Department, Aklan State University, Banga, Aklan</t>
  </si>
  <si>
    <t>epvedasto@asu.edu.ph</t>
  </si>
  <si>
    <t>Michael T. Ibisate</t>
  </si>
  <si>
    <t>CL-2025-273</t>
  </si>
  <si>
    <t>Jezel D. Alcantara</t>
  </si>
  <si>
    <t>CL-2025-274</t>
  </si>
  <si>
    <t>jdalcantara5@up.edu.ph</t>
  </si>
  <si>
    <t>Mary Claire Gatucao</t>
  </si>
  <si>
    <t>CL-2025-275</t>
  </si>
  <si>
    <t>Institute of Environmental &amp; Marine Science, Silliman University</t>
  </si>
  <si>
    <t>maryclairevillanueva@su.edu.ph</t>
  </si>
  <si>
    <t>Maria Isabel Layson</t>
  </si>
  <si>
    <t>CL-2025-276</t>
  </si>
  <si>
    <t>Dept. of Chemistry, CAS, UP Visayas</t>
  </si>
  <si>
    <t>mllayson@up.edu.ph</t>
  </si>
  <si>
    <t>Cheeny A. Honcada</t>
  </si>
  <si>
    <t>CL-2025-277</t>
  </si>
  <si>
    <t>School of Marine Fisheries and Technology,
Mindanao State University at Naawan,
Pedro Pagalan St. Poblacion, Naawan Misamis Oriental 9023</t>
  </si>
  <si>
    <t>cheeny.honcada14@gmail.com</t>
  </si>
  <si>
    <t>Kayla Marie F Parreño</t>
  </si>
  <si>
    <t>CL-2025-278</t>
  </si>
  <si>
    <t>kfparreno@up.edu.ph</t>
  </si>
  <si>
    <t>Louie Altamia</t>
  </si>
  <si>
    <t>CL-2025-279</t>
  </si>
  <si>
    <t>University of San Agustin</t>
  </si>
  <si>
    <t>ceazarlouie@gmail.com</t>
  </si>
  <si>
    <t>Jelly D. Layda</t>
  </si>
  <si>
    <t>CL-2025-280</t>
  </si>
  <si>
    <t>Northern Iloilo State University (Estancia)</t>
  </si>
  <si>
    <t>jelly_layda@yahoo.com</t>
  </si>
  <si>
    <t>Mary Jean R. Lozano</t>
  </si>
  <si>
    <t>CL-2025-281</t>
  </si>
  <si>
    <t>Medical Biophysics Group, University of San Carlos Talamban Campus</t>
  </si>
  <si>
    <t>lozanomaryjean18@gmail.com</t>
  </si>
  <si>
    <t>Alexis L. Poliquit</t>
  </si>
  <si>
    <t>CL-2025-282</t>
  </si>
  <si>
    <t>alexispoliquit1@gmail.com</t>
  </si>
  <si>
    <t>Gardel Xyza Silvederio</t>
  </si>
  <si>
    <t>CL-2025-283</t>
  </si>
  <si>
    <t>UPV CFOS IFPT</t>
  </si>
  <si>
    <t>gslibunao@up.edu.ph</t>
  </si>
  <si>
    <t>Rhea Mar Tacuyo</t>
  </si>
  <si>
    <t>CL-2025-284</t>
  </si>
  <si>
    <t>rmtacuyo@up.edu.ph</t>
  </si>
  <si>
    <t>Carlos Anthony Henry Cortes</t>
  </si>
  <si>
    <t>CL-2025-285</t>
  </si>
  <si>
    <t>cecortes2@up.edu.ph</t>
  </si>
  <si>
    <t>Pee Jee Jareno</t>
  </si>
  <si>
    <t>CL-2025-286</t>
  </si>
  <si>
    <t>Sheila G. Untalan</t>
  </si>
  <si>
    <t>CL-2025-287</t>
  </si>
  <si>
    <t>sguntalan@up.edu.ph</t>
  </si>
  <si>
    <t>Allena Esther D. Arteta</t>
  </si>
  <si>
    <t>CL-2025-288</t>
  </si>
  <si>
    <t>Researcher/Technical Assistant, Undergrad Student</t>
  </si>
  <si>
    <t>adarteta@up.edu.ph</t>
  </si>
  <si>
    <t>Ivy S. Arizapa</t>
  </si>
  <si>
    <t>CL-2025-289</t>
  </si>
  <si>
    <t>ivy.arizapa@bicol-u.edu.ph</t>
  </si>
  <si>
    <t>Jaypee Joy S. Iguales</t>
  </si>
  <si>
    <t>CL-2025-290</t>
  </si>
  <si>
    <t>jsiguales@up.edu.ph</t>
  </si>
  <si>
    <t>Mary Grace Sedanza</t>
  </si>
  <si>
    <t>CL-2025-291</t>
  </si>
  <si>
    <t>Kriz Sanchez Delos Reyes</t>
  </si>
  <si>
    <t>CL-2025-292</t>
  </si>
  <si>
    <t>NEMSU</t>
  </si>
  <si>
    <t>Marian Cris P. Danoy</t>
  </si>
  <si>
    <t>CL-2025-293</t>
  </si>
  <si>
    <t>ASU</t>
  </si>
  <si>
    <t>crisdanoy12@gmail.com</t>
  </si>
  <si>
    <t>Jenz Contante</t>
  </si>
  <si>
    <t>CL-2025-294</t>
  </si>
  <si>
    <t>contante.fisheries16@gmail.com</t>
  </si>
  <si>
    <t>Sanda Tetsuya</t>
  </si>
  <si>
    <t>CL-2025-295</t>
  </si>
  <si>
    <t>Fisheries Division, JIRCAS</t>
  </si>
  <si>
    <t>Senior Researcher</t>
  </si>
  <si>
    <t>sandat0483@jircas.go.jp</t>
  </si>
  <si>
    <t>Yushabel M. Romagos</t>
  </si>
  <si>
    <t>CL-2025-296</t>
  </si>
  <si>
    <t>Biology Department, Siliman University, Dumaguete City Negros Oriental</t>
  </si>
  <si>
    <t>Asst. Professor</t>
  </si>
  <si>
    <t>yushabelmromagos@su.edu.ph</t>
  </si>
  <si>
    <t>Aye Mee Bartocillo</t>
  </si>
  <si>
    <t>CL-2025-297</t>
  </si>
  <si>
    <t>Balik Scientist</t>
  </si>
  <si>
    <t>ayefbartocillo@su.edu.ph</t>
  </si>
  <si>
    <t>Virgie Celestial</t>
  </si>
  <si>
    <t>CL-2025-298</t>
  </si>
  <si>
    <t>virgiecelestialp@gmail.com</t>
  </si>
  <si>
    <t>Reysyl Garferio</t>
  </si>
  <si>
    <t>CL-2025-299</t>
  </si>
  <si>
    <t>Jessette Mendez</t>
  </si>
  <si>
    <t>CL-2025-300</t>
  </si>
  <si>
    <t>jessete.mendez@gmail.com</t>
  </si>
  <si>
    <t>Rencecille Mampano</t>
  </si>
  <si>
    <t>CL-2025-301</t>
  </si>
  <si>
    <t>Jayzelle Pelingon</t>
  </si>
  <si>
    <t>CL-2025-302</t>
  </si>
  <si>
    <t>Concepcion National High School</t>
  </si>
  <si>
    <t>High School</t>
  </si>
  <si>
    <t>pelingonjayzelleann@gmail.com</t>
  </si>
  <si>
    <t>Lee Genesis S. Mabaquiao</t>
  </si>
  <si>
    <t>CL-2025-303</t>
  </si>
  <si>
    <t>Ma. Clarissa Tamon</t>
  </si>
  <si>
    <t>CL-2025-304</t>
  </si>
  <si>
    <t>mitamon1@up.edu.ph</t>
  </si>
  <si>
    <t>Joshua Adrian A. Valdez</t>
  </si>
  <si>
    <t>CL-2025-305</t>
  </si>
  <si>
    <t>Department of Chemical Engineering, School of Technology, University
of the Philippines Visayas, 5023 Miagao, Iloilo</t>
  </si>
  <si>
    <t>javaldez5@up.edu.ph</t>
  </si>
  <si>
    <t>09926984542; 09652253965</t>
  </si>
  <si>
    <t>Joshua Ray P. Brillantes</t>
  </si>
  <si>
    <t>CL-2025-306</t>
  </si>
  <si>
    <t>jpbrillantes@up.edu.ph</t>
  </si>
  <si>
    <t>Abolais Ampa Jr.</t>
  </si>
  <si>
    <t>CL-2025-307</t>
  </si>
  <si>
    <t>ISAT U, Burgos, Lapaz</t>
  </si>
  <si>
    <t>abolaisjr.ampa@isatu.edu.ph</t>
  </si>
  <si>
    <t>Jana Marie P. Dompor</t>
  </si>
  <si>
    <t>CL-2025-308</t>
  </si>
  <si>
    <t>Department of Biology, Caraga State University, Butuan City</t>
  </si>
  <si>
    <t>janamarie.dompor@carsu.edu.ph</t>
  </si>
  <si>
    <t>Start date</t>
  </si>
  <si>
    <t>End date</t>
  </si>
  <si>
    <t>Client Names</t>
  </si>
  <si>
    <t>Sending Institution</t>
  </si>
  <si>
    <t>Funding Category</t>
  </si>
  <si>
    <t>Funding Institution</t>
  </si>
  <si>
    <t>Service Requested</t>
  </si>
  <si>
    <t>Personnel Assigned</t>
  </si>
  <si>
    <t>Notes</t>
  </si>
  <si>
    <t>P-2019-000</t>
  </si>
  <si>
    <t>PGC VISAYAS SATELLITE FACILITY</t>
  </si>
  <si>
    <t>PGCV</t>
  </si>
  <si>
    <t>In-House</t>
  </si>
  <si>
    <t>DOST-PCHRD</t>
  </si>
  <si>
    <t>P-2020-001</t>
  </si>
  <si>
    <t>Global Seaweed STAR Project</t>
  </si>
  <si>
    <t>GSStar</t>
  </si>
  <si>
    <t>UP System</t>
  </si>
  <si>
    <t>External</t>
  </si>
  <si>
    <t>UK Research and Innovation - Global Challenges Research Fund (UKRI-GCRF)</t>
  </si>
  <si>
    <t>Equipment Use</t>
  </si>
  <si>
    <t>Ma Carmel Javier</t>
  </si>
  <si>
    <t>P-2020-002</t>
  </si>
  <si>
    <t>Taklong Barcoding Initiative</t>
  </si>
  <si>
    <t>TBI</t>
  </si>
  <si>
    <t>Kyle R. Castañares
Mary Antonette F. Atilano</t>
  </si>
  <si>
    <t>P-2020-003</t>
  </si>
  <si>
    <t>Transcriptome and Gut Metagenome Profile of Penaeus vannamei Exposed to Fluctuating Environmental Temperatures</t>
  </si>
  <si>
    <t>TGMPPEFET</t>
  </si>
  <si>
    <t>DOST-PCAARRD</t>
  </si>
  <si>
    <t>Nadelene Faith N. Cartago</t>
  </si>
  <si>
    <t>P-2020-004</t>
  </si>
  <si>
    <t>Transcriptional Response of Selected Genes of the Green Mussel (Perna viridis) Exposed to Heat Stress</t>
  </si>
  <si>
    <t>Cartago</t>
  </si>
  <si>
    <t>DOST-ASTHRDP</t>
  </si>
  <si>
    <t>P-2020-005</t>
  </si>
  <si>
    <t>Transcriptome and metabolome profiling of seaweeds to elucidate "ice-ice" disease and epiphyte infestation mechanisms</t>
  </si>
  <si>
    <t>Ice-Ice</t>
  </si>
  <si>
    <t>P-2020-006</t>
  </si>
  <si>
    <r>
      <rPr>
        <rFont val="Roboto"/>
        <color rgb="FF434343"/>
        <sz val="10.0"/>
      </rPr>
      <t>Purification and Characterization of Linamarase from Lakan-1 and Java Variety Cassava (</t>
    </r>
    <r>
      <rPr>
        <rFont val="Roboto"/>
        <i/>
        <color rgb="FF434343"/>
        <sz val="10.0"/>
      </rPr>
      <t xml:space="preserve">Manihot esculenta </t>
    </r>
    <r>
      <rPr>
        <rFont val="Roboto"/>
        <color rgb="FF434343"/>
        <sz val="10.0"/>
      </rPr>
      <t>Crantz)</t>
    </r>
  </si>
  <si>
    <t>Cuevas</t>
  </si>
  <si>
    <t>UPV In-House Project</t>
  </si>
  <si>
    <t>P-2020-007</t>
  </si>
  <si>
    <t>Instructional videos for Fish 111, Fish 236, Fish 238, Fish 321</t>
  </si>
  <si>
    <t>Endoma</t>
  </si>
  <si>
    <t>Ma. Novem Grace Ylayron
Carmelo del Castillo</t>
  </si>
  <si>
    <t>P-2020-008</t>
  </si>
  <si>
    <t xml:space="preserve">Marine Fisheries Assessment of Panay: Building Local Fisheries Information through Research Capability Enhancement on Higher Education Insitutions </t>
  </si>
  <si>
    <t>Panay Marfish Project</t>
  </si>
  <si>
    <t>CHED</t>
  </si>
  <si>
    <t>P-2020-009</t>
  </si>
  <si>
    <t xml:space="preserve">MS in Chemical Engineering </t>
  </si>
  <si>
    <t>Silva</t>
  </si>
  <si>
    <t>Marj Gem Bunda-Fajunio</t>
  </si>
  <si>
    <t>P-2021-010</t>
  </si>
  <si>
    <t>c/o UP Visayas Tacloban College</t>
  </si>
  <si>
    <t>Glycogen</t>
  </si>
  <si>
    <t>SUC/HEI</t>
  </si>
  <si>
    <t>Laboratory Services</t>
  </si>
  <si>
    <t>P-2021-011</t>
  </si>
  <si>
    <t>DNA barcoding of fishes from Western Visayas, Philippines</t>
  </si>
  <si>
    <t>DNA Barcoding</t>
  </si>
  <si>
    <t>P-2021-012</t>
  </si>
  <si>
    <t xml:space="preserve">Population Structure of Green Mussel (Perna viridis) in Panay Island, Philippines using D-loop Sequences </t>
  </si>
  <si>
    <t>Noblezada</t>
  </si>
  <si>
    <t>DOST-ASTHRDP Thesis Grant</t>
  </si>
  <si>
    <t>Reymart S. Dagaraga
Jasper D. Pacho</t>
  </si>
  <si>
    <t>P-2021-013</t>
  </si>
  <si>
    <r>
      <rPr>
        <rFont val="Arial"/>
        <color rgb="FF434343"/>
        <sz val="10.0"/>
      </rPr>
      <t xml:space="preserve">Genetic Characterization of </t>
    </r>
    <r>
      <rPr>
        <rFont val="Arial"/>
        <i/>
        <color rgb="FF434343"/>
        <sz val="10.0"/>
      </rPr>
      <t xml:space="preserve">Macrobrachium </t>
    </r>
    <r>
      <rPr>
        <rFont val="Arial"/>
        <color rgb="FF434343"/>
        <sz val="10.0"/>
      </rPr>
      <t>populations in the Philippines for broodstock development and seed production</t>
    </r>
  </si>
  <si>
    <t>GeM-PHIL</t>
  </si>
  <si>
    <t>Nadelene Faith Cartago</t>
  </si>
  <si>
    <t>P-2021-014</t>
  </si>
  <si>
    <t>Pre-commercialization of Microwave Extracted Pectin from Waste Calamansi Peels</t>
  </si>
  <si>
    <t>Calamansi Project</t>
  </si>
  <si>
    <t>Retail Sales</t>
  </si>
  <si>
    <t>P-2021-015</t>
  </si>
  <si>
    <t>Effect of high temperature treatments on buffalo milk and buffalo bovine milk blends</t>
  </si>
  <si>
    <t>Mejares</t>
  </si>
  <si>
    <t>P-2022-016</t>
  </si>
  <si>
    <t>Development of immunoactive and growth promoting AquaFeed additive from Ulva seaweed</t>
  </si>
  <si>
    <t>AquaFeed</t>
  </si>
  <si>
    <t>P-2022-017</t>
  </si>
  <si>
    <t>Development of a Water Quality Biological Monitoring Protocol using Genetic, Phylogenetic and Functional Diversity on Freshwater Zooplankton Communitites in Inland Waters of Panay Island, Philippines</t>
  </si>
  <si>
    <t>PFZ</t>
  </si>
  <si>
    <t>DOST-PCIEERD</t>
  </si>
  <si>
    <t>P-2022-018</t>
  </si>
  <si>
    <t>Fishery and Some Aspects on the Biology and Ecology of the Sergestid Shrimp, Acetes, in Miagao, Iloilo</t>
  </si>
  <si>
    <t>RGaudiel</t>
  </si>
  <si>
    <t>P-2022-019</t>
  </si>
  <si>
    <r>
      <rPr>
        <rFont val="Arial"/>
        <color rgb="FF434343"/>
      </rPr>
      <t xml:space="preserve">Genetic Marker Assessment of 12s and 18s of </t>
    </r>
    <r>
      <rPr>
        <rFont val="Arial"/>
        <i/>
        <color rgb="FF434343"/>
      </rPr>
      <t xml:space="preserve">Kappaphycus striatus </t>
    </r>
    <r>
      <rPr>
        <rFont val="Arial"/>
        <color rgb="FF434343"/>
      </rPr>
      <t>collected in Palawan</t>
    </r>
  </si>
  <si>
    <t>JRRasgo</t>
  </si>
  <si>
    <t>c/o Global Seaweed STAR Project</t>
  </si>
  <si>
    <t>P-2022-020</t>
  </si>
  <si>
    <t>ESKAPE Pathogens in Intensive Care Unit from a Tertiary Healthcare Setting</t>
  </si>
  <si>
    <t>LDAtencio</t>
  </si>
  <si>
    <t>P-2022-021</t>
  </si>
  <si>
    <r>
      <rPr>
        <rFont val="Arial"/>
        <color rgb="FF434343"/>
      </rPr>
      <t xml:space="preserve">Dynamics of the Epibacterial Community Structure and Composition of </t>
    </r>
    <r>
      <rPr>
        <rFont val="Arial"/>
        <i/>
        <color rgb="FF434343"/>
      </rPr>
      <t xml:space="preserve">Kappaphycus alvarezii </t>
    </r>
    <r>
      <rPr>
        <rFont val="Arial"/>
        <color rgb="FF434343"/>
      </rPr>
      <t>in Response to Thermal-induced Ice-ice Disease</t>
    </r>
  </si>
  <si>
    <t>WNSurnido</t>
  </si>
  <si>
    <t>c/o Ice-ice Project</t>
  </si>
  <si>
    <t>P-2022-022</t>
  </si>
  <si>
    <t>Assessment of Anthropogenic Marine Debris and Mangrove Forest Health in Iloilo Strait, Western Visayas, Philippines</t>
  </si>
  <si>
    <t>KDSantos</t>
  </si>
  <si>
    <t>P-2022-023</t>
  </si>
  <si>
    <r>
      <rPr>
        <rFont val="Arial"/>
        <color rgb="FF434343"/>
      </rPr>
      <t xml:space="preserve">Assessment of Antimicrobial Activitiy of Selected Fungi from Tilapia Greenwater Technology Against </t>
    </r>
    <r>
      <rPr>
        <rFont val="Arial"/>
        <i/>
        <color rgb="FF434343"/>
      </rPr>
      <t>Vibrio parahaemolyticus</t>
    </r>
    <r>
      <rPr>
        <rFont val="Arial"/>
        <color rgb="FF434343"/>
      </rPr>
      <t xml:space="preserve"> in Blood Cockle, </t>
    </r>
    <r>
      <rPr>
        <rFont val="Arial"/>
        <i/>
        <color rgb="FF434343"/>
      </rPr>
      <t>Anadara granosa</t>
    </r>
  </si>
  <si>
    <t>KCAbismo</t>
  </si>
  <si>
    <t>DOST Thesis Grant</t>
  </si>
  <si>
    <t>P-2022-024</t>
  </si>
  <si>
    <t>Sequencing and Analysis of SARS-CoV-2 genomes in swab specimens collected by subnational / DOH-accredited COVID-19 laboratories in the Philippines from March to October 2020</t>
  </si>
  <si>
    <t>Retrospective Biosurveillance</t>
  </si>
  <si>
    <t>P-2022-025</t>
  </si>
  <si>
    <t>Molecular detection of Henipa and Coronavirus in Flying Fox (Order Chiroptera: Family Pteropodidae) roost within First Gas Plant Site, Batangas City</t>
  </si>
  <si>
    <t>Bats</t>
  </si>
  <si>
    <t>P-2022-026</t>
  </si>
  <si>
    <r>
      <rPr>
        <rFont val="Arial"/>
        <color rgb="FF434343"/>
      </rPr>
      <t>Whole Genome Sequencing of the Philippine spotted deer  (</t>
    </r>
    <r>
      <rPr>
        <rFont val="Arial"/>
        <i/>
        <color rgb="FF434343"/>
      </rPr>
      <t>Rusa alfredi</t>
    </r>
    <r>
      <rPr>
        <rFont val="Arial"/>
        <color rgb="FF434343"/>
      </rPr>
      <t>)</t>
    </r>
  </si>
  <si>
    <t>PGCV_Deer WGS</t>
  </si>
  <si>
    <t>P-2022-027</t>
  </si>
  <si>
    <t>Genomic variations among different (meta) populations of oriental angelwing clam (Pholas orientalis) in the
Western Visayas, Philippines: basis for conservation breeding program</t>
  </si>
  <si>
    <t>Pholas</t>
  </si>
  <si>
    <t>DOST-NRCP NSTEP</t>
  </si>
  <si>
    <t>P-2022-028</t>
  </si>
  <si>
    <r>
      <rPr>
        <rFont val="Arial"/>
        <color rgb="FF434343"/>
      </rPr>
      <t>Metagenomic Characterization of Oil-degrading Microbial Communities from Slipper-shaped Oyster (</t>
    </r>
    <r>
      <rPr>
        <rFont val="Arial"/>
        <i/>
        <color rgb="FF434343"/>
      </rPr>
      <t>Magallana bilineata</t>
    </r>
    <r>
      <rPr>
        <rFont val="Arial"/>
        <color rgb="FF434343"/>
      </rPr>
      <t>) in Oil-contaminated Areas along Iloilo Strait, Philippines</t>
    </r>
  </si>
  <si>
    <t>Mueda</t>
  </si>
  <si>
    <t>P-2022-029</t>
  </si>
  <si>
    <t>Isolation, Characterization and Phylogenetic identification of Thraustochytrids from mangrove
habitats around Panay Island, Philippines</t>
  </si>
  <si>
    <t>Thrausto</t>
  </si>
  <si>
    <t>P-2022-030</t>
  </si>
  <si>
    <t>Marine Fisheries Assessment of Panay: Building Local Fisheries Information through Research Capability Enhancement in HEIs Component 3: Chemical Composition of Marine Fishes – Leverage Research Project (SP20-14)</t>
  </si>
  <si>
    <t>Bebit</t>
  </si>
  <si>
    <t>P-2022-031</t>
  </si>
  <si>
    <t>P-2022-032</t>
  </si>
  <si>
    <t>Diversity and screening of culturable cellulytic microorganisms from mangrove forests, natural parks, paddy field, and sugar plantation in Panay Island, Philippines</t>
  </si>
  <si>
    <t>Cabulong, (OM,CM)</t>
  </si>
  <si>
    <t>UPV Regular In-House Research (RIR)</t>
  </si>
  <si>
    <t>P-2022-033</t>
  </si>
  <si>
    <t>Development of Novel Antiviral Compounds against Arthropod-borne Viruses</t>
  </si>
  <si>
    <t>DeNoVac</t>
  </si>
  <si>
    <t>DOST-DST JRP</t>
  </si>
  <si>
    <t>Cezarie L. Golingay
Ella Marie E. Villaruz
Antoniette Lorain Z. Dimaano
Arnel Adrian Rara</t>
  </si>
  <si>
    <t>P-2022-034</t>
  </si>
  <si>
    <t>Production and evaluation of Dried Microalgal Biomass for improved shelf life and product diversification</t>
  </si>
  <si>
    <t>Microalgae</t>
  </si>
  <si>
    <t>DOST-PCAARD</t>
  </si>
  <si>
    <t>P-2022-035</t>
  </si>
  <si>
    <t>Isolation, Characterization, And Identification of Plastic-Degrading Bacteria From Bago City Landfill, Negros Occidental, Philippines</t>
  </si>
  <si>
    <t>Lamela</t>
  </si>
  <si>
    <t>Emelyn Joy Mameloco
Edcel T. Resano</t>
  </si>
  <si>
    <t>P-2022-036</t>
  </si>
  <si>
    <t>MS Aqua Fish 219 (Advanced Genetics)</t>
  </si>
  <si>
    <t>Cabarles et al</t>
  </si>
  <si>
    <t>P-2023-037</t>
  </si>
  <si>
    <t>Amplicon Sequencing of Seaweed</t>
  </si>
  <si>
    <t>Halun</t>
  </si>
  <si>
    <t>MSU TCTO</t>
  </si>
  <si>
    <t>P-2023-038</t>
  </si>
  <si>
    <t>Molecular identification of Dugong (Batch 1)</t>
  </si>
  <si>
    <t>Dugong - Miagao</t>
  </si>
  <si>
    <t>Laboratory Services, Bioinformatics Analysis</t>
  </si>
  <si>
    <t>P-2023-039</t>
  </si>
  <si>
    <t>Fish 258 - Marine Biotechnology: Identification of  Lernaea using 18s primers</t>
  </si>
  <si>
    <t>Lernaea</t>
  </si>
  <si>
    <t>P-2023-040</t>
  </si>
  <si>
    <t>Gut Metabarcoding</t>
  </si>
  <si>
    <t>Fish Gut</t>
  </si>
  <si>
    <t>P-2023-041</t>
  </si>
  <si>
    <t>Real-time PCR Detection of Foodborne Pathogens in
Oyster from local markets in Iloilo</t>
  </si>
  <si>
    <t>Lumapan</t>
  </si>
  <si>
    <t>P-2023-042</t>
  </si>
  <si>
    <t>Bacterial Biofilm Formation and Inhibition Potential of Wild Macrofungi from Miagao, Iloilo</t>
  </si>
  <si>
    <t>Anacita</t>
  </si>
  <si>
    <t>stevenmosura@gmail.com</t>
  </si>
  <si>
    <t>P-2023-043</t>
  </si>
  <si>
    <t>Prebiotic potential of Beta-glucan extracted from macrofungu found in Miagao, Iloilo</t>
  </si>
  <si>
    <t>Talaman</t>
  </si>
  <si>
    <t>P-2023-044</t>
  </si>
  <si>
    <t>Santos</t>
  </si>
  <si>
    <t>P-2023-045</t>
  </si>
  <si>
    <t>Detection of E. coli and Salmonella using Culture-Independent Methods in Spiked Oyster Ostreidaei</t>
  </si>
  <si>
    <t>Catalya</t>
  </si>
  <si>
    <t>Josie Mar G. Cabalo_Thesis</t>
  </si>
  <si>
    <t>P-2023-046</t>
  </si>
  <si>
    <t>Detection of Vibrio parahaemolyticus and Vibrio cholerae in Oyster using Quantitative Real-Time Polymerase Chain Reaction (qPCR)</t>
  </si>
  <si>
    <t>Cabalo</t>
  </si>
  <si>
    <t>P-2023-047</t>
  </si>
  <si>
    <t>Detection of Vibrio parahaemolyticus and Vibrio cholerae in Oyster using Quantitative Real-Time Polymerase Chain Reaction (qPCR)
Characterization Of Picophytoplankton Abundance And Distribution In Relation To Varying Environmental Conditions In The Bay Zone Of The Batan Bay Estuary</t>
  </si>
  <si>
    <t>LN - Gregorio, Sibulan</t>
  </si>
  <si>
    <t>alex.cayanan2@gmail.com</t>
  </si>
  <si>
    <t>P-2023-048</t>
  </si>
  <si>
    <t>Molecular identification of microalgae</t>
  </si>
  <si>
    <t>Feedmix</t>
  </si>
  <si>
    <t>P-2023-049</t>
  </si>
  <si>
    <t>The effect of fermented silage on sperm quality of mixed-breed anglo nubian goats in Romblon</t>
  </si>
  <si>
    <t>LN - Padua</t>
  </si>
  <si>
    <t>P-2023-050</t>
  </si>
  <si>
    <t>Molecular identification of Warty Pig and Hawk Eagle</t>
  </si>
  <si>
    <t>DENR</t>
  </si>
  <si>
    <t>Government</t>
  </si>
  <si>
    <t>P-2023-051</t>
  </si>
  <si>
    <t>Assessing the feasibility of implementing field deployable sequencing applied to dengue virus surveillance in the Philippines</t>
  </si>
  <si>
    <t>Dengue Seq</t>
  </si>
  <si>
    <t>Medical Research Council - University of Glasgow Centre for Virus Research</t>
  </si>
  <si>
    <t>James Nim
Jan Felnesh Exe Bagacay</t>
  </si>
  <si>
    <t>P-2023-052</t>
  </si>
  <si>
    <t>Unraveling the Hidden Diversity of Aquatic Fungi from Panay Island, Philippines Project</t>
  </si>
  <si>
    <t>AQFP</t>
  </si>
  <si>
    <t>DOST</t>
  </si>
  <si>
    <t>P-2023-053</t>
  </si>
  <si>
    <t>Molecular identification of Kogiid whale stranded in Sicogon Island, Carles, Iloilo</t>
  </si>
  <si>
    <t>BFAR Sperm Whale</t>
  </si>
  <si>
    <t>International</t>
  </si>
  <si>
    <t>P-2023-054</t>
  </si>
  <si>
    <t>Effects of Crown-of-Thorns (Acanthaster planci) Starfish as a Growth Enhacer in White Mice (Mus musculus)</t>
  </si>
  <si>
    <t>LN - Dueñas</t>
  </si>
  <si>
    <t>Danielle L. Elevado
Yoo Ki Bastol
Zeb Jose Joshua C. Cabalfin
Maio Vendell V. Sabidong
Jemma Dawn C. Leonardo
Leopoldo T. Bacquial II
Kathleen Mae V. Donoso 
Nove Kris B. Herida
Angel Mae T. Malones
Adrienne Marrie S. Bugayon-Janagap
Stephen G. Sabinay</t>
  </si>
  <si>
    <t>Franco MIguel N. Nodado</t>
  </si>
  <si>
    <t>P-2023-055</t>
  </si>
  <si>
    <r>
      <rPr>
        <rFont val="Arial"/>
        <color theme="1"/>
      </rPr>
      <t xml:space="preserve">Inhibitory Activity of </t>
    </r>
    <r>
      <rPr>
        <rFont val="Arial"/>
        <i/>
        <color theme="1"/>
      </rPr>
      <t xml:space="preserve">Vitex negundo (Lagundi) </t>
    </r>
    <r>
      <rPr>
        <rFont val="Arial"/>
        <color theme="1"/>
      </rPr>
      <t xml:space="preserve">Leaf Extract Against Biofilm Formation and Quorom Sensing of </t>
    </r>
    <r>
      <rPr>
        <rFont val="Arial"/>
        <i/>
        <color theme="1"/>
      </rPr>
      <t>Vibrio cholerae</t>
    </r>
  </si>
  <si>
    <t>V. cholerae (WVSU)</t>
  </si>
  <si>
    <t>P-2023-056</t>
  </si>
  <si>
    <t>Fish Species ID</t>
  </si>
  <si>
    <t>SEAFDEC (Eel)</t>
  </si>
  <si>
    <t>P-2023-057</t>
  </si>
  <si>
    <r>
      <rPr>
        <rFont val="Arial"/>
        <color theme="1"/>
      </rPr>
      <t xml:space="preserve">The Complete Mitogenome of </t>
    </r>
    <r>
      <rPr>
        <rFont val="Arial"/>
        <i/>
        <color theme="1"/>
      </rPr>
      <t>Placuna placenta</t>
    </r>
    <r>
      <rPr>
        <rFont val="Arial"/>
        <color theme="1"/>
      </rPr>
      <t xml:space="preserve"> and its Phylogenetic Implications</t>
    </r>
  </si>
  <si>
    <t>Kapis</t>
  </si>
  <si>
    <t>P-2023-058</t>
  </si>
  <si>
    <t>Diversity assessment of freshwater zooplankton and macroinvertebrates towards identification of centers of biodiversity conservation in the Jalaur River Basin, Iloilo, Philippines</t>
  </si>
  <si>
    <t>DAFZooMacro</t>
  </si>
  <si>
    <t>OVPAA Balik PhD</t>
  </si>
  <si>
    <t>P-2023-059</t>
  </si>
  <si>
    <t>Comparative analyses of genomic DNA extracted from fish tissue preserved in 70% alcohol, LN, and absolute ethanol in different periods of time and temperature</t>
  </si>
  <si>
    <t>Commercial Alcohol Preservation</t>
  </si>
  <si>
    <t>MinSU Bioinfo</t>
  </si>
  <si>
    <t>P-2023-060</t>
  </si>
  <si>
    <t>MinSU Bioinfo Analysis</t>
  </si>
  <si>
    <t>P-2023-061</t>
  </si>
  <si>
    <t>Integrating early warning systems for community outbreaks using water-based epidemiology during post-COVID-19 pandemic</t>
  </si>
  <si>
    <t>PIPP - EIDR</t>
  </si>
  <si>
    <t>UP OVPAA EIDR Cycle 9</t>
  </si>
  <si>
    <t>P-2023-062</t>
  </si>
  <si>
    <r>
      <rPr>
        <rFont val="Arial"/>
        <color theme="1"/>
      </rPr>
      <t>Development of spawning and hatchery techniques for the blood cockle (</t>
    </r>
    <r>
      <rPr>
        <rFont val="Arial"/>
        <i/>
        <color theme="1"/>
      </rPr>
      <t>Anadara granosa</t>
    </r>
    <r>
      <rPr>
        <rFont val="Arial"/>
        <color theme="1"/>
      </rPr>
      <t>) for sustainable aquaculture</t>
    </r>
  </si>
  <si>
    <t>Blood Cockle Project</t>
  </si>
  <si>
    <t>P-2023-063</t>
  </si>
  <si>
    <t>Molecular identification of Snake</t>
  </si>
  <si>
    <t>DENR - Snake</t>
  </si>
  <si>
    <t>P-2024-064</t>
  </si>
  <si>
    <t>Detection of Natural Products Derived from Sediment Microbes in Mangrove</t>
  </si>
  <si>
    <t>Nat Prod (USC) - Dr. Yee</t>
  </si>
  <si>
    <t>NRCP-DOST</t>
  </si>
  <si>
    <t>P-2024-065</t>
  </si>
  <si>
    <t>Diwal Long Range PCR</t>
  </si>
  <si>
    <t>Diwal WGS</t>
  </si>
  <si>
    <t>P-2024-066</t>
  </si>
  <si>
    <t>Shotgun metagenomic analysis of DNA preserved whale ambergris from Antique</t>
  </si>
  <si>
    <t>Ambergris</t>
  </si>
  <si>
    <t>P-2024-067</t>
  </si>
  <si>
    <t>Mango Leaves-derived Biochar for the Removal of Amoxicillin in Aqueous Solution</t>
  </si>
  <si>
    <t>Jalandoni - Type II</t>
  </si>
  <si>
    <t>P-2024-068</t>
  </si>
  <si>
    <t>Transesterification of Waste Vegetable Oil from Oil-based Thermal Disinfection Technology using SrO/CaO Bamboo Biochar Composite</t>
  </si>
  <si>
    <t>Delegero - Type II</t>
  </si>
  <si>
    <t>P-2024-069</t>
  </si>
  <si>
    <t>Composition  and diversity of gut microbiota of Conomurex luhuanus</t>
  </si>
  <si>
    <t>Gastropod (RSU)</t>
  </si>
  <si>
    <t>P-2024-070</t>
  </si>
  <si>
    <t>DNA Barcoding and Depuration Protocol of Windowpane oysters (Placuna placenta) from Oton, Iloilo</t>
  </si>
  <si>
    <t>Capiz Shell (WVSU)</t>
  </si>
  <si>
    <t>P-2024-071</t>
  </si>
  <si>
    <r>
      <rPr>
        <rFont val="Arial"/>
        <color theme="1"/>
      </rPr>
      <t>Development of Probiotics from roselle (</t>
    </r>
    <r>
      <rPr>
        <rFont val="Arial"/>
        <i/>
        <color theme="1"/>
      </rPr>
      <t>Hibiscus sabdariffa</t>
    </r>
    <r>
      <rPr>
        <rFont val="Arial"/>
        <color theme="1"/>
      </rPr>
      <t>), mulberry (</t>
    </r>
    <r>
      <rPr>
        <rFont val="Arial"/>
        <i/>
        <color theme="1"/>
      </rPr>
      <t>Morus alba</t>
    </r>
    <r>
      <rPr>
        <rFont val="Arial"/>
        <color theme="1"/>
      </rPr>
      <t>), and corn (</t>
    </r>
    <r>
      <rPr>
        <rFont val="Arial"/>
        <i/>
        <color theme="1"/>
      </rPr>
      <t>Zea mays</t>
    </r>
    <r>
      <rPr>
        <rFont val="Arial"/>
        <color theme="1"/>
      </rPr>
      <t>)</t>
    </r>
  </si>
  <si>
    <t>DMMMSU - Amplicon</t>
  </si>
  <si>
    <t>CHED-LAKAS</t>
  </si>
  <si>
    <t>P-2024-072</t>
  </si>
  <si>
    <r>
      <rPr>
        <rFont val="Arial"/>
        <color theme="1"/>
      </rPr>
      <t>Development of Probiotics from roselle (</t>
    </r>
    <r>
      <rPr>
        <rFont val="Arial"/>
        <i/>
        <color theme="1"/>
      </rPr>
      <t>Hibiscus sabdariffa</t>
    </r>
    <r>
      <rPr>
        <rFont val="Arial"/>
        <color theme="1"/>
      </rPr>
      <t>), mulberry (</t>
    </r>
    <r>
      <rPr>
        <rFont val="Arial"/>
        <i/>
        <color theme="1"/>
      </rPr>
      <t>Morus alba</t>
    </r>
    <r>
      <rPr>
        <rFont val="Arial"/>
        <color theme="1"/>
      </rPr>
      <t>), and corn (</t>
    </r>
    <r>
      <rPr>
        <rFont val="Arial"/>
        <i/>
        <color theme="1"/>
      </rPr>
      <t>Zea mays</t>
    </r>
    <r>
      <rPr>
        <rFont val="Arial"/>
        <color theme="1"/>
      </rPr>
      <t>)</t>
    </r>
  </si>
  <si>
    <t>DMMMSU - 16s</t>
  </si>
  <si>
    <t>P-2024-073</t>
  </si>
  <si>
    <t>Sea Cucumber (16s)</t>
  </si>
  <si>
    <t>P-2024-074</t>
  </si>
  <si>
    <t>Optimization of DNA Extraction and DNA Barcoding of Farmed Eucheumatoid Species in San Dionisio, Iloilo</t>
  </si>
  <si>
    <t>Seaweed (BSF) A</t>
  </si>
  <si>
    <t>with Dianne</t>
  </si>
  <si>
    <t>P-2024-075</t>
  </si>
  <si>
    <t>Optimization of Different DNA Extraction Protocols for Ulva spp.</t>
  </si>
  <si>
    <t>Seaweed (BSF) B</t>
  </si>
  <si>
    <t>P-2024-076</t>
  </si>
  <si>
    <t>Optimization of DNA Extraction Protocol and DNA Barcoding of Sargassum sp. found in San Lorenzo, Guimaras</t>
  </si>
  <si>
    <t>Seaweed (BSF) C</t>
  </si>
  <si>
    <t>P-2024-077</t>
  </si>
  <si>
    <t>Microbial Community Assemblage of Heliopora corulea coral in Nogas Island Intertidal Zone.</t>
  </si>
  <si>
    <t>Corals</t>
  </si>
  <si>
    <t>P-2024-078</t>
  </si>
  <si>
    <r>
      <rPr>
        <rFont val="Arial"/>
        <color theme="1"/>
      </rPr>
      <t>DNA Barcoding of Marine Microalgae (</t>
    </r>
    <r>
      <rPr>
        <rFont val="Arial"/>
        <i/>
        <color theme="1"/>
      </rPr>
      <t xml:space="preserve">Tetraselmis </t>
    </r>
    <r>
      <rPr>
        <rFont val="Arial"/>
        <color theme="1"/>
      </rPr>
      <t>sp.)</t>
    </r>
  </si>
  <si>
    <t>Tetraselmis</t>
  </si>
  <si>
    <t>P-2024-079</t>
  </si>
  <si>
    <t>.</t>
  </si>
  <si>
    <t>Pava - Bioinfo</t>
  </si>
  <si>
    <t>Bioinfo</t>
  </si>
  <si>
    <t>P-2024-080</t>
  </si>
  <si>
    <t>Isolation and characterization of cellulolytic bacteria from decomposing leaf litter</t>
  </si>
  <si>
    <t>UPHSI - Chu</t>
  </si>
  <si>
    <t>P-2024-081</t>
  </si>
  <si>
    <t>Role of Type VI Secretion System During Shrimp Infection of Vibrio spp. - Causing Acute Hepatopancreatic Necrosis Disease (AHPND)</t>
  </si>
  <si>
    <t>Vibrio - Bioinfo</t>
  </si>
  <si>
    <t>Vien Lowell M. Mapa
Lesther G. Tadeña
Joshua Miguel Javelosa</t>
  </si>
  <si>
    <t>P-2024-082</t>
  </si>
  <si>
    <t>Effects of pH and Temperature on the  Biofilm Formation  and algD Gene Expression in Pseudomonas aeruginosa Clinical Isolates</t>
  </si>
  <si>
    <t>USLS - gene expression</t>
  </si>
  <si>
    <t>Elizabeth D. Fernandez
Karyl Jisabel D. Genosa
Maria Alexandra S. Geolingo</t>
  </si>
  <si>
    <t>P-2024-083</t>
  </si>
  <si>
    <t>Characterizing the Water Physiochemical Properties and Resident Microalgae Community of Cabaghauan Creek, Bacolod City</t>
  </si>
  <si>
    <t>USLS - algae</t>
  </si>
  <si>
    <t>P-2024-084</t>
  </si>
  <si>
    <t>Improvement of Milkfish Larval Rearing and Nursery Culture through Gut Metagenome, Transcriptome Analysis, and Gut Microbial Community Manipulations</t>
  </si>
  <si>
    <t>MF Gut</t>
  </si>
  <si>
    <t xml:space="preserve"> DOST-PCAARRD</t>
  </si>
  <si>
    <t>P-2024-085</t>
  </si>
  <si>
    <r>
      <rPr>
        <rFont val="Arial"/>
        <color theme="1"/>
      </rPr>
      <t xml:space="preserve">Evaluation on the use of </t>
    </r>
    <r>
      <rPr>
        <rFont val="Arial"/>
        <i/>
        <color theme="1"/>
      </rPr>
      <t>Lachancea</t>
    </r>
    <r>
      <rPr>
        <rFont val="Arial"/>
        <color theme="1"/>
      </rPr>
      <t xml:space="preserve"> spp. and </t>
    </r>
    <r>
      <rPr>
        <rFont val="Arial"/>
        <i/>
        <color theme="1"/>
      </rPr>
      <t>Nannochlopsis</t>
    </r>
    <r>
      <rPr>
        <rFont val="Arial"/>
        <color theme="1"/>
      </rPr>
      <t xml:space="preserve"> occulata paste to improve the yield and quality of rotifer Brachionus rotundiformis</t>
    </r>
  </si>
  <si>
    <t>Yeast (BSF)</t>
  </si>
  <si>
    <t>P-2024-086</t>
  </si>
  <si>
    <t>Metabarcoding of Goat feces for Gastrointestinal nematode identification</t>
  </si>
  <si>
    <t>Goat (Sabirin, MSU IIT)</t>
  </si>
  <si>
    <t>Anne</t>
  </si>
  <si>
    <t>Gleann P. Salido
Charles R. Andrade
Clarnic A. Berbegal</t>
  </si>
  <si>
    <t>P-2024-087</t>
  </si>
  <si>
    <t>Molecular Guided Techniques for Improvement of Reproduction Performance of Saline-Tolerant Tilapia</t>
  </si>
  <si>
    <t>RepPer SPIN</t>
  </si>
  <si>
    <t>Laboratory Services, Equipment Use</t>
  </si>
  <si>
    <t>P-2024-088</t>
  </si>
  <si>
    <t>Microbes Beneath the Surface: Exploring Diversity and Distribution of Microbial Species on Different Soil Samples in Siargao Island</t>
  </si>
  <si>
    <t>Soil 16s (Siargao NHS)</t>
  </si>
  <si>
    <t>P-2024-089</t>
  </si>
  <si>
    <t>Detection of Salmonella in Barn Swallow (Hirundu rustica) in Banga, Aklan</t>
  </si>
  <si>
    <t>Salmonella sp.</t>
  </si>
  <si>
    <t>P-2024-090</t>
  </si>
  <si>
    <t>Understanding Endophytic Fungi in Medicinal Plants and their Antibacterial Potential on Common and Antibiotic-Resistant Bacteria (ESKAPE pathogens)</t>
  </si>
  <si>
    <t>WVSU_16s Amplicon</t>
  </si>
  <si>
    <t>DOST/WVSU Main</t>
  </si>
  <si>
    <t>P-2024-091</t>
  </si>
  <si>
    <t>Marker assisted selection of saline tolerant tilapia for enhanced growth and feed conversion efficiency (del Castillo)</t>
  </si>
  <si>
    <t>CdC_Tilapia Mitogenome</t>
  </si>
  <si>
    <t>P-2024-092</t>
  </si>
  <si>
    <t>Identification of seaweed species using DNA
sequence</t>
  </si>
  <si>
    <t>JIRCAS - Matsuda</t>
  </si>
  <si>
    <t>P-2024-093</t>
  </si>
  <si>
    <t>Development of a LAMP-Based Detection Kit for Tomato Yellow Leaf Curl
Virus (TYLCV) Philippine Strains</t>
  </si>
  <si>
    <t>DOST VIP_Tomato WGS</t>
  </si>
  <si>
    <t>DOST VIP</t>
  </si>
  <si>
    <t>P-2024-094</t>
  </si>
  <si>
    <t>Evaluation of the Reproductive Condition and Environmental DNA of Green Mussel Culture in Samar, Philippines</t>
  </si>
  <si>
    <t>Mussel eDNA</t>
  </si>
  <si>
    <t>P-2024-095</t>
  </si>
  <si>
    <t>Extraction of Larvae from VSU</t>
  </si>
  <si>
    <t>VSU Larvae</t>
  </si>
  <si>
    <t>P-2024-096</t>
  </si>
  <si>
    <t>Growth Performance and Genetic Characterization of Tilapia Strains in Culasi, Antique, Phiippines</t>
  </si>
  <si>
    <t>iBest/inbreed</t>
  </si>
  <si>
    <t>BFAR</t>
  </si>
  <si>
    <t>DA-BAI</t>
  </si>
  <si>
    <t>P-2024-097</t>
  </si>
  <si>
    <t>Validation of Protocol for Enriched Amplicon Sequencing of ASFV</t>
  </si>
  <si>
    <t>ASFV</t>
  </si>
  <si>
    <t>TBA</t>
  </si>
  <si>
    <t>P-2024-098</t>
  </si>
  <si>
    <t>Storage of Samples</t>
  </si>
  <si>
    <t>UltraLow</t>
  </si>
  <si>
    <t>P-2024-099</t>
  </si>
  <si>
    <t>Clam WGS and Parasite ID</t>
  </si>
  <si>
    <t>Fuertes</t>
  </si>
  <si>
    <t>P-2024-100</t>
  </si>
  <si>
    <t>Cortes</t>
  </si>
  <si>
    <t>P-2024-101</t>
  </si>
  <si>
    <t>Field Testing of Hatchery &amp; Nursery Production &amp; Development of Broodstock Transport Protocols for the Native Catfish Clarias macrocephalus</t>
  </si>
  <si>
    <t>CdC_Catfish WGS</t>
  </si>
  <si>
    <t>P-2024-102</t>
  </si>
  <si>
    <t>Optimization of Universal Primers for DNA Barcoding per Taxa</t>
  </si>
  <si>
    <t>Universal Primers</t>
  </si>
  <si>
    <t>P-2024-103</t>
  </si>
  <si>
    <t>Optimization of Reduced Reagents for Amplicon Sequencing</t>
  </si>
  <si>
    <t>AmpliSeq Optimization</t>
  </si>
  <si>
    <t>Kelee Ira B. Noque
Cedric Jay A. Nantong</t>
  </si>
  <si>
    <t>P-2024-104</t>
  </si>
  <si>
    <t>Development of Brackishwater Nursery Culturing Systems for Tropical Anguilid Eel, Anguilla marmorata, in the Philippines</t>
  </si>
  <si>
    <t>UPV NEED PROJECT</t>
  </si>
  <si>
    <t>P-2024-105</t>
  </si>
  <si>
    <t>Fish Sauce</t>
  </si>
  <si>
    <t>P-2024-106</t>
  </si>
  <si>
    <t>Albaris</t>
  </si>
  <si>
    <t>P-2024-107</t>
  </si>
  <si>
    <t xml:space="preserve">“Morpho-Functional Traits and eDNA Metabarcoding of Freshwater Fishes and Invertebrate Communities in Panay Island”. </t>
  </si>
  <si>
    <t>Panay Metabarcoding</t>
  </si>
  <si>
    <t>P-2024-108</t>
  </si>
  <si>
    <t>Molecular Assisted Markers for the Assessment of Reproductive Performance of Saline Tolerant Population of inbred Niloticus</t>
  </si>
  <si>
    <t>CID</t>
  </si>
  <si>
    <t>P-2024-109</t>
  </si>
  <si>
    <t>Developing insect-based feed using traditional and molecular approaches for sustainable production of Nile Tilapia in the Philippines</t>
  </si>
  <si>
    <t>IBF-Tilapia</t>
  </si>
  <si>
    <t>P-2024-110</t>
  </si>
  <si>
    <r>
      <t xml:space="preserve">Seasonal Variability of Ingested Microplastics in </t>
    </r>
    <r>
      <rPr>
        <rFont val="Roboto"/>
        <i/>
        <color rgb="FF434343"/>
      </rPr>
      <t>Stolephorus indicus</t>
    </r>
    <r>
      <rPr>
        <rFont val="Roboto"/>
        <color rgb="FF434343"/>
      </rPr>
      <t xml:space="preserve"> (van Hasselt,1823) in Tangalan, Aklan Philippines</t>
    </r>
  </si>
  <si>
    <t>Microplastic</t>
  </si>
  <si>
    <t>DOST-ATHRDP</t>
  </si>
  <si>
    <t>P-2024-111</t>
  </si>
  <si>
    <t>Elops Transcriptomics</t>
  </si>
  <si>
    <t>Elops</t>
  </si>
  <si>
    <t>P-2024-112</t>
  </si>
  <si>
    <t>Probiotics Project</t>
  </si>
  <si>
    <t>Molina_Probiotics</t>
  </si>
  <si>
    <t>P-2025-113</t>
  </si>
  <si>
    <t>Characterization of Abaca cultivars in the Province of Aklan; Morphological, Tensile Strength and genomic analysis</t>
  </si>
  <si>
    <t>Abaca</t>
  </si>
  <si>
    <t>P-2025-114</t>
  </si>
  <si>
    <t>Perlas Diversity Project</t>
  </si>
  <si>
    <t>Perlas</t>
  </si>
  <si>
    <t>P-2025-115</t>
  </si>
  <si>
    <t>Laboratory and Tank-based Cultivation of Ulva from the Philippines by germling cluster technique</t>
  </si>
  <si>
    <t>Ulva</t>
  </si>
  <si>
    <t>P-2025-116</t>
  </si>
  <si>
    <t>Species Identification of Fish Fillet from Thaw Dripping</t>
  </si>
  <si>
    <t>Pangasius</t>
  </si>
  <si>
    <t>P-2025-117</t>
  </si>
  <si>
    <t>Assessment of the Lilang Fishery in Miagao, Iloilo</t>
  </si>
  <si>
    <t>Xu</t>
  </si>
  <si>
    <t>Lee Genesis Mabaquiao</t>
  </si>
  <si>
    <t>P-2025-118</t>
  </si>
  <si>
    <t>Metagenomic Sequencing of Yeast sp. from Plant sample</t>
  </si>
  <si>
    <t>Honnie</t>
  </si>
  <si>
    <t>P-2025-119</t>
  </si>
  <si>
    <t>Microbial and Meiofaunal Successional Shifts in Biofilm on Pearl Farm Structures</t>
  </si>
  <si>
    <t>Meio</t>
  </si>
  <si>
    <t>P-2025-120</t>
  </si>
  <si>
    <t>Thraustrochytrid Cultivation in Wastewater for Polyunsaturated Fatty Acid Production as Alternative Fish Feed/Ingredient for Fish</t>
  </si>
  <si>
    <t>Thraustro</t>
  </si>
  <si>
    <t>UPLB-DOST</t>
  </si>
  <si>
    <t>P-2025-121</t>
  </si>
  <si>
    <t>P-2025-122</t>
  </si>
  <si>
    <t>DOST - UPV YY Male Project</t>
  </si>
  <si>
    <t>YY Male</t>
  </si>
  <si>
    <t>In-House, External</t>
  </si>
  <si>
    <t>P-2025-123</t>
  </si>
  <si>
    <t>WGS of Pineapple</t>
  </si>
  <si>
    <t>Pine</t>
  </si>
  <si>
    <t>P-2025-124</t>
  </si>
  <si>
    <t>Molecular Identification of Shipworm Species from Different Mangrove Species in Palawan, Philippines</t>
  </si>
  <si>
    <t>Shipworm</t>
  </si>
  <si>
    <t>P-2025-125</t>
  </si>
  <si>
    <r>
      <rPr>
        <rFont val="Roboto"/>
        <color rgb="FF434343"/>
      </rPr>
      <t xml:space="preserve">Unveiling the Microbiome Profile of </t>
    </r>
    <r>
      <rPr>
        <rFont val="Roboto"/>
        <i/>
        <color rgb="FF434343"/>
      </rPr>
      <t>Muntingia calabura</t>
    </r>
    <r>
      <rPr>
        <rFont val="Roboto"/>
        <color rgb="FF434343"/>
      </rPr>
      <t xml:space="preserve"> Roots and Bark: Linking Microbial Diversity to Secondary Metabolite Production</t>
    </r>
  </si>
  <si>
    <t>Layson</t>
  </si>
  <si>
    <t>P-2025-126</t>
  </si>
  <si>
    <t>Potential Application of Liquid Fermented Pineapple Silage to Enhance Growth, Gut Microbiota
and Water Quality in Tilapia spp.</t>
  </si>
  <si>
    <t>Honcada</t>
  </si>
  <si>
    <t>P-2025-127</t>
  </si>
  <si>
    <r>
      <rPr>
        <rFont val="Roboto"/>
        <color rgb="FF434343"/>
      </rPr>
      <t xml:space="preserve">Development of locally-available essential oil as a growth promoting and anti-microbial feed additive for saline tolerant tilapia </t>
    </r>
    <r>
      <rPr>
        <rFont val="Roboto"/>
        <i/>
        <color rgb="FF434343"/>
      </rPr>
      <t>Oreochromis niloticus</t>
    </r>
  </si>
  <si>
    <t>Parreno</t>
  </si>
  <si>
    <t>P-2025-128</t>
  </si>
  <si>
    <t>Zoonotic Potential of Blastocystis among pigs in Oton, Iloilo</t>
  </si>
  <si>
    <t>Blastocystis</t>
  </si>
  <si>
    <t>Private/Local</t>
  </si>
  <si>
    <t>P-2025-129</t>
  </si>
  <si>
    <t>Metagenomics Analysis of Microbial Shifts, Functional Pathways and Probiotic-Pathogen Dynamics in Fermented Saccostrea spp. Insights into Microbial Ecology, Metabolism &amp; Food Safety</t>
  </si>
  <si>
    <t>Layda</t>
  </si>
  <si>
    <t>Personal</t>
  </si>
  <si>
    <t>P-2025-130</t>
  </si>
  <si>
    <t>F219 Advanced Fish Genetics/Metabarcoding</t>
  </si>
  <si>
    <t>Arizapa</t>
  </si>
  <si>
    <t>P-2025-131</t>
  </si>
  <si>
    <t>Lernea parasitism in Glossobius aureus from Naujan Lake</t>
  </si>
  <si>
    <t>Guibone</t>
  </si>
  <si>
    <t>P-2025-132</t>
  </si>
  <si>
    <t>Investigation on the impacts of marble dust to Acropora hyacinthus: A tale of coral ecological resilience</t>
  </si>
  <si>
    <t>Gado</t>
  </si>
  <si>
    <t>P-2025-133</t>
  </si>
  <si>
    <t>Identification and Molecular Characterization of Colletotrichum sp. complex in tomato</t>
  </si>
  <si>
    <t>Jareno</t>
  </si>
  <si>
    <t>P-2025-134</t>
  </si>
  <si>
    <t>Population Genetics of Blood Cockle (Tegillarca granosa) in the Philippines: A whole Mitochondrial Analysis</t>
  </si>
  <si>
    <t>Arteta</t>
  </si>
  <si>
    <t>Cedric Jay A. Nantong
Kelee Ira B. Noque</t>
  </si>
  <si>
    <t>P-2025-135</t>
  </si>
  <si>
    <t>Environmental Genetic Analysis of Shellfish and Digitization of Harmful Algal Bloom (HAB) Patterns in WV</t>
  </si>
  <si>
    <t>Sedanza</t>
  </si>
  <si>
    <t>P-2025-136</t>
  </si>
  <si>
    <t>Diatoms Genetic Analysis Services</t>
  </si>
  <si>
    <t>Tetsuya</t>
  </si>
  <si>
    <t>JIRCAS</t>
  </si>
  <si>
    <t>P-2025-137</t>
  </si>
  <si>
    <t>In-Vitro Characterization, Sequencing &amp; Greenhouse Evaluation of Endophytic Bacteria for Sugarcane Stress Tolerance</t>
  </si>
  <si>
    <t>Celestial</t>
  </si>
  <si>
    <t>xemenesmeiservidadsecondes@gmail.com</t>
  </si>
  <si>
    <t>P-2025-138</t>
  </si>
  <si>
    <t>16s Metagenomics of Sediment Samples</t>
  </si>
  <si>
    <t>Divinagracia</t>
  </si>
  <si>
    <t>P-2025-139</t>
  </si>
  <si>
    <t>Molecular Identification of Stranded Whale</t>
  </si>
  <si>
    <t>P-2025-140</t>
  </si>
  <si>
    <t>Surveillance of Antimicrobial resistant bacteria and genes in Iloilo River</t>
  </si>
  <si>
    <t xml:space="preserve"> </t>
  </si>
  <si>
    <t>P-2025-141</t>
  </si>
  <si>
    <t>Evaluation of Synergistic Effects of the Extracts from Peacock Flowers and Cadena de AMor Leaves for TiO2-Based Dye Sensitized Solar Cell Application</t>
  </si>
  <si>
    <t>Valdez</t>
  </si>
  <si>
    <t>P-2025-142</t>
  </si>
  <si>
    <t>AMR and Whole Genome Sequencing of Blood Cockle Pathogens</t>
  </si>
  <si>
    <t>Tamon</t>
  </si>
  <si>
    <t>P-2025-143</t>
  </si>
  <si>
    <t>Panagsagan</t>
  </si>
  <si>
    <t xml:space="preserve">jeeeaquino@up.edu.ph </t>
  </si>
  <si>
    <t>P-2025-144</t>
  </si>
  <si>
    <t>OSMAC Project</t>
  </si>
  <si>
    <t>OSMAC</t>
  </si>
  <si>
    <t>Incoming</t>
  </si>
  <si>
    <t>DOST-NRCP</t>
  </si>
  <si>
    <t>P-2025-145</t>
  </si>
  <si>
    <t>DNA METABARCODING ANALYSIS OF PLANT-BASED DIET COMPOSITION IN LONG-TAILED MACAQUES (Macaca fascicularis Raffles, 1821) IN BARANGAY SUMILE, BUTUAN CITY, PHILIPPINES</t>
  </si>
  <si>
    <t>Dompor</t>
  </si>
  <si>
    <t>Date</t>
  </si>
  <si>
    <t>Client ID</t>
  </si>
  <si>
    <t>Address</t>
  </si>
  <si>
    <t>Project/Training Request No.</t>
  </si>
  <si>
    <t>Payment For (Project/Training Title)</t>
  </si>
  <si>
    <t>Service Details</t>
  </si>
  <si>
    <t>R&amp;D Category</t>
  </si>
  <si>
    <t xml:space="preserve">DV No. </t>
  </si>
  <si>
    <t>OR No.</t>
  </si>
  <si>
    <t>Date of OR</t>
  </si>
  <si>
    <t>CS-2020-12-001</t>
  </si>
  <si>
    <t>PAID</t>
  </si>
  <si>
    <t>Laboratory Service</t>
  </si>
  <si>
    <t>TF-2020-12-09150</t>
  </si>
  <si>
    <t>CS-2021-03-002</t>
  </si>
  <si>
    <t>TF-2021-04-02791</t>
  </si>
  <si>
    <t>CS-2021-05-003</t>
  </si>
  <si>
    <t>TF-2021-06-04996</t>
  </si>
  <si>
    <t>CS-2021-07-004</t>
  </si>
  <si>
    <t>TF-2021-07-06176</t>
  </si>
  <si>
    <t>CS-2021-07-005</t>
  </si>
  <si>
    <t>Extraction to Amplicon Sequencing</t>
  </si>
  <si>
    <t>R&amp;D</t>
  </si>
  <si>
    <t>Thru Bank Deposit</t>
  </si>
  <si>
    <t>CS-2021-07-006</t>
  </si>
  <si>
    <t>CANCELLED</t>
  </si>
  <si>
    <t>Type II Water</t>
  </si>
  <si>
    <t>combined with CS-2021-10-11</t>
  </si>
  <si>
    <t>CS-2021-08-007</t>
  </si>
  <si>
    <t>combined with CS-2021-10-12</t>
  </si>
  <si>
    <t>CS-2021-08-008</t>
  </si>
  <si>
    <t>combined with CS-2021-10-13</t>
  </si>
  <si>
    <t>CS-2021-08-009</t>
  </si>
  <si>
    <t>combined with CS-2021-10-14</t>
  </si>
  <si>
    <t>CS-2021-09-010</t>
  </si>
  <si>
    <t>CS-2021-10-011</t>
  </si>
  <si>
    <t>TF-2021-12-10531</t>
  </si>
  <si>
    <t>CS-2022-01-001</t>
  </si>
  <si>
    <t>Liquid Nitrogen (LN)</t>
  </si>
  <si>
    <t>Bank Deposit</t>
  </si>
  <si>
    <t>CS-2022-01-002</t>
  </si>
  <si>
    <t>Extraction to Transcriptomics</t>
  </si>
  <si>
    <t>TF-2022-05-3955</t>
  </si>
  <si>
    <t>CS-2022-05-003</t>
  </si>
  <si>
    <t>CS-2022-05-004</t>
  </si>
  <si>
    <t>CS-2022-06-005</t>
  </si>
  <si>
    <t>0517969</t>
  </si>
  <si>
    <t>CS-2021-12-012 / CS-2022-07-006</t>
  </si>
  <si>
    <t>Extraction to qPCR</t>
  </si>
  <si>
    <t>CS-2022-08-007</t>
  </si>
  <si>
    <t>Extraction to Bioinformatics Analysis</t>
  </si>
  <si>
    <t>0520397</t>
  </si>
  <si>
    <t>CS-2022-09-009</t>
  </si>
  <si>
    <t>PGCV-BT-2022-001</t>
  </si>
  <si>
    <t>Training</t>
  </si>
  <si>
    <t>Bioinformatics Analysis</t>
  </si>
  <si>
    <t>0520474</t>
  </si>
  <si>
    <t>Other Payee:
MS. KATHERINE P. SANCHEZ
MS. JERMAINE RITZCHELLE D. MARQUEZ
MS. ELSIE Y. GUIBONE</t>
  </si>
  <si>
    <t>CS-2022-11-010</t>
  </si>
  <si>
    <t>Extraction to Sequencing</t>
  </si>
  <si>
    <t>2022-11-11214</t>
  </si>
  <si>
    <t>Check No: 63422</t>
  </si>
  <si>
    <t>CS-2022-12-011</t>
  </si>
  <si>
    <t>PLEASE DISREGARD, updated and final charge slip is CS-2022-12-012</t>
  </si>
  <si>
    <t>CS-2022-12-012</t>
  </si>
  <si>
    <t>2022-12-12406</t>
  </si>
  <si>
    <t>Check No. 122888</t>
  </si>
  <si>
    <t>CS-2023-12-013</t>
  </si>
  <si>
    <t>2022-12-12069</t>
  </si>
  <si>
    <t>Check No: 63513</t>
  </si>
  <si>
    <t>CS-2023-12-014</t>
  </si>
  <si>
    <t>T-2023-001</t>
  </si>
  <si>
    <t>WGS</t>
  </si>
  <si>
    <t>PLEASE DISREGARD, updated and final charge slip is CS-2023-01-002</t>
  </si>
  <si>
    <t>CS-2023-01-001</t>
  </si>
  <si>
    <t>CS-2023-01-002</t>
  </si>
  <si>
    <t>CS-2023-02-003</t>
  </si>
  <si>
    <t>CS-2023-03-004</t>
  </si>
  <si>
    <t>T-2023-002</t>
  </si>
  <si>
    <t>16s Metagenomics</t>
  </si>
  <si>
    <t>Cheque to Cash Office</t>
  </si>
  <si>
    <t>T-2023-003</t>
  </si>
  <si>
    <t>16s Metagenomics and Amplicon Sequencing</t>
  </si>
  <si>
    <t>CS-2023-03-005</t>
  </si>
  <si>
    <t>PLEASE DISREGARD, updated and final charge slip is CS-2023-05-006</t>
  </si>
  <si>
    <t>CS-2023-04-006</t>
  </si>
  <si>
    <t>CS-2023-05-007</t>
  </si>
  <si>
    <t>CS-2023-06-008</t>
  </si>
  <si>
    <t>CS-2023-06-009</t>
  </si>
  <si>
    <t>CS-2023-06-010</t>
  </si>
  <si>
    <t>LN</t>
  </si>
  <si>
    <t>CS-2023-06-011</t>
  </si>
  <si>
    <t>CS-2023-06-012</t>
  </si>
  <si>
    <t>CS-2023-06-013</t>
  </si>
  <si>
    <t>CS-2023-06-014</t>
  </si>
  <si>
    <t>CS-2023-08-015</t>
  </si>
  <si>
    <t>CS-2023-08-016</t>
  </si>
  <si>
    <t>TF-2023-12-13391</t>
  </si>
  <si>
    <t>CS-2023-09-017</t>
  </si>
  <si>
    <t>April Joy Monsale</t>
  </si>
  <si>
    <t>CS-2023-10-018</t>
  </si>
  <si>
    <t>Mary Grace Gonzales</t>
  </si>
  <si>
    <t>CS-2023-10-019</t>
  </si>
  <si>
    <t>Kenneth Wilson A. Si</t>
  </si>
  <si>
    <t>CS-2023-10-020</t>
  </si>
  <si>
    <t>Jay Nolan J. Alonsabe</t>
  </si>
  <si>
    <t>CS-2023-10-021</t>
  </si>
  <si>
    <t>Kenneth John C. Chiquito</t>
  </si>
  <si>
    <t>CS-2023-10-022</t>
  </si>
  <si>
    <t>CS-2023-11-023</t>
  </si>
  <si>
    <t>DMMMSU CHED LAKAS PROJECT</t>
  </si>
  <si>
    <t>CS-2023-11-024</t>
  </si>
  <si>
    <t>CS-2023-12-025</t>
  </si>
  <si>
    <t>TF-2024-01-00212</t>
  </si>
  <si>
    <t>CS-2024-01-001</t>
  </si>
  <si>
    <t xml:space="preserve">Danielle L. Elevado
Yoo Ki Bastol
Zeb Jose Joshua C. Cabalfin
Maio Vendell V. Sabidong
Jemma Dawn C. Leonardo
Leopoldo T. Bacquial II 
Kathleen Mae V. Donoso
Nove Kris B. Herida
Angel Mae T. Malones </t>
  </si>
  <si>
    <t>University of San Carlos, TIN 000-666-548-000.</t>
  </si>
  <si>
    <t>CS-2024-02-003</t>
  </si>
  <si>
    <t>CS-2024-02-004</t>
  </si>
  <si>
    <t>CS-2024-02-005</t>
  </si>
  <si>
    <t>NEED Project, ℅ UPV-SPSO, PR No. NEED-2023-12-1</t>
  </si>
  <si>
    <t>Cancelled. Refer to revised 2024-031</t>
  </si>
  <si>
    <t>CS-2024-02-006</t>
  </si>
  <si>
    <t>CS-2024-03-007</t>
  </si>
  <si>
    <t>Extraction to 16s Metagenomics Sequencing</t>
  </si>
  <si>
    <t>CS-2024-03-008</t>
  </si>
  <si>
    <t>Customized Analysis</t>
  </si>
  <si>
    <t>CS-2024-03-009</t>
  </si>
  <si>
    <t>CS-2024-04-010</t>
  </si>
  <si>
    <t>Mary Nia M. Santos, Ph.D.</t>
  </si>
  <si>
    <t>CS-2024-03-011</t>
  </si>
  <si>
    <t>TF-2024-05-04359</t>
  </si>
  <si>
    <t>CS-2024-05-012</t>
  </si>
  <si>
    <t>Extraction to Metabarcoding</t>
  </si>
  <si>
    <t>CS-2024-05-013</t>
  </si>
  <si>
    <t>CS-2024-06-014</t>
  </si>
  <si>
    <t>CS-2024-06-015</t>
  </si>
  <si>
    <t>CS-2024-07-016</t>
  </si>
  <si>
    <t>Extraction to WGS</t>
  </si>
  <si>
    <t xml:space="preserve">2024-07-06932 </t>
  </si>
  <si>
    <t xml:space="preserve"> 71003</t>
  </si>
  <si>
    <t>2025</t>
  </si>
  <si>
    <t>CS-2024-07-017</t>
  </si>
  <si>
    <t>CS-2024-09-019</t>
  </si>
  <si>
    <t>CS-2024-09-020</t>
  </si>
  <si>
    <t>1075-2024</t>
  </si>
  <si>
    <t>0593484</t>
  </si>
  <si>
    <t>VMENF-SOA-2024-003_56k.png</t>
  </si>
  <si>
    <t>CS-2024-09-021</t>
  </si>
  <si>
    <t>CS-2024-09-022</t>
  </si>
  <si>
    <t>11/15/24- charge slip sent to itdi</t>
  </si>
  <si>
    <t>CS-2024-09-023</t>
  </si>
  <si>
    <t>Extraction to WGS and Amplicon Sequencing</t>
  </si>
  <si>
    <t>589222</t>
  </si>
  <si>
    <t>CS-2024-09-023_206k</t>
  </si>
  <si>
    <t>CS-2024-09-024</t>
  </si>
  <si>
    <t>PROCESSING</t>
  </si>
  <si>
    <t>PO #: GIA-WO-2024-03-0034</t>
  </si>
  <si>
    <t>CS-2024-09-025</t>
  </si>
  <si>
    <t>WGS Assembly</t>
  </si>
  <si>
    <t>PO #: GIA-WO-2024-03-0033</t>
  </si>
  <si>
    <t>CS-2024-09-026</t>
  </si>
  <si>
    <t>CS-2024-09-027</t>
  </si>
  <si>
    <t>O582579</t>
  </si>
  <si>
    <t>CS-2024-09-028</t>
  </si>
  <si>
    <t>16s rRNA Metagenomics Analysis</t>
  </si>
  <si>
    <t>CS-2024-09-028_47k.pdf</t>
  </si>
  <si>
    <t>Request OR</t>
  </si>
  <si>
    <t>CS-2024-09-029</t>
  </si>
  <si>
    <t>CS-2024-09-030</t>
  </si>
  <si>
    <t>CS-2024-09-031</t>
  </si>
  <si>
    <t>TF-2024-10-0610</t>
  </si>
  <si>
    <t>584484</t>
  </si>
  <si>
    <t>CS-2024-09-032</t>
  </si>
  <si>
    <t>CS-2024-09-033</t>
  </si>
  <si>
    <t>T-2024-006</t>
  </si>
  <si>
    <t>Disregard; See CS-2024-033</t>
  </si>
  <si>
    <t>CS-2024-09-033b</t>
  </si>
  <si>
    <t>Disregard; See CS-2024-036</t>
  </si>
  <si>
    <t>CS-2024-034</t>
  </si>
  <si>
    <t>584828</t>
  </si>
  <si>
    <t>CS-2024-035</t>
  </si>
  <si>
    <t>CS-2024-036</t>
  </si>
  <si>
    <t>Disregard; See CS-2024-039</t>
  </si>
  <si>
    <t>CS-2024-037</t>
  </si>
  <si>
    <t>CS-2024-038</t>
  </si>
  <si>
    <t>T-2024-007</t>
  </si>
  <si>
    <t>Basic Mol to NGS</t>
  </si>
  <si>
    <t>OR not in file; Deposit slip only</t>
  </si>
  <si>
    <t>CS-2024-039</t>
  </si>
  <si>
    <t>2024-11-2406</t>
  </si>
  <si>
    <t>0587742</t>
  </si>
  <si>
    <t>OR Released</t>
  </si>
  <si>
    <t>CS-2024-040</t>
  </si>
  <si>
    <t>RF-2024-11-01783</t>
  </si>
  <si>
    <t>587978</t>
  </si>
  <si>
    <t>Request for OR copy from Mau</t>
  </si>
  <si>
    <t>CS-2024-041</t>
  </si>
  <si>
    <t>T-2024-005</t>
  </si>
  <si>
    <t>Extraction and PCR</t>
  </si>
  <si>
    <t>Follow up</t>
  </si>
  <si>
    <t>CS-2024-042</t>
  </si>
  <si>
    <t>Extraction, 16s Metagenomics, Bioinformatics Analysis</t>
  </si>
  <si>
    <t>Requested change of date to Dec. 6, 2024; Original CS sent</t>
  </si>
  <si>
    <t>CS-2024-043</t>
  </si>
  <si>
    <t>Type 1 Water</t>
  </si>
  <si>
    <t>0587319</t>
  </si>
  <si>
    <t>4 Liters remaining ao Feb 10</t>
  </si>
  <si>
    <t>CS-2024-044</t>
  </si>
  <si>
    <t>Omics + Bioinfo</t>
  </si>
  <si>
    <t>16s and WGS</t>
  </si>
  <si>
    <t>2024-12-2618</t>
  </si>
  <si>
    <t>Waiting for DV from client for OR Request</t>
  </si>
  <si>
    <t>CS-2025-001</t>
  </si>
  <si>
    <t>spectro and micropipette</t>
  </si>
  <si>
    <t>waiting for OR from Cash Office</t>
  </si>
  <si>
    <t>CS-2025-002</t>
  </si>
  <si>
    <t>WGS (1 sample)</t>
  </si>
  <si>
    <t>CS-2025-003</t>
  </si>
  <si>
    <t xml:space="preserve">Amplicon Sequencing of Bacterial and Fungal Isolates </t>
  </si>
  <si>
    <t>20 samples</t>
  </si>
  <si>
    <t xml:space="preserve">thru Bank Transfer </t>
  </si>
  <si>
    <t>waiting for cash office</t>
  </si>
  <si>
    <t>CS-2025-004</t>
  </si>
  <si>
    <t>Purchase of Type 2 water/distilled</t>
  </si>
  <si>
    <t>4 liters water</t>
  </si>
  <si>
    <t>CS-2025-005</t>
  </si>
  <si>
    <t>6 samples
WGS
Extraction to Bioinformatics Analysis</t>
  </si>
  <si>
    <t>CS-2025-006</t>
  </si>
  <si>
    <t>3 Liters Type II Water</t>
  </si>
  <si>
    <t>CS-2025-007</t>
  </si>
  <si>
    <t>0593061</t>
  </si>
  <si>
    <t>CS-2025-008</t>
  </si>
  <si>
    <t>For Pick up on Wedenesday (Feb 12); waiting for OR</t>
  </si>
  <si>
    <t>CS-2025-009</t>
  </si>
  <si>
    <t>T-2025-001</t>
  </si>
  <si>
    <t>Hands-on Training on Whole Genome Sequencing and Bioinformatics Analysis</t>
  </si>
  <si>
    <t>4 days Training Lecture + Hands-on
With Meals</t>
  </si>
  <si>
    <t>CS-2025-010</t>
  </si>
  <si>
    <t>Extraction - Amplicon Sequencing</t>
  </si>
  <si>
    <t>CS-2025-011</t>
  </si>
  <si>
    <t>16s Metagenomics Workflow - 15 Samples</t>
  </si>
  <si>
    <t>CS-2025-012</t>
  </si>
  <si>
    <t>T-2025-002</t>
  </si>
  <si>
    <t>Fundamentals of Molecular Techniques: From RT-PCR Testing for COVID-19 to Next Generation Sequencing and Bioinformatics</t>
  </si>
  <si>
    <t>COVID-19 Workflow
No Meals</t>
  </si>
  <si>
    <t>0594050</t>
  </si>
  <si>
    <t>CS-2025-013</t>
  </si>
  <si>
    <t>Phylogenetic Tree</t>
  </si>
  <si>
    <t>waiting for OR from Cash Office, proof of payment cc'ed to bioinfo mail</t>
  </si>
  <si>
    <t>CS-2025-014</t>
  </si>
  <si>
    <t>4 days Training Lecture + Hands-on
No meals</t>
  </si>
  <si>
    <t>thru Cash Office</t>
  </si>
  <si>
    <t>0594730</t>
  </si>
  <si>
    <t>CS-2025-015</t>
  </si>
  <si>
    <t>Use of Equipment</t>
  </si>
  <si>
    <t>CS-2025-016</t>
  </si>
  <si>
    <t>Transcriptomics and Amplicon Sequencing and Bioinformatics Analysis</t>
  </si>
  <si>
    <t>CS-2025-017</t>
  </si>
  <si>
    <t>CS-2025-018</t>
  </si>
  <si>
    <t>Extraction, PCR, amplicon Seq</t>
  </si>
  <si>
    <t>CS-2025-019</t>
  </si>
  <si>
    <t>Lab Service- Plant ID</t>
  </si>
  <si>
    <t>revised</t>
  </si>
  <si>
    <t>CS-2025-020/VMENF-SOA-2025-002</t>
  </si>
  <si>
    <t>0596001</t>
  </si>
  <si>
    <t>CS-2025-021</t>
  </si>
  <si>
    <t>CS-2025-022</t>
  </si>
  <si>
    <t>0596552</t>
  </si>
  <si>
    <t>CS-2025-022.jpg</t>
  </si>
  <si>
    <t>CS-2025-023</t>
  </si>
  <si>
    <t>Extraction to Amplicon and 16s Metagenomics Sequencing
3 samples</t>
  </si>
  <si>
    <t>CS-2025-024</t>
  </si>
  <si>
    <t>DNA Extraction and PCR of bacterial isolates</t>
  </si>
  <si>
    <t>Extraction and 16S PCR</t>
  </si>
  <si>
    <t>0596852</t>
  </si>
  <si>
    <t>CS-2025-024.jpg</t>
  </si>
  <si>
    <t>CS-2025-025</t>
  </si>
  <si>
    <t>DNA Extraction, PCR and Amplicon Sequencing</t>
  </si>
  <si>
    <t>CS-2025-026</t>
  </si>
  <si>
    <t>DNA extraction, PCR and Metagenomics</t>
  </si>
  <si>
    <t>0596930</t>
  </si>
  <si>
    <t>CS-2025-027</t>
  </si>
  <si>
    <t>6 samples
Amplicon Sequencing</t>
  </si>
  <si>
    <t>0596857</t>
  </si>
  <si>
    <t>CS-2025-028</t>
  </si>
  <si>
    <t>2 samples
16s Metagenomics
Extraction to Bioinformatics Analysis</t>
  </si>
  <si>
    <t>CS-2025-029</t>
  </si>
  <si>
    <t>DNA extraction, DNA Quant</t>
  </si>
  <si>
    <t>0598697</t>
  </si>
  <si>
    <t>CS-2025-029.jpg</t>
  </si>
  <si>
    <t>CS-2025-030</t>
  </si>
  <si>
    <t>T-2025-003</t>
  </si>
  <si>
    <t>Amplicon Sequencing &amp; Bioinformatics Analysis</t>
  </si>
  <si>
    <t>CS-2025-031</t>
  </si>
  <si>
    <t>Basic Mol</t>
  </si>
  <si>
    <t>0598981</t>
  </si>
  <si>
    <t>CS-2025-031.png</t>
  </si>
  <si>
    <t>CS-2025-032</t>
  </si>
  <si>
    <t>DNA Extraction and PCR of plants</t>
  </si>
  <si>
    <t>0601655</t>
  </si>
  <si>
    <t>CS-2025-032.png</t>
  </si>
  <si>
    <t>CS-2025-033</t>
  </si>
  <si>
    <t>0601658</t>
  </si>
  <si>
    <t>CS-2025-033.jpg</t>
  </si>
  <si>
    <t>CS-2025-034</t>
  </si>
  <si>
    <t>DNA Extraction, PCR and Amplicon Sequencing, WGS and Bioinformatics Analysis</t>
  </si>
  <si>
    <t>CS-2025-035</t>
  </si>
  <si>
    <t>Amplicon Sequencing</t>
  </si>
  <si>
    <t>CS-2025-036</t>
  </si>
  <si>
    <t>16s Metagenomics Sequencing &amp; Bioinformatics Analysis</t>
  </si>
  <si>
    <t>Thru bank transfer</t>
  </si>
  <si>
    <t>CS-2025-037</t>
  </si>
  <si>
    <t>Tetracycline Residues in Chicken Meat Sold in Passi City, Iloilo</t>
  </si>
  <si>
    <t>0609581</t>
  </si>
  <si>
    <t>CS-2025-038</t>
  </si>
  <si>
    <t>DNA Extraction, PCR, Amplicon Sequencing</t>
  </si>
  <si>
    <t>Basic Mol;Amplicon Sequencing</t>
  </si>
  <si>
    <t>Ref number: MBADD25082816424553026710</t>
  </si>
  <si>
    <t>CS-2025-039</t>
  </si>
  <si>
    <t>16s Metagenomics Sequencing</t>
  </si>
  <si>
    <t>CS-2025-040</t>
  </si>
  <si>
    <t>CS-2025-041</t>
  </si>
  <si>
    <t>Laboratory Service, Bioinformatics Analysis</t>
  </si>
  <si>
    <t>Extraction to Bioinformatics Analysis (16S Meta)</t>
  </si>
  <si>
    <t>CS-2025-042</t>
  </si>
  <si>
    <t>Extraction to Bioinformatics Analysis (WGS)</t>
  </si>
  <si>
    <t>thru cash office</t>
  </si>
  <si>
    <t>0608996</t>
  </si>
  <si>
    <t>CS-2025-043</t>
  </si>
  <si>
    <t>0609004</t>
  </si>
  <si>
    <t>CS-2025-044</t>
  </si>
  <si>
    <t>Extraction toSequencing (WGS)</t>
  </si>
  <si>
    <t>CS-2025-045</t>
  </si>
  <si>
    <t>WGS Analysis</t>
  </si>
  <si>
    <t>CS-2025-046</t>
  </si>
  <si>
    <t>Training Workshop on Microsatellite Analysis and DNA Barcoding of Microbial Species</t>
  </si>
  <si>
    <t>Basic Mol &amp; Bioinformatics</t>
  </si>
  <si>
    <t>thru bank deposit</t>
  </si>
  <si>
    <t>0609510</t>
  </si>
  <si>
    <t>CS-2025-047</t>
  </si>
  <si>
    <t>CS-2025-048</t>
  </si>
  <si>
    <t>JOSHUA ADRIAN A. VALDEZ</t>
  </si>
  <si>
    <t>Hot Plate Stirrer</t>
  </si>
  <si>
    <t>0611601</t>
  </si>
  <si>
    <t>OR on file</t>
  </si>
  <si>
    <t>CS-2025-049</t>
  </si>
  <si>
    <t>CS-2025-050</t>
  </si>
  <si>
    <t>CS-2025-051</t>
  </si>
  <si>
    <t>CS-2025-052</t>
  </si>
  <si>
    <t>various equipment</t>
  </si>
  <si>
    <t>0615117</t>
  </si>
  <si>
    <t>CS-2025-053</t>
  </si>
  <si>
    <t>CS-2025-054</t>
  </si>
  <si>
    <t>Category</t>
  </si>
  <si>
    <t>Income</t>
  </si>
  <si>
    <t>TOTAL</t>
  </si>
  <si>
    <t>PGC Visayas Revenue</t>
  </si>
  <si>
    <t>Income as of December 31, 2024</t>
  </si>
  <si>
    <t>Processing</t>
  </si>
  <si>
    <t>Income January 2025 - September 15, 2025</t>
  </si>
  <si>
    <t>TOTAL REVENUE</t>
  </si>
  <si>
    <t>Expenses as of July 1, 2025</t>
  </si>
  <si>
    <t>% Increase</t>
  </si>
  <si>
    <t>Date Started</t>
  </si>
  <si>
    <t>Date Ended</t>
  </si>
  <si>
    <t>STATUS</t>
  </si>
  <si>
    <t>Tag
(Client Surname_Project Acronym and/or_Organism)</t>
  </si>
  <si>
    <t>Funding</t>
  </si>
  <si>
    <t>Equipment Used</t>
  </si>
  <si>
    <t>Omics Personnel</t>
  </si>
  <si>
    <t>Project Design to Implementation</t>
  </si>
  <si>
    <t>LEGEND:</t>
  </si>
  <si>
    <t>P-2019-</t>
  </si>
  <si>
    <t>No</t>
  </si>
  <si>
    <t>P-2020-</t>
  </si>
  <si>
    <t>Equipment Use - Omics Lab</t>
  </si>
  <si>
    <t>MultiSkan Sky, Qubit, Bio-Rad T100, Mupid One, Bio-Rad Gel Doc, Thomas Scientific Q700, Heidolph Unimax 1010, KF Duo Prime, Pipettors</t>
  </si>
  <si>
    <t>Carmel</t>
  </si>
  <si>
    <t>Black</t>
  </si>
  <si>
    <t>Ongoing Project</t>
  </si>
  <si>
    <t>EIDR</t>
  </si>
  <si>
    <t>Bio-Rad T100, MS Sky</t>
  </si>
  <si>
    <t>Green</t>
  </si>
  <si>
    <t>Completed Project</t>
  </si>
  <si>
    <t>Red</t>
  </si>
  <si>
    <t>Cancelled Project</t>
  </si>
  <si>
    <t>MultiSkan Sky, Qubit, Mupid One, Bio-Rad Gel Doc, Sartorius balance, CHC Laminar Flow, Pipettors</t>
  </si>
  <si>
    <t>Jasmine</t>
  </si>
  <si>
    <t>Assigned to:</t>
  </si>
  <si>
    <t>Bio-Rad T100, Mupid One, Bio-Rad Gel Doc, Pipettors, Minifuge</t>
  </si>
  <si>
    <t>Ma. Carmel F. Javier</t>
  </si>
  <si>
    <t>present</t>
  </si>
  <si>
    <t xml:space="preserve">Ice-Ice Transcriptomics </t>
  </si>
  <si>
    <t>MultiSkan Sky, Qubit, Bio-Rad Gel Doc, Mupid One, Pipettoors, Minifuge</t>
  </si>
  <si>
    <t>Jasmine C. Velo</t>
  </si>
  <si>
    <t>Marj Gem B. Bunda-Fajunio</t>
  </si>
  <si>
    <r>
      <rPr>
        <rFont val="Arial"/>
        <color rgb="FF000000"/>
        <sz val="10.0"/>
      </rPr>
      <t>Purification and Characterization of Linamarase from Lakan-1 and Java Variety Cassava (</t>
    </r>
    <r>
      <rPr>
        <rFont val="Arial"/>
        <i/>
        <color rgb="FF000000"/>
        <sz val="10.0"/>
      </rPr>
      <t xml:space="preserve">Manihot esculenta </t>
    </r>
    <r>
      <rPr>
        <rFont val="Arial"/>
        <color rgb="FF000000"/>
        <sz val="10.0"/>
      </rPr>
      <t>Crantz)</t>
    </r>
  </si>
  <si>
    <t>Bio-Rad Mini Protean, Bio-Rad Gel Doc, Pipettors</t>
  </si>
  <si>
    <t>PGCV Omics Lab Team</t>
  </si>
  <si>
    <t>Leonila F. Endoma</t>
  </si>
  <si>
    <t>MultiSkan Sky</t>
  </si>
  <si>
    <t>Bio-Rad T100, Mupid One, Bio-Rad Gel Doc, Pipettors, Microwave, Balance</t>
  </si>
  <si>
    <t>Operations Observation</t>
  </si>
  <si>
    <t>Marj</t>
  </si>
  <si>
    <t>P-2021-</t>
  </si>
  <si>
    <t>Nucleic Acid Extraction and Quantification</t>
  </si>
  <si>
    <t>DNA Extraction through Purelink Genomic DNA Kit; Qubit Fluorometry, MultiSkan Sky Spectrophotometry</t>
  </si>
  <si>
    <t>Bio-Rad T100, Mupid One, Bio-Rad Gel Doc, Heraus Pico 17, Sartorius analytical balance, Pipettors</t>
  </si>
  <si>
    <r>
      <rPr>
        <rFont val="Arial"/>
        <color rgb="FF000000"/>
        <sz val="10.0"/>
      </rPr>
      <t xml:space="preserve">Genetic Characterization of </t>
    </r>
    <r>
      <rPr>
        <rFont val="Arial"/>
        <i/>
        <color rgb="FF000000"/>
        <sz val="10.0"/>
      </rPr>
      <t xml:space="preserve">Macrobrachium </t>
    </r>
    <r>
      <rPr>
        <rFont val="Arial"/>
        <color rgb="FF000000"/>
        <sz val="10.0"/>
      </rPr>
      <t>populations in the Philippines for broodstock development and seed production</t>
    </r>
  </si>
  <si>
    <t>Nucleic Acid Extraction, Nucleic Acid Quantification, PCR, PCR Product Purification, Sequencing</t>
  </si>
  <si>
    <t>Omics Lab Team</t>
  </si>
  <si>
    <t>Yes</t>
  </si>
  <si>
    <t>Retail Sales - Liquid Nitrogen</t>
  </si>
  <si>
    <t>Nadelene</t>
  </si>
  <si>
    <t>Bioinfo Lab Team</t>
  </si>
  <si>
    <t>P-2022-</t>
  </si>
  <si>
    <t>CFX 96 Real Time PCR System</t>
  </si>
  <si>
    <t>Julia Regalado</t>
  </si>
  <si>
    <t>Qubit 4.0, Bio-Rad T100, Mupid One, Bio-Rad Gel Doc, Heraeus Picoo 17, Heidlph Unimax 1010, Sartorius analytical balance, -20 Freezer</t>
  </si>
  <si>
    <t>Chrstine Florece</t>
  </si>
  <si>
    <t>Karl Angelo Tenizo</t>
  </si>
  <si>
    <t>R Gaudiel</t>
  </si>
  <si>
    <t>Bio-Rad T100, Mupid One, Bio-Rad Gel Doc, Thermo Scientific Fresco 17</t>
  </si>
  <si>
    <t>Albert Noblezada</t>
  </si>
  <si>
    <t>JR Rasgo</t>
  </si>
  <si>
    <r>
      <rPr>
        <rFont val="Arial"/>
        <color rgb="FF000000"/>
        <sz val="10.0"/>
      </rPr>
      <t xml:space="preserve">Genetic Marker Assessment of 12s and 18s of </t>
    </r>
    <r>
      <rPr>
        <rFont val="Arial"/>
        <i/>
        <color rgb="FF000000"/>
        <sz val="10.0"/>
      </rPr>
      <t xml:space="preserve">Kappaphycus striatus </t>
    </r>
    <r>
      <rPr>
        <rFont val="Arial"/>
        <color rgb="FF000000"/>
        <sz val="10.0"/>
      </rPr>
      <t>collected in Palawan</t>
    </r>
  </si>
  <si>
    <t>Bio-Rad T100, Mupid One, Elma Easy 300H, Thermo Scientific Fresco 17, Operon ULTF</t>
  </si>
  <si>
    <t>LD Atencio</t>
  </si>
  <si>
    <t>Internal</t>
  </si>
  <si>
    <r>
      <rPr>
        <rFont val="Arial"/>
        <color theme="1"/>
      </rPr>
      <t xml:space="preserve">Dynamics of the Epibacterial Community Structure and Composition of </t>
    </r>
    <r>
      <rPr>
        <rFont val="Arial"/>
        <i/>
        <color theme="1"/>
      </rPr>
      <t xml:space="preserve">Kappaphycus alvarezii </t>
    </r>
    <r>
      <rPr>
        <rFont val="Arial"/>
        <color theme="1"/>
      </rPr>
      <t>in Response to Thermal-induced Ice-ice Disease</t>
    </r>
  </si>
  <si>
    <r>
      <rPr>
        <rFont val="Arial"/>
        <color theme="1"/>
      </rPr>
      <t xml:space="preserve">Assessment of Antimicrobial Activitiy of Selected Fungi from Tilapia Greenwater Technology Against </t>
    </r>
    <r>
      <rPr>
        <rFont val="Arial"/>
        <i/>
        <color theme="1"/>
      </rPr>
      <t>Vibrio parahaemolyticus</t>
    </r>
    <r>
      <rPr>
        <rFont val="Arial"/>
        <color theme="1"/>
      </rPr>
      <t xml:space="preserve"> in Blood Cockle, </t>
    </r>
    <r>
      <rPr>
        <rFont val="Arial"/>
        <i/>
        <color theme="1"/>
      </rPr>
      <t>Anadara granosa</t>
    </r>
  </si>
  <si>
    <t>Bio-Rad T100, Mupid One, Bio-Rad Gel Doc, Incubator, Biosafety Cabinet, Microcentrifuges</t>
  </si>
  <si>
    <t>PGC Visayas In-house</t>
  </si>
  <si>
    <t>Nucleic Acid Extraction and Quantification, PCR, Library Preparation, NGS</t>
  </si>
  <si>
    <t>Prof. Philip Alviola</t>
  </si>
  <si>
    <r>
      <rPr>
        <rFont val="Arial"/>
        <color theme="1"/>
      </rPr>
      <t>Whole Genome Sequencing of the Philippine spotted deer  (</t>
    </r>
    <r>
      <rPr>
        <rFont val="Arial"/>
        <i/>
        <color theme="1"/>
      </rPr>
      <t>Rusa alfredi</t>
    </r>
    <r>
      <rPr>
        <rFont val="Arial"/>
        <color theme="1"/>
      </rPr>
      <t>)</t>
    </r>
  </si>
  <si>
    <t>NGS</t>
  </si>
  <si>
    <t>Bio-Rad T100, Mupid One, Multiskan Sky Microplate Reader, Bio-Rad Gel Doc, Biosafety Cabinet, Microcentrifuges</t>
  </si>
  <si>
    <t>028-A</t>
  </si>
  <si>
    <r>
      <rPr>
        <rFont val="Arial"/>
        <color theme="1"/>
      </rPr>
      <t>Metagenomic Characterization of Oil-degrading Microbial Communities from Slipper-shaped Oyster (</t>
    </r>
    <r>
      <rPr>
        <rFont val="Arial"/>
        <i/>
        <color theme="1"/>
      </rPr>
      <t>Magallana bilineata</t>
    </r>
    <r>
      <rPr>
        <rFont val="Arial"/>
        <color theme="1"/>
      </rPr>
      <t>) in Oil-contaminated Areas along Iloilo Strait, Philippines</t>
    </r>
  </si>
  <si>
    <t>Bio-Rad T100, Mupid One, Qubit 4.0, Agilent Bioanalyzer, Multiskan Sky Microplate Reader</t>
  </si>
  <si>
    <t>028-B</t>
  </si>
  <si>
    <t>Metagenomics Analysis Pipeline</t>
  </si>
  <si>
    <t>Bioinfo Team</t>
  </si>
  <si>
    <t>Bio-Rad T100, Mupid One, Multiskan Sky Microplate Reader, Bio-Rad Gel Doc, Incubator, Biosafety Cabinet, Microcentrifuges</t>
  </si>
  <si>
    <t>Gel Doc XR+</t>
  </si>
  <si>
    <t>Equipment Use/Bioinformatics Analysis</t>
  </si>
  <si>
    <t>Workstation, Export Files to CSV for Client Use</t>
  </si>
  <si>
    <t>Equipment Use - Omics Lab and Micro Lab, NGS</t>
  </si>
  <si>
    <t>Labconco BSC, ALP autoclave, Binder incubator, Multiskan Sky MIcroplate Reader, Amplicon Sequencing</t>
  </si>
  <si>
    <t>Rommel J. Gestuveo</t>
  </si>
  <si>
    <t>Bio-rad T100, Bio-Rad CFX96, Mupid One, Bio-Rad Mini-Protean, Bio-Rad Gel Doc XR+, Refrigerated Microcentrifuge, Standard Microcentrifuge, Shaker Incubator, Julabo Water Bath, Sartorius Analytical, Liquid Nitrogen Tank and Generator, Storage Freezer, Ultralow Freezer, Vortex Mixer, Autoclave, Laminar Flow PCR Cabinet</t>
  </si>
  <si>
    <t>MultiSkan Sky Spectrophotometer, Thermo Scientific Fresco 17 Refrigerated Microcentrifuge,Heraeus Pico 17 Standard Microcentrifuge,Binder BD115 Incubator Cabinet, ESCO Biosafety Cabinet, loop sterilizer, minifuges</t>
  </si>
  <si>
    <t>Orbital shaker</t>
  </si>
  <si>
    <t>NAE, PCR, Cappilary Sequencing</t>
  </si>
  <si>
    <t>Analytical Balance
(Sartorious); Electrophoresis System</t>
  </si>
  <si>
    <t>NGS - 16s</t>
  </si>
  <si>
    <t>Dr. Zayda Halun</t>
  </si>
  <si>
    <t>P-2023-</t>
  </si>
  <si>
    <t>NGS - Amplicon Seq</t>
  </si>
  <si>
    <t>qPCR, PCR Cabinet, Minifuge, Micropipettors</t>
  </si>
  <si>
    <t>Equipment Use - Micro</t>
  </si>
  <si>
    <t>Multiskan Sky, Binder Incubator, Biosafety Cabinet, Loop Sterilizer, Autoclave, Micropipettors</t>
  </si>
  <si>
    <t>Antimicrobial Resistance Profigel of P aeroginosa Environmental Isolates from Iloilo River, Iloilo City</t>
  </si>
  <si>
    <t>Characterization Of Picophytoplankton Abundance And Distribution In Relation To Varying Environmental Conditions In The Bay Zone Of The Batan Bay Estuary</t>
  </si>
  <si>
    <t xml:space="preserve">Picophytoplankton Community Structure and Responses to Physicochemical Variations in the Back-Barrier Zone of Batan Bay Estuary
</t>
  </si>
  <si>
    <t>Private Local</t>
  </si>
  <si>
    <t>NAE, PCR, Capillary Sequencing</t>
  </si>
  <si>
    <t>NAE, PCR, NGS - Amplicon Seq</t>
  </si>
  <si>
    <t>Bench space, Micropipettors, Biosafety Cabinet</t>
  </si>
  <si>
    <t>AQFP 
(Calabon-Fungi)</t>
  </si>
  <si>
    <t>Equipment Use, NAE, PCR, NGS - Amplicon Seq</t>
  </si>
  <si>
    <r>
      <rPr>
        <rFont val="Arial"/>
        <color theme="1"/>
      </rPr>
      <t xml:space="preserve">Inhibitory Activity of </t>
    </r>
    <r>
      <rPr>
        <rFont val="Arial"/>
        <i/>
        <color theme="1"/>
      </rPr>
      <t xml:space="preserve">Vitex negundo (Lagundi) </t>
    </r>
    <r>
      <rPr>
        <rFont val="Arial"/>
        <color theme="1"/>
      </rPr>
      <t xml:space="preserve">Leaf Extract Against Biofilm Formation and Quorom Sensing of </t>
    </r>
    <r>
      <rPr>
        <rFont val="Arial"/>
        <i/>
        <color theme="1"/>
      </rPr>
      <t>Vibrio cholerae</t>
    </r>
  </si>
  <si>
    <t>NAE, PCR, qPCR</t>
  </si>
  <si>
    <t>Joseph Faisan</t>
  </si>
  <si>
    <t>NAE, PCR, NGS</t>
  </si>
  <si>
    <r>
      <rPr>
        <rFont val="Arial"/>
        <color theme="1"/>
      </rPr>
      <t xml:space="preserve">The Complete Mitogenome of </t>
    </r>
    <r>
      <rPr>
        <rFont val="Arial"/>
        <i/>
        <color theme="1"/>
      </rPr>
      <t>Placuna placenta</t>
    </r>
    <r>
      <rPr>
        <rFont val="Arial"/>
        <color theme="1"/>
      </rPr>
      <t xml:space="preserve"> and its Phylogenetic Implications</t>
    </r>
  </si>
  <si>
    <t>KIOST</t>
  </si>
  <si>
    <t>Equipment Use, CS</t>
  </si>
  <si>
    <t>qPCR</t>
  </si>
  <si>
    <r>
      <rPr>
        <rFont val="Arial"/>
        <color theme="1"/>
      </rPr>
      <t>Development of spawning and hatchery techniques for the blood cockle (</t>
    </r>
    <r>
      <rPr>
        <rFont val="Arial"/>
        <i/>
        <color theme="1"/>
      </rPr>
      <t>Anadara granosa</t>
    </r>
    <r>
      <rPr>
        <rFont val="Arial"/>
        <color theme="1"/>
      </rPr>
      <t>) for sustainable aquaculture</t>
    </r>
  </si>
  <si>
    <t>P-2024-</t>
  </si>
  <si>
    <t>NGS - Whole Genome Shotgun Sequencing</t>
  </si>
  <si>
    <t>Retail Sales - Type 2 (Pure/Elix) Water</t>
  </si>
  <si>
    <t>Ram Nikko Delegero</t>
  </si>
  <si>
    <t>uDrop Spectrophotometer, Thermal Cycler, Electrophoresis System, GelDoc, Standard Microcentrifuge, Heat block, Pipettors</t>
  </si>
  <si>
    <r>
      <rPr>
        <rFont val="Arial"/>
        <color theme="1"/>
      </rPr>
      <t>Development of Probiotics from roselle (</t>
    </r>
    <r>
      <rPr>
        <rFont val="Arial"/>
        <i/>
        <color theme="1"/>
      </rPr>
      <t>Hibiscus sabdariffa</t>
    </r>
    <r>
      <rPr>
        <rFont val="Arial"/>
        <color theme="1"/>
      </rPr>
      <t>), mulberry (</t>
    </r>
    <r>
      <rPr>
        <rFont val="Arial"/>
        <i/>
        <color theme="1"/>
      </rPr>
      <t>Morus alba</t>
    </r>
    <r>
      <rPr>
        <rFont val="Arial"/>
        <color theme="1"/>
      </rPr>
      <t>), and corn (</t>
    </r>
    <r>
      <rPr>
        <rFont val="Arial"/>
        <i/>
        <color theme="1"/>
      </rPr>
      <t>Zea mays</t>
    </r>
    <r>
      <rPr>
        <rFont val="Arial"/>
        <color theme="1"/>
      </rPr>
      <t>)</t>
    </r>
  </si>
  <si>
    <r>
      <rPr>
        <rFont val="Arial"/>
        <color theme="1"/>
      </rPr>
      <t>Development of Probiotics from roselle (</t>
    </r>
    <r>
      <rPr>
        <rFont val="Arial"/>
        <i/>
        <color theme="1"/>
      </rPr>
      <t>Hibiscus sabdariffa</t>
    </r>
    <r>
      <rPr>
        <rFont val="Arial"/>
        <color theme="1"/>
      </rPr>
      <t>), mulberry (</t>
    </r>
    <r>
      <rPr>
        <rFont val="Arial"/>
        <i/>
        <color theme="1"/>
      </rPr>
      <t>Morus alba</t>
    </r>
    <r>
      <rPr>
        <rFont val="Arial"/>
        <color theme="1"/>
      </rPr>
      <t>), and corn (</t>
    </r>
    <r>
      <rPr>
        <rFont val="Arial"/>
        <i/>
        <color theme="1"/>
      </rPr>
      <t>Zea mays</t>
    </r>
    <r>
      <rPr>
        <rFont val="Arial"/>
        <color theme="1"/>
      </rPr>
      <t>)</t>
    </r>
  </si>
  <si>
    <t>NAE, NGS - 16s Metegenomic Seq</t>
  </si>
  <si>
    <t>16S metagenomics of Corals from Nogas Island</t>
  </si>
  <si>
    <r>
      <rPr>
        <rFont val="Arial"/>
        <color theme="1"/>
      </rPr>
      <t>DNA Barcoding of Marine Microalgae (</t>
    </r>
    <r>
      <rPr>
        <rFont val="Arial"/>
        <i/>
        <color theme="1"/>
      </rPr>
      <t xml:space="preserve">Tetraselmis </t>
    </r>
    <r>
      <rPr>
        <rFont val="Arial"/>
        <color theme="1"/>
      </rPr>
      <t>sp.)</t>
    </r>
  </si>
  <si>
    <t>PCR, NAQ, Amplicon Seq, Bioinformatics Analysis</t>
  </si>
  <si>
    <r>
      <rPr>
        <rFont val="Arial"/>
        <color theme="1"/>
      </rPr>
      <t xml:space="preserve">Effects of pH and Temperature on the  Biofilm Formation  and </t>
    </r>
    <r>
      <rPr>
        <rFont val="Arial"/>
        <i/>
        <color theme="1"/>
      </rPr>
      <t>algD</t>
    </r>
    <r>
      <rPr>
        <rFont val="Arial"/>
        <color theme="1"/>
      </rPr>
      <t xml:space="preserve"> Gene Expression in </t>
    </r>
    <r>
      <rPr>
        <rFont val="Arial"/>
        <i/>
        <color theme="1"/>
      </rPr>
      <t>Pseudomonas aeruginosa</t>
    </r>
    <r>
      <rPr>
        <rFont val="Arial"/>
        <color theme="1"/>
      </rPr>
      <t xml:space="preserve"> Clinical Isolates</t>
    </r>
  </si>
  <si>
    <t>Karyl Jisabel D. Genosa</t>
  </si>
  <si>
    <t>CdC_Milkfish Gut Metagenome</t>
  </si>
  <si>
    <r>
      <rPr>
        <rFont val="Arial"/>
        <color theme="1"/>
      </rPr>
      <t xml:space="preserve">Evaluation on the use of </t>
    </r>
    <r>
      <rPr>
        <rFont val="Arial"/>
        <i/>
        <color theme="1"/>
      </rPr>
      <t>Lachancea</t>
    </r>
    <r>
      <rPr>
        <rFont val="Arial"/>
        <color theme="1"/>
      </rPr>
      <t xml:space="preserve"> spp. and </t>
    </r>
    <r>
      <rPr>
        <rFont val="Arial"/>
        <i/>
        <color theme="1"/>
      </rPr>
      <t>Nannochlopsis</t>
    </r>
    <r>
      <rPr>
        <rFont val="Arial"/>
        <color theme="1"/>
      </rPr>
      <t xml:space="preserve"> occulata paste to improve the yield and quality of rotifer Brachionus rotundiformis</t>
    </r>
  </si>
  <si>
    <t>NAE, NAQ</t>
  </si>
  <si>
    <t>RepPer SPIN (GE)</t>
  </si>
  <si>
    <t>NAE, NAQ, RT-PCR, Sequencing</t>
  </si>
  <si>
    <t xml:space="preserve">NAE, NAQ, NGS - 16s </t>
  </si>
  <si>
    <t>NAE, NAQ, NGS - WGS</t>
  </si>
  <si>
    <t>Dencee Marie Ledesma</t>
  </si>
  <si>
    <t>NAE, PCR, NGS - eDNA Metabarcoiding</t>
  </si>
  <si>
    <t>NAE</t>
  </si>
  <si>
    <t>NAE, NAQ, and Amplicon Sequencing</t>
  </si>
  <si>
    <t>Sept. 4, 2024</t>
  </si>
  <si>
    <t>Sequencing</t>
  </si>
  <si>
    <t>Sample Storage</t>
  </si>
  <si>
    <t>Clam WGS</t>
  </si>
  <si>
    <t>Bioinformatics(PopGen)</t>
  </si>
  <si>
    <t>Sept. 19, 2024</t>
  </si>
  <si>
    <t>Sept. 21, 2024</t>
  </si>
  <si>
    <t>Universal Primers (for Amplicon Seq)</t>
  </si>
  <si>
    <t>NAE to Sequencing</t>
  </si>
  <si>
    <t>UPV NEED PROJECT II</t>
  </si>
  <si>
    <r>
      <rPr>
        <rFont val="Arial"/>
        <color theme="1"/>
      </rPr>
      <t xml:space="preserve">Development of Brackishwater Nursery Culturing Systems for Tropical Anguilid Eel, </t>
    </r>
    <r>
      <rPr>
        <rFont val="Arial"/>
        <i/>
        <color theme="1"/>
      </rPr>
      <t>Anguilla marmorata</t>
    </r>
    <r>
      <rPr>
        <rFont val="Arial"/>
        <color theme="1"/>
      </rPr>
      <t>, in the Philippines</t>
    </r>
  </si>
  <si>
    <t>IFPT - Noveda</t>
  </si>
  <si>
    <t>Erica Victoria Diaz
Eric Zeus C. Rizo</t>
  </si>
  <si>
    <t>187/038</t>
  </si>
  <si>
    <t>As of July 31, 2024</t>
  </si>
  <si>
    <t>SUCs/HEIs</t>
  </si>
  <si>
    <t>Gov't Agencies</t>
  </si>
  <si>
    <t>Total</t>
  </si>
  <si>
    <t>Overall Total</t>
  </si>
  <si>
    <t>CLIENTS</t>
  </si>
  <si>
    <t>Total Clients</t>
  </si>
  <si>
    <t>PROJECTS</t>
  </si>
  <si>
    <t>Total Projects</t>
  </si>
  <si>
    <t>TRAINING REQUESTS</t>
  </si>
  <si>
    <t>PGC Visayas Funded</t>
  </si>
  <si>
    <t>Client Demographics 2024-2025</t>
  </si>
  <si>
    <t>Highschool</t>
  </si>
  <si>
    <t>Charge Slips 2024- 2025</t>
  </si>
  <si>
    <t>No. of Charge slips issued</t>
  </si>
  <si>
    <t>excluding cancelled</t>
  </si>
  <si>
    <t>Project</t>
  </si>
</sst>
</file>

<file path=xl/styles.xml><?xml version="1.0" encoding="utf-8"?>
<styleSheet xmlns="http://schemas.openxmlformats.org/spreadsheetml/2006/main" xmlns:x14ac="http://schemas.microsoft.com/office/spreadsheetml/2009/9/ac" xmlns:mc="http://schemas.openxmlformats.org/markup-compatibility/2006">
  <numFmts count="13">
    <numFmt numFmtId="164" formatCode="mmmm\ dd\,\ yyyy"/>
    <numFmt numFmtId="165" formatCode="[$-409]mmmm\ d\,\ yyyy"/>
    <numFmt numFmtId="166" formatCode="000"/>
    <numFmt numFmtId="167" formatCode="00000000000"/>
    <numFmt numFmtId="168" formatCode="mmmm d, yyyy"/>
    <numFmt numFmtId="169" formatCode="mmmm d. yyyy"/>
    <numFmt numFmtId="170" formatCode="[$₱]#,##0.00"/>
    <numFmt numFmtId="171" formatCode="mmmm&quot; &quot;d"/>
    <numFmt numFmtId="172" formatCode="M/d/yyyy"/>
    <numFmt numFmtId="173" formatCode="mmm&quot; &quot;d&quot;, &quot;yyyy"/>
    <numFmt numFmtId="174" formatCode="mmmm&quot; &quot;d&quot;, &quot;yyyy"/>
    <numFmt numFmtId="175" formatCode="[$-3409]mmmm\ dd\,\ yyyy"/>
    <numFmt numFmtId="176" formatCode="[$₱-3409]#,##0.00;\-[$₱-3409]#,##0.00"/>
  </numFmts>
  <fonts count="81">
    <font>
      <sz val="10.0"/>
      <color rgb="FF000000"/>
      <name val="Arial"/>
      <scheme val="minor"/>
    </font>
    <font>
      <b/>
      <sz val="10.0"/>
      <color theme="1"/>
      <name val="Arial"/>
    </font>
    <font>
      <b/>
      <sz val="10.0"/>
      <color rgb="FF000000"/>
      <name val="Arial"/>
    </font>
    <font>
      <b/>
      <sz val="12.0"/>
      <color rgb="FFFFFFFF"/>
      <name val="Arial"/>
    </font>
    <font>
      <sz val="10.0"/>
      <color theme="1"/>
      <name val="Arial"/>
    </font>
    <font>
      <sz val="10.0"/>
      <color rgb="FF000000"/>
      <name val="Arial"/>
    </font>
    <font>
      <b/>
      <sz val="12.0"/>
      <color theme="0"/>
      <name val="Arial"/>
    </font>
    <font>
      <sz val="10.0"/>
      <color theme="7"/>
      <name val="Arial"/>
    </font>
    <font>
      <u/>
      <sz val="10.0"/>
      <color theme="10"/>
      <name val="Arial"/>
    </font>
    <font>
      <sz val="10.0"/>
      <color rgb="FFFF0000"/>
      <name val="Arial"/>
    </font>
    <font>
      <color theme="1"/>
      <name val="Arial"/>
      <scheme val="minor"/>
    </font>
    <font>
      <u/>
      <sz val="10.0"/>
      <color rgb="FF0000FF"/>
      <name val="Arial"/>
    </font>
    <font>
      <u/>
      <sz val="10.0"/>
      <color theme="10"/>
      <name val="Arial"/>
    </font>
    <font>
      <sz val="10.0"/>
      <color rgb="FFFF9900"/>
      <name val="Arial"/>
    </font>
    <font>
      <color rgb="FF000000"/>
      <name val="Arial"/>
    </font>
    <font>
      <sz val="11.0"/>
      <color rgb="FF222222"/>
      <name val="&quot;Google Sans&quot;"/>
    </font>
    <font>
      <color rgb="FF222222"/>
      <name val="Arial"/>
    </font>
    <font>
      <sz val="10.0"/>
      <color rgb="FF222222"/>
      <name val="Arial"/>
      <scheme val="minor"/>
    </font>
    <font>
      <color rgb="FF000000"/>
      <name val="Arial"/>
      <scheme val="minor"/>
    </font>
    <font>
      <color theme="1"/>
      <name val="Arial"/>
    </font>
    <font>
      <sz val="11.0"/>
      <color rgb="FF5E5E5E"/>
      <name val="&quot;Google Sans&quot;"/>
    </font>
    <font>
      <color theme="7"/>
      <name val="Arial"/>
      <scheme val="minor"/>
    </font>
    <font>
      <color rgb="FFFF0000"/>
      <name val="Arial"/>
      <scheme val="minor"/>
    </font>
    <font>
      <color rgb="FF38761D"/>
      <name val="Arial"/>
      <scheme val="minor"/>
    </font>
    <font>
      <b/>
      <color theme="1"/>
      <name val="Arial"/>
      <scheme val="minor"/>
    </font>
    <font>
      <b/>
      <sz val="11.0"/>
      <color theme="1"/>
      <name val="Arial"/>
    </font>
    <font>
      <b/>
      <sz val="11.0"/>
      <color rgb="FF000000"/>
      <name val="Arial"/>
    </font>
    <font>
      <sz val="11.0"/>
      <color theme="1"/>
      <name val="Arial"/>
    </font>
    <font>
      <b/>
      <sz val="16.0"/>
      <color theme="1"/>
      <name val="Arial"/>
    </font>
    <font/>
    <font>
      <sz val="30.0"/>
      <color theme="1"/>
      <name val="Arial"/>
    </font>
    <font>
      <b/>
      <sz val="10.0"/>
      <color rgb="FFFFFFFF"/>
      <name val="Arial"/>
    </font>
    <font>
      <sz val="11.0"/>
      <color rgb="FFFFFFFF"/>
      <name val="Arial"/>
    </font>
    <font>
      <color theme="1"/>
      <name val="Roboto"/>
    </font>
    <font>
      <color rgb="FFFFFFFF"/>
      <name val="Roboto"/>
    </font>
    <font>
      <b/>
      <color theme="1"/>
      <name val="Roboto"/>
    </font>
    <font>
      <sz val="10.0"/>
      <color rgb="FFFFFFFF"/>
      <name val="Arial"/>
    </font>
    <font>
      <color rgb="FFFFFFFF"/>
      <name val="Arial"/>
      <scheme val="minor"/>
    </font>
    <font>
      <b/>
      <color rgb="FF000000"/>
      <name val="Arial"/>
    </font>
    <font>
      <u/>
      <sz val="10.0"/>
      <color theme="10"/>
      <name val="Arial"/>
    </font>
    <font>
      <u/>
      <sz val="10.0"/>
      <color rgb="FF0000FF"/>
      <name val="Arial"/>
    </font>
    <font>
      <b/>
      <color rgb="FF222222"/>
      <name val="Arial"/>
    </font>
    <font>
      <b/>
      <color rgb="FF000000"/>
      <name val="Arial"/>
      <scheme val="minor"/>
    </font>
    <font>
      <u/>
      <color rgb="FF1155CC"/>
      <name val="&quot;Google Sans&quot;"/>
    </font>
    <font>
      <u/>
      <color theme="1"/>
      <name val="Arial"/>
      <scheme val="minor"/>
    </font>
    <font>
      <b/>
      <color rgb="FF118D8B"/>
      <name val="Arial"/>
    </font>
    <font>
      <sz val="10.0"/>
      <color rgb="FF434343"/>
      <name val="Roboto"/>
    </font>
    <font>
      <b/>
      <color rgb="FF00B050"/>
      <name val="Roboto"/>
    </font>
    <font>
      <color rgb="FF674EA7"/>
      <name val="Roboto"/>
    </font>
    <font>
      <u/>
      <sz val="10.0"/>
      <color rgb="FF674EA7"/>
      <name val="Arial"/>
    </font>
    <font>
      <sz val="10.0"/>
      <color rgb="FF000000"/>
      <name val="Roboto"/>
    </font>
    <font>
      <sz val="10.0"/>
      <color rgb="FF434343"/>
      <name val="Arial"/>
    </font>
    <font>
      <b/>
      <sz val="10.0"/>
      <color rgb="FF00B050"/>
      <name val="Arial"/>
    </font>
    <font>
      <b/>
      <color rgb="FF118D8B"/>
      <name val="Arial"/>
      <scheme val="minor"/>
    </font>
    <font>
      <sz val="10.0"/>
      <color rgb="FF674EA7"/>
      <name val="Arial"/>
    </font>
    <font>
      <color rgb="FF674EA7"/>
      <name val="Arial"/>
      <scheme val="minor"/>
    </font>
    <font>
      <color rgb="FFFFFFFF"/>
      <name val="Arial"/>
    </font>
    <font>
      <color rgb="FF434343"/>
      <name val="Arial"/>
    </font>
    <font>
      <b/>
      <color rgb="FF00B050"/>
      <name val="Arial"/>
    </font>
    <font>
      <u/>
      <color rgb="FF674EA7"/>
      <name val="Roboto"/>
    </font>
    <font>
      <color rgb="FF434343"/>
      <name val="Arial"/>
      <scheme val="minor"/>
    </font>
    <font>
      <sz val="10.0"/>
      <color rgb="FF00B050"/>
      <name val="Arial"/>
    </font>
    <font>
      <b/>
      <color rgb="FF00B050"/>
      <name val="Arial"/>
      <scheme val="minor"/>
    </font>
    <font>
      <color rgb="FF00B050"/>
      <name val="Arial"/>
      <scheme val="minor"/>
    </font>
    <font>
      <color rgb="FF00B050"/>
      <name val="Arial"/>
    </font>
    <font>
      <u/>
      <color rgb="FF674EA7"/>
      <name val="Roboto"/>
    </font>
    <font>
      <color rgb="FF000000"/>
      <name val="Roboto"/>
    </font>
    <font>
      <b/>
      <color rgb="FF118D8B"/>
      <name val="Roboto"/>
    </font>
    <font>
      <color rgb="FF434343"/>
      <name val="Roboto"/>
    </font>
    <font>
      <b/>
      <sz val="10.0"/>
      <color rgb="FF118D8B"/>
      <name val="Arial"/>
    </font>
    <font>
      <u/>
      <sz val="10.0"/>
      <color theme="1"/>
      <name val="Arial"/>
    </font>
    <font>
      <u/>
      <sz val="10.0"/>
      <color theme="1"/>
      <name val="Arial"/>
    </font>
    <font>
      <u/>
      <sz val="10.0"/>
      <color rgb="FF0000FF"/>
      <name val="Arial"/>
    </font>
    <font>
      <u/>
      <sz val="10.0"/>
      <color theme="1"/>
      <name val="Arial"/>
    </font>
    <font>
      <b/>
      <color rgb="FF3D85C6"/>
      <name val="Arial"/>
      <scheme val="minor"/>
    </font>
    <font>
      <b/>
      <color rgb="FF38761D"/>
      <name val="Arial"/>
      <scheme val="minor"/>
    </font>
    <font>
      <sz val="10.0"/>
      <color rgb="FF222222"/>
      <name val="Arial"/>
    </font>
    <font>
      <i/>
      <color theme="1"/>
      <name val="Arial"/>
      <scheme val="minor"/>
    </font>
    <font>
      <b/>
      <i/>
      <color rgb="FF000000"/>
      <name val="Arial"/>
    </font>
    <font>
      <b/>
      <sz val="12.0"/>
      <color theme="1"/>
      <name val="Arial"/>
      <scheme val="minor"/>
    </font>
    <font>
      <sz val="12.0"/>
      <color theme="1"/>
      <name val="Arial"/>
      <scheme val="minor"/>
    </font>
  </fonts>
  <fills count="14">
    <fill>
      <patternFill patternType="none"/>
    </fill>
    <fill>
      <patternFill patternType="lightGray"/>
    </fill>
    <fill>
      <patternFill patternType="solid">
        <fgColor rgb="FF7030A0"/>
        <bgColor rgb="FF7030A0"/>
      </patternFill>
    </fill>
    <fill>
      <patternFill patternType="solid">
        <fgColor rgb="FFFFFFFF"/>
        <bgColor rgb="FFFFFFFF"/>
      </patternFill>
    </fill>
    <fill>
      <patternFill patternType="solid">
        <fgColor rgb="FFF4CCCC"/>
        <bgColor rgb="FFF4CCCC"/>
      </patternFill>
    </fill>
    <fill>
      <patternFill patternType="solid">
        <fgColor rgb="FFD9EAD3"/>
        <bgColor rgb="FFD9EAD3"/>
      </patternFill>
    </fill>
    <fill>
      <patternFill patternType="solid">
        <fgColor rgb="FF356854"/>
        <bgColor rgb="FF356854"/>
      </patternFill>
    </fill>
    <fill>
      <patternFill patternType="solid">
        <fgColor rgb="FF00B050"/>
        <bgColor rgb="FF00B050"/>
      </patternFill>
    </fill>
    <fill>
      <patternFill patternType="solid">
        <fgColor rgb="FFBFE1F6"/>
        <bgColor rgb="FFBFE1F6"/>
      </patternFill>
    </fill>
    <fill>
      <patternFill patternType="solid">
        <fgColor rgb="FFD4EDBC"/>
        <bgColor rgb="FFD4EDBC"/>
      </patternFill>
    </fill>
    <fill>
      <patternFill patternType="solid">
        <fgColor rgb="FFFAD9F3"/>
        <bgColor rgb="FFFAD9F3"/>
      </patternFill>
    </fill>
    <fill>
      <patternFill patternType="solid">
        <fgColor rgb="FFFFC8AA"/>
        <bgColor rgb="FFFFC8AA"/>
      </patternFill>
    </fill>
    <fill>
      <patternFill patternType="solid">
        <fgColor rgb="FFE6CFF2"/>
        <bgColor rgb="FFE6CFF2"/>
      </patternFill>
    </fill>
    <fill>
      <patternFill patternType="solid">
        <fgColor rgb="FF11734B"/>
        <bgColor rgb="FF11734B"/>
      </patternFill>
    </fill>
  </fills>
  <borders count="28">
    <border/>
    <border>
      <left/>
      <top/>
      <bottom/>
    </border>
    <border>
      <top/>
      <bottom/>
    </border>
    <border>
      <right/>
      <top/>
      <bottom/>
    </border>
    <border>
      <left style="dotted">
        <color rgb="FF000000"/>
      </left>
      <top style="dotted">
        <color rgb="FF000000"/>
      </top>
    </border>
    <border>
      <top style="dotted">
        <color rgb="FF000000"/>
      </top>
    </border>
    <border>
      <left style="dotted">
        <color rgb="FF000000"/>
      </left>
      <bottom style="dotted">
        <color rgb="FF000000"/>
      </bottom>
    </border>
    <border>
      <bottom style="dotted">
        <color rgb="FF000000"/>
      </bottom>
    </border>
    <border>
      <bottom style="double">
        <color rgb="FF000000"/>
      </bottom>
    </border>
    <border>
      <right style="thin">
        <color rgb="FFD9D9D9"/>
      </right>
      <top style="thin">
        <color rgb="FFD9D9D9"/>
      </top>
      <bottom style="thin">
        <color rgb="FFD9D9D9"/>
      </bottom>
    </border>
    <border>
      <left style="thin">
        <color rgb="FFD9D9D9"/>
      </left>
      <right style="thin">
        <color rgb="FFD9D9D9"/>
      </right>
      <top style="thin">
        <color rgb="FFD9D9D9"/>
      </top>
      <bottom style="thin">
        <color rgb="FFD9D9D9"/>
      </bottom>
    </border>
    <border>
      <left style="thin">
        <color rgb="FFD9D9D9"/>
      </left>
      <top style="thin">
        <color rgb="FFD9D9D9"/>
      </top>
      <bottom style="thin">
        <color rgb="FFD9D9D9"/>
      </bottom>
    </border>
    <border>
      <left style="thin">
        <color rgb="FFD9D9D9"/>
      </left>
      <right style="thin">
        <color rgb="FFD9D9D9"/>
      </right>
      <top style="thin">
        <color rgb="FFD9D9D9"/>
      </top>
    </border>
    <border>
      <left style="thin">
        <color rgb="FFD9D9D9"/>
      </left>
      <right style="thin">
        <color rgb="FFD9D9D9"/>
      </right>
      <bottom style="thin">
        <color rgb="FFD9D9D9"/>
      </bottom>
    </border>
    <border>
      <left style="thin">
        <color rgb="FFD9D9D9"/>
      </left>
      <right style="thin">
        <color rgb="FFD9D9D9"/>
      </right>
    </border>
    <border>
      <left style="thin">
        <color rgb="FFD9D9D9"/>
      </left>
      <right style="thin">
        <color rgb="FFD9D9D9"/>
      </right>
      <top style="thin">
        <color rgb="FFD9D9D9"/>
      </top>
      <bottom style="thick">
        <color rgb="FF000000"/>
      </bottom>
    </border>
    <border>
      <left style="thin">
        <color rgb="FFD9D9D9"/>
      </left>
      <right style="thin">
        <color rgb="FFD9D9D9"/>
      </right>
      <bottom style="thick">
        <color rgb="FF000000"/>
      </bottom>
    </border>
    <border>
      <top style="medium">
        <color rgb="FF000000"/>
      </top>
    </border>
    <border>
      <right style="thin">
        <color rgb="FFD9D9D9"/>
      </right>
      <top style="medium">
        <color rgb="FF000000"/>
      </top>
      <bottom style="thin">
        <color rgb="FFD9D9D9"/>
      </bottom>
    </border>
    <border>
      <left style="thin">
        <color rgb="FFD9D9D9"/>
      </left>
      <top style="medium">
        <color rgb="FF000000"/>
      </top>
      <bottom style="thin">
        <color rgb="FFD9D9D9"/>
      </bottom>
    </border>
    <border>
      <left style="thin">
        <color rgb="FFD9D9D9"/>
      </left>
      <right style="thin">
        <color rgb="FFD9D9D9"/>
      </right>
      <top style="medium">
        <color rgb="FF000000"/>
      </top>
      <bottom style="thin">
        <color rgb="FFD9D9D9"/>
      </bottom>
    </border>
    <border>
      <left style="thin">
        <color rgb="FFD9D9D9"/>
      </left>
      <right style="thin">
        <color rgb="FFD9D9D9"/>
      </right>
      <top style="medium">
        <color rgb="FF000000"/>
      </top>
    </border>
    <border>
      <right style="thin">
        <color rgb="FFD9D9D9"/>
      </right>
    </border>
    <border>
      <right style="thin">
        <color rgb="FFD9D9D9"/>
      </right>
      <bottom style="thin">
        <color rgb="FFD9D9D9"/>
      </bottom>
    </border>
    <border>
      <right style="thin">
        <color rgb="FFD9D9D9"/>
      </right>
      <top style="thin">
        <color rgb="FFD9D9D9"/>
      </top>
    </border>
    <border>
      <bottom style="thin">
        <color rgb="FF000000"/>
      </bottom>
    </border>
    <border>
      <top style="thin">
        <color rgb="FF000000"/>
      </top>
      <bottom style="thin">
        <color rgb="FF000000"/>
      </bottom>
    </border>
    <border>
      <top style="thin">
        <color rgb="FF000000"/>
      </top>
    </border>
  </borders>
  <cellStyleXfs count="1">
    <xf borderId="0" fillId="0" fontId="0" numFmtId="0" applyAlignment="1" applyFont="1"/>
  </cellStyleXfs>
  <cellXfs count="739">
    <xf borderId="0" fillId="0" fontId="0" numFmtId="0" xfId="0" applyAlignment="1" applyFont="1">
      <alignment readingOrder="0" shrinkToFit="0" vertical="bottom" wrapText="0"/>
    </xf>
    <xf borderId="0" fillId="0" fontId="1" numFmtId="0" xfId="0" applyAlignment="1" applyFont="1">
      <alignment horizontal="center"/>
    </xf>
    <xf borderId="0" fillId="0" fontId="1" numFmtId="0" xfId="0" applyAlignment="1" applyFont="1">
      <alignment horizontal="center" readingOrder="0" shrinkToFit="0" wrapText="1"/>
    </xf>
    <xf borderId="0" fillId="0" fontId="1" numFmtId="0" xfId="0" applyAlignment="1" applyFont="1">
      <alignment horizontal="right" shrinkToFit="0" wrapText="1"/>
    </xf>
    <xf borderId="0" fillId="0" fontId="1" numFmtId="0" xfId="0" applyAlignment="1" applyFont="1">
      <alignment horizontal="center" readingOrder="0"/>
    </xf>
    <xf borderId="0" fillId="0" fontId="1" numFmtId="0" xfId="0" applyAlignment="1" applyFont="1">
      <alignment horizontal="center" shrinkToFit="0" wrapText="1"/>
    </xf>
    <xf borderId="0" fillId="0" fontId="2" numFmtId="0" xfId="0" applyAlignment="1" applyFont="1">
      <alignment horizontal="center" shrinkToFit="0" wrapText="1"/>
    </xf>
    <xf borderId="0" fillId="0" fontId="2" numFmtId="0" xfId="0" applyAlignment="1" applyFont="1">
      <alignment horizontal="center"/>
    </xf>
    <xf quotePrefix="1" borderId="1" fillId="2" fontId="3" numFmtId="0" xfId="0" applyAlignment="1" applyBorder="1" applyFill="1" applyFont="1">
      <alignment readingOrder="0"/>
    </xf>
    <xf borderId="2" fillId="2" fontId="3" numFmtId="0" xfId="0" applyAlignment="1" applyBorder="1" applyFont="1">
      <alignment readingOrder="0"/>
    </xf>
    <xf borderId="3" fillId="2" fontId="3" numFmtId="0" xfId="0" applyAlignment="1" applyBorder="1" applyFont="1">
      <alignment readingOrder="0"/>
    </xf>
    <xf borderId="0" fillId="0" fontId="4" numFmtId="164" xfId="0" applyAlignment="1" applyFont="1" applyNumberFormat="1">
      <alignment readingOrder="0"/>
    </xf>
    <xf borderId="0" fillId="0" fontId="4" numFmtId="0" xfId="0" applyAlignment="1" applyFont="1">
      <alignment readingOrder="0"/>
    </xf>
    <xf borderId="0" fillId="0" fontId="4" numFmtId="164" xfId="0" applyAlignment="1" applyFont="1" applyNumberFormat="1">
      <alignment horizontal="center"/>
    </xf>
    <xf borderId="0" fillId="0" fontId="4" numFmtId="0" xfId="0" applyAlignment="1" applyFont="1">
      <alignment horizontal="right" readingOrder="0"/>
    </xf>
    <xf quotePrefix="1" borderId="0" fillId="0" fontId="4" numFmtId="0" xfId="0" applyAlignment="1" applyFont="1">
      <alignment horizontal="left" readingOrder="0"/>
    </xf>
    <xf borderId="0" fillId="0" fontId="5" numFmtId="0" xfId="0" applyAlignment="1" applyFont="1">
      <alignment readingOrder="0"/>
    </xf>
    <xf borderId="0" fillId="0" fontId="4" numFmtId="164" xfId="0" applyAlignment="1" applyFont="1" applyNumberFormat="1">
      <alignment shrinkToFit="0" wrapText="1"/>
    </xf>
    <xf borderId="0" fillId="0" fontId="4" numFmtId="164" xfId="0" applyFont="1" applyNumberFormat="1"/>
    <xf borderId="0" fillId="0" fontId="6" numFmtId="164" xfId="0" applyFont="1" applyNumberFormat="1"/>
    <xf quotePrefix="1" borderId="1" fillId="2" fontId="6" numFmtId="164" xfId="0" applyBorder="1" applyFont="1" applyNumberFormat="1"/>
    <xf borderId="2" fillId="2" fontId="6" numFmtId="164" xfId="0" applyBorder="1" applyFont="1" applyNumberFormat="1"/>
    <xf borderId="3" fillId="2" fontId="6" numFmtId="164" xfId="0" applyBorder="1" applyFont="1" applyNumberFormat="1"/>
    <xf borderId="0" fillId="0" fontId="5" numFmtId="165" xfId="0" applyFont="1" applyNumberFormat="1"/>
    <xf borderId="0" fillId="0" fontId="5" numFmtId="0" xfId="0" applyFont="1"/>
    <xf borderId="0" fillId="0" fontId="5" numFmtId="0" xfId="0" applyAlignment="1" applyFont="1">
      <alignment horizontal="center"/>
    </xf>
    <xf borderId="0" fillId="0" fontId="4" numFmtId="0" xfId="0" applyAlignment="1" applyFont="1">
      <alignment horizontal="right"/>
    </xf>
    <xf borderId="0" fillId="0" fontId="7" numFmtId="166" xfId="0" applyAlignment="1" applyFont="1" applyNumberFormat="1">
      <alignment horizontal="left"/>
    </xf>
    <xf borderId="0" fillId="0" fontId="5" numFmtId="0" xfId="0" applyAlignment="1" applyFont="1">
      <alignment shrinkToFit="0" wrapText="1"/>
    </xf>
    <xf borderId="0" fillId="0" fontId="5" numFmtId="167" xfId="0" applyAlignment="1" applyFont="1" applyNumberFormat="1">
      <alignment shrinkToFit="0" wrapText="1"/>
    </xf>
    <xf borderId="0" fillId="0" fontId="8" numFmtId="0" xfId="0" applyFont="1"/>
    <xf borderId="0" fillId="0" fontId="5" numFmtId="0" xfId="0" applyAlignment="1" applyFont="1">
      <alignment horizontal="right" shrinkToFit="0" wrapText="1"/>
    </xf>
    <xf borderId="0" fillId="0" fontId="4" numFmtId="166" xfId="0" applyAlignment="1" applyFont="1" applyNumberFormat="1">
      <alignment horizontal="left"/>
    </xf>
    <xf borderId="0" fillId="0" fontId="9" numFmtId="166" xfId="0" applyAlignment="1" applyFont="1" applyNumberFormat="1">
      <alignment horizontal="left"/>
    </xf>
    <xf borderId="0" fillId="0" fontId="5" numFmtId="0" xfId="0" applyAlignment="1" applyFont="1">
      <alignment readingOrder="0" shrinkToFit="0" wrapText="1"/>
    </xf>
    <xf borderId="0" fillId="0" fontId="10" numFmtId="0" xfId="0" applyFont="1"/>
    <xf borderId="0" fillId="0" fontId="11" numFmtId="0" xfId="0" applyAlignment="1" applyFont="1">
      <alignment readingOrder="0"/>
    </xf>
    <xf borderId="0" fillId="0" fontId="10" numFmtId="0" xfId="0" applyAlignment="1" applyFont="1">
      <alignment shrinkToFit="0" wrapText="1"/>
    </xf>
    <xf borderId="0" fillId="0" fontId="5" numFmtId="164" xfId="0" applyFont="1" applyNumberFormat="1"/>
    <xf quotePrefix="1" borderId="0" fillId="0" fontId="7" numFmtId="0" xfId="0" applyAlignment="1" applyFont="1">
      <alignment horizontal="left"/>
    </xf>
    <xf quotePrefix="1" borderId="0" fillId="0" fontId="5" numFmtId="0" xfId="0" applyAlignment="1" applyFont="1">
      <alignment horizontal="left"/>
    </xf>
    <xf quotePrefix="1" borderId="0" fillId="0" fontId="5" numFmtId="0" xfId="0" applyAlignment="1" applyFont="1">
      <alignment shrinkToFit="0" wrapText="1"/>
    </xf>
    <xf borderId="0" fillId="0" fontId="5" numFmtId="0" xfId="0" applyAlignment="1" applyFont="1">
      <alignment horizontal="right"/>
    </xf>
    <xf quotePrefix="1" borderId="0" fillId="0" fontId="5" numFmtId="0" xfId="0" applyFont="1"/>
    <xf borderId="0" fillId="0" fontId="10" numFmtId="0" xfId="0" applyAlignment="1" applyFont="1">
      <alignment readingOrder="0"/>
    </xf>
    <xf borderId="0" fillId="0" fontId="5" numFmtId="164" xfId="0" applyAlignment="1" applyFont="1" applyNumberFormat="1">
      <alignment shrinkToFit="0" wrapText="1"/>
    </xf>
    <xf borderId="0" fillId="0" fontId="12" numFmtId="0" xfId="0" applyAlignment="1" applyFont="1">
      <alignment shrinkToFit="0" wrapText="1"/>
    </xf>
    <xf borderId="0" fillId="0" fontId="5" numFmtId="164" xfId="0" applyAlignment="1" applyFont="1" applyNumberFormat="1">
      <alignment readingOrder="0"/>
    </xf>
    <xf borderId="0" fillId="0" fontId="10" numFmtId="0" xfId="0" applyAlignment="1" applyFont="1">
      <alignment horizontal="center" readingOrder="0"/>
    </xf>
    <xf borderId="0" fillId="0" fontId="10" numFmtId="0" xfId="0" applyAlignment="1" applyFont="1">
      <alignment horizontal="right" readingOrder="0"/>
    </xf>
    <xf borderId="0" fillId="0" fontId="7" numFmtId="166" xfId="0" applyAlignment="1" applyFont="1" applyNumberFormat="1">
      <alignment horizontal="left" readingOrder="0"/>
    </xf>
    <xf borderId="0" fillId="0" fontId="10" numFmtId="0" xfId="0" applyAlignment="1" applyFont="1">
      <alignment readingOrder="0" shrinkToFit="0" wrapText="1"/>
    </xf>
    <xf quotePrefix="1" borderId="0" fillId="0" fontId="10" numFmtId="0" xfId="0" applyAlignment="1" applyFont="1">
      <alignment readingOrder="0" shrinkToFit="0" wrapText="1"/>
    </xf>
    <xf borderId="0" fillId="0" fontId="4" numFmtId="166" xfId="0" applyAlignment="1" applyFont="1" applyNumberFormat="1">
      <alignment horizontal="left" readingOrder="0"/>
    </xf>
    <xf borderId="0" fillId="0" fontId="10" numFmtId="0" xfId="0" applyAlignment="1" applyFont="1">
      <alignment horizontal="left" readingOrder="0" shrinkToFit="0" wrapText="1"/>
    </xf>
    <xf borderId="0" fillId="0" fontId="10" numFmtId="0" xfId="0" applyAlignment="1" applyFont="1">
      <alignment readingOrder="0" shrinkToFit="0" wrapText="1"/>
    </xf>
    <xf borderId="0" fillId="0" fontId="10" numFmtId="0" xfId="0" applyAlignment="1" applyFont="1">
      <alignment horizontal="left" readingOrder="0" shrinkToFit="0" vertical="center" wrapText="1"/>
    </xf>
    <xf quotePrefix="1" borderId="0" fillId="0" fontId="7" numFmtId="0" xfId="0" applyAlignment="1" applyFont="1">
      <alignment horizontal="left" readingOrder="0"/>
    </xf>
    <xf borderId="0" fillId="0" fontId="13" numFmtId="164" xfId="0" applyAlignment="1" applyFont="1" applyNumberFormat="1">
      <alignment readingOrder="0"/>
    </xf>
    <xf borderId="0" fillId="3" fontId="14" numFmtId="0" xfId="0" applyAlignment="1" applyFill="1" applyFont="1">
      <alignment horizontal="left" readingOrder="0"/>
    </xf>
    <xf borderId="0" fillId="3" fontId="15" numFmtId="0" xfId="0" applyAlignment="1" applyFont="1">
      <alignment readingOrder="0"/>
    </xf>
    <xf borderId="0" fillId="3" fontId="16" numFmtId="0" xfId="0" applyAlignment="1" applyFont="1">
      <alignment readingOrder="0"/>
    </xf>
    <xf borderId="0" fillId="0" fontId="10" numFmtId="49" xfId="0" applyAlignment="1" applyFont="1" applyNumberFormat="1">
      <alignment readingOrder="0" shrinkToFit="0" wrapText="1"/>
    </xf>
    <xf borderId="0" fillId="0" fontId="5" numFmtId="168" xfId="0" applyAlignment="1" applyFont="1" applyNumberFormat="1">
      <alignment readingOrder="0"/>
    </xf>
    <xf borderId="0" fillId="0" fontId="13" numFmtId="168" xfId="0" applyAlignment="1" applyFont="1" applyNumberFormat="1">
      <alignment readingOrder="0"/>
    </xf>
    <xf borderId="0" fillId="3" fontId="17" numFmtId="0" xfId="0" applyAlignment="1" applyFont="1">
      <alignment readingOrder="0"/>
    </xf>
    <xf borderId="0" fillId="0" fontId="18" numFmtId="0" xfId="0" applyAlignment="1" applyFont="1">
      <alignment readingOrder="0"/>
    </xf>
    <xf borderId="0" fillId="3" fontId="14" numFmtId="0" xfId="0" applyAlignment="1" applyFont="1">
      <alignment horizontal="left" readingOrder="0" shrinkToFit="0" wrapText="1"/>
    </xf>
    <xf borderId="0" fillId="0" fontId="19" numFmtId="0" xfId="0" applyAlignment="1" applyFont="1">
      <alignment vertical="bottom"/>
    </xf>
    <xf borderId="0" fillId="0" fontId="19" numFmtId="0" xfId="0" applyAlignment="1" applyFont="1">
      <alignment readingOrder="0" vertical="bottom"/>
    </xf>
    <xf borderId="0" fillId="3" fontId="20" numFmtId="0" xfId="0" applyAlignment="1" applyFont="1">
      <alignment readingOrder="0"/>
    </xf>
    <xf borderId="0" fillId="3" fontId="0" numFmtId="0" xfId="0" applyAlignment="1" applyFont="1">
      <alignment readingOrder="0"/>
    </xf>
    <xf borderId="0" fillId="0" fontId="9" numFmtId="166" xfId="0" applyAlignment="1" applyFont="1" applyNumberFormat="1">
      <alignment horizontal="left" readingOrder="0"/>
    </xf>
    <xf borderId="0" fillId="0" fontId="10" numFmtId="0" xfId="0" applyAlignment="1" applyFont="1">
      <alignment readingOrder="0"/>
    </xf>
    <xf borderId="0" fillId="0" fontId="21" numFmtId="0" xfId="0" applyAlignment="1" applyFont="1">
      <alignment horizontal="left" readingOrder="0"/>
    </xf>
    <xf borderId="0" fillId="0" fontId="10" numFmtId="0" xfId="0" applyAlignment="1" applyFont="1">
      <alignment horizontal="left" readingOrder="0"/>
    </xf>
    <xf borderId="0" fillId="0" fontId="22" numFmtId="0" xfId="0" applyAlignment="1" applyFont="1">
      <alignment readingOrder="0"/>
    </xf>
    <xf borderId="0" fillId="0" fontId="23" numFmtId="0" xfId="0" applyAlignment="1" applyFont="1">
      <alignment horizontal="left" readingOrder="0"/>
    </xf>
    <xf borderId="0" fillId="0" fontId="10" numFmtId="169" xfId="0" applyAlignment="1" applyFont="1" applyNumberFormat="1">
      <alignment readingOrder="0"/>
    </xf>
    <xf borderId="0" fillId="0" fontId="10" numFmtId="168" xfId="0" applyAlignment="1" applyFont="1" applyNumberFormat="1">
      <alignment readingOrder="0"/>
    </xf>
    <xf borderId="0" fillId="4" fontId="10" numFmtId="0" xfId="0" applyAlignment="1" applyFill="1" applyFont="1">
      <alignment readingOrder="0"/>
    </xf>
    <xf quotePrefix="1" borderId="0" fillId="0" fontId="10" numFmtId="0" xfId="0" applyAlignment="1" applyFont="1">
      <alignment horizontal="right" readingOrder="0"/>
    </xf>
    <xf borderId="0" fillId="0" fontId="10" numFmtId="0" xfId="0" applyAlignment="1" applyFont="1">
      <alignment readingOrder="0" shrinkToFit="0" wrapText="1"/>
    </xf>
    <xf borderId="0" fillId="3" fontId="14" numFmtId="0" xfId="0" applyAlignment="1" applyFont="1">
      <alignment readingOrder="0"/>
    </xf>
    <xf borderId="0" fillId="0" fontId="10" numFmtId="168" xfId="0" applyAlignment="1" applyFont="1" applyNumberFormat="1">
      <alignment readingOrder="0" vertical="center"/>
    </xf>
    <xf borderId="0" fillId="0" fontId="10" numFmtId="0" xfId="0" applyAlignment="1" applyFont="1">
      <alignment readingOrder="0" shrinkToFit="0" vertical="center" wrapText="1"/>
    </xf>
    <xf borderId="0" fillId="0" fontId="10" numFmtId="0" xfId="0" applyAlignment="1" applyFont="1">
      <alignment readingOrder="0" vertical="center"/>
    </xf>
    <xf borderId="0" fillId="0" fontId="10" numFmtId="0" xfId="0" applyAlignment="1" applyFont="1">
      <alignment horizontal="center"/>
    </xf>
    <xf borderId="0" fillId="0" fontId="10" numFmtId="0" xfId="0" applyAlignment="1" applyFont="1">
      <alignment horizontal="right"/>
    </xf>
    <xf borderId="0" fillId="0" fontId="10" numFmtId="0" xfId="0" applyAlignment="1" applyFont="1">
      <alignment horizontal="left"/>
    </xf>
    <xf borderId="0" fillId="0" fontId="24" numFmtId="0" xfId="0" applyAlignment="1" applyFont="1">
      <alignment horizontal="left" readingOrder="0" shrinkToFit="0" vertical="center" wrapText="1"/>
    </xf>
    <xf borderId="0" fillId="0" fontId="24" numFmtId="0" xfId="0" applyAlignment="1" applyFont="1">
      <alignment horizontal="center" readingOrder="0" shrinkToFit="0" vertical="center" wrapText="1"/>
    </xf>
    <xf borderId="0" fillId="0" fontId="24" numFmtId="0" xfId="0" applyAlignment="1" applyFont="1">
      <alignment horizontal="center"/>
    </xf>
    <xf borderId="0" fillId="0" fontId="10" numFmtId="0" xfId="0" applyAlignment="1" applyFont="1">
      <alignment horizontal="left" readingOrder="0" shrinkToFit="0" vertical="center" wrapText="1"/>
    </xf>
    <xf borderId="0" fillId="0" fontId="10" numFmtId="0" xfId="0" applyAlignment="1" applyFont="1">
      <alignment readingOrder="0" shrinkToFit="0" vertical="center" wrapText="1"/>
    </xf>
    <xf borderId="0" fillId="0" fontId="10" numFmtId="0" xfId="0" applyAlignment="1" applyFont="1">
      <alignment readingOrder="0" shrinkToFit="0" vertical="center" wrapText="1"/>
    </xf>
    <xf borderId="0" fillId="0" fontId="10" numFmtId="0" xfId="0" applyAlignment="1" applyFont="1">
      <alignment shrinkToFit="0" vertical="center" wrapText="1"/>
    </xf>
    <xf borderId="0" fillId="0" fontId="10" numFmtId="0" xfId="0" applyAlignment="1" applyFont="1">
      <alignment horizontal="left" shrinkToFit="0" vertical="center" wrapText="1"/>
    </xf>
    <xf borderId="0" fillId="0" fontId="25" numFmtId="0" xfId="0" applyAlignment="1" applyFont="1">
      <alignment horizontal="center" shrinkToFit="0" vertical="center" wrapText="1"/>
    </xf>
    <xf borderId="0" fillId="0" fontId="26" numFmtId="0" xfId="0" applyAlignment="1" applyFont="1">
      <alignment horizontal="center" shrinkToFit="0" vertical="center" wrapText="1"/>
    </xf>
    <xf borderId="0" fillId="0" fontId="27" numFmtId="0" xfId="0" applyFont="1"/>
    <xf borderId="4" fillId="5" fontId="28" numFmtId="0" xfId="0" applyAlignment="1" applyBorder="1" applyFill="1" applyFont="1">
      <alignment horizontal="center" readingOrder="0" shrinkToFit="0" vertical="center" wrapText="1"/>
    </xf>
    <xf borderId="5" fillId="0" fontId="29" numFmtId="0" xfId="0" applyBorder="1" applyFont="1"/>
    <xf borderId="6" fillId="0" fontId="30" numFmtId="0" xfId="0" applyAlignment="1" applyBorder="1" applyFont="1">
      <alignment horizontal="center" readingOrder="0" shrinkToFit="0" wrapText="1"/>
    </xf>
    <xf borderId="7" fillId="0" fontId="29" numFmtId="0" xfId="0" applyBorder="1" applyFont="1"/>
    <xf borderId="0" fillId="0" fontId="25" numFmtId="0" xfId="0" applyAlignment="1" applyFont="1">
      <alignment horizontal="center" readingOrder="0" shrinkToFit="0" vertical="center" wrapText="1"/>
    </xf>
    <xf borderId="0" fillId="6" fontId="31" numFmtId="0" xfId="0" applyAlignment="1" applyFill="1" applyFont="1">
      <alignment horizontal="center" readingOrder="0" shrinkToFit="0" vertical="center" wrapText="0"/>
    </xf>
    <xf borderId="0" fillId="6" fontId="31" numFmtId="0" xfId="0" applyAlignment="1" applyFont="1">
      <alignment horizontal="right" readingOrder="0" shrinkToFit="0" vertical="center" wrapText="1"/>
    </xf>
    <xf borderId="0" fillId="6" fontId="31" numFmtId="49" xfId="0" applyAlignment="1" applyFont="1" applyNumberFormat="1">
      <alignment horizontal="center" readingOrder="0" shrinkToFit="0" vertical="center" wrapText="1"/>
    </xf>
    <xf borderId="0" fillId="6" fontId="31" numFmtId="0" xfId="0" applyAlignment="1" applyFont="1">
      <alignment horizontal="center" readingOrder="0" shrinkToFit="0" vertical="center" wrapText="1"/>
    </xf>
    <xf borderId="0" fillId="6" fontId="31" numFmtId="0" xfId="0" applyAlignment="1" applyFont="1">
      <alignment horizontal="center" readingOrder="0" shrinkToFit="0" vertical="center" wrapText="0"/>
    </xf>
    <xf borderId="0" fillId="6" fontId="31" numFmtId="49" xfId="0" applyAlignment="1" applyFont="1" applyNumberFormat="1">
      <alignment horizontal="center" readingOrder="0" shrinkToFit="0" vertical="center" wrapText="0"/>
    </xf>
    <xf borderId="0" fillId="0" fontId="32" numFmtId="0" xfId="0" applyAlignment="1" applyFont="1">
      <alignment vertical="center"/>
    </xf>
    <xf borderId="0" fillId="0" fontId="27" numFmtId="0" xfId="0" applyAlignment="1" applyFont="1">
      <alignment horizontal="center" shrinkToFit="0" vertical="center" wrapText="1"/>
    </xf>
    <xf borderId="0" fillId="0" fontId="27" numFmtId="49" xfId="0" applyAlignment="1" applyFont="1" applyNumberFormat="1">
      <alignment horizontal="center" shrinkToFit="0" vertical="center" wrapText="1"/>
    </xf>
    <xf borderId="0" fillId="0" fontId="27" numFmtId="0" xfId="0" applyAlignment="1" applyFont="1">
      <alignment horizontal="center" vertical="center"/>
    </xf>
    <xf borderId="0" fillId="0" fontId="27" numFmtId="0" xfId="0" applyAlignment="1" applyFont="1">
      <alignment vertical="center"/>
    </xf>
    <xf borderId="0" fillId="0" fontId="27" numFmtId="0" xfId="0" applyAlignment="1" applyFont="1">
      <alignment horizontal="center" readingOrder="0" shrinkToFit="0" wrapText="1"/>
    </xf>
    <xf borderId="0" fillId="0" fontId="27" numFmtId="0" xfId="0" applyAlignment="1" applyFont="1">
      <alignment horizontal="center" shrinkToFit="0" wrapText="1"/>
    </xf>
    <xf borderId="0" fillId="0" fontId="27" numFmtId="0" xfId="0" applyAlignment="1" applyFont="1">
      <alignment shrinkToFit="0" wrapText="1"/>
    </xf>
    <xf borderId="0" fillId="0" fontId="33" numFmtId="0" xfId="0" applyAlignment="1" applyFont="1">
      <alignment horizontal="center" readingOrder="0" shrinkToFit="0" vertical="center" wrapText="1"/>
    </xf>
    <xf borderId="0" fillId="0" fontId="34" numFmtId="0" xfId="0" applyAlignment="1" applyFont="1">
      <alignment horizontal="center" readingOrder="0" shrinkToFit="0" vertical="center" wrapText="1"/>
    </xf>
    <xf borderId="0" fillId="0" fontId="35" numFmtId="0" xfId="0" applyAlignment="1" applyFont="1">
      <alignment horizontal="center" readingOrder="0" shrinkToFit="0" vertical="center" wrapText="1"/>
    </xf>
    <xf borderId="0" fillId="0" fontId="27" numFmtId="0" xfId="0" applyAlignment="1" applyFont="1">
      <alignment horizontal="center" shrinkToFit="0" vertical="center" wrapText="1"/>
    </xf>
    <xf borderId="0" fillId="0" fontId="27" numFmtId="0" xfId="0" applyAlignment="1" applyFont="1">
      <alignment horizontal="center" shrinkToFit="0" vertical="center" wrapText="1"/>
    </xf>
    <xf borderId="0" fillId="0" fontId="27" numFmtId="49" xfId="0" applyAlignment="1" applyFont="1" applyNumberFormat="1">
      <alignment horizontal="center" shrinkToFit="0" vertical="center" wrapText="1"/>
    </xf>
    <xf borderId="0" fillId="0" fontId="27" numFmtId="0" xfId="0" applyAlignment="1" applyFont="1">
      <alignment shrinkToFit="0" vertical="center" wrapText="1"/>
    </xf>
    <xf borderId="0" fillId="0" fontId="27" numFmtId="0" xfId="0" applyAlignment="1" applyFont="1">
      <alignment readingOrder="0" shrinkToFit="0" vertical="center" wrapText="1"/>
    </xf>
    <xf borderId="0" fillId="0" fontId="4" numFmtId="0" xfId="0" applyAlignment="1" applyFont="1">
      <alignment horizontal="center" readingOrder="0" shrinkToFit="0" vertical="center" wrapText="1"/>
    </xf>
    <xf borderId="0" fillId="0" fontId="36" numFmtId="0" xfId="0" applyAlignment="1" applyFont="1">
      <alignment horizontal="center" readingOrder="0" shrinkToFit="0" vertical="center" wrapText="1"/>
    </xf>
    <xf borderId="0" fillId="0" fontId="4" numFmtId="170" xfId="0" applyAlignment="1" applyFont="1" applyNumberFormat="1">
      <alignment horizontal="center" readingOrder="0" shrinkToFit="0" vertical="center" wrapText="0"/>
    </xf>
    <xf borderId="0" fillId="0" fontId="27" numFmtId="49" xfId="0" applyAlignment="1" applyFont="1" applyNumberFormat="1">
      <alignment shrinkToFit="0" vertical="center" wrapText="1"/>
    </xf>
    <xf borderId="0" fillId="0" fontId="27" numFmtId="170" xfId="0" applyAlignment="1" applyFont="1" applyNumberFormat="1">
      <alignment horizontal="center" shrinkToFit="0" vertical="center" wrapText="1"/>
    </xf>
    <xf borderId="0" fillId="0" fontId="27" numFmtId="0" xfId="0" applyAlignment="1" applyFont="1">
      <alignment shrinkToFit="0" vertical="center" wrapText="0"/>
    </xf>
    <xf borderId="0" fillId="6" fontId="31" numFmtId="49" xfId="0" applyAlignment="1" applyFont="1" applyNumberFormat="1">
      <alignment horizontal="left" readingOrder="0" shrinkToFit="0" vertical="center" wrapText="0"/>
    </xf>
    <xf borderId="0" fillId="0" fontId="37" numFmtId="0" xfId="0" applyAlignment="1" applyFont="1">
      <alignment vertical="center"/>
    </xf>
    <xf borderId="0" fillId="0" fontId="5" numFmtId="0" xfId="0" applyAlignment="1" applyFont="1">
      <alignment horizontal="center" readingOrder="0" shrinkToFit="0" vertical="center" wrapText="0"/>
    </xf>
    <xf borderId="0" fillId="0" fontId="5" numFmtId="171" xfId="0" applyAlignment="1" applyFont="1" applyNumberFormat="1">
      <alignment horizontal="center" readingOrder="0" shrinkToFit="0" vertical="center" wrapText="0"/>
    </xf>
    <xf borderId="0" fillId="0" fontId="5" numFmtId="0" xfId="0" applyAlignment="1" applyFont="1">
      <alignment readingOrder="0" shrinkToFit="0" vertical="center" wrapText="0"/>
    </xf>
    <xf borderId="0" fillId="0" fontId="38" numFmtId="49" xfId="0" applyAlignment="1" applyFont="1" applyNumberFormat="1">
      <alignment shrinkToFit="0" vertical="center" wrapText="1"/>
    </xf>
    <xf borderId="0" fillId="0" fontId="1" numFmtId="0" xfId="0" applyAlignment="1" applyFont="1">
      <alignment readingOrder="0" shrinkToFit="0" vertical="center" wrapText="0"/>
    </xf>
    <xf borderId="0" fillId="0" fontId="5" numFmtId="0" xfId="0" applyAlignment="1" applyFont="1">
      <alignment readingOrder="0" shrinkToFit="0" vertical="center" wrapText="1"/>
    </xf>
    <xf borderId="0" fillId="0" fontId="4" numFmtId="0" xfId="0" applyAlignment="1" applyFont="1">
      <alignment horizontal="center" readingOrder="0" shrinkToFit="0" vertical="center" wrapText="0"/>
    </xf>
    <xf borderId="0" fillId="0" fontId="4" numFmtId="0" xfId="0" applyAlignment="1" applyFont="1">
      <alignment readingOrder="0" shrinkToFit="0" vertical="center" wrapText="1"/>
    </xf>
    <xf borderId="0" fillId="0" fontId="4" numFmtId="0" xfId="0" applyAlignment="1" applyFont="1">
      <alignment readingOrder="0" shrinkToFit="0" vertical="center" wrapText="0"/>
    </xf>
    <xf borderId="0" fillId="0" fontId="4" numFmtId="0" xfId="0" applyAlignment="1" applyFont="1">
      <alignment horizontal="left" shrinkToFit="0" vertical="center" wrapText="1"/>
    </xf>
    <xf borderId="0" fillId="7" fontId="36" numFmtId="0" xfId="0" applyAlignment="1" applyFill="1" applyFont="1">
      <alignment horizontal="center" readingOrder="0" shrinkToFit="0" vertical="center" wrapText="0"/>
    </xf>
    <xf borderId="0" fillId="0" fontId="5" numFmtId="171" xfId="0" applyAlignment="1" applyFont="1" applyNumberFormat="1">
      <alignment horizontal="center" shrinkToFit="0" vertical="center" wrapText="0"/>
    </xf>
    <xf borderId="0" fillId="0" fontId="2" numFmtId="0" xfId="0" applyAlignment="1" applyFont="1">
      <alignment shrinkToFit="0" vertical="center" wrapText="0"/>
    </xf>
    <xf borderId="0" fillId="0" fontId="1" numFmtId="0" xfId="0" applyAlignment="1" applyFont="1">
      <alignment readingOrder="0" shrinkToFit="0" vertical="center" wrapText="0"/>
    </xf>
    <xf borderId="0" fillId="0" fontId="5" numFmtId="0" xfId="0" applyAlignment="1" applyFont="1">
      <alignment shrinkToFit="0" vertical="center" wrapText="1"/>
    </xf>
    <xf borderId="0" fillId="0" fontId="5" numFmtId="0" xfId="0" applyAlignment="1" applyFont="1">
      <alignment horizontal="center" shrinkToFit="0" vertical="center" wrapText="0"/>
    </xf>
    <xf borderId="0" fillId="0" fontId="5" numFmtId="0" xfId="0" applyAlignment="1" applyFont="1">
      <alignment readingOrder="0" shrinkToFit="0" vertical="center" wrapText="1"/>
    </xf>
    <xf borderId="0" fillId="0" fontId="39" numFmtId="0" xfId="0" applyAlignment="1" applyFont="1">
      <alignment shrinkToFit="0" vertical="center" wrapText="0"/>
    </xf>
    <xf borderId="0" fillId="0" fontId="5" numFmtId="0" xfId="0" applyAlignment="1" applyFont="1">
      <alignment horizontal="left" shrinkToFit="0" vertical="center" wrapText="1"/>
    </xf>
    <xf borderId="0" fillId="0" fontId="5" numFmtId="0" xfId="0" applyAlignment="1" applyFont="1">
      <alignment horizontal="left" readingOrder="0" shrinkToFit="0" vertical="center" wrapText="1"/>
    </xf>
    <xf borderId="0" fillId="0" fontId="40" numFmtId="0" xfId="0" applyAlignment="1" applyFont="1">
      <alignment readingOrder="0" shrinkToFit="0" vertical="center" wrapText="0"/>
    </xf>
    <xf borderId="0" fillId="0" fontId="10" numFmtId="0" xfId="0" applyAlignment="1" applyFont="1">
      <alignment horizontal="left" shrinkToFit="0" vertical="center" wrapText="1"/>
    </xf>
    <xf borderId="0" fillId="0" fontId="2" numFmtId="0" xfId="0" applyAlignment="1" applyFont="1">
      <alignment readingOrder="0" shrinkToFit="0" vertical="center" wrapText="0"/>
    </xf>
    <xf borderId="0" fillId="0" fontId="5" numFmtId="0" xfId="0" applyAlignment="1" applyFont="1">
      <alignment horizontal="left" shrinkToFit="0" vertical="center" wrapText="1"/>
    </xf>
    <xf borderId="0" fillId="5" fontId="10" numFmtId="0" xfId="0" applyFont="1"/>
    <xf borderId="0" fillId="0" fontId="10" numFmtId="0" xfId="0" applyAlignment="1" applyFont="1">
      <alignment readingOrder="0" shrinkToFit="0" vertical="center" wrapText="0"/>
    </xf>
    <xf borderId="0" fillId="0" fontId="24" numFmtId="49" xfId="0" applyAlignment="1" applyFont="1" applyNumberFormat="1">
      <alignment shrinkToFit="0" vertical="center" wrapText="0"/>
    </xf>
    <xf borderId="0" fillId="0" fontId="10" numFmtId="0" xfId="0" applyAlignment="1" applyFont="1">
      <alignment readingOrder="0" shrinkToFit="0" vertical="center" wrapText="1"/>
    </xf>
    <xf borderId="0" fillId="0" fontId="5" numFmtId="171" xfId="0" applyAlignment="1" applyFont="1" applyNumberFormat="1">
      <alignment horizontal="center" shrinkToFit="0" vertical="center" wrapText="1"/>
    </xf>
    <xf borderId="0" fillId="0" fontId="24" numFmtId="0" xfId="0" applyAlignment="1" applyFont="1">
      <alignment readingOrder="0" shrinkToFit="0" vertical="center" wrapText="0"/>
    </xf>
    <xf borderId="0" fillId="0" fontId="10" numFmtId="0" xfId="0" applyAlignment="1" applyFont="1">
      <alignment horizontal="center" readingOrder="0" shrinkToFit="0" vertical="center" wrapText="0"/>
    </xf>
    <xf borderId="0" fillId="0" fontId="10" numFmtId="0" xfId="0" applyAlignment="1" applyFont="1">
      <alignment readingOrder="0" shrinkToFit="0" vertical="center" wrapText="0"/>
    </xf>
    <xf borderId="0" fillId="0" fontId="10" numFmtId="0" xfId="0" applyAlignment="1" applyFont="1">
      <alignment horizontal="left" readingOrder="0" shrinkToFit="0" vertical="center" wrapText="1"/>
    </xf>
    <xf borderId="0" fillId="0" fontId="10" numFmtId="49" xfId="0" applyAlignment="1" applyFont="1" applyNumberFormat="1">
      <alignment shrinkToFit="0" vertical="center" wrapText="1"/>
    </xf>
    <xf borderId="0" fillId="0" fontId="10" numFmtId="0" xfId="0" applyAlignment="1" applyFont="1">
      <alignment horizontal="left" readingOrder="0" shrinkToFit="0" vertical="center" wrapText="1"/>
    </xf>
    <xf borderId="0" fillId="0" fontId="24" numFmtId="0" xfId="0" applyAlignment="1" applyFont="1">
      <alignment readingOrder="0" shrinkToFit="0" vertical="center" wrapText="1"/>
    </xf>
    <xf borderId="0" fillId="0" fontId="10" numFmtId="49" xfId="0" applyAlignment="1" applyFont="1" applyNumberFormat="1">
      <alignment readingOrder="0" shrinkToFit="0" vertical="center" wrapText="1"/>
    </xf>
    <xf borderId="0" fillId="0" fontId="14" numFmtId="0" xfId="0" applyAlignment="1" applyFont="1">
      <alignment readingOrder="0" shrinkToFit="0" vertical="center" wrapText="1"/>
    </xf>
    <xf borderId="0" fillId="0" fontId="15" numFmtId="0" xfId="0" applyAlignment="1" applyFont="1">
      <alignment readingOrder="0" shrinkToFit="0" vertical="center" wrapText="0"/>
    </xf>
    <xf borderId="0" fillId="0" fontId="16" numFmtId="0" xfId="0" applyAlignment="1" applyFont="1">
      <alignment readingOrder="0" shrinkToFit="0" vertical="center" wrapText="0"/>
    </xf>
    <xf borderId="0" fillId="3" fontId="41" numFmtId="0" xfId="0" applyAlignment="1" applyFont="1">
      <alignment readingOrder="0" shrinkToFit="0" vertical="center" wrapText="0"/>
    </xf>
    <xf borderId="0" fillId="0" fontId="17" numFmtId="0" xfId="0" applyAlignment="1" applyFont="1">
      <alignment readingOrder="0" shrinkToFit="0" vertical="center" wrapText="0"/>
    </xf>
    <xf borderId="0" fillId="0" fontId="42" numFmtId="0" xfId="0" applyAlignment="1" applyFont="1">
      <alignment readingOrder="0" shrinkToFit="0" vertical="center" wrapText="0"/>
    </xf>
    <xf borderId="0" fillId="0" fontId="19" numFmtId="0" xfId="0" applyAlignment="1" applyFont="1">
      <alignment readingOrder="0" shrinkToFit="0" vertical="bottom" wrapText="0"/>
    </xf>
    <xf borderId="0" fillId="0" fontId="19" numFmtId="0" xfId="0" applyAlignment="1" applyFont="1">
      <alignment horizontal="left" readingOrder="0" shrinkToFit="0" vertical="bottom" wrapText="0"/>
    </xf>
    <xf borderId="0" fillId="0" fontId="20" numFmtId="0" xfId="0" applyAlignment="1" applyFont="1">
      <alignment readingOrder="0" shrinkToFit="0" vertical="center" wrapText="0"/>
    </xf>
    <xf borderId="0" fillId="0" fontId="10" numFmtId="0" xfId="0" applyAlignment="1" applyFont="1">
      <alignment readingOrder="0" shrinkToFit="0" vertical="center" wrapText="0"/>
    </xf>
    <xf borderId="0" fillId="0" fontId="22" numFmtId="0" xfId="0" applyAlignment="1" applyFont="1">
      <alignment readingOrder="0" shrinkToFit="0" vertical="center" wrapText="0"/>
    </xf>
    <xf borderId="0" fillId="3" fontId="43" numFmtId="0" xfId="0" applyAlignment="1" applyFill="1" applyFont="1">
      <alignment readingOrder="0" shrinkToFit="0" vertical="center" wrapText="0"/>
    </xf>
    <xf borderId="0" fillId="0" fontId="10" numFmtId="0" xfId="0" applyAlignment="1" applyFont="1">
      <alignment horizontal="left" readingOrder="0" shrinkToFit="0" vertical="center" wrapText="0"/>
    </xf>
    <xf borderId="0" fillId="0" fontId="18" numFmtId="171" xfId="0" applyAlignment="1" applyFont="1" applyNumberFormat="1">
      <alignment horizontal="center" readingOrder="0" shrinkToFit="0" vertical="center" wrapText="0"/>
    </xf>
    <xf borderId="0" fillId="0" fontId="24" numFmtId="49" xfId="0" applyAlignment="1" applyFont="1" applyNumberFormat="1">
      <alignment readingOrder="0" shrinkToFit="0" vertical="center" wrapText="0"/>
    </xf>
    <xf borderId="0" fillId="0" fontId="10" numFmtId="0" xfId="0" applyAlignment="1" applyFont="1">
      <alignment readingOrder="0" shrinkToFit="0" vertical="center" wrapText="1"/>
    </xf>
    <xf borderId="0" fillId="0" fontId="18" numFmtId="0" xfId="0" applyAlignment="1" applyFont="1">
      <alignment readingOrder="0" shrinkToFit="0" vertical="center" wrapText="0"/>
    </xf>
    <xf borderId="0" fillId="3" fontId="38" numFmtId="0" xfId="0" applyAlignment="1" applyFont="1">
      <alignment horizontal="left" readingOrder="0" shrinkToFit="0" vertical="center" wrapText="0"/>
    </xf>
    <xf borderId="0" fillId="0" fontId="10" numFmtId="0" xfId="0" applyAlignment="1" applyFont="1">
      <alignment readingOrder="0" shrinkToFit="0" vertical="center" wrapText="0"/>
    </xf>
    <xf borderId="0" fillId="0" fontId="10" numFmtId="0" xfId="0" applyAlignment="1" applyFont="1">
      <alignment horizontal="center" readingOrder="0" shrinkToFit="0" vertical="center" wrapText="0"/>
    </xf>
    <xf borderId="0" fillId="0" fontId="10" numFmtId="0" xfId="0" applyAlignment="1" applyFont="1">
      <alignment readingOrder="0" shrinkToFit="0" vertical="center" wrapText="1"/>
    </xf>
    <xf borderId="0" fillId="0" fontId="10" numFmtId="0" xfId="0" applyAlignment="1" applyFont="1">
      <alignment readingOrder="0" shrinkToFit="0" vertical="center" wrapText="0"/>
    </xf>
    <xf borderId="0" fillId="0" fontId="10" numFmtId="0" xfId="0" applyAlignment="1" applyFont="1">
      <alignment horizontal="left" readingOrder="0" shrinkToFit="0" vertical="center" wrapText="0"/>
    </xf>
    <xf borderId="0" fillId="0" fontId="18" numFmtId="171" xfId="0" applyAlignment="1" applyFont="1" applyNumberFormat="1">
      <alignment horizontal="center" readingOrder="0" shrinkToFit="0" vertical="center" wrapText="0"/>
    </xf>
    <xf borderId="0" fillId="0" fontId="10" numFmtId="0" xfId="0" applyAlignment="1" applyFont="1">
      <alignment horizontal="left" shrinkToFit="0" vertical="center" wrapText="0"/>
    </xf>
    <xf borderId="0" fillId="0" fontId="18" numFmtId="0" xfId="0" applyAlignment="1" applyFont="1">
      <alignment horizontal="center" readingOrder="0" shrinkToFit="0" vertical="center" wrapText="0"/>
    </xf>
    <xf borderId="0" fillId="0" fontId="10" numFmtId="49" xfId="0" applyAlignment="1" applyFont="1" applyNumberFormat="1">
      <alignment horizontal="left" readingOrder="0" shrinkToFit="0" vertical="center" wrapText="0"/>
    </xf>
    <xf borderId="0" fillId="0" fontId="10" numFmtId="0" xfId="0" applyAlignment="1" applyFont="1">
      <alignment shrinkToFit="0" vertical="center" wrapText="0"/>
    </xf>
    <xf borderId="0" fillId="3" fontId="15" numFmtId="0" xfId="0" applyAlignment="1" applyFont="1">
      <alignment readingOrder="0" shrinkToFit="0" vertical="center" wrapText="0"/>
    </xf>
    <xf borderId="0" fillId="0" fontId="24" numFmtId="49" xfId="0" applyAlignment="1" applyFont="1" applyNumberFormat="1">
      <alignment readingOrder="0" shrinkToFit="0" vertical="center" wrapText="0"/>
    </xf>
    <xf borderId="0" fillId="0" fontId="10" numFmtId="0" xfId="0" applyAlignment="1" applyFont="1">
      <alignment horizontal="center" readingOrder="0" shrinkToFit="0" vertical="center" wrapText="0"/>
    </xf>
    <xf borderId="0" fillId="0" fontId="10" numFmtId="0" xfId="0" applyAlignment="1" applyFont="1">
      <alignment readingOrder="0" shrinkToFit="0" vertical="center" wrapText="0"/>
    </xf>
    <xf borderId="0" fillId="0" fontId="10" numFmtId="0" xfId="0" applyAlignment="1" applyFont="1">
      <alignment horizontal="left" readingOrder="0" shrinkToFit="0" vertical="center" wrapText="0"/>
    </xf>
    <xf borderId="0" fillId="0" fontId="33" numFmtId="0" xfId="0" applyAlignment="1" applyFont="1">
      <alignment horizontal="center" readingOrder="0" shrinkToFit="0" vertical="center" wrapText="0"/>
    </xf>
    <xf borderId="0" fillId="0" fontId="10" numFmtId="49" xfId="0" applyAlignment="1" applyFont="1" applyNumberFormat="1">
      <alignment readingOrder="0" shrinkToFit="0" vertical="center" wrapText="1"/>
    </xf>
    <xf borderId="0" fillId="0" fontId="10" numFmtId="0" xfId="0" applyAlignment="1" applyFont="1">
      <alignment horizontal="center" shrinkToFit="0" vertical="center" wrapText="0"/>
    </xf>
    <xf borderId="0" fillId="0" fontId="10" numFmtId="49" xfId="0" applyAlignment="1" applyFont="1" applyNumberFormat="1">
      <alignment shrinkToFit="0" vertical="center" wrapText="1"/>
    </xf>
    <xf borderId="0" fillId="0" fontId="27" numFmtId="0" xfId="0" applyAlignment="1" applyFont="1">
      <alignment horizontal="center" shrinkToFit="0" vertical="center" wrapText="1"/>
    </xf>
    <xf borderId="0" fillId="0" fontId="10" numFmtId="0" xfId="0" applyAlignment="1" applyFont="1">
      <alignment shrinkToFit="0" vertical="center" wrapText="1"/>
    </xf>
    <xf borderId="0" fillId="0" fontId="44" numFmtId="0" xfId="0" applyAlignment="1" applyFont="1">
      <alignment readingOrder="0" shrinkToFit="0" vertical="center" wrapText="0"/>
    </xf>
    <xf borderId="0" fillId="0" fontId="18" numFmtId="172" xfId="0" applyAlignment="1" applyFont="1" applyNumberFormat="1">
      <alignment horizontal="center" shrinkToFit="0" vertical="center" wrapText="0"/>
    </xf>
    <xf borderId="0" fillId="0" fontId="18" numFmtId="171" xfId="0" applyAlignment="1" applyFont="1" applyNumberFormat="1">
      <alignment horizontal="center" shrinkToFit="0" vertical="center" wrapText="0"/>
    </xf>
    <xf borderId="0" fillId="0" fontId="10" numFmtId="0" xfId="0" applyAlignment="1" applyFont="1">
      <alignment shrinkToFit="0" vertical="center" wrapText="0"/>
    </xf>
    <xf borderId="0" fillId="0" fontId="24" numFmtId="49" xfId="0" applyAlignment="1" applyFont="1" applyNumberFormat="1">
      <alignment shrinkToFit="0" vertical="center" wrapText="0"/>
    </xf>
    <xf borderId="0" fillId="0" fontId="33" numFmtId="0" xfId="0" applyAlignment="1" applyFont="1">
      <alignment horizontal="left" readingOrder="0" shrinkToFit="0" vertical="center" wrapText="1"/>
    </xf>
    <xf borderId="0" fillId="0" fontId="33" numFmtId="173" xfId="0" applyAlignment="1" applyFont="1" applyNumberFormat="1">
      <alignment horizontal="left" shrinkToFit="0" vertical="center" wrapText="0"/>
    </xf>
    <xf borderId="0" fillId="0" fontId="14" numFmtId="0" xfId="0" applyAlignment="1" applyFont="1">
      <alignment readingOrder="0" shrinkToFit="0" vertical="center" wrapText="1"/>
    </xf>
    <xf borderId="0" fillId="0" fontId="45" numFmtId="0" xfId="0" applyAlignment="1" applyFont="1">
      <alignment shrinkToFit="0" vertical="center" wrapText="1"/>
    </xf>
    <xf borderId="0" fillId="0" fontId="35" numFmtId="0" xfId="0" applyAlignment="1" applyFont="1">
      <alignment horizontal="right" readingOrder="0" shrinkToFit="0" vertical="center" wrapText="0"/>
    </xf>
    <xf borderId="0" fillId="0" fontId="46" numFmtId="0" xfId="0" applyAlignment="1" applyFont="1">
      <alignment horizontal="left" readingOrder="0" shrinkToFit="0" vertical="center" wrapText="1"/>
    </xf>
    <xf borderId="0" fillId="0" fontId="47" numFmtId="166" xfId="0" applyAlignment="1" applyFont="1" applyNumberFormat="1">
      <alignment horizontal="center" shrinkToFit="0" vertical="center" wrapText="1"/>
    </xf>
    <xf borderId="0" fillId="0" fontId="33" numFmtId="0" xfId="0" applyAlignment="1" applyFont="1">
      <alignment horizontal="center" shrinkToFit="0" vertical="center" wrapText="0"/>
    </xf>
    <xf borderId="0" fillId="0" fontId="33" numFmtId="0" xfId="0" applyAlignment="1" applyFont="1">
      <alignment readingOrder="0" shrinkToFit="0" vertical="center" wrapText="1"/>
    </xf>
    <xf borderId="0" fillId="0" fontId="33" numFmtId="0" xfId="0" applyAlignment="1" applyFont="1">
      <alignment readingOrder="0" shrinkToFit="0" vertical="center" wrapText="1"/>
    </xf>
    <xf borderId="0" fillId="0" fontId="33" numFmtId="49" xfId="0" applyAlignment="1" applyFont="1" applyNumberFormat="1">
      <alignment horizontal="center" readingOrder="0" shrinkToFit="0" vertical="center" wrapText="1"/>
    </xf>
    <xf borderId="0" fillId="0" fontId="48" numFmtId="49" xfId="0" applyAlignment="1" applyFont="1" applyNumberFormat="1">
      <alignment readingOrder="0" shrinkToFit="0" vertical="center" wrapText="1"/>
    </xf>
    <xf borderId="0" fillId="0" fontId="33" numFmtId="49" xfId="0" applyAlignment="1" applyFont="1" applyNumberFormat="1">
      <alignment shrinkToFit="0" vertical="center" wrapText="0"/>
    </xf>
    <xf borderId="0" fillId="7" fontId="34" numFmtId="0" xfId="0" applyAlignment="1" applyFont="1">
      <alignment horizontal="center" readingOrder="0" shrinkToFit="0" vertical="center" wrapText="0"/>
    </xf>
    <xf borderId="0" fillId="0" fontId="45" numFmtId="0" xfId="0" applyAlignment="1" applyFont="1">
      <alignment shrinkToFit="0" vertical="center" wrapText="1"/>
    </xf>
    <xf borderId="0" fillId="0" fontId="46" numFmtId="0" xfId="0" applyAlignment="1" applyFont="1">
      <alignment horizontal="left" shrinkToFit="0" vertical="center" wrapText="1"/>
    </xf>
    <xf borderId="0" fillId="0" fontId="33" numFmtId="0" xfId="0" applyAlignment="1" applyFont="1">
      <alignment readingOrder="0" shrinkToFit="0" vertical="center" wrapText="0"/>
    </xf>
    <xf borderId="0" fillId="0" fontId="33" numFmtId="49" xfId="0" applyAlignment="1" applyFont="1" applyNumberFormat="1">
      <alignment horizontal="center" shrinkToFit="0" vertical="center" wrapText="1"/>
    </xf>
    <xf borderId="0" fillId="0" fontId="49" numFmtId="49" xfId="0" applyAlignment="1" applyFont="1" applyNumberFormat="1">
      <alignment readingOrder="0" shrinkToFit="0" vertical="center" wrapText="1"/>
    </xf>
    <xf borderId="0" fillId="0" fontId="45" numFmtId="0" xfId="0" applyAlignment="1" applyFont="1">
      <alignment readingOrder="0" shrinkToFit="0" vertical="center" wrapText="1"/>
    </xf>
    <xf borderId="0" fillId="0" fontId="33" numFmtId="0" xfId="0" applyAlignment="1" applyFont="1">
      <alignment shrinkToFit="0" vertical="center" wrapText="1"/>
    </xf>
    <xf borderId="0" fillId="0" fontId="33" numFmtId="49" xfId="0" applyAlignment="1" applyFont="1" applyNumberFormat="1">
      <alignment horizontal="center" readingOrder="0" shrinkToFit="0" vertical="center" wrapText="0"/>
    </xf>
    <xf borderId="0" fillId="0" fontId="50" numFmtId="173" xfId="0" applyAlignment="1" applyFont="1" applyNumberFormat="1">
      <alignment horizontal="left" shrinkToFit="0" vertical="center" wrapText="0"/>
    </xf>
    <xf borderId="0" fillId="0" fontId="33" numFmtId="0" xfId="0" applyAlignment="1" applyFont="1">
      <alignment horizontal="center" shrinkToFit="0" vertical="center" wrapText="0"/>
    </xf>
    <xf borderId="0" fillId="0" fontId="14" numFmtId="0" xfId="0" applyAlignment="1" applyFont="1">
      <alignment shrinkToFit="0" vertical="center" wrapText="1"/>
    </xf>
    <xf borderId="0" fillId="0" fontId="33" numFmtId="0" xfId="0" applyAlignment="1" applyFont="1">
      <alignment shrinkToFit="0" vertical="center" wrapText="1"/>
    </xf>
    <xf borderId="0" fillId="0" fontId="33" numFmtId="0" xfId="0" applyAlignment="1" applyFont="1">
      <alignment horizontal="center" shrinkToFit="0" vertical="center" wrapText="1"/>
    </xf>
    <xf borderId="0" fillId="0" fontId="47" numFmtId="166" xfId="0" applyAlignment="1" applyFont="1" applyNumberFormat="1">
      <alignment horizontal="center" readingOrder="0" shrinkToFit="0" vertical="center" wrapText="1"/>
    </xf>
    <xf borderId="0" fillId="0" fontId="33" numFmtId="49" xfId="0" applyAlignment="1" applyFont="1" applyNumberFormat="1">
      <alignment readingOrder="0" shrinkToFit="0" vertical="center" wrapText="0"/>
    </xf>
    <xf borderId="0" fillId="0" fontId="33" numFmtId="0" xfId="0" applyAlignment="1" applyFont="1">
      <alignment horizontal="left" readingOrder="0" shrinkToFit="0" vertical="center" wrapText="0"/>
    </xf>
    <xf borderId="0" fillId="0" fontId="33" numFmtId="0" xfId="0" applyAlignment="1" applyFont="1">
      <alignment horizontal="center" readingOrder="0" shrinkToFit="0" vertical="center" wrapText="0"/>
    </xf>
    <xf borderId="0" fillId="0" fontId="33" numFmtId="173" xfId="0" applyAlignment="1" applyFont="1" applyNumberFormat="1">
      <alignment horizontal="left" readingOrder="0" shrinkToFit="0" vertical="center" wrapText="0"/>
    </xf>
    <xf borderId="0" fillId="0" fontId="5" numFmtId="173" xfId="0" applyAlignment="1" applyFont="1" applyNumberFormat="1">
      <alignment horizontal="left" shrinkToFit="0" vertical="center" wrapText="0"/>
    </xf>
    <xf borderId="0" fillId="0" fontId="19" numFmtId="173" xfId="0" applyAlignment="1" applyFont="1" applyNumberFormat="1">
      <alignment horizontal="left" shrinkToFit="0" vertical="center" wrapText="0"/>
    </xf>
    <xf borderId="0" fillId="0" fontId="51" numFmtId="0" xfId="0" applyAlignment="1" applyFont="1">
      <alignment horizontal="left" shrinkToFit="0" vertical="center" wrapText="1"/>
    </xf>
    <xf borderId="0" fillId="0" fontId="52" numFmtId="0" xfId="0" applyAlignment="1" applyFont="1">
      <alignment horizontal="center" shrinkToFit="0" vertical="center" wrapText="1"/>
    </xf>
    <xf borderId="0" fillId="0" fontId="33" numFmtId="0" xfId="0" applyAlignment="1" applyFont="1">
      <alignment horizontal="center" readingOrder="0" shrinkToFit="0" vertical="center" wrapText="0"/>
    </xf>
    <xf borderId="0" fillId="0" fontId="53" numFmtId="0" xfId="0" applyAlignment="1" applyFont="1">
      <alignment readingOrder="0" shrinkToFit="0" vertical="center" wrapText="0"/>
    </xf>
    <xf borderId="0" fillId="0" fontId="54" numFmtId="49" xfId="0" applyAlignment="1" applyFont="1" applyNumberFormat="1">
      <alignment readingOrder="0" shrinkToFit="0" vertical="center" wrapText="1"/>
    </xf>
    <xf borderId="0" fillId="0" fontId="33" numFmtId="0" xfId="0" applyAlignment="1" applyFont="1">
      <alignment horizontal="center" readingOrder="0" shrinkToFit="0" vertical="center" wrapText="1"/>
    </xf>
    <xf borderId="0" fillId="0" fontId="10" numFmtId="173" xfId="0" applyAlignment="1" applyFont="1" applyNumberFormat="1">
      <alignment horizontal="left" shrinkToFit="0" vertical="center" wrapText="0"/>
    </xf>
    <xf borderId="0" fillId="0" fontId="51" numFmtId="0" xfId="0" applyAlignment="1" applyFont="1">
      <alignment horizontal="left" readingOrder="0" shrinkToFit="0" vertical="center" wrapText="1"/>
    </xf>
    <xf borderId="0" fillId="0" fontId="33" numFmtId="0" xfId="0" applyAlignment="1" applyFont="1">
      <alignment readingOrder="0" shrinkToFit="0" vertical="center" wrapText="0"/>
    </xf>
    <xf borderId="0" fillId="0" fontId="51" numFmtId="0" xfId="0" applyAlignment="1" applyFont="1">
      <alignment shrinkToFit="0" vertical="center" wrapText="1"/>
    </xf>
    <xf borderId="0" fillId="0" fontId="33" numFmtId="0" xfId="0" applyAlignment="1" applyFont="1">
      <alignment shrinkToFit="0" vertical="center" wrapText="0"/>
    </xf>
    <xf borderId="0" fillId="0" fontId="33" numFmtId="0" xfId="0" applyAlignment="1" applyFont="1">
      <alignment readingOrder="0" shrinkToFit="0" vertical="center" wrapText="1"/>
    </xf>
    <xf borderId="0" fillId="0" fontId="55" numFmtId="49" xfId="0" applyAlignment="1" applyFont="1" applyNumberFormat="1">
      <alignment readingOrder="0" shrinkToFit="0" vertical="center" wrapText="1"/>
    </xf>
    <xf borderId="0" fillId="7" fontId="56" numFmtId="0" xfId="0" applyAlignment="1" applyFont="1">
      <alignment horizontal="center" readingOrder="0" shrinkToFit="0" vertical="center" wrapText="0"/>
    </xf>
    <xf borderId="0" fillId="0" fontId="14" numFmtId="0" xfId="0" applyAlignment="1" applyFont="1">
      <alignment shrinkToFit="0" vertical="center" wrapText="0"/>
    </xf>
    <xf borderId="0" fillId="0" fontId="45" numFmtId="0" xfId="0" applyAlignment="1" applyFont="1">
      <alignment shrinkToFit="0" vertical="center" wrapText="0"/>
    </xf>
    <xf borderId="0" fillId="0" fontId="57" numFmtId="49" xfId="0" applyAlignment="1" applyFont="1" applyNumberFormat="1">
      <alignment shrinkToFit="0" vertical="center" wrapText="1"/>
    </xf>
    <xf borderId="0" fillId="0" fontId="58" numFmtId="0" xfId="0" applyAlignment="1" applyFont="1">
      <alignment horizontal="center" shrinkToFit="0" vertical="center" wrapText="1"/>
    </xf>
    <xf borderId="0" fillId="0" fontId="19" numFmtId="0" xfId="0" applyAlignment="1" applyFont="1">
      <alignment horizontal="center" shrinkToFit="0" vertical="center" wrapText="0"/>
    </xf>
    <xf borderId="0" fillId="0" fontId="19" numFmtId="0" xfId="0" applyAlignment="1" applyFont="1">
      <alignment readingOrder="0" shrinkToFit="0" vertical="center" wrapText="0"/>
    </xf>
    <xf borderId="0" fillId="0" fontId="19" numFmtId="0" xfId="0" applyAlignment="1" applyFont="1">
      <alignment horizontal="center" shrinkToFit="0" vertical="center" wrapText="0"/>
    </xf>
    <xf borderId="0" fillId="0" fontId="14" numFmtId="0" xfId="0" applyAlignment="1" applyFont="1">
      <alignment readingOrder="0" shrinkToFit="0" vertical="center" wrapText="0"/>
    </xf>
    <xf borderId="0" fillId="0" fontId="45" numFmtId="0" xfId="0" applyAlignment="1" applyFont="1">
      <alignment readingOrder="0" shrinkToFit="0" vertical="center" wrapText="0"/>
    </xf>
    <xf borderId="0" fillId="0" fontId="58" numFmtId="0" xfId="0" applyAlignment="1" applyFont="1">
      <alignment horizontal="center" shrinkToFit="0" vertical="center" wrapText="1"/>
    </xf>
    <xf borderId="0" fillId="0" fontId="19" numFmtId="0" xfId="0" applyAlignment="1" applyFont="1">
      <alignment horizontal="center" readingOrder="0" shrinkToFit="0" vertical="center" wrapText="0"/>
    </xf>
    <xf borderId="0" fillId="0" fontId="19" numFmtId="0" xfId="0" applyAlignment="1" applyFont="1">
      <alignment shrinkToFit="0" vertical="center" wrapText="1"/>
    </xf>
    <xf borderId="0" fillId="0" fontId="19" numFmtId="0" xfId="0" applyAlignment="1" applyFont="1">
      <alignment horizontal="center" shrinkToFit="0" vertical="center" wrapText="1"/>
    </xf>
    <xf borderId="0" fillId="0" fontId="59" numFmtId="49" xfId="0" applyAlignment="1" applyFont="1" applyNumberFormat="1">
      <alignment readingOrder="0" shrinkToFit="0" vertical="center" wrapText="1"/>
    </xf>
    <xf borderId="0" fillId="0" fontId="58" numFmtId="0" xfId="0" applyAlignment="1" applyFont="1">
      <alignment horizontal="center" readingOrder="0" shrinkToFit="0" vertical="center" wrapText="1"/>
    </xf>
    <xf borderId="0" fillId="0" fontId="19" numFmtId="0" xfId="0" applyAlignment="1" applyFont="1">
      <alignment readingOrder="0" shrinkToFit="0" vertical="center" wrapText="1"/>
    </xf>
    <xf borderId="0" fillId="0" fontId="19" numFmtId="0" xfId="0" applyAlignment="1" applyFont="1">
      <alignment shrinkToFit="0" vertical="center" wrapText="0"/>
    </xf>
    <xf borderId="0" fillId="0" fontId="19" numFmtId="0" xfId="0" applyAlignment="1" applyFont="1">
      <alignment shrinkToFit="0" vertical="center" wrapText="1"/>
    </xf>
    <xf borderId="0" fillId="0" fontId="19" numFmtId="0" xfId="0" applyAlignment="1" applyFont="1">
      <alignment horizontal="center" readingOrder="0" shrinkToFit="0" vertical="center" wrapText="0"/>
    </xf>
    <xf borderId="0" fillId="3" fontId="14" numFmtId="0" xfId="0" applyAlignment="1" applyFont="1">
      <alignment shrinkToFit="0" vertical="center" wrapText="0"/>
    </xf>
    <xf borderId="0" fillId="3" fontId="45" numFmtId="0" xfId="0" applyAlignment="1" applyFont="1">
      <alignment shrinkToFit="0" vertical="center" wrapText="0"/>
    </xf>
    <xf borderId="0" fillId="0" fontId="19" numFmtId="0" xfId="0" applyAlignment="1" applyFont="1">
      <alignment readingOrder="0" shrinkToFit="0" vertical="center" wrapText="1"/>
    </xf>
    <xf borderId="0" fillId="0" fontId="14" numFmtId="0" xfId="0" applyAlignment="1" applyFont="1">
      <alignment horizontal="center" readingOrder="0" shrinkToFit="0" vertical="center" wrapText="0"/>
    </xf>
    <xf borderId="0" fillId="0" fontId="60" numFmtId="49" xfId="0" applyAlignment="1" applyFont="1" applyNumberFormat="1">
      <alignment readingOrder="0" shrinkToFit="0" vertical="center" wrapText="1"/>
    </xf>
    <xf borderId="0" fillId="0" fontId="5" numFmtId="173" xfId="0" applyAlignment="1" applyFont="1" applyNumberFormat="1">
      <alignment horizontal="left" readingOrder="0" shrinkToFit="0" vertical="center" wrapText="0"/>
    </xf>
    <xf borderId="0" fillId="0" fontId="57" numFmtId="49" xfId="0" applyAlignment="1" applyFont="1" applyNumberFormat="1">
      <alignment readingOrder="0" shrinkToFit="0" vertical="center" wrapText="1"/>
    </xf>
    <xf borderId="0" fillId="0" fontId="19" numFmtId="173" xfId="0" applyAlignment="1" applyFont="1" applyNumberFormat="1">
      <alignment horizontal="left" readingOrder="0" shrinkToFit="0" vertical="center" wrapText="0"/>
    </xf>
    <xf borderId="0" fillId="3" fontId="14" numFmtId="0" xfId="0" applyAlignment="1" applyFont="1">
      <alignment readingOrder="0" shrinkToFit="0" vertical="center" wrapText="0"/>
    </xf>
    <xf borderId="0" fillId="3" fontId="45" numFmtId="0" xfId="0" applyAlignment="1" applyFont="1">
      <alignment readingOrder="0" shrinkToFit="0" vertical="center" wrapText="0"/>
    </xf>
    <xf borderId="0" fillId="0" fontId="61" numFmtId="0" xfId="0" applyAlignment="1" applyFont="1">
      <alignment horizontal="center" readingOrder="0" shrinkToFit="0" vertical="center" wrapText="0"/>
    </xf>
    <xf borderId="0" fillId="0" fontId="62" numFmtId="0" xfId="0" applyAlignment="1" applyFont="1">
      <alignment horizontal="center" readingOrder="0" shrinkToFit="0" vertical="center" wrapText="1"/>
    </xf>
    <xf borderId="0" fillId="0" fontId="63" numFmtId="0" xfId="0" applyAlignment="1" applyFont="1">
      <alignment readingOrder="0" shrinkToFit="0" vertical="center" wrapText="0"/>
    </xf>
    <xf borderId="0" fillId="0" fontId="64" numFmtId="0" xfId="0" applyAlignment="1" applyFont="1">
      <alignment readingOrder="0" shrinkToFit="0" vertical="center" wrapText="1"/>
    </xf>
    <xf borderId="0" fillId="0" fontId="63" numFmtId="0" xfId="0" applyAlignment="1" applyFont="1">
      <alignment readingOrder="0" shrinkToFit="0" vertical="center" wrapText="1"/>
    </xf>
    <xf borderId="0" fillId="0" fontId="10" numFmtId="0" xfId="0" applyAlignment="1" applyFont="1">
      <alignment horizontal="center" readingOrder="0" shrinkToFit="0" vertical="center" wrapText="1"/>
    </xf>
    <xf borderId="0" fillId="0" fontId="64" numFmtId="166" xfId="0" applyAlignment="1" applyFont="1" applyNumberFormat="1">
      <alignment readingOrder="0" shrinkToFit="0" vertical="center" wrapText="1"/>
    </xf>
    <xf borderId="8" fillId="0" fontId="14" numFmtId="0" xfId="0" applyAlignment="1" applyBorder="1" applyFont="1">
      <alignment horizontal="center" readingOrder="0" shrinkToFit="0" vertical="center" wrapText="0"/>
    </xf>
    <xf borderId="8" fillId="0" fontId="19" numFmtId="173" xfId="0" applyAlignment="1" applyBorder="1" applyFont="1" applyNumberFormat="1">
      <alignment horizontal="left" shrinkToFit="0" vertical="center" wrapText="0"/>
    </xf>
    <xf borderId="8" fillId="0" fontId="5" numFmtId="173" xfId="0" applyAlignment="1" applyBorder="1" applyFont="1" applyNumberFormat="1">
      <alignment horizontal="left" readingOrder="0" shrinkToFit="0" vertical="center" wrapText="0"/>
    </xf>
    <xf borderId="8" fillId="0" fontId="14" numFmtId="0" xfId="0" applyAlignment="1" applyBorder="1" applyFont="1">
      <alignment shrinkToFit="0" vertical="center" wrapText="0"/>
    </xf>
    <xf borderId="8" fillId="0" fontId="45" numFmtId="0" xfId="0" applyAlignment="1" applyBorder="1" applyFont="1">
      <alignment shrinkToFit="0" vertical="center" wrapText="0"/>
    </xf>
    <xf borderId="8" fillId="0" fontId="35" numFmtId="0" xfId="0" applyAlignment="1" applyBorder="1" applyFont="1">
      <alignment horizontal="right" readingOrder="0" shrinkToFit="0" vertical="center" wrapText="0"/>
    </xf>
    <xf borderId="8" fillId="0" fontId="10" numFmtId="0" xfId="0" applyAlignment="1" applyBorder="1" applyFont="1">
      <alignment readingOrder="0" shrinkToFit="0" vertical="center" wrapText="1"/>
    </xf>
    <xf borderId="8" fillId="0" fontId="62" numFmtId="0" xfId="0" applyAlignment="1" applyBorder="1" applyFont="1">
      <alignment horizontal="center" readingOrder="0" shrinkToFit="0" vertical="center" wrapText="1"/>
    </xf>
    <xf borderId="8" fillId="0" fontId="33" numFmtId="0" xfId="0" applyAlignment="1" applyBorder="1" applyFont="1">
      <alignment horizontal="center" readingOrder="0" shrinkToFit="0" vertical="center" wrapText="0"/>
    </xf>
    <xf borderId="8" fillId="0" fontId="10" numFmtId="0" xfId="0" applyAlignment="1" applyBorder="1" applyFont="1">
      <alignment readingOrder="0" shrinkToFit="0" vertical="center" wrapText="1"/>
    </xf>
    <xf borderId="8" fillId="0" fontId="10" numFmtId="0" xfId="0" applyAlignment="1" applyBorder="1" applyFont="1">
      <alignment readingOrder="0" shrinkToFit="0" vertical="center" wrapText="0"/>
    </xf>
    <xf borderId="8" fillId="0" fontId="10" numFmtId="0" xfId="0" applyAlignment="1" applyBorder="1" applyFont="1">
      <alignment horizontal="center" readingOrder="0" shrinkToFit="0" vertical="center" wrapText="0"/>
    </xf>
    <xf borderId="8" fillId="0" fontId="10" numFmtId="0" xfId="0" applyAlignment="1" applyBorder="1" applyFont="1">
      <alignment readingOrder="0" shrinkToFit="0" vertical="center" wrapText="0"/>
    </xf>
    <xf borderId="8" fillId="0" fontId="65" numFmtId="49" xfId="0" applyAlignment="1" applyBorder="1" applyFont="1" applyNumberFormat="1">
      <alignment readingOrder="0" shrinkToFit="0" vertical="center" wrapText="1"/>
    </xf>
    <xf borderId="8" fillId="0" fontId="33" numFmtId="49" xfId="0" applyAlignment="1" applyBorder="1" applyFont="1" applyNumberFormat="1">
      <alignment shrinkToFit="0" vertical="center" wrapText="0"/>
    </xf>
    <xf borderId="0" fillId="7" fontId="37" numFmtId="0" xfId="0" applyAlignment="1" applyFont="1">
      <alignment horizontal="center" readingOrder="0" shrinkToFit="0" vertical="center" wrapText="0"/>
    </xf>
    <xf borderId="0" fillId="0" fontId="19" numFmtId="49" xfId="0" applyAlignment="1" applyFont="1" applyNumberFormat="1">
      <alignment shrinkToFit="0" vertical="center" wrapText="1"/>
    </xf>
    <xf borderId="0" fillId="0" fontId="19" numFmtId="0" xfId="0" applyAlignment="1" applyFont="1">
      <alignment shrinkToFit="0" vertical="center" wrapText="1"/>
    </xf>
    <xf borderId="0" fillId="0" fontId="19" numFmtId="49" xfId="0" applyAlignment="1" applyFont="1" applyNumberFormat="1">
      <alignment shrinkToFit="0" vertical="center" wrapText="0"/>
    </xf>
    <xf borderId="0" fillId="0" fontId="19" numFmtId="0" xfId="0" applyAlignment="1" applyFont="1">
      <alignment shrinkToFit="0" vertical="center" wrapText="0"/>
    </xf>
    <xf borderId="0" fillId="0" fontId="19" numFmtId="49" xfId="0" applyAlignment="1" applyFont="1" applyNumberFormat="1">
      <alignment readingOrder="0" shrinkToFit="0" vertical="center" wrapText="1"/>
    </xf>
    <xf borderId="0" fillId="0" fontId="18" numFmtId="0" xfId="0" applyAlignment="1" applyFont="1">
      <alignment readingOrder="0" shrinkToFit="0" vertical="center" wrapText="1"/>
    </xf>
    <xf borderId="0" fillId="0" fontId="53" numFmtId="0" xfId="0" applyAlignment="1" applyFont="1">
      <alignment readingOrder="0" shrinkToFit="0" vertical="center" wrapText="1"/>
    </xf>
    <xf borderId="0" fillId="0" fontId="62" numFmtId="0" xfId="0" applyAlignment="1" applyFont="1">
      <alignment horizontal="center" readingOrder="0" shrinkToFit="0" vertical="center" wrapText="0"/>
    </xf>
    <xf borderId="0" fillId="0" fontId="66" numFmtId="0" xfId="0" applyAlignment="1" applyFont="1">
      <alignment readingOrder="0" shrinkToFit="0" vertical="center" wrapText="1"/>
    </xf>
    <xf borderId="0" fillId="0" fontId="67" numFmtId="0" xfId="0" applyAlignment="1" applyFont="1">
      <alignment readingOrder="0" shrinkToFit="0" vertical="center" wrapText="1"/>
    </xf>
    <xf borderId="0" fillId="0" fontId="68" numFmtId="49" xfId="0" applyAlignment="1" applyFont="1" applyNumberFormat="1">
      <alignment horizontal="left" readingOrder="0" shrinkToFit="0" vertical="center" wrapText="1"/>
    </xf>
    <xf borderId="0" fillId="0" fontId="47" numFmtId="0" xfId="0" applyAlignment="1" applyFont="1">
      <alignment horizontal="center" readingOrder="0" shrinkToFit="0" vertical="center" wrapText="1"/>
    </xf>
    <xf borderId="0" fillId="0" fontId="58" numFmtId="0" xfId="0" applyAlignment="1" applyFont="1">
      <alignment horizontal="center" shrinkToFit="0" vertical="center" wrapText="0"/>
    </xf>
    <xf borderId="0" fillId="0" fontId="14" numFmtId="0" xfId="0" applyAlignment="1" applyFont="1">
      <alignment shrinkToFit="0" vertical="bottom" wrapText="0"/>
    </xf>
    <xf borderId="0" fillId="0" fontId="19" numFmtId="173" xfId="0" applyAlignment="1" applyFont="1" applyNumberFormat="1">
      <alignment horizontal="left" shrinkToFit="0" vertical="bottom" wrapText="0"/>
    </xf>
    <xf borderId="0" fillId="0" fontId="14" numFmtId="0" xfId="0" applyAlignment="1" applyFont="1">
      <alignment readingOrder="0" shrinkToFit="0" vertical="bottom" wrapText="0"/>
    </xf>
    <xf borderId="0" fillId="0" fontId="10" numFmtId="173" xfId="0" applyAlignment="1" applyFont="1" applyNumberFormat="1">
      <alignment horizontal="left" readingOrder="0" shrinkToFit="0" vertical="center" wrapText="0"/>
    </xf>
    <xf borderId="0" fillId="0" fontId="19" numFmtId="0" xfId="0" applyAlignment="1" applyFont="1">
      <alignment readingOrder="0" shrinkToFit="0" vertical="center" wrapText="1"/>
    </xf>
    <xf borderId="0" fillId="0" fontId="58" numFmtId="0" xfId="0" applyAlignment="1" applyFont="1">
      <alignment horizontal="center" readingOrder="0" shrinkToFit="0" vertical="center" wrapText="0"/>
    </xf>
    <xf borderId="0" fillId="0" fontId="68" numFmtId="49" xfId="0" applyAlignment="1" applyFont="1" applyNumberFormat="1">
      <alignment horizontal="left" shrinkToFit="0" vertical="center" wrapText="1"/>
    </xf>
    <xf borderId="0" fillId="0" fontId="10" numFmtId="0" xfId="0" applyAlignment="1" applyFont="1">
      <alignment horizontal="center" shrinkToFit="0" vertical="center" wrapText="0"/>
    </xf>
    <xf borderId="0" fillId="0" fontId="66" numFmtId="0" xfId="0" applyAlignment="1" applyFont="1">
      <alignment shrinkToFit="0" vertical="center" wrapText="1"/>
    </xf>
    <xf borderId="0" fillId="0" fontId="35" numFmtId="0" xfId="0" applyAlignment="1" applyFont="1">
      <alignment horizontal="center" readingOrder="0" shrinkToFit="0" vertical="center" wrapText="0"/>
    </xf>
    <xf borderId="0" fillId="0" fontId="33" numFmtId="0" xfId="0" applyAlignment="1" applyFont="1">
      <alignment readingOrder="0" shrinkToFit="0" vertical="center" wrapText="0"/>
    </xf>
    <xf borderId="0" fillId="0" fontId="47" numFmtId="0" xfId="0" applyAlignment="1" applyFont="1">
      <alignment horizontal="center" shrinkToFit="0" vertical="center" wrapText="1"/>
    </xf>
    <xf borderId="0" fillId="0" fontId="33" numFmtId="0" xfId="0" applyAlignment="1" applyFont="1">
      <alignment horizontal="center" shrinkToFit="0" vertical="center" wrapText="0"/>
    </xf>
    <xf borderId="0" fillId="0" fontId="33" numFmtId="0" xfId="0" applyAlignment="1" applyFont="1">
      <alignment shrinkToFit="0" vertical="center" wrapText="0"/>
    </xf>
    <xf borderId="0" fillId="0" fontId="35" numFmtId="0" xfId="0" applyAlignment="1" applyFont="1">
      <alignment horizontal="right" shrinkToFit="0" vertical="center" wrapText="0"/>
    </xf>
    <xf borderId="0" fillId="0" fontId="67" numFmtId="0" xfId="0" applyAlignment="1" applyFont="1">
      <alignment shrinkToFit="0" vertical="center" wrapText="1"/>
    </xf>
    <xf borderId="0" fillId="0" fontId="33" numFmtId="174" xfId="0" applyAlignment="1" applyFont="1" applyNumberFormat="1">
      <alignment horizontal="center" shrinkToFit="0" vertical="center" wrapText="0"/>
    </xf>
    <xf borderId="0" fillId="0" fontId="36" numFmtId="170" xfId="0" applyAlignment="1" applyFont="1" applyNumberFormat="1">
      <alignment horizontal="center" readingOrder="0" shrinkToFit="0" vertical="center" wrapText="0"/>
    </xf>
    <xf borderId="0" fillId="0" fontId="4" numFmtId="49" xfId="0" applyAlignment="1" applyFont="1" applyNumberFormat="1">
      <alignment horizontal="center" readingOrder="0" shrinkToFit="0" vertical="center" wrapText="0"/>
    </xf>
    <xf borderId="0" fillId="0" fontId="4" numFmtId="0" xfId="0" applyAlignment="1" applyFont="1">
      <alignment horizontal="center" readingOrder="0" shrinkToFit="0" vertical="center" wrapText="0"/>
    </xf>
    <xf borderId="0" fillId="0" fontId="4" numFmtId="0" xfId="0" applyAlignment="1" applyFont="1">
      <alignment horizontal="left" readingOrder="0" shrinkToFit="0" vertical="center" wrapText="0"/>
    </xf>
    <xf borderId="0" fillId="0" fontId="5" numFmtId="171" xfId="0" applyAlignment="1" applyFont="1" applyNumberFormat="1">
      <alignment horizontal="left" shrinkToFit="0" vertical="center" wrapText="0"/>
    </xf>
    <xf borderId="0" fillId="0" fontId="4" numFmtId="49" xfId="0" applyAlignment="1" applyFont="1" applyNumberFormat="1">
      <alignment readingOrder="0" shrinkToFit="0" vertical="center" wrapText="0"/>
    </xf>
    <xf borderId="0" fillId="0" fontId="69" numFmtId="0" xfId="0" applyAlignment="1" applyFont="1">
      <alignment readingOrder="0" shrinkToFit="0" vertical="center" wrapText="0"/>
    </xf>
    <xf borderId="0" fillId="0" fontId="5" numFmtId="170" xfId="0" applyAlignment="1" applyFont="1" applyNumberFormat="1">
      <alignment horizontal="left" shrinkToFit="0" vertical="center" wrapText="1"/>
    </xf>
    <xf borderId="0" fillId="0" fontId="4" numFmtId="0" xfId="0" applyAlignment="1" applyFont="1">
      <alignment readingOrder="0" shrinkToFit="0" vertical="center" wrapText="0"/>
    </xf>
    <xf borderId="0" fillId="0" fontId="4" numFmtId="0" xfId="0" applyAlignment="1" applyFont="1">
      <alignment readingOrder="0" shrinkToFit="0" vertical="center" wrapText="0"/>
    </xf>
    <xf borderId="0" fillId="0" fontId="4" numFmtId="49" xfId="0" applyAlignment="1" applyFont="1" applyNumberFormat="1">
      <alignment readingOrder="0" shrinkToFit="0" vertical="center" wrapText="1"/>
    </xf>
    <xf borderId="0" fillId="0" fontId="4" numFmtId="0" xfId="0" applyAlignment="1" applyFont="1">
      <alignment readingOrder="0" shrinkToFit="0" vertical="center" wrapText="1"/>
    </xf>
    <xf borderId="0" fillId="0" fontId="4" numFmtId="0" xfId="0" applyAlignment="1" applyFont="1">
      <alignment readingOrder="0" shrinkToFit="0" vertical="center" wrapText="1"/>
    </xf>
    <xf borderId="0" fillId="0" fontId="4" numFmtId="170" xfId="0" applyAlignment="1" applyFont="1" applyNumberFormat="1">
      <alignment readingOrder="0" shrinkToFit="0" vertical="center" wrapText="1"/>
    </xf>
    <xf borderId="0" fillId="0" fontId="4" numFmtId="0" xfId="0" applyAlignment="1" applyFont="1">
      <alignment readingOrder="0" shrinkToFit="0" vertical="center" wrapText="1"/>
    </xf>
    <xf borderId="0" fillId="0" fontId="4" numFmtId="49" xfId="0" applyAlignment="1" applyFont="1" applyNumberFormat="1">
      <alignment shrinkToFit="0" vertical="center" wrapText="0"/>
    </xf>
    <xf borderId="0" fillId="0" fontId="4" numFmtId="49" xfId="0" applyAlignment="1" applyFont="1" applyNumberFormat="1">
      <alignment horizontal="left" shrinkToFit="0" vertical="center" wrapText="0"/>
    </xf>
    <xf borderId="0" fillId="0" fontId="4" numFmtId="174" xfId="0" applyAlignment="1" applyFont="1" applyNumberFormat="1">
      <alignment horizontal="left" shrinkToFit="0" vertical="center" wrapText="0"/>
    </xf>
    <xf borderId="0" fillId="0" fontId="4" numFmtId="49" xfId="0" applyAlignment="1" applyFont="1" applyNumberFormat="1">
      <alignment shrinkToFit="0" vertical="center" wrapText="1"/>
    </xf>
    <xf borderId="0" fillId="0" fontId="4" numFmtId="171" xfId="0" applyAlignment="1" applyFont="1" applyNumberFormat="1">
      <alignment horizontal="left" shrinkToFit="0" vertical="center" wrapText="0"/>
    </xf>
    <xf borderId="0" fillId="0" fontId="4" numFmtId="49" xfId="0" applyAlignment="1" applyFont="1" applyNumberFormat="1">
      <alignment readingOrder="0" shrinkToFit="0" vertical="center" wrapText="0"/>
    </xf>
    <xf borderId="0" fillId="0" fontId="4" numFmtId="0" xfId="0" applyAlignment="1" applyFont="1">
      <alignment shrinkToFit="0" vertical="center" wrapText="1"/>
    </xf>
    <xf borderId="0" fillId="0" fontId="4" numFmtId="49" xfId="0" applyAlignment="1" applyFont="1" applyNumberFormat="1">
      <alignment shrinkToFit="0" vertical="center" wrapText="1"/>
    </xf>
    <xf borderId="0" fillId="0" fontId="4" numFmtId="49" xfId="0" applyAlignment="1" applyFont="1" applyNumberFormat="1">
      <alignment horizontal="left" shrinkToFit="0" vertical="center" wrapText="0"/>
    </xf>
    <xf borderId="0" fillId="0" fontId="4" numFmtId="174" xfId="0" applyAlignment="1" applyFont="1" applyNumberFormat="1">
      <alignment horizontal="left" shrinkToFit="0" vertical="center" wrapText="0"/>
    </xf>
    <xf borderId="0" fillId="0" fontId="4" numFmtId="0" xfId="0" applyAlignment="1" applyFont="1">
      <alignment shrinkToFit="0" vertical="center" wrapText="1"/>
    </xf>
    <xf borderId="0" fillId="0" fontId="4" numFmtId="49" xfId="0" applyAlignment="1" applyFont="1" applyNumberFormat="1">
      <alignment horizontal="left" shrinkToFit="0" vertical="center" wrapText="1"/>
    </xf>
    <xf borderId="0" fillId="0" fontId="5" numFmtId="170" xfId="0" applyAlignment="1" applyFont="1" applyNumberFormat="1">
      <alignment horizontal="left" shrinkToFit="0" vertical="center" wrapText="0"/>
    </xf>
    <xf borderId="0" fillId="0" fontId="4" numFmtId="0" xfId="0" applyAlignment="1" applyFont="1">
      <alignment horizontal="center" readingOrder="0" shrinkToFit="0" vertical="center" wrapText="0"/>
    </xf>
    <xf borderId="0" fillId="0" fontId="5" numFmtId="170" xfId="0" applyAlignment="1" applyFont="1" applyNumberFormat="1">
      <alignment horizontal="left" shrinkToFit="0" vertical="center" wrapText="1"/>
    </xf>
    <xf borderId="0" fillId="0" fontId="4" numFmtId="0" xfId="0" applyAlignment="1" applyFont="1">
      <alignment readingOrder="0" shrinkToFit="0" vertical="center" wrapText="0"/>
    </xf>
    <xf borderId="0" fillId="0" fontId="69" numFmtId="0" xfId="0" applyAlignment="1" applyFont="1">
      <alignment readingOrder="0" shrinkToFit="0" vertical="center" wrapText="1"/>
    </xf>
    <xf borderId="0" fillId="0" fontId="5" numFmtId="170" xfId="0" applyAlignment="1" applyFont="1" applyNumberFormat="1">
      <alignment horizontal="left" shrinkToFit="0" vertical="center" wrapText="0"/>
    </xf>
    <xf borderId="0" fillId="0" fontId="4" numFmtId="171" xfId="0" applyAlignment="1" applyFont="1" applyNumberFormat="1">
      <alignment horizontal="left" readingOrder="0" shrinkToFit="0" vertical="center" wrapText="1"/>
    </xf>
    <xf borderId="0" fillId="0" fontId="4" numFmtId="49" xfId="0" applyAlignment="1" applyFont="1" applyNumberFormat="1">
      <alignment readingOrder="0" shrinkToFit="0" vertical="center" wrapText="1"/>
    </xf>
    <xf quotePrefix="1" borderId="0" fillId="0" fontId="4" numFmtId="49" xfId="0" applyAlignment="1" applyFont="1" applyNumberFormat="1">
      <alignment horizontal="left" shrinkToFit="0" vertical="center" wrapText="1"/>
    </xf>
    <xf borderId="0" fillId="0" fontId="4" numFmtId="0" xfId="0" applyAlignment="1" applyFont="1">
      <alignment shrinkToFit="0" vertical="center" wrapText="0"/>
    </xf>
    <xf borderId="0" fillId="0" fontId="4" numFmtId="0" xfId="0" applyAlignment="1" applyFont="1">
      <alignment shrinkToFit="0" vertical="center" wrapText="0"/>
    </xf>
    <xf quotePrefix="1" borderId="0" fillId="0" fontId="4" numFmtId="49" xfId="0" applyAlignment="1" applyFont="1" applyNumberFormat="1">
      <alignment horizontal="left" shrinkToFit="0" vertical="center" wrapText="0"/>
    </xf>
    <xf borderId="0" fillId="0" fontId="4" numFmtId="49" xfId="0" applyAlignment="1" applyFont="1" applyNumberFormat="1">
      <alignment horizontal="left" readingOrder="0" shrinkToFit="0" vertical="center" wrapText="0"/>
    </xf>
    <xf borderId="0" fillId="0" fontId="5" numFmtId="49" xfId="0" applyAlignment="1" applyFont="1" applyNumberFormat="1">
      <alignment horizontal="left" shrinkToFit="0" vertical="center" wrapText="0"/>
    </xf>
    <xf borderId="0" fillId="0" fontId="4" numFmtId="170" xfId="0" applyAlignment="1" applyFont="1" applyNumberFormat="1">
      <alignment shrinkToFit="0" vertical="center" wrapText="1"/>
    </xf>
    <xf borderId="0" fillId="0" fontId="4" numFmtId="175" xfId="0" applyAlignment="1" applyFont="1" applyNumberFormat="1">
      <alignment horizontal="left" shrinkToFit="0" vertical="center" wrapText="0"/>
    </xf>
    <xf borderId="0" fillId="0" fontId="4" numFmtId="170" xfId="0" applyAlignment="1" applyFont="1" applyNumberFormat="1">
      <alignment readingOrder="0" shrinkToFit="0" vertical="center" wrapText="1"/>
    </xf>
    <xf borderId="0" fillId="0" fontId="69" numFmtId="0" xfId="0" applyAlignment="1" applyFont="1">
      <alignment shrinkToFit="0" vertical="center" wrapText="0"/>
    </xf>
    <xf borderId="9" fillId="0" fontId="69" numFmtId="0" xfId="0" applyAlignment="1" applyBorder="1" applyFont="1">
      <alignment shrinkToFit="0" vertical="center" wrapText="0"/>
    </xf>
    <xf borderId="0" fillId="3" fontId="69" numFmtId="0" xfId="0" applyAlignment="1" applyFont="1">
      <alignment shrinkToFit="0" vertical="center" wrapText="0"/>
    </xf>
    <xf borderId="0" fillId="0" fontId="4" numFmtId="168" xfId="0" applyAlignment="1" applyFont="1" applyNumberFormat="1">
      <alignment horizontal="left" shrinkToFit="0" vertical="center" wrapText="0"/>
    </xf>
    <xf borderId="0" fillId="0" fontId="4" numFmtId="174" xfId="0" applyAlignment="1" applyFont="1" applyNumberFormat="1">
      <alignment horizontal="left" readingOrder="0" shrinkToFit="0" vertical="center" wrapText="0"/>
    </xf>
    <xf borderId="0" fillId="0" fontId="4" numFmtId="171" xfId="0" applyAlignment="1" applyFont="1" applyNumberFormat="1">
      <alignment horizontal="left" shrinkToFit="0" vertical="center" wrapText="1"/>
    </xf>
    <xf borderId="0" fillId="0" fontId="4" numFmtId="168" xfId="0" applyAlignment="1" applyFont="1" applyNumberFormat="1">
      <alignment horizontal="left" shrinkToFit="0" vertical="center" wrapText="1"/>
    </xf>
    <xf borderId="0" fillId="0" fontId="4" numFmtId="0" xfId="0" applyAlignment="1" applyFont="1">
      <alignment shrinkToFit="0" vertical="center" wrapText="1"/>
    </xf>
    <xf borderId="0" fillId="0" fontId="5" numFmtId="176" xfId="0" applyAlignment="1" applyFont="1" applyNumberFormat="1">
      <alignment horizontal="left" shrinkToFit="0" vertical="center" wrapText="0"/>
    </xf>
    <xf borderId="0" fillId="0" fontId="4" numFmtId="176" xfId="0" applyAlignment="1" applyFont="1" applyNumberFormat="1">
      <alignment shrinkToFit="0" vertical="center" wrapText="1"/>
    </xf>
    <xf borderId="0" fillId="0" fontId="4" numFmtId="168" xfId="0" applyAlignment="1" applyFont="1" applyNumberFormat="1">
      <alignment horizontal="left" readingOrder="0" shrinkToFit="0" vertical="center" wrapText="0"/>
    </xf>
    <xf borderId="0" fillId="0" fontId="70" numFmtId="49" xfId="0" applyAlignment="1" applyFont="1" applyNumberFormat="1">
      <alignment readingOrder="0" shrinkToFit="0" vertical="center" wrapText="1"/>
    </xf>
    <xf borderId="0" fillId="5" fontId="5" numFmtId="170" xfId="0" applyAlignment="1" applyFont="1" applyNumberFormat="1">
      <alignment horizontal="left" shrinkToFit="0" vertical="center" wrapText="0"/>
    </xf>
    <xf borderId="0" fillId="0" fontId="4" numFmtId="0" xfId="0" applyAlignment="1" applyFont="1">
      <alignment readingOrder="0" shrinkToFit="0" vertical="center" wrapText="0"/>
    </xf>
    <xf borderId="0" fillId="0" fontId="5" numFmtId="170" xfId="0" applyAlignment="1" applyFont="1" applyNumberFormat="1">
      <alignment horizontal="left" readingOrder="0" shrinkToFit="0" vertical="center" wrapText="0"/>
    </xf>
    <xf borderId="0" fillId="0" fontId="71" numFmtId="49" xfId="0" applyAlignment="1" applyFont="1" applyNumberFormat="1">
      <alignment horizontal="left" readingOrder="0" shrinkToFit="0" vertical="center" wrapText="0"/>
    </xf>
    <xf borderId="0" fillId="0" fontId="5" numFmtId="49" xfId="0" applyAlignment="1" applyFont="1" applyNumberFormat="1">
      <alignment readingOrder="0" shrinkToFit="0" vertical="center" wrapText="1"/>
    </xf>
    <xf borderId="0" fillId="0" fontId="19" numFmtId="49" xfId="0" applyAlignment="1" applyFont="1" applyNumberFormat="1">
      <alignment shrinkToFit="0" vertical="bottom" wrapText="0"/>
    </xf>
    <xf borderId="0" fillId="0" fontId="19" numFmtId="0" xfId="0" applyAlignment="1" applyFont="1">
      <alignment readingOrder="0" shrinkToFit="0" vertical="center" wrapText="0"/>
    </xf>
    <xf borderId="0" fillId="0" fontId="4" numFmtId="0" xfId="0" applyAlignment="1" applyFont="1">
      <alignment shrinkToFit="0" vertical="bottom" wrapText="1"/>
    </xf>
    <xf borderId="0" fillId="0" fontId="4" numFmtId="170" xfId="0" applyAlignment="1" applyFont="1" applyNumberFormat="1">
      <alignment readingOrder="0" shrinkToFit="0" vertical="bottom" wrapText="1"/>
    </xf>
    <xf borderId="0" fillId="0" fontId="4" numFmtId="170" xfId="0" applyAlignment="1" applyFont="1" applyNumberFormat="1">
      <alignment readingOrder="0" shrinkToFit="0" vertical="center" wrapText="1"/>
    </xf>
    <xf borderId="0" fillId="0" fontId="4" numFmtId="171" xfId="0" applyAlignment="1" applyFont="1" applyNumberFormat="1">
      <alignment horizontal="left" readingOrder="0" shrinkToFit="0" vertical="center" wrapText="0"/>
    </xf>
    <xf borderId="0" fillId="5" fontId="5" numFmtId="170" xfId="0" applyAlignment="1" applyFont="1" applyNumberFormat="1">
      <alignment horizontal="left" readingOrder="0" shrinkToFit="0" vertical="center" wrapText="0"/>
    </xf>
    <xf borderId="0" fillId="0" fontId="72" numFmtId="49" xfId="0" applyAlignment="1" applyFont="1" applyNumberFormat="1">
      <alignment horizontal="left" readingOrder="0" shrinkToFit="0" vertical="center" wrapText="0"/>
    </xf>
    <xf borderId="0" fillId="0" fontId="73" numFmtId="49" xfId="0" applyAlignment="1" applyFont="1" applyNumberFormat="1">
      <alignment readingOrder="0" shrinkToFit="0" vertical="center" wrapText="1"/>
    </xf>
    <xf borderId="0" fillId="0" fontId="4" numFmtId="49" xfId="0" applyAlignment="1" applyFont="1" applyNumberFormat="1">
      <alignment horizontal="left" readingOrder="0" shrinkToFit="0" vertical="center" wrapText="1"/>
    </xf>
    <xf borderId="0" fillId="3" fontId="14" numFmtId="170" xfId="0" applyAlignment="1" applyFont="1" applyNumberFormat="1">
      <alignment horizontal="left" readingOrder="0" shrinkToFit="0" vertical="center" wrapText="0"/>
    </xf>
    <xf borderId="0" fillId="0" fontId="4" numFmtId="0" xfId="0" applyAlignment="1" applyFont="1">
      <alignment readingOrder="0" shrinkToFit="0" vertical="center" wrapText="0"/>
    </xf>
    <xf borderId="0" fillId="0" fontId="69" numFmtId="0" xfId="0" applyAlignment="1" applyFont="1">
      <alignment readingOrder="0" shrinkToFit="0" vertical="center" wrapText="0"/>
    </xf>
    <xf borderId="0" fillId="0" fontId="10" numFmtId="170" xfId="0" applyFont="1" applyNumberFormat="1"/>
    <xf borderId="0" fillId="0" fontId="10" numFmtId="0" xfId="0" applyAlignment="1" applyFont="1">
      <alignment horizontal="left" readingOrder="0" shrinkToFit="0" vertical="center" wrapText="0"/>
    </xf>
    <xf borderId="0" fillId="0" fontId="10" numFmtId="170" xfId="0" applyAlignment="1" applyFont="1" applyNumberFormat="1">
      <alignment horizontal="center" readingOrder="0" shrinkToFit="0" vertical="center" wrapText="0"/>
    </xf>
    <xf borderId="0" fillId="0" fontId="10" numFmtId="170" xfId="0" applyAlignment="1" applyFont="1" applyNumberFormat="1">
      <alignment shrinkToFit="0" vertical="center" wrapText="0"/>
    </xf>
    <xf borderId="0" fillId="0" fontId="10" numFmtId="10" xfId="0" applyFont="1" applyNumberFormat="1"/>
    <xf borderId="0" fillId="0" fontId="24" numFmtId="0" xfId="0" applyAlignment="1" applyFont="1">
      <alignment readingOrder="0" shrinkToFit="0" vertical="center" wrapText="0"/>
    </xf>
    <xf borderId="0" fillId="0" fontId="24" numFmtId="170" xfId="0" applyAlignment="1" applyFont="1" applyNumberFormat="1">
      <alignment shrinkToFit="0" vertical="center" wrapText="0"/>
    </xf>
    <xf borderId="0" fillId="0" fontId="24" numFmtId="0" xfId="0" applyAlignment="1" applyFont="1">
      <alignment readingOrder="0"/>
    </xf>
    <xf borderId="0" fillId="0" fontId="10" numFmtId="170" xfId="0" applyAlignment="1" applyFont="1" applyNumberFormat="1">
      <alignment shrinkToFit="0" vertical="center" wrapText="0"/>
    </xf>
    <xf borderId="0" fillId="0" fontId="24" numFmtId="170" xfId="0" applyAlignment="1" applyFont="1" applyNumberFormat="1">
      <alignment readingOrder="0"/>
    </xf>
    <xf borderId="0" fillId="0" fontId="24" numFmtId="170" xfId="0" applyFont="1" applyNumberFormat="1"/>
    <xf borderId="0" fillId="0" fontId="10" numFmtId="170" xfId="0" applyFont="1" applyNumberFormat="1"/>
    <xf borderId="0" fillId="0" fontId="74" numFmtId="170" xfId="0" applyFont="1" applyNumberFormat="1"/>
    <xf borderId="0" fillId="0" fontId="24" numFmtId="170" xfId="0" applyAlignment="1" applyFont="1" applyNumberFormat="1">
      <alignment readingOrder="0" shrinkToFit="0" vertical="center" wrapText="0"/>
    </xf>
    <xf borderId="0" fillId="0" fontId="75" numFmtId="9" xfId="0" applyFont="1" applyNumberFormat="1"/>
    <xf borderId="10" fillId="0" fontId="1" numFmtId="0" xfId="0" applyAlignment="1" applyBorder="1" applyFont="1">
      <alignment horizontal="center" readingOrder="0" shrinkToFit="0" vertical="center" wrapText="1"/>
    </xf>
    <xf borderId="11" fillId="0" fontId="1" numFmtId="0" xfId="0" applyAlignment="1" applyBorder="1" applyFont="1">
      <alignment horizontal="center" shrinkToFit="0" vertical="center" wrapText="1"/>
    </xf>
    <xf borderId="9" fillId="0" fontId="29" numFmtId="0" xfId="0" applyBorder="1" applyFont="1"/>
    <xf borderId="10" fillId="0" fontId="1" numFmtId="0" xfId="0" applyAlignment="1" applyBorder="1" applyFont="1">
      <alignment horizontal="center" vertical="center"/>
    </xf>
    <xf borderId="10" fillId="0" fontId="1" numFmtId="0" xfId="0" applyAlignment="1" applyBorder="1" applyFont="1">
      <alignment horizontal="center" readingOrder="0" vertical="center"/>
    </xf>
    <xf borderId="10" fillId="0" fontId="61" numFmtId="0" xfId="0" applyAlignment="1" applyBorder="1" applyFont="1">
      <alignment readingOrder="0" vertical="center"/>
    </xf>
    <xf borderId="10" fillId="0" fontId="5" numFmtId="0" xfId="0" applyAlignment="1" applyBorder="1" applyFont="1">
      <alignment horizontal="right" readingOrder="0" vertical="center"/>
    </xf>
    <xf borderId="10" fillId="0" fontId="5" numFmtId="166" xfId="0" applyAlignment="1" applyBorder="1" applyFont="1" applyNumberFormat="1">
      <alignment horizontal="left" readingOrder="0" vertical="center"/>
    </xf>
    <xf borderId="10" fillId="0" fontId="61" numFmtId="0" xfId="0" applyAlignment="1" applyBorder="1" applyFont="1">
      <alignment horizontal="center" vertical="center"/>
    </xf>
    <xf borderId="10" fillId="0" fontId="5" numFmtId="164" xfId="0" applyAlignment="1" applyBorder="1" applyFont="1" applyNumberFormat="1">
      <alignment horizontal="right" readingOrder="0" vertical="center"/>
    </xf>
    <xf borderId="10" fillId="0" fontId="5" numFmtId="164" xfId="0" applyAlignment="1" applyBorder="1" applyFont="1" applyNumberFormat="1">
      <alignment horizontal="left" vertical="center"/>
    </xf>
    <xf borderId="10" fillId="0" fontId="61" numFmtId="0" xfId="0" applyAlignment="1" applyBorder="1" applyFont="1">
      <alignment horizontal="center" readingOrder="0" vertical="center"/>
    </xf>
    <xf borderId="10" fillId="0" fontId="61" numFmtId="0" xfId="0" applyAlignment="1" applyBorder="1" applyFont="1">
      <alignment horizontal="center" readingOrder="0" shrinkToFit="0" vertical="center" wrapText="1"/>
    </xf>
    <xf borderId="10" fillId="0" fontId="5" numFmtId="0" xfId="0" applyAlignment="1" applyBorder="1" applyFont="1">
      <alignment horizontal="left" readingOrder="0" shrinkToFit="0" vertical="center" wrapText="1"/>
    </xf>
    <xf borderId="10" fillId="0" fontId="5" numFmtId="0" xfId="0" applyAlignment="1" applyBorder="1" applyFont="1">
      <alignment horizontal="center" readingOrder="0" shrinkToFit="0" vertical="center" wrapText="1"/>
    </xf>
    <xf borderId="10" fillId="0" fontId="5" numFmtId="0" xfId="0" applyAlignment="1" applyBorder="1" applyFont="1">
      <alignment shrinkToFit="0" vertical="center" wrapText="1"/>
    </xf>
    <xf borderId="10" fillId="0" fontId="61" numFmtId="0" xfId="0" applyAlignment="1" applyBorder="1" applyFont="1">
      <alignment vertical="center"/>
    </xf>
    <xf borderId="10" fillId="0" fontId="5" numFmtId="0" xfId="0" applyAlignment="1" applyBorder="1" applyFont="1">
      <alignment horizontal="right" vertical="center"/>
    </xf>
    <xf borderId="10" fillId="0" fontId="5" numFmtId="166" xfId="0" applyAlignment="1" applyBorder="1" applyFont="1" applyNumberFormat="1">
      <alignment horizontal="left" vertical="center"/>
    </xf>
    <xf borderId="10" fillId="0" fontId="5" numFmtId="164" xfId="0" applyAlignment="1" applyBorder="1" applyFont="1" applyNumberFormat="1">
      <alignment horizontal="right" vertical="center"/>
    </xf>
    <xf borderId="10" fillId="0" fontId="61" numFmtId="0" xfId="0" applyAlignment="1" applyBorder="1" applyFont="1">
      <alignment horizontal="center" shrinkToFit="0" vertical="center" wrapText="1"/>
    </xf>
    <xf borderId="10" fillId="0" fontId="5" numFmtId="0" xfId="0" applyAlignment="1" applyBorder="1" applyFont="1">
      <alignment horizontal="left" shrinkToFit="0" vertical="center" wrapText="1"/>
    </xf>
    <xf borderId="10" fillId="0" fontId="5" numFmtId="0" xfId="0" applyAlignment="1" applyBorder="1" applyFont="1">
      <alignment horizontal="center" shrinkToFit="0" vertical="center" wrapText="1"/>
    </xf>
    <xf borderId="12" fillId="0" fontId="5" numFmtId="164" xfId="0" applyAlignment="1" applyBorder="1" applyFont="1" applyNumberFormat="1">
      <alignment horizontal="right" vertical="center"/>
    </xf>
    <xf borderId="12" fillId="0" fontId="5" numFmtId="164" xfId="0" applyAlignment="1" applyBorder="1" applyFont="1" applyNumberFormat="1">
      <alignment horizontal="left" vertical="center"/>
    </xf>
    <xf borderId="12" fillId="0" fontId="61" numFmtId="0" xfId="0" applyAlignment="1" applyBorder="1" applyFont="1">
      <alignment horizontal="center" readingOrder="0" vertical="center"/>
    </xf>
    <xf borderId="12" fillId="0" fontId="5" numFmtId="0" xfId="0" applyAlignment="1" applyBorder="1" applyFont="1">
      <alignment horizontal="right" vertical="center"/>
    </xf>
    <xf borderId="12" fillId="0" fontId="5" numFmtId="166" xfId="0" applyAlignment="1" applyBorder="1" applyFont="1" applyNumberFormat="1">
      <alignment horizontal="left" vertical="center"/>
    </xf>
    <xf borderId="12" fillId="0" fontId="61" numFmtId="0" xfId="0" applyAlignment="1" applyBorder="1" applyFont="1">
      <alignment horizontal="center" vertical="center"/>
    </xf>
    <xf borderId="12" fillId="0" fontId="5" numFmtId="0" xfId="0" applyAlignment="1" applyBorder="1" applyFont="1">
      <alignment horizontal="left" vertical="center"/>
    </xf>
    <xf borderId="12" fillId="0" fontId="5" numFmtId="0" xfId="0" applyAlignment="1" applyBorder="1" applyFont="1">
      <alignment horizontal="center" readingOrder="0" vertical="center"/>
    </xf>
    <xf borderId="12" fillId="0" fontId="61" numFmtId="0" xfId="0" applyAlignment="1" applyBorder="1" applyFont="1">
      <alignment readingOrder="0" vertical="center"/>
    </xf>
    <xf borderId="10" fillId="0" fontId="5" numFmtId="0" xfId="0" applyAlignment="1" applyBorder="1" applyFont="1">
      <alignment horizontal="left" readingOrder="0" vertical="center"/>
    </xf>
    <xf borderId="0" fillId="0" fontId="63" numFmtId="0" xfId="0" applyAlignment="1" applyFont="1">
      <alignment readingOrder="0" vertical="center"/>
    </xf>
    <xf borderId="13" fillId="0" fontId="29" numFmtId="0" xfId="0" applyBorder="1" applyFont="1"/>
    <xf borderId="0" fillId="0" fontId="22" numFmtId="0" xfId="0" applyAlignment="1" applyFont="1">
      <alignment readingOrder="0" vertical="center"/>
    </xf>
    <xf borderId="12" fillId="0" fontId="4" numFmtId="164" xfId="0" applyAlignment="1" applyBorder="1" applyFont="1" applyNumberFormat="1">
      <alignment horizontal="left" readingOrder="0" vertical="center"/>
    </xf>
    <xf borderId="12" fillId="0" fontId="61" numFmtId="0" xfId="0" applyAlignment="1" applyBorder="1" applyFont="1">
      <alignment horizontal="center" shrinkToFit="0" vertical="center" wrapText="1"/>
    </xf>
    <xf borderId="12" fillId="0" fontId="5" numFmtId="0" xfId="0" applyAlignment="1" applyBorder="1" applyFont="1">
      <alignment horizontal="left" shrinkToFit="0" vertical="center" wrapText="1"/>
    </xf>
    <xf borderId="12" fillId="0" fontId="5" numFmtId="0" xfId="0" applyAlignment="1" applyBorder="1" applyFont="1">
      <alignment horizontal="center" readingOrder="0" shrinkToFit="0" vertical="center" wrapText="1"/>
    </xf>
    <xf borderId="12" fillId="0" fontId="5" numFmtId="0" xfId="0" applyAlignment="1" applyBorder="1" applyFont="1">
      <alignment horizontal="center" shrinkToFit="0" vertical="center" wrapText="1"/>
    </xf>
    <xf borderId="0" fillId="0" fontId="10" numFmtId="0" xfId="0" applyAlignment="1" applyFont="1">
      <alignment vertical="center"/>
    </xf>
    <xf borderId="14" fillId="0" fontId="29" numFmtId="0" xfId="0" applyBorder="1" applyFont="1"/>
    <xf borderId="10" fillId="0" fontId="5" numFmtId="0" xfId="0" applyAlignment="1" applyBorder="1" applyFont="1">
      <alignment vertical="center"/>
    </xf>
    <xf borderId="0" fillId="8" fontId="10" numFmtId="0" xfId="0" applyAlignment="1" applyFill="1" applyFont="1">
      <alignment readingOrder="0" vertical="center"/>
    </xf>
    <xf borderId="0" fillId="3" fontId="66" numFmtId="0" xfId="0" applyAlignment="1" applyFont="1">
      <alignment readingOrder="0"/>
    </xf>
    <xf borderId="10" fillId="0" fontId="5" numFmtId="0" xfId="0" applyAlignment="1" applyBorder="1" applyFont="1">
      <alignment horizontal="center" vertical="center"/>
    </xf>
    <xf borderId="12" fillId="0" fontId="5" numFmtId="0" xfId="0" applyAlignment="1" applyBorder="1" applyFont="1">
      <alignment horizontal="left" readingOrder="0" vertical="center"/>
    </xf>
    <xf borderId="0" fillId="9" fontId="10" numFmtId="0" xfId="0" applyAlignment="1" applyFill="1" applyFont="1">
      <alignment vertical="center"/>
    </xf>
    <xf borderId="14" fillId="0" fontId="61" numFmtId="0" xfId="0" applyAlignment="1" applyBorder="1" applyFont="1">
      <alignment horizontal="center" readingOrder="0" vertical="center"/>
    </xf>
    <xf borderId="0" fillId="10" fontId="10" numFmtId="0" xfId="0" applyAlignment="1" applyFill="1" applyFont="1">
      <alignment vertical="center"/>
    </xf>
    <xf borderId="12" fillId="0" fontId="5" numFmtId="0" xfId="0" applyAlignment="1" applyBorder="1" applyFont="1">
      <alignment horizontal="left" readingOrder="0" shrinkToFit="0" vertical="center" wrapText="1"/>
    </xf>
    <xf borderId="0" fillId="11" fontId="10" numFmtId="0" xfId="0" applyAlignment="1" applyFill="1" applyFont="1">
      <alignment vertical="center"/>
    </xf>
    <xf borderId="0" fillId="12" fontId="10" numFmtId="0" xfId="0" applyAlignment="1" applyFill="1" applyFont="1">
      <alignment vertical="center"/>
    </xf>
    <xf borderId="10" fillId="0" fontId="9" numFmtId="0" xfId="0" applyAlignment="1" applyBorder="1" applyFont="1">
      <alignment vertical="center"/>
    </xf>
    <xf borderId="10" fillId="0" fontId="4" numFmtId="0" xfId="0" applyAlignment="1" applyBorder="1" applyFont="1">
      <alignment horizontal="left" readingOrder="0" vertical="center"/>
    </xf>
    <xf borderId="10" fillId="0" fontId="9" numFmtId="0" xfId="0" applyAlignment="1" applyBorder="1" applyFont="1">
      <alignment horizontal="center" vertical="center"/>
    </xf>
    <xf borderId="10" fillId="0" fontId="5" numFmtId="0" xfId="0" applyAlignment="1" applyBorder="1" applyFont="1">
      <alignment horizontal="left" vertical="center"/>
    </xf>
    <xf borderId="10" fillId="0" fontId="5" numFmtId="0" xfId="0" applyAlignment="1" applyBorder="1" applyFont="1">
      <alignment horizontal="center" readingOrder="0" vertical="center"/>
    </xf>
    <xf borderId="12" fillId="0" fontId="5" numFmtId="164" xfId="0" applyAlignment="1" applyBorder="1" applyFont="1" applyNumberFormat="1">
      <alignment horizontal="left" readingOrder="0" vertical="center"/>
    </xf>
    <xf borderId="12" fillId="0" fontId="5" numFmtId="0" xfId="0" applyAlignment="1" applyBorder="1" applyFont="1">
      <alignment horizontal="center" vertical="center"/>
    </xf>
    <xf borderId="15" fillId="0" fontId="9" numFmtId="0" xfId="0" applyAlignment="1" applyBorder="1" applyFont="1">
      <alignment vertical="center"/>
    </xf>
    <xf borderId="15" fillId="0" fontId="5" numFmtId="0" xfId="0" applyAlignment="1" applyBorder="1" applyFont="1">
      <alignment horizontal="right" vertical="center"/>
    </xf>
    <xf borderId="15" fillId="0" fontId="5" numFmtId="166" xfId="0" applyAlignment="1" applyBorder="1" applyFont="1" applyNumberFormat="1">
      <alignment horizontal="left" vertical="center"/>
    </xf>
    <xf borderId="15" fillId="0" fontId="5" numFmtId="0" xfId="0" applyAlignment="1" applyBorder="1" applyFont="1">
      <alignment horizontal="center" vertical="center"/>
    </xf>
    <xf borderId="15" fillId="0" fontId="5" numFmtId="164" xfId="0" applyAlignment="1" applyBorder="1" applyFont="1" applyNumberFormat="1">
      <alignment horizontal="right" vertical="center"/>
    </xf>
    <xf borderId="15" fillId="0" fontId="4" numFmtId="0" xfId="0" applyAlignment="1" applyBorder="1" applyFont="1">
      <alignment horizontal="left" readingOrder="0" vertical="center"/>
    </xf>
    <xf borderId="15" fillId="0" fontId="61" numFmtId="0" xfId="0" applyAlignment="1" applyBorder="1" applyFont="1">
      <alignment horizontal="center" readingOrder="0" vertical="center"/>
    </xf>
    <xf borderId="15" fillId="0" fontId="9" numFmtId="0" xfId="0" applyAlignment="1" applyBorder="1" applyFont="1">
      <alignment horizontal="center" vertical="center"/>
    </xf>
    <xf borderId="15" fillId="0" fontId="5" numFmtId="0" xfId="0" applyAlignment="1" applyBorder="1" applyFont="1">
      <alignment horizontal="left" vertical="center"/>
    </xf>
    <xf borderId="15" fillId="0" fontId="10" numFmtId="0" xfId="0" applyAlignment="1" applyBorder="1" applyFont="1">
      <alignment horizontal="center" vertical="center"/>
    </xf>
    <xf borderId="15" fillId="0" fontId="5" numFmtId="0" xfId="0" applyAlignment="1" applyBorder="1" applyFont="1">
      <alignment vertical="center"/>
    </xf>
    <xf borderId="16" fillId="0" fontId="61" numFmtId="0" xfId="0" applyAlignment="1" applyBorder="1" applyFont="1">
      <alignment horizontal="center" readingOrder="0" vertical="center"/>
    </xf>
    <xf borderId="13" fillId="0" fontId="61" numFmtId="0" xfId="0" applyAlignment="1" applyBorder="1" applyFont="1">
      <alignment vertical="center"/>
    </xf>
    <xf borderId="13" fillId="0" fontId="5" numFmtId="0" xfId="0" applyAlignment="1" applyBorder="1" applyFont="1">
      <alignment horizontal="right" vertical="center"/>
    </xf>
    <xf borderId="13" fillId="0" fontId="5" numFmtId="166" xfId="0" applyAlignment="1" applyBorder="1" applyFont="1" applyNumberFormat="1">
      <alignment horizontal="left" vertical="center"/>
    </xf>
    <xf borderId="13" fillId="0" fontId="61" numFmtId="0" xfId="0" applyAlignment="1" applyBorder="1" applyFont="1">
      <alignment horizontal="center" vertical="center"/>
    </xf>
    <xf borderId="13" fillId="0" fontId="5" numFmtId="164" xfId="0" applyAlignment="1" applyBorder="1" applyFont="1" applyNumberFormat="1">
      <alignment horizontal="right" vertical="center"/>
    </xf>
    <xf borderId="13" fillId="0" fontId="5" numFmtId="164" xfId="0" applyAlignment="1" applyBorder="1" applyFont="1" applyNumberFormat="1">
      <alignment horizontal="left" vertical="center"/>
    </xf>
    <xf borderId="13" fillId="0" fontId="61" numFmtId="0" xfId="0" applyAlignment="1" applyBorder="1" applyFont="1">
      <alignment horizontal="center" readingOrder="0" vertical="center"/>
    </xf>
    <xf borderId="13" fillId="0" fontId="5" numFmtId="0" xfId="0" applyAlignment="1" applyBorder="1" applyFont="1">
      <alignment horizontal="left" vertical="center"/>
    </xf>
    <xf borderId="13" fillId="0" fontId="5" numFmtId="0" xfId="0" applyAlignment="1" applyBorder="1" applyFont="1">
      <alignment horizontal="left" readingOrder="0" vertical="center"/>
    </xf>
    <xf borderId="13" fillId="0" fontId="5" numFmtId="0" xfId="0" applyAlignment="1" applyBorder="1" applyFont="1">
      <alignment horizontal="center" readingOrder="0" vertical="center"/>
    </xf>
    <xf borderId="13" fillId="0" fontId="5" numFmtId="0" xfId="0" applyAlignment="1" applyBorder="1" applyFont="1">
      <alignment horizontal="center" vertical="center"/>
    </xf>
    <xf borderId="13" fillId="0" fontId="61" numFmtId="0" xfId="0" applyAlignment="1" applyBorder="1" applyFont="1">
      <alignment readingOrder="0" shrinkToFit="0" vertical="center" wrapText="1"/>
    </xf>
    <xf borderId="13" fillId="0" fontId="61" numFmtId="0" xfId="0" applyAlignment="1" applyBorder="1" applyFont="1">
      <alignment shrinkToFit="0" vertical="center" wrapText="1"/>
    </xf>
    <xf borderId="13" fillId="0" fontId="5" numFmtId="0" xfId="0" applyAlignment="1" applyBorder="1" applyFont="1">
      <alignment shrinkToFit="0" vertical="center" wrapText="1"/>
    </xf>
    <xf borderId="12" fillId="0" fontId="5" numFmtId="168" xfId="0" applyAlignment="1" applyBorder="1" applyFont="1" applyNumberFormat="1">
      <alignment horizontal="left" readingOrder="0" vertical="center"/>
    </xf>
    <xf borderId="12" fillId="0" fontId="61" numFmtId="0" xfId="0" applyAlignment="1" applyBorder="1" applyFont="1">
      <alignment horizontal="left" readingOrder="0" vertical="center"/>
    </xf>
    <xf borderId="10" fillId="0" fontId="4" numFmtId="166" xfId="0" applyAlignment="1" applyBorder="1" applyFont="1" applyNumberFormat="1">
      <alignment horizontal="left" vertical="center"/>
    </xf>
    <xf borderId="10" fillId="0" fontId="5" numFmtId="164" xfId="0" applyAlignment="1" applyBorder="1" applyFont="1" applyNumberFormat="1">
      <alignment horizontal="left" readingOrder="0" vertical="center"/>
    </xf>
    <xf borderId="10" fillId="0" fontId="10" numFmtId="0" xfId="0" applyAlignment="1" applyBorder="1" applyFont="1">
      <alignment horizontal="center" readingOrder="0" shrinkToFit="0" vertical="center" wrapText="1"/>
    </xf>
    <xf borderId="10" fillId="0" fontId="61" numFmtId="0" xfId="0" applyAlignment="1" applyBorder="1" applyFont="1">
      <alignment horizontal="left" readingOrder="0" vertical="center"/>
    </xf>
    <xf borderId="12" fillId="0" fontId="5" numFmtId="0" xfId="0" applyAlignment="1" applyBorder="1" applyFont="1">
      <alignment readingOrder="0" shrinkToFit="0" vertical="center" wrapText="1"/>
    </xf>
    <xf borderId="12" fillId="0" fontId="76" numFmtId="0" xfId="0" applyAlignment="1" applyBorder="1" applyFont="1">
      <alignment horizontal="left" shrinkToFit="0" vertical="center" wrapText="1"/>
    </xf>
    <xf borderId="12" fillId="0" fontId="76" numFmtId="0" xfId="0" applyAlignment="1" applyBorder="1" applyFont="1">
      <alignment horizontal="left" readingOrder="0" shrinkToFit="0" vertical="center" wrapText="1"/>
    </xf>
    <xf borderId="12" fillId="0" fontId="61" numFmtId="0" xfId="0" applyAlignment="1" applyBorder="1" applyFont="1">
      <alignment readingOrder="0" shrinkToFit="0" vertical="center" wrapText="1"/>
    </xf>
    <xf borderId="10" fillId="0" fontId="61" numFmtId="0" xfId="0" applyAlignment="1" applyBorder="1" applyFont="1">
      <alignment shrinkToFit="0" vertical="center" wrapText="1"/>
    </xf>
    <xf borderId="15" fillId="0" fontId="4" numFmtId="166" xfId="0" applyAlignment="1" applyBorder="1" applyFont="1" applyNumberFormat="1">
      <alignment horizontal="left" vertical="center"/>
    </xf>
    <xf borderId="15" fillId="0" fontId="5" numFmtId="0" xfId="0" applyAlignment="1" applyBorder="1" applyFont="1">
      <alignment shrinkToFit="0" vertical="center" wrapText="1"/>
    </xf>
    <xf borderId="15" fillId="0" fontId="9" numFmtId="0" xfId="0" applyAlignment="1" applyBorder="1" applyFont="1">
      <alignment shrinkToFit="0" vertical="center" wrapText="1"/>
    </xf>
    <xf borderId="15" fillId="0" fontId="10" numFmtId="0" xfId="0" applyAlignment="1" applyBorder="1" applyFont="1">
      <alignment vertical="center"/>
    </xf>
    <xf borderId="0" fillId="13" fontId="10" numFmtId="0" xfId="0" applyAlignment="1" applyFill="1" applyFont="1">
      <alignment vertical="center"/>
    </xf>
    <xf borderId="13" fillId="0" fontId="22" numFmtId="0" xfId="0" applyAlignment="1" applyBorder="1" applyFont="1">
      <alignment vertical="center"/>
    </xf>
    <xf borderId="13" fillId="0" fontId="4" numFmtId="0" xfId="0" applyAlignment="1" applyBorder="1" applyFont="1">
      <alignment horizontal="left" readingOrder="0" vertical="center"/>
    </xf>
    <xf borderId="13" fillId="0" fontId="9" numFmtId="0" xfId="0" applyAlignment="1" applyBorder="1" applyFont="1">
      <alignment horizontal="center" vertical="center"/>
    </xf>
    <xf borderId="13" fillId="0" fontId="9" numFmtId="0" xfId="0" applyAlignment="1" applyBorder="1" applyFont="1">
      <alignment shrinkToFit="0" vertical="center" wrapText="1"/>
    </xf>
    <xf borderId="13" fillId="0" fontId="5" numFmtId="0" xfId="0" applyAlignment="1" applyBorder="1" applyFont="1">
      <alignment vertical="center"/>
    </xf>
    <xf borderId="10" fillId="0" fontId="10" numFmtId="0" xfId="0" applyAlignment="1" applyBorder="1" applyFont="1">
      <alignment vertical="center"/>
    </xf>
    <xf borderId="10" fillId="0" fontId="63" numFmtId="0" xfId="0" applyAlignment="1" applyBorder="1" applyFont="1">
      <alignment vertical="center"/>
    </xf>
    <xf borderId="10" fillId="0" fontId="5" numFmtId="168" xfId="0" applyAlignment="1" applyBorder="1" applyFont="1" applyNumberFormat="1">
      <alignment horizontal="left" readingOrder="0" vertical="center"/>
    </xf>
    <xf borderId="10" fillId="0" fontId="5" numFmtId="0" xfId="0" applyAlignment="1" applyBorder="1" applyFont="1">
      <alignment readingOrder="0" vertical="center"/>
    </xf>
    <xf borderId="10" fillId="0" fontId="5" numFmtId="0" xfId="0" applyAlignment="1" applyBorder="1" applyFont="1">
      <alignment readingOrder="0" shrinkToFit="0" vertical="center" wrapText="1"/>
    </xf>
    <xf borderId="13" fillId="0" fontId="5" numFmtId="0" xfId="0" applyAlignment="1" applyBorder="1" applyFont="1">
      <alignment horizontal="left" readingOrder="0" shrinkToFit="0" vertical="center" wrapText="1"/>
    </xf>
    <xf borderId="10" fillId="0" fontId="63" numFmtId="0" xfId="0" applyAlignment="1" applyBorder="1" applyFont="1">
      <alignment readingOrder="0" vertical="center"/>
    </xf>
    <xf borderId="10" fillId="0" fontId="4" numFmtId="166" xfId="0" applyAlignment="1" applyBorder="1" applyFont="1" applyNumberFormat="1">
      <alignment horizontal="left" readingOrder="0" vertical="center"/>
    </xf>
    <xf borderId="10" fillId="0" fontId="63" numFmtId="0" xfId="0" applyAlignment="1" applyBorder="1" applyFont="1">
      <alignment horizontal="center" readingOrder="0" vertical="center"/>
    </xf>
    <xf borderId="10" fillId="0" fontId="10" numFmtId="0" xfId="0" applyAlignment="1" applyBorder="1" applyFont="1">
      <alignment readingOrder="0" shrinkToFit="0" vertical="center" wrapText="1"/>
    </xf>
    <xf borderId="10" fillId="0" fontId="10" numFmtId="0" xfId="0" applyAlignment="1" applyBorder="1" applyFont="1">
      <alignment horizontal="center" readingOrder="0" vertical="center"/>
    </xf>
    <xf borderId="10" fillId="0" fontId="61" numFmtId="0" xfId="0" applyAlignment="1" applyBorder="1" applyFont="1">
      <alignment readingOrder="0" shrinkToFit="0" vertical="center" wrapText="1"/>
    </xf>
    <xf borderId="10" fillId="0" fontId="10" numFmtId="0" xfId="0" applyAlignment="1" applyBorder="1" applyFont="1">
      <alignment readingOrder="0" vertical="center"/>
    </xf>
    <xf borderId="10" fillId="0" fontId="19" numFmtId="0" xfId="0" applyAlignment="1" applyBorder="1" applyFont="1">
      <alignment horizontal="right" vertical="center"/>
    </xf>
    <xf borderId="10" fillId="0" fontId="63" numFmtId="0" xfId="0" applyAlignment="1" applyBorder="1" applyFont="1">
      <alignment horizontal="center" readingOrder="0" shrinkToFit="0" vertical="center" wrapText="1"/>
    </xf>
    <xf borderId="10" fillId="0" fontId="19" numFmtId="0" xfId="0" applyAlignment="1" applyBorder="1" applyFont="1">
      <alignment vertical="center"/>
    </xf>
    <xf borderId="10" fillId="0" fontId="19" numFmtId="166" xfId="0" applyAlignment="1" applyBorder="1" applyFont="1" applyNumberFormat="1">
      <alignment horizontal="left" vertical="center"/>
    </xf>
    <xf borderId="10" fillId="0" fontId="19" numFmtId="0" xfId="0" applyAlignment="1" applyBorder="1" applyFont="1">
      <alignment vertical="center"/>
    </xf>
    <xf borderId="10" fillId="0" fontId="19" numFmtId="0" xfId="0" applyAlignment="1" applyBorder="1" applyFont="1">
      <alignment horizontal="center" vertical="center"/>
    </xf>
    <xf borderId="12" fillId="0" fontId="64" numFmtId="0" xfId="0" applyAlignment="1" applyBorder="1" applyFont="1">
      <alignment vertical="center"/>
    </xf>
    <xf borderId="12" fillId="0" fontId="19" numFmtId="0" xfId="0" applyAlignment="1" applyBorder="1" applyFont="1">
      <alignment horizontal="right" vertical="center"/>
    </xf>
    <xf borderId="12" fillId="0" fontId="19" numFmtId="166" xfId="0" applyAlignment="1" applyBorder="1" applyFont="1" applyNumberFormat="1">
      <alignment horizontal="left" vertical="center"/>
    </xf>
    <xf borderId="12" fillId="0" fontId="19" numFmtId="0" xfId="0" applyAlignment="1" applyBorder="1" applyFont="1">
      <alignment horizontal="center" vertical="center"/>
    </xf>
    <xf borderId="12" fillId="0" fontId="5" numFmtId="164" xfId="0" applyAlignment="1" applyBorder="1" applyFont="1" applyNumberFormat="1">
      <alignment horizontal="right" readingOrder="0" vertical="center"/>
    </xf>
    <xf borderId="12" fillId="0" fontId="5" numFmtId="0" xfId="0" applyAlignment="1" applyBorder="1" applyFont="1">
      <alignment horizontal="right" readingOrder="0" vertical="center"/>
    </xf>
    <xf borderId="12" fillId="0" fontId="63" numFmtId="0" xfId="0" applyAlignment="1" applyBorder="1" applyFont="1">
      <alignment horizontal="center" readingOrder="0" vertical="center"/>
    </xf>
    <xf borderId="12" fillId="0" fontId="10" numFmtId="0" xfId="0" applyAlignment="1" applyBorder="1" applyFont="1">
      <alignment readingOrder="0" shrinkToFit="0" vertical="center" wrapText="1"/>
    </xf>
    <xf borderId="12" fillId="0" fontId="10" numFmtId="0" xfId="0" applyAlignment="1" applyBorder="1" applyFont="1">
      <alignment horizontal="center" readingOrder="0" vertical="center"/>
    </xf>
    <xf borderId="10" fillId="3" fontId="64" numFmtId="0" xfId="0" applyAlignment="1" applyBorder="1" applyFont="1">
      <alignment horizontal="left" readingOrder="0" vertical="center"/>
    </xf>
    <xf borderId="10" fillId="0" fontId="64" numFmtId="0" xfId="0" applyAlignment="1" applyBorder="1" applyFont="1">
      <alignment horizontal="center" vertical="center"/>
    </xf>
    <xf borderId="12" fillId="0" fontId="5" numFmtId="166" xfId="0" applyAlignment="1" applyBorder="1" applyFont="1" applyNumberFormat="1">
      <alignment horizontal="left" readingOrder="0" vertical="center"/>
    </xf>
    <xf borderId="0" fillId="0" fontId="19" numFmtId="0" xfId="0" applyAlignment="1" applyFont="1">
      <alignment vertical="center"/>
    </xf>
    <xf borderId="10" fillId="0" fontId="19" numFmtId="0" xfId="0" applyAlignment="1" applyBorder="1" applyFont="1">
      <alignment horizontal="right" readingOrder="0" vertical="center"/>
    </xf>
    <xf borderId="0" fillId="0" fontId="19" numFmtId="0" xfId="0" applyAlignment="1" applyFont="1">
      <alignment horizontal="center" vertical="center"/>
    </xf>
    <xf borderId="10" fillId="3" fontId="19" numFmtId="0" xfId="0" applyAlignment="1" applyBorder="1" applyFont="1">
      <alignment horizontal="left" readingOrder="0" vertical="center"/>
    </xf>
    <xf borderId="10" fillId="0" fontId="64" numFmtId="0" xfId="0" applyAlignment="1" applyBorder="1" applyFont="1">
      <alignment vertical="center"/>
    </xf>
    <xf borderId="10" fillId="0" fontId="5" numFmtId="168" xfId="0" applyAlignment="1" applyBorder="1" applyFont="1" applyNumberFormat="1">
      <alignment horizontal="right" readingOrder="0" vertical="center"/>
    </xf>
    <xf borderId="10" fillId="0" fontId="64" numFmtId="0" xfId="0" applyAlignment="1" applyBorder="1" applyFont="1">
      <alignment readingOrder="0" vertical="center"/>
    </xf>
    <xf borderId="10" fillId="0" fontId="19" numFmtId="164" xfId="0" applyAlignment="1" applyBorder="1" applyFont="1" applyNumberFormat="1">
      <alignment horizontal="right" readingOrder="0" vertical="center"/>
    </xf>
    <xf borderId="10" fillId="0" fontId="19" numFmtId="166" xfId="0" applyAlignment="1" applyBorder="1" applyFont="1" applyNumberFormat="1">
      <alignment horizontal="left" readingOrder="0" vertical="center"/>
    </xf>
    <xf borderId="10" fillId="0" fontId="64" numFmtId="0" xfId="0" applyAlignment="1" applyBorder="1" applyFont="1">
      <alignment horizontal="center" shrinkToFit="0" vertical="center" wrapText="1"/>
    </xf>
    <xf borderId="10" fillId="0" fontId="19" numFmtId="0" xfId="0" applyAlignment="1" applyBorder="1" applyFont="1">
      <alignment shrinkToFit="0" vertical="center" wrapText="1"/>
    </xf>
    <xf borderId="10" fillId="0" fontId="19" numFmtId="0" xfId="0" applyAlignment="1" applyBorder="1" applyFont="1">
      <alignment readingOrder="0" shrinkToFit="0" vertical="center" wrapText="1"/>
    </xf>
    <xf borderId="10" fillId="0" fontId="19" numFmtId="0" xfId="0" applyAlignment="1" applyBorder="1" applyFont="1">
      <alignment horizontal="center" readingOrder="0" shrinkToFit="0" vertical="center" wrapText="1"/>
    </xf>
    <xf borderId="10" fillId="0" fontId="19" numFmtId="0" xfId="0" applyAlignment="1" applyBorder="1" applyFont="1">
      <alignment horizontal="center" shrinkToFit="0" vertical="center" wrapText="1"/>
    </xf>
    <xf borderId="10" fillId="0" fontId="64" numFmtId="0" xfId="0" applyAlignment="1" applyBorder="1" applyFont="1">
      <alignment readingOrder="0" shrinkToFit="0" vertical="center" wrapText="1"/>
    </xf>
    <xf borderId="12" fillId="0" fontId="10" numFmtId="0" xfId="0" applyAlignment="1" applyBorder="1" applyFont="1">
      <alignment horizontal="center" readingOrder="0" shrinkToFit="0" vertical="center" wrapText="1"/>
    </xf>
    <xf borderId="12" fillId="0" fontId="63" numFmtId="0" xfId="0" applyAlignment="1" applyBorder="1" applyFont="1">
      <alignment readingOrder="0" shrinkToFit="0" vertical="center" wrapText="1"/>
    </xf>
    <xf borderId="12" fillId="0" fontId="10" numFmtId="0" xfId="0" applyAlignment="1" applyBorder="1" applyFont="1">
      <alignment readingOrder="0" vertical="center"/>
    </xf>
    <xf borderId="12" fillId="0" fontId="5" numFmtId="164" xfId="0" applyAlignment="1" applyBorder="1" applyFont="1" applyNumberFormat="1">
      <alignment readingOrder="0" vertical="center"/>
    </xf>
    <xf borderId="12" fillId="3" fontId="14" numFmtId="0" xfId="0" applyAlignment="1" applyBorder="1" applyFont="1">
      <alignment horizontal="right" readingOrder="0" vertical="center"/>
    </xf>
    <xf borderId="12" fillId="0" fontId="10" numFmtId="0" xfId="0" applyAlignment="1" applyBorder="1" applyFont="1">
      <alignment horizontal="left" readingOrder="0" shrinkToFit="0" vertical="center" wrapText="1"/>
    </xf>
    <xf borderId="10" fillId="0" fontId="5" numFmtId="164" xfId="0" applyAlignment="1" applyBorder="1" applyFont="1" applyNumberFormat="1">
      <alignment readingOrder="0" vertical="center"/>
    </xf>
    <xf borderId="10" fillId="0" fontId="10" numFmtId="0" xfId="0" applyAlignment="1" applyBorder="1" applyFont="1">
      <alignment horizontal="center" vertical="center"/>
    </xf>
    <xf borderId="10" fillId="0" fontId="63" numFmtId="0" xfId="0" applyAlignment="1" applyBorder="1" applyFont="1">
      <alignment readingOrder="0" shrinkToFit="0" vertical="center" wrapText="1"/>
    </xf>
    <xf borderId="12" fillId="0" fontId="10" numFmtId="0" xfId="0" applyAlignment="1" applyBorder="1" applyFont="1">
      <alignment horizontal="center" vertical="center"/>
    </xf>
    <xf borderId="12" fillId="3" fontId="64" numFmtId="0" xfId="0" applyAlignment="1" applyBorder="1" applyFont="1">
      <alignment horizontal="left" readingOrder="0" vertical="center"/>
    </xf>
    <xf borderId="12" fillId="0" fontId="5" numFmtId="0" xfId="0" applyAlignment="1" applyBorder="1" applyFont="1">
      <alignment vertical="center"/>
    </xf>
    <xf borderId="15" fillId="0" fontId="64" numFmtId="0" xfId="0" applyAlignment="1" applyBorder="1" applyFont="1">
      <alignment vertical="center"/>
    </xf>
    <xf borderId="15" fillId="0" fontId="19" numFmtId="0" xfId="0" applyAlignment="1" applyBorder="1" applyFont="1">
      <alignment horizontal="right" vertical="center"/>
    </xf>
    <xf borderId="15" fillId="0" fontId="5" numFmtId="166" xfId="0" applyAlignment="1" applyBorder="1" applyFont="1" applyNumberFormat="1">
      <alignment horizontal="left" readingOrder="0" vertical="center"/>
    </xf>
    <xf borderId="15" fillId="0" fontId="19" numFmtId="0" xfId="0" applyAlignment="1" applyBorder="1" applyFont="1">
      <alignment horizontal="center" vertical="center"/>
    </xf>
    <xf borderId="16" fillId="0" fontId="29" numFmtId="0" xfId="0" applyBorder="1" applyFont="1"/>
    <xf borderId="13" fillId="0" fontId="10" numFmtId="0" xfId="0" applyAlignment="1" applyBorder="1" applyFont="1">
      <alignment readingOrder="0" vertical="center"/>
    </xf>
    <xf borderId="13" fillId="0" fontId="10" numFmtId="0" xfId="0" applyAlignment="1" applyBorder="1" applyFont="1">
      <alignment horizontal="right" readingOrder="0" vertical="center"/>
    </xf>
    <xf borderId="13" fillId="0" fontId="5" numFmtId="166" xfId="0" applyAlignment="1" applyBorder="1" applyFont="1" applyNumberFormat="1">
      <alignment horizontal="left" readingOrder="0" vertical="center"/>
    </xf>
    <xf borderId="13" fillId="0" fontId="10" numFmtId="0" xfId="0" applyAlignment="1" applyBorder="1" applyFont="1">
      <alignment horizontal="center" readingOrder="0" vertical="center"/>
    </xf>
    <xf borderId="13" fillId="0" fontId="5" numFmtId="164" xfId="0" applyAlignment="1" applyBorder="1" applyFont="1" applyNumberFormat="1">
      <alignment horizontal="right" readingOrder="0" vertical="center"/>
    </xf>
    <xf borderId="13" fillId="0" fontId="5" numFmtId="0" xfId="0" applyAlignment="1" applyBorder="1" applyFont="1">
      <alignment horizontal="right" readingOrder="0" vertical="center"/>
    </xf>
    <xf borderId="10" fillId="0" fontId="10" numFmtId="0" xfId="0" applyAlignment="1" applyBorder="1" applyFont="1">
      <alignment horizontal="right" readingOrder="0" vertical="center"/>
    </xf>
    <xf quotePrefix="1" borderId="10" fillId="0" fontId="10" numFmtId="0" xfId="0" applyAlignment="1" applyBorder="1" applyFont="1">
      <alignment horizontal="left" readingOrder="0" vertical="center"/>
    </xf>
    <xf borderId="10" fillId="3" fontId="64" numFmtId="0" xfId="0" applyAlignment="1" applyBorder="1" applyFont="1">
      <alignment vertical="center"/>
    </xf>
    <xf borderId="12" fillId="0" fontId="19" numFmtId="164" xfId="0" applyAlignment="1" applyBorder="1" applyFont="1" applyNumberFormat="1">
      <alignment horizontal="right" vertical="center"/>
    </xf>
    <xf borderId="12" fillId="0" fontId="19" numFmtId="168" xfId="0" applyAlignment="1" applyBorder="1" applyFont="1" applyNumberFormat="1">
      <alignment horizontal="left" readingOrder="0" vertical="center"/>
    </xf>
    <xf borderId="12" fillId="0" fontId="10" numFmtId="0" xfId="0" applyAlignment="1" applyBorder="1" applyFont="1">
      <alignment horizontal="right" readingOrder="0" vertical="center"/>
    </xf>
    <xf borderId="12" fillId="0" fontId="64" numFmtId="0" xfId="0" applyAlignment="1" applyBorder="1" applyFont="1">
      <alignment horizontal="center" readingOrder="0" shrinkToFit="0" vertical="center" wrapText="1"/>
    </xf>
    <xf borderId="10" fillId="3" fontId="64" numFmtId="0" xfId="0" applyAlignment="1" applyBorder="1" applyFont="1">
      <alignment vertical="center"/>
    </xf>
    <xf borderId="10" fillId="3" fontId="16" numFmtId="0" xfId="0" applyAlignment="1" applyBorder="1" applyFont="1">
      <alignment vertical="center"/>
    </xf>
    <xf borderId="12" fillId="0" fontId="19" numFmtId="0" xfId="0" applyAlignment="1" applyBorder="1" applyFont="1">
      <alignment horizontal="left" readingOrder="0" vertical="center"/>
    </xf>
    <xf borderId="12" fillId="0" fontId="19" numFmtId="0" xfId="0" applyAlignment="1" applyBorder="1" applyFont="1">
      <alignment horizontal="center" readingOrder="0" shrinkToFit="0" vertical="center" wrapText="1"/>
    </xf>
    <xf borderId="12" fillId="0" fontId="63" numFmtId="0" xfId="0" applyAlignment="1" applyBorder="1" applyFont="1">
      <alignment readingOrder="0" vertical="center"/>
    </xf>
    <xf borderId="12" fillId="0" fontId="64" numFmtId="0" xfId="0" applyAlignment="1" applyBorder="1" applyFont="1">
      <alignment readingOrder="0" shrinkToFit="0" vertical="center" wrapText="1"/>
    </xf>
    <xf borderId="13" fillId="0" fontId="10" numFmtId="0" xfId="0" applyAlignment="1" applyBorder="1" applyFont="1">
      <alignment readingOrder="0" shrinkToFit="0" vertical="center" wrapText="1"/>
    </xf>
    <xf borderId="12" fillId="0" fontId="63" numFmtId="0" xfId="0" applyAlignment="1" applyBorder="1" applyFont="1">
      <alignment horizontal="center" readingOrder="0" shrinkToFit="0" vertical="center" wrapText="1"/>
    </xf>
    <xf borderId="12" fillId="0" fontId="19" numFmtId="0" xfId="0" applyAlignment="1" applyBorder="1" applyFont="1">
      <alignment readingOrder="0" shrinkToFit="0" vertical="center" wrapText="1"/>
    </xf>
    <xf borderId="0" fillId="0" fontId="64" numFmtId="0" xfId="0" applyAlignment="1" applyFont="1">
      <alignment vertical="center"/>
    </xf>
    <xf borderId="0" fillId="0" fontId="19" numFmtId="0" xfId="0" applyAlignment="1" applyFont="1">
      <alignment horizontal="right" vertical="center"/>
    </xf>
    <xf borderId="0" fillId="0" fontId="19" numFmtId="166" xfId="0" applyAlignment="1" applyFont="1" applyNumberFormat="1">
      <alignment horizontal="left" vertical="center"/>
    </xf>
    <xf borderId="0" fillId="0" fontId="19" numFmtId="0" xfId="0" applyAlignment="1" applyFont="1">
      <alignment vertical="center"/>
    </xf>
    <xf borderId="0" fillId="0" fontId="19" numFmtId="166" xfId="0" applyAlignment="1" applyFont="1" applyNumberFormat="1">
      <alignment horizontal="left" readingOrder="0" vertical="center"/>
    </xf>
    <xf borderId="0" fillId="0" fontId="19" numFmtId="0" xfId="0" applyAlignment="1" applyFont="1">
      <alignment horizontal="center" readingOrder="0" vertical="center"/>
    </xf>
    <xf borderId="0" fillId="0" fontId="64" numFmtId="0" xfId="0" applyAlignment="1" applyFont="1">
      <alignment horizontal="center" vertical="center"/>
    </xf>
    <xf borderId="0" fillId="0" fontId="63" numFmtId="0" xfId="0" applyAlignment="1" applyFont="1">
      <alignment horizontal="center" readingOrder="0" vertical="center"/>
    </xf>
    <xf borderId="0" fillId="0" fontId="64" numFmtId="166" xfId="0" applyAlignment="1" applyFont="1" applyNumberFormat="1">
      <alignment readingOrder="0" shrinkToFit="0" vertical="center" wrapText="1"/>
    </xf>
    <xf borderId="12" fillId="0" fontId="5" numFmtId="168" xfId="0" applyAlignment="1" applyBorder="1" applyFont="1" applyNumberFormat="1">
      <alignment horizontal="right" readingOrder="0" vertical="center"/>
    </xf>
    <xf borderId="0" fillId="0" fontId="64" numFmtId="0" xfId="0" applyAlignment="1" applyFont="1">
      <alignment shrinkToFit="0" vertical="center" wrapText="1"/>
    </xf>
    <xf borderId="10" fillId="0" fontId="5" numFmtId="169" xfId="0" applyAlignment="1" applyBorder="1" applyFont="1" applyNumberFormat="1">
      <alignment horizontal="left" readingOrder="0" vertical="center"/>
    </xf>
    <xf borderId="0" fillId="0" fontId="10" numFmtId="0" xfId="0" applyAlignment="1" applyFont="1">
      <alignment horizontal="center" readingOrder="0" vertical="center"/>
    </xf>
    <xf borderId="10" fillId="0" fontId="22" numFmtId="0" xfId="0" applyAlignment="1" applyBorder="1" applyFont="1">
      <alignment horizontal="center" readingOrder="0" vertical="center"/>
    </xf>
    <xf borderId="0" fillId="0" fontId="19" numFmtId="0" xfId="0" applyAlignment="1" applyFont="1">
      <alignment horizontal="right" vertical="center"/>
    </xf>
    <xf borderId="0" fillId="0" fontId="19" numFmtId="0" xfId="0" applyAlignment="1" applyFont="1">
      <alignment horizontal="left" vertical="center"/>
    </xf>
    <xf borderId="12" fillId="0" fontId="64" numFmtId="0" xfId="0" applyAlignment="1" applyBorder="1" applyFont="1">
      <alignment vertical="center"/>
    </xf>
    <xf borderId="12" fillId="0" fontId="19" numFmtId="166" xfId="0" applyAlignment="1" applyBorder="1" applyFont="1" applyNumberFormat="1">
      <alignment horizontal="left" readingOrder="0" vertical="center"/>
    </xf>
    <xf borderId="12" fillId="0" fontId="64" numFmtId="0" xfId="0" applyAlignment="1" applyBorder="1" applyFont="1">
      <alignment horizontal="center" vertical="center"/>
    </xf>
    <xf borderId="14" fillId="0" fontId="10" numFmtId="0" xfId="0" applyAlignment="1" applyBorder="1" applyFont="1">
      <alignment horizontal="center" readingOrder="0" vertical="center"/>
    </xf>
    <xf borderId="17" fillId="0" fontId="10" numFmtId="0" xfId="0" applyAlignment="1" applyBorder="1" applyFont="1">
      <alignment readingOrder="0" vertical="center"/>
    </xf>
    <xf borderId="17" fillId="0" fontId="10" numFmtId="0" xfId="0" applyAlignment="1" applyBorder="1" applyFont="1">
      <alignment horizontal="right" readingOrder="0" vertical="center"/>
    </xf>
    <xf borderId="17" fillId="0" fontId="10" numFmtId="0" xfId="0" applyAlignment="1" applyBorder="1" applyFont="1">
      <alignment horizontal="left" readingOrder="0" vertical="center"/>
    </xf>
    <xf borderId="17" fillId="0" fontId="10" numFmtId="0" xfId="0" applyAlignment="1" applyBorder="1" applyFont="1">
      <alignment horizontal="center" readingOrder="0" vertical="center"/>
    </xf>
    <xf borderId="17" fillId="0" fontId="5" numFmtId="164" xfId="0" applyAlignment="1" applyBorder="1" applyFont="1" applyNumberFormat="1">
      <alignment horizontal="right" readingOrder="0" vertical="center"/>
    </xf>
    <xf borderId="18" fillId="0" fontId="5" numFmtId="0" xfId="0" applyAlignment="1" applyBorder="1" applyFont="1">
      <alignment horizontal="left" readingOrder="0" vertical="center"/>
    </xf>
    <xf borderId="19" fillId="0" fontId="61" numFmtId="0" xfId="0" applyAlignment="1" applyBorder="1" applyFont="1">
      <alignment horizontal="center" readingOrder="0" vertical="center"/>
    </xf>
    <xf borderId="17" fillId="0" fontId="5" numFmtId="0" xfId="0" applyAlignment="1" applyBorder="1" applyFont="1">
      <alignment horizontal="right" readingOrder="0" vertical="center"/>
    </xf>
    <xf borderId="17" fillId="0" fontId="5" numFmtId="166" xfId="0" applyAlignment="1" applyBorder="1" applyFont="1" applyNumberFormat="1">
      <alignment horizontal="left" readingOrder="0" vertical="center"/>
    </xf>
    <xf borderId="18" fillId="0" fontId="10" numFmtId="0" xfId="0" applyAlignment="1" applyBorder="1" applyFont="1">
      <alignment horizontal="center" readingOrder="0" vertical="center"/>
    </xf>
    <xf borderId="17" fillId="0" fontId="10" numFmtId="0" xfId="0" applyAlignment="1" applyBorder="1" applyFont="1">
      <alignment readingOrder="0" shrinkToFit="0" vertical="center" wrapText="1"/>
    </xf>
    <xf borderId="20" fillId="0" fontId="10" numFmtId="0" xfId="0" applyAlignment="1" applyBorder="1" applyFont="1">
      <alignment horizontal="center" readingOrder="0" vertical="center"/>
    </xf>
    <xf borderId="21" fillId="0" fontId="61" numFmtId="0" xfId="0" applyAlignment="1" applyBorder="1" applyFont="1">
      <alignment horizontal="center" readingOrder="0" vertical="center"/>
    </xf>
    <xf borderId="0" fillId="0" fontId="10" numFmtId="0" xfId="0" applyAlignment="1" applyFont="1">
      <alignment horizontal="center" readingOrder="0" shrinkToFit="0" vertical="center" wrapText="1"/>
    </xf>
    <xf borderId="14" fillId="0" fontId="61" numFmtId="0" xfId="0" applyAlignment="1" applyBorder="1" applyFont="1">
      <alignment horizontal="center" readingOrder="0" shrinkToFit="0" vertical="center" wrapText="1"/>
    </xf>
    <xf borderId="0" fillId="0" fontId="10" numFmtId="0" xfId="0" applyAlignment="1" applyFont="1">
      <alignment shrinkToFit="0" vertical="center" wrapText="1"/>
    </xf>
    <xf borderId="11" fillId="0" fontId="5" numFmtId="164" xfId="0" applyAlignment="1" applyBorder="1" applyFont="1" applyNumberFormat="1">
      <alignment horizontal="right" readingOrder="0" vertical="center"/>
    </xf>
    <xf borderId="0" fillId="0" fontId="5" numFmtId="0" xfId="0" applyAlignment="1" applyFont="1">
      <alignment horizontal="left" readingOrder="0" vertical="center"/>
    </xf>
    <xf borderId="9" fillId="0" fontId="61" numFmtId="0" xfId="0" applyAlignment="1" applyBorder="1" applyFont="1">
      <alignment horizontal="center" readingOrder="0" shrinkToFit="0" vertical="center" wrapText="1"/>
    </xf>
    <xf borderId="13" fillId="0" fontId="5" numFmtId="0" xfId="0" applyAlignment="1" applyBorder="1" applyFont="1">
      <alignment horizontal="right" readingOrder="0" shrinkToFit="0" vertical="center" wrapText="1"/>
    </xf>
    <xf borderId="13" fillId="0" fontId="5" numFmtId="166" xfId="0" applyAlignment="1" applyBorder="1" applyFont="1" applyNumberFormat="1">
      <alignment horizontal="left" readingOrder="0" shrinkToFit="0" vertical="center" wrapText="1"/>
    </xf>
    <xf borderId="0" fillId="0" fontId="19" numFmtId="0" xfId="0" applyAlignment="1" applyFont="1">
      <alignment horizontal="left" vertical="center"/>
    </xf>
    <xf borderId="13" fillId="0" fontId="5" numFmtId="164" xfId="0" applyAlignment="1" applyBorder="1" applyFont="1" applyNumberFormat="1">
      <alignment horizontal="left" readingOrder="0" vertical="center"/>
    </xf>
    <xf borderId="0" fillId="0" fontId="19" numFmtId="0" xfId="0" applyAlignment="1" applyFont="1">
      <alignment horizontal="left" readingOrder="0" vertical="center"/>
    </xf>
    <xf borderId="0" fillId="0" fontId="5" numFmtId="168" xfId="0" applyAlignment="1" applyFont="1" applyNumberFormat="1">
      <alignment horizontal="left" readingOrder="0" vertical="center"/>
    </xf>
    <xf borderId="0" fillId="0" fontId="19" numFmtId="0" xfId="0" applyAlignment="1" applyFont="1">
      <alignment horizontal="right" readingOrder="0" vertical="center"/>
    </xf>
    <xf borderId="0" fillId="0" fontId="10" numFmtId="0" xfId="0" applyAlignment="1" applyFont="1">
      <alignment horizontal="left" readingOrder="0" vertical="center"/>
    </xf>
    <xf borderId="14" fillId="0" fontId="5" numFmtId="164" xfId="0" applyAlignment="1" applyBorder="1" applyFont="1" applyNumberFormat="1">
      <alignment horizontal="right" readingOrder="0" vertical="center"/>
    </xf>
    <xf borderId="14" fillId="0" fontId="5" numFmtId="0" xfId="0" applyAlignment="1" applyBorder="1" applyFont="1">
      <alignment horizontal="right" readingOrder="0" shrinkToFit="0" vertical="center" wrapText="1"/>
    </xf>
    <xf borderId="14" fillId="0" fontId="5" numFmtId="166" xfId="0" applyAlignment="1" applyBorder="1" applyFont="1" applyNumberFormat="1">
      <alignment horizontal="left" readingOrder="0" shrinkToFit="0" vertical="center" wrapText="1"/>
    </xf>
    <xf borderId="0" fillId="0" fontId="10" numFmtId="168" xfId="0" applyAlignment="1" applyFont="1" applyNumberFormat="1">
      <alignment horizontal="left" readingOrder="0" shrinkToFit="0" vertical="center" wrapText="1"/>
    </xf>
    <xf borderId="22" fillId="0" fontId="10" numFmtId="168" xfId="0" applyAlignment="1" applyBorder="1" applyFont="1" applyNumberFormat="1">
      <alignment horizontal="left" readingOrder="0" shrinkToFit="0" vertical="center" wrapText="1"/>
    </xf>
    <xf borderId="23" fillId="0" fontId="29" numFmtId="0" xfId="0" applyBorder="1" applyFont="1"/>
    <xf borderId="0" fillId="0" fontId="5" numFmtId="166" xfId="0" applyAlignment="1" applyFont="1" applyNumberFormat="1">
      <alignment horizontal="left" readingOrder="0" vertical="center"/>
    </xf>
    <xf borderId="22" fillId="3" fontId="14" numFmtId="0" xfId="0" applyAlignment="1" applyBorder="1" applyFont="1">
      <alignment horizontal="left" readingOrder="0" vertical="center"/>
    </xf>
    <xf borderId="12" fillId="0" fontId="10" numFmtId="0" xfId="0" applyAlignment="1" applyBorder="1" applyFont="1">
      <alignment vertical="center"/>
    </xf>
    <xf borderId="22" fillId="0" fontId="29" numFmtId="0" xfId="0" applyBorder="1" applyFont="1"/>
    <xf borderId="0" fillId="0" fontId="63" numFmtId="0" xfId="0" applyAlignment="1" applyFont="1">
      <alignment readingOrder="0"/>
    </xf>
    <xf borderId="0" fillId="0" fontId="19" numFmtId="0" xfId="0" applyAlignment="1" applyFont="1">
      <alignment horizontal="right" vertical="bottom"/>
    </xf>
    <xf borderId="0" fillId="0" fontId="19" numFmtId="166" xfId="0" applyAlignment="1" applyFont="1" applyNumberFormat="1">
      <alignment horizontal="left" readingOrder="0" vertical="bottom"/>
    </xf>
    <xf borderId="10" fillId="0" fontId="18" numFmtId="0" xfId="0" applyAlignment="1" applyBorder="1" applyFont="1">
      <alignment readingOrder="0" shrinkToFit="0" vertical="center" wrapText="1"/>
    </xf>
    <xf borderId="0" fillId="0" fontId="19" numFmtId="166" xfId="0" applyAlignment="1" applyFont="1" applyNumberFormat="1">
      <alignment horizontal="left" vertical="bottom"/>
    </xf>
    <xf borderId="0" fillId="0" fontId="19" numFmtId="0" xfId="0" applyAlignment="1" applyFont="1">
      <alignment horizontal="center" vertical="bottom"/>
    </xf>
    <xf borderId="12" fillId="0" fontId="19" numFmtId="164" xfId="0" applyAlignment="1" applyBorder="1" applyFont="1" applyNumberFormat="1">
      <alignment horizontal="right" readingOrder="0"/>
    </xf>
    <xf borderId="24" fillId="0" fontId="19" numFmtId="164" xfId="0" applyBorder="1" applyFont="1" applyNumberFormat="1"/>
    <xf borderId="12" fillId="0" fontId="18" numFmtId="0" xfId="0" applyAlignment="1" applyBorder="1" applyFont="1">
      <alignment readingOrder="0" shrinkToFit="0" vertical="center" wrapText="1"/>
    </xf>
    <xf borderId="0" fillId="0" fontId="19" numFmtId="0" xfId="0" applyAlignment="1" applyFont="1">
      <alignment shrinkToFit="0" vertical="bottom" wrapText="1"/>
    </xf>
    <xf borderId="0" fillId="0" fontId="19" numFmtId="0" xfId="0" applyAlignment="1" applyFont="1">
      <alignment horizontal="right" readingOrder="0" vertical="bottom"/>
    </xf>
    <xf borderId="14" fillId="0" fontId="10" numFmtId="0" xfId="0" applyAlignment="1" applyBorder="1" applyFont="1">
      <alignment readingOrder="0" shrinkToFit="0" vertical="center" wrapText="1"/>
    </xf>
    <xf borderId="22" fillId="0" fontId="10" numFmtId="0" xfId="0" applyAlignment="1" applyBorder="1" applyFont="1">
      <alignment horizontal="center" readingOrder="0" vertical="center"/>
    </xf>
    <xf borderId="0" fillId="0" fontId="19" numFmtId="166" xfId="0" applyAlignment="1" applyFont="1" applyNumberFormat="1">
      <alignment vertical="bottom"/>
    </xf>
    <xf borderId="10" fillId="0" fontId="5" numFmtId="164" xfId="0" applyAlignment="1" applyBorder="1" applyFont="1" applyNumberFormat="1">
      <alignment horizontal="center" vertical="center"/>
    </xf>
    <xf borderId="23" fillId="0" fontId="10" numFmtId="0" xfId="0" applyAlignment="1" applyBorder="1" applyFont="1">
      <alignment horizontal="center" readingOrder="0" vertical="center"/>
    </xf>
    <xf borderId="0" fillId="0" fontId="19" numFmtId="166" xfId="0" applyAlignment="1" applyFont="1" applyNumberFormat="1">
      <alignment readingOrder="0" vertical="bottom"/>
    </xf>
    <xf borderId="10" fillId="0" fontId="10" numFmtId="0" xfId="0" applyAlignment="1" applyBorder="1" applyFont="1">
      <alignment horizontal="left" vertical="center"/>
    </xf>
    <xf borderId="10" fillId="0" fontId="10" numFmtId="0" xfId="0" applyAlignment="1" applyBorder="1" applyFont="1">
      <alignment horizontal="right" vertical="center"/>
    </xf>
    <xf borderId="0" fillId="0" fontId="77" numFmtId="0" xfId="0" applyAlignment="1" applyFont="1">
      <alignment readingOrder="0"/>
    </xf>
    <xf borderId="0" fillId="0" fontId="24" numFmtId="0" xfId="0" applyAlignment="1" applyFont="1">
      <alignment horizontal="center" readingOrder="0"/>
    </xf>
    <xf borderId="0" fillId="0" fontId="24" numFmtId="0" xfId="0" applyFont="1"/>
    <xf borderId="0" fillId="0" fontId="10" numFmtId="0" xfId="0" applyAlignment="1" applyFont="1">
      <alignment horizontal="left" shrinkToFit="0" vertical="bottom" wrapText="1"/>
    </xf>
    <xf borderId="0" fillId="0" fontId="78" numFmtId="0" xfId="0" applyAlignment="1" applyFont="1">
      <alignment horizontal="left" readingOrder="0" shrinkToFit="0" wrapText="1"/>
    </xf>
    <xf borderId="0" fillId="0" fontId="38" numFmtId="0" xfId="0" applyAlignment="1" applyFont="1">
      <alignment horizontal="right" shrinkToFit="0" wrapText="1"/>
    </xf>
    <xf borderId="0" fillId="0" fontId="38" numFmtId="0" xfId="0" applyAlignment="1" applyFont="1">
      <alignment horizontal="left" shrinkToFit="0" wrapText="1"/>
    </xf>
    <xf borderId="0" fillId="0" fontId="14" numFmtId="0" xfId="0" applyAlignment="1" applyFont="1">
      <alignment horizontal="left" shrinkToFit="0" wrapText="1"/>
    </xf>
    <xf borderId="0" fillId="0" fontId="14" numFmtId="0" xfId="0" applyAlignment="1" applyFont="1">
      <alignment horizontal="right" shrinkToFit="0" wrapText="1"/>
    </xf>
    <xf borderId="25" fillId="0" fontId="14" numFmtId="0" xfId="0" applyAlignment="1" applyBorder="1" applyFont="1">
      <alignment horizontal="left" shrinkToFit="0" wrapText="1"/>
    </xf>
    <xf borderId="25" fillId="0" fontId="14" numFmtId="0" xfId="0" applyAlignment="1" applyBorder="1" applyFont="1">
      <alignment horizontal="right" shrinkToFit="0" wrapText="1"/>
    </xf>
    <xf borderId="26" fillId="0" fontId="78" numFmtId="0" xfId="0" applyAlignment="1" applyBorder="1" applyFont="1">
      <alignment horizontal="left" shrinkToFit="0" wrapText="1"/>
    </xf>
    <xf borderId="26" fillId="0" fontId="78" numFmtId="0" xfId="0" applyAlignment="1" applyBorder="1" applyFont="1">
      <alignment horizontal="right" shrinkToFit="0" wrapText="1"/>
    </xf>
    <xf borderId="27" fillId="0" fontId="10" numFmtId="0" xfId="0" applyAlignment="1" applyBorder="1" applyFont="1">
      <alignment horizontal="left" shrinkToFit="0" vertical="bottom" wrapText="1"/>
    </xf>
    <xf borderId="0" fillId="0" fontId="38" numFmtId="0" xfId="0" applyAlignment="1" applyFont="1">
      <alignment horizontal="left" readingOrder="0" shrinkToFit="0" wrapText="1"/>
    </xf>
    <xf borderId="0" fillId="0" fontId="14" numFmtId="0" xfId="0" applyAlignment="1" applyFont="1">
      <alignment horizontal="left" readingOrder="0" shrinkToFit="0" wrapText="1"/>
    </xf>
    <xf borderId="0" fillId="0" fontId="14" numFmtId="0" xfId="0" applyAlignment="1" applyFont="1">
      <alignment horizontal="right" readingOrder="0" shrinkToFit="0" wrapText="1"/>
    </xf>
    <xf borderId="25" fillId="0" fontId="14" numFmtId="0" xfId="0" applyAlignment="1" applyBorder="1" applyFont="1">
      <alignment horizontal="left" readingOrder="0" shrinkToFit="0" wrapText="1"/>
    </xf>
    <xf borderId="25" fillId="0" fontId="14" numFmtId="0" xfId="0" applyAlignment="1" applyBorder="1" applyFont="1">
      <alignment horizontal="right" readingOrder="0" shrinkToFit="0" wrapText="1"/>
    </xf>
    <xf borderId="26" fillId="0" fontId="78" numFmtId="0" xfId="0" applyAlignment="1" applyBorder="1" applyFont="1">
      <alignment horizontal="left" readingOrder="0" shrinkToFit="0" wrapText="1"/>
    </xf>
    <xf borderId="26" fillId="0" fontId="78" numFmtId="0" xfId="0" applyAlignment="1" applyBorder="1" applyFont="1">
      <alignment horizontal="right" readingOrder="0" shrinkToFit="0" wrapText="1"/>
    </xf>
    <xf borderId="25" fillId="0" fontId="38" numFmtId="0" xfId="0" applyAlignment="1" applyBorder="1" applyFont="1">
      <alignment horizontal="left" readingOrder="0" shrinkToFit="0" wrapText="1"/>
    </xf>
    <xf borderId="25" fillId="0" fontId="10" numFmtId="0" xfId="0" applyAlignment="1" applyBorder="1" applyFont="1">
      <alignment horizontal="left" shrinkToFit="0" vertical="bottom" wrapText="1"/>
    </xf>
    <xf borderId="26" fillId="0" fontId="14" numFmtId="0" xfId="0" applyAlignment="1" applyBorder="1" applyFont="1">
      <alignment horizontal="left" readingOrder="0" shrinkToFit="0" wrapText="1"/>
    </xf>
    <xf borderId="26" fillId="0" fontId="14" numFmtId="0" xfId="0" applyAlignment="1" applyBorder="1" applyFont="1">
      <alignment horizontal="right" readingOrder="0" shrinkToFit="0" wrapText="1"/>
    </xf>
    <xf borderId="0" fillId="0" fontId="79" numFmtId="0" xfId="0" applyAlignment="1" applyFont="1">
      <alignment horizontal="center" readingOrder="0" shrinkToFit="0" vertical="center" wrapText="0"/>
    </xf>
    <xf borderId="0" fillId="0" fontId="79" numFmtId="0" xfId="0" applyAlignment="1" applyFont="1">
      <alignment horizontal="center" readingOrder="0" shrinkToFit="0" vertical="center" wrapText="0"/>
    </xf>
    <xf borderId="0" fillId="0" fontId="24" numFmtId="0" xfId="0" applyAlignment="1" applyFont="1">
      <alignment horizontal="center" readingOrder="0" shrinkToFit="0" vertical="center" wrapText="0"/>
    </xf>
    <xf borderId="0" fillId="0" fontId="24" numFmtId="0" xfId="0" applyAlignment="1" applyFont="1">
      <alignment horizontal="center" readingOrder="0" shrinkToFit="0" vertical="center" wrapText="0"/>
    </xf>
    <xf borderId="0" fillId="0" fontId="24" numFmtId="0" xfId="0" applyAlignment="1" applyFont="1">
      <alignment horizontal="center" readingOrder="0" shrinkToFit="0" vertical="center" wrapText="0"/>
    </xf>
    <xf borderId="0" fillId="0" fontId="80" numFmtId="0" xfId="0" applyAlignment="1" applyFont="1">
      <alignment horizontal="center" readingOrder="0" shrinkToFit="0" vertical="center" wrapText="0"/>
    </xf>
    <xf borderId="0" fillId="0" fontId="80" numFmtId="0" xfId="0" applyAlignment="1" applyFont="1">
      <alignment horizontal="center" shrinkToFit="0" vertical="center" wrapText="0"/>
    </xf>
    <xf borderId="0" fillId="0" fontId="10" numFmtId="0" xfId="0" applyAlignment="1" applyFont="1">
      <alignment horizontal="center" shrinkToFit="0" vertical="center" wrapText="0"/>
    </xf>
    <xf borderId="0" fillId="0" fontId="80" numFmtId="0" xfId="0" applyAlignment="1" applyFont="1">
      <alignment horizontal="center" readingOrder="0" shrinkToFit="0" vertical="center" wrapText="0"/>
    </xf>
  </cellXfs>
  <cellStyles count="1">
    <cellStyle xfId="0" name="Normal" builtinId="0"/>
  </cellStyles>
  <dxfs count="11">
    <dxf>
      <font/>
      <fill>
        <patternFill patternType="none"/>
      </fill>
      <border/>
    </dxf>
    <dxf>
      <font/>
      <fill>
        <patternFill patternType="solid">
          <fgColor rgb="FF118D8B"/>
          <bgColor rgb="FF118D8B"/>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118D8B"/>
        </left>
        <right style="thin">
          <color rgb="FF118D8B"/>
        </right>
        <top style="thin">
          <color rgb="FF118D8B"/>
        </top>
        <bottom style="thin">
          <color rgb="FF118D8B"/>
        </bottom>
      </border>
    </dxf>
    <dxf>
      <font/>
      <fill>
        <patternFill patternType="none"/>
      </fill>
      <border/>
    </dxf>
    <dxf>
      <font/>
      <fill>
        <patternFill patternType="solid">
          <fgColor rgb="FFB7E1CD"/>
          <bgColor rgb="FFB7E1CD"/>
        </patternFill>
      </fill>
      <border/>
    </dxf>
    <dxf>
      <font/>
      <fill>
        <patternFill patternType="solid">
          <fgColor rgb="FF356854"/>
          <bgColor rgb="FF356854"/>
        </patternFill>
      </fill>
      <border/>
    </dxf>
    <dxf>
      <font/>
      <fill>
        <patternFill patternType="solid">
          <fgColor rgb="FF535FC1"/>
          <bgColor rgb="FF535FC1"/>
        </patternFill>
      </fill>
      <border/>
    </dxf>
    <dxf>
      <font/>
      <fill>
        <patternFill patternType="solid">
          <fgColor rgb="FF626E7A"/>
          <bgColor rgb="FF626E7A"/>
        </patternFill>
      </fill>
      <border/>
    </dxf>
    <dxf>
      <font/>
      <fill>
        <patternFill patternType="solid">
          <fgColor rgb="FFCCD9D4"/>
          <bgColor rgb="FFCCD9D4"/>
        </patternFill>
      </fill>
      <border/>
    </dxf>
  </dxfs>
  <tableStyles count="12">
    <tableStyle count="4" pivot="0" name="PLEASE READ ME-style">
      <tableStyleElement dxfId="1" type="headerRow"/>
      <tableStyleElement dxfId="2" type="firstRowStripe"/>
      <tableStyleElement dxfId="3" type="secondRowStripe"/>
      <tableStyleElement dxfId="4" size="0" type="wholeTable"/>
    </tableStyle>
    <tableStyle count="4" pivot="0" name="SEARCH BAR-style">
      <tableStyleElement dxfId="7" type="headerRow"/>
      <tableStyleElement dxfId="2" type="firstRowStripe"/>
      <tableStyleElement dxfId="3" type="secondRowStripe"/>
      <tableStyleElement dxfId="4" size="0" type="wholeTable"/>
    </tableStyle>
    <tableStyle count="4" pivot="0" name="SEARCH BAR-style 2">
      <tableStyleElement dxfId="8" type="headerRow"/>
      <tableStyleElement dxfId="2" type="firstRowStripe"/>
      <tableStyleElement dxfId="3" type="secondRowStripe"/>
      <tableStyleElement dxfId="4" size="0" type="wholeTable"/>
    </tableStyle>
    <tableStyle count="4" pivot="0" name="SEARCH BAR-style 3">
      <tableStyleElement dxfId="9" type="headerRow"/>
      <tableStyleElement dxfId="2" type="firstRowStripe"/>
      <tableStyleElement dxfId="3" type="secondRowStripe"/>
      <tableStyleElement dxfId="4" size="0" type="wholeTable"/>
    </tableStyle>
    <tableStyle count="4" pivot="0" name="Client ID Records_v2-style">
      <tableStyleElement dxfId="7" type="headerRow"/>
      <tableStyleElement dxfId="2" type="firstRowStripe"/>
      <tableStyleElement dxfId="3" type="secondRowStripe"/>
      <tableStyleElement dxfId="4" size="0" type="wholeTable"/>
    </tableStyle>
    <tableStyle count="4" pivot="0" name="Project Records_v2-style">
      <tableStyleElement dxfId="8" type="headerRow"/>
      <tableStyleElement dxfId="2" type="firstRowStripe"/>
      <tableStyleElement dxfId="3" type="secondRowStripe"/>
      <tableStyleElement dxfId="4" size="0" type="wholeTable"/>
    </tableStyle>
    <tableStyle count="4" pivot="0" name="Charge SlipBilling-style">
      <tableStyleElement dxfId="9" type="headerRow"/>
      <tableStyleElement dxfId="2" type="firstRowStripe"/>
      <tableStyleElement dxfId="3" type="secondRowStripe"/>
      <tableStyleElement dxfId="4" size="0" type="wholeTable"/>
    </tableStyle>
    <tableStyle count="4" pivot="0" name="Income Summary-style">
      <tableStyleElement dxfId="7" type="headerRow"/>
      <tableStyleElement dxfId="2" type="firstRowStripe"/>
      <tableStyleElement dxfId="3" type="secondRowStripe"/>
      <tableStyleElement dxfId="4" size="0" type="wholeTable"/>
    </tableStyle>
    <tableStyle count="4" pivot="0" name="DASHBOARD-style">
      <tableStyleElement dxfId="7" type="headerRow"/>
      <tableStyleElement dxfId="2" type="firstRowStripe"/>
      <tableStyleElement dxfId="3" type="secondRowStripe"/>
      <tableStyleElement dxfId="4" size="0" type="wholeTable"/>
    </tableStyle>
    <tableStyle count="5" pivot="0" name="DASHBOARD-style 2">
      <tableStyleElement dxfId="7" type="headerRow"/>
      <tableStyleElement dxfId="2" type="firstRowStripe"/>
      <tableStyleElement dxfId="3" type="secondRowStripe"/>
      <tableStyleElement dxfId="10" type="totalRow"/>
      <tableStyleElement dxfId="4" size="0" type="wholeTable"/>
    </tableStyle>
    <tableStyle count="4" pivot="0" name="DASHBOARD-style 3">
      <tableStyleElement dxfId="7" type="headerRow"/>
      <tableStyleElement dxfId="2" type="firstRowStripe"/>
      <tableStyleElement dxfId="3" type="secondRowStripe"/>
      <tableStyleElement dxfId="4" size="0" type="wholeTable"/>
    </tableStyle>
    <tableStyle count="4" pivot="0" name="DASHBOARD-style 4">
      <tableStyleElement dxfId="7"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CLIENTS and PROJECTS</a:t>
            </a:r>
          </a:p>
        </c:rich>
      </c:tx>
      <c:overlay val="0"/>
    </c:title>
    <c:plotArea>
      <c:layout/>
      <c:barChart>
        <c:barDir val="col"/>
        <c:ser>
          <c:idx val="0"/>
          <c:order val="0"/>
          <c:tx>
            <c:strRef>
              <c:f>DASHBOARD!$B$1</c:f>
            </c:strRef>
          </c:tx>
          <c:spPr>
            <a:solidFill>
              <a:schemeClr val="accent1"/>
            </a:solidFill>
            <a:ln cmpd="sng">
              <a:solidFill>
                <a:srgbClr val="000000"/>
              </a:solidFill>
            </a:ln>
          </c:spPr>
          <c:cat>
            <c:strRef>
              <c:f>DASHBOARD!$A$2:$A$9</c:f>
            </c:strRef>
          </c:cat>
          <c:val>
            <c:numRef>
              <c:f>DASHBOARD!$B$2:$B$9</c:f>
              <c:numCache/>
            </c:numRef>
          </c:val>
        </c:ser>
        <c:ser>
          <c:idx val="1"/>
          <c:order val="1"/>
          <c:tx>
            <c:strRef>
              <c:f>DASHBOARD!$C$1</c:f>
            </c:strRef>
          </c:tx>
          <c:spPr>
            <a:solidFill>
              <a:schemeClr val="accent2"/>
            </a:solidFill>
            <a:ln cmpd="sng">
              <a:solidFill>
                <a:srgbClr val="000000"/>
              </a:solidFill>
            </a:ln>
          </c:spPr>
          <c:cat>
            <c:strRef>
              <c:f>DASHBOARD!$A$2:$A$9</c:f>
            </c:strRef>
          </c:cat>
          <c:val>
            <c:numRef>
              <c:f>DASHBOARD!$C$2:$C$9</c:f>
              <c:numCache/>
            </c:numRef>
          </c:val>
        </c:ser>
        <c:axId val="986448837"/>
        <c:axId val="798143390"/>
      </c:barChart>
      <c:catAx>
        <c:axId val="98644883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Year</a:t>
                </a:r>
              </a:p>
            </c:rich>
          </c:tx>
          <c:overlay val="0"/>
        </c:title>
        <c:numFmt formatCode="General" sourceLinked="1"/>
        <c:majorTickMark val="none"/>
        <c:minorTickMark val="none"/>
        <c:spPr/>
        <c:txPr>
          <a:bodyPr/>
          <a:lstStyle/>
          <a:p>
            <a:pPr lvl="0">
              <a:defRPr b="0">
                <a:solidFill>
                  <a:srgbClr val="000000"/>
                </a:solidFill>
                <a:latin typeface="+mn-lt"/>
              </a:defRPr>
            </a:pPr>
          </a:p>
        </c:txPr>
        <c:crossAx val="798143390"/>
      </c:catAx>
      <c:valAx>
        <c:axId val="79814339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986448837"/>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PGC Visayas Funded and External</a:t>
            </a:r>
          </a:p>
        </c:rich>
      </c:tx>
      <c:overlay val="0"/>
    </c:title>
    <c:plotArea>
      <c:layout/>
      <c:barChart>
        <c:barDir val="col"/>
        <c:ser>
          <c:idx val="0"/>
          <c:order val="0"/>
          <c:tx>
            <c:strRef>
              <c:f>DASHBOARD!$F$1</c:f>
            </c:strRef>
          </c:tx>
          <c:spPr>
            <a:solidFill>
              <a:schemeClr val="accent1"/>
            </a:solidFill>
            <a:ln cmpd="sng">
              <a:solidFill>
                <a:srgbClr val="000000"/>
              </a:solidFill>
            </a:ln>
          </c:spPr>
          <c:cat>
            <c:strRef>
              <c:f>DASHBOARD!$E$2:$E$9</c:f>
            </c:strRef>
          </c:cat>
          <c:val>
            <c:numRef>
              <c:f>DASHBOARD!$F$2:$F$9</c:f>
              <c:numCache/>
            </c:numRef>
          </c:val>
        </c:ser>
        <c:ser>
          <c:idx val="1"/>
          <c:order val="1"/>
          <c:tx>
            <c:strRef>
              <c:f>DASHBOARD!$G$1</c:f>
            </c:strRef>
          </c:tx>
          <c:spPr>
            <a:solidFill>
              <a:schemeClr val="accent2"/>
            </a:solidFill>
            <a:ln cmpd="sng">
              <a:solidFill>
                <a:srgbClr val="000000"/>
              </a:solidFill>
            </a:ln>
          </c:spPr>
          <c:cat>
            <c:strRef>
              <c:f>DASHBOARD!$E$2:$E$9</c:f>
            </c:strRef>
          </c:cat>
          <c:val>
            <c:numRef>
              <c:f>DASHBOARD!$G$2:$G$9</c:f>
              <c:numCache/>
            </c:numRef>
          </c:val>
        </c:ser>
        <c:axId val="154640184"/>
        <c:axId val="100143678"/>
      </c:barChart>
      <c:catAx>
        <c:axId val="15464018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Year</a:t>
                </a:r>
              </a:p>
            </c:rich>
          </c:tx>
          <c:overlay val="0"/>
        </c:title>
        <c:numFmt formatCode="General" sourceLinked="1"/>
        <c:majorTickMark val="none"/>
        <c:minorTickMark val="none"/>
        <c:spPr/>
        <c:txPr>
          <a:bodyPr/>
          <a:lstStyle/>
          <a:p>
            <a:pPr lvl="0">
              <a:defRPr b="0">
                <a:solidFill>
                  <a:srgbClr val="000000"/>
                </a:solidFill>
                <a:latin typeface="+mn-lt"/>
              </a:defRPr>
            </a:pPr>
          </a:p>
        </c:txPr>
        <c:crossAx val="100143678"/>
      </c:catAx>
      <c:valAx>
        <c:axId val="10014367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4640184"/>
      </c:valAx>
    </c:plotArea>
    <c:legend>
      <c:legendPos val="r"/>
      <c:overlay val="0"/>
      <c:txPr>
        <a:bodyPr/>
        <a:lstStyle/>
        <a:p>
          <a:pPr lvl="0">
            <a:defRPr b="0">
              <a:solidFill>
                <a:srgbClr val="1A1A1A"/>
              </a:solidFill>
              <a:latin typeface="+mn-lt"/>
            </a:defRPr>
          </a:pPr>
        </a:p>
      </c:txPr>
    </c:legend>
    <c:plotVisOnly val="1"/>
  </c:chart>
</c:chartSpace>
</file>

<file path=xl/drawings/_rels/drawing10.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10</xdr:row>
      <xdr:rowOff>57150</xdr:rowOff>
    </xdr:from>
    <xdr:ext cx="4324350" cy="267652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4</xdr:col>
      <xdr:colOff>0</xdr:colOff>
      <xdr:row>10</xdr:row>
      <xdr:rowOff>57150</xdr:rowOff>
    </xdr:from>
    <xdr:ext cx="4371975" cy="267652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tables/table1.xml><?xml version="1.0" encoding="utf-8"?>
<table xmlns="http://schemas.openxmlformats.org/spreadsheetml/2006/main" ref="A1:D15" displayName="READ_ME" name="READ_ME" id="1">
  <tableColumns count="4">
    <tableColumn name="Column 1" id="1"/>
    <tableColumn name="INSTRUCTION FOR USE OF CLIENT RECORDS" id="2"/>
    <tableColumn name=" INSTRUCTION FOR USE OF PROJECT RECORDS" id="3"/>
    <tableColumn name=" INSTRUCTION FOR USE OF CHARGE SLIP/BILLING" id="4"/>
  </tableColumns>
  <tableStyleInfo name="PLEASE READ ME-style" showColumnStripes="0" showFirstColumn="1" showLastColumn="1" showRowStripes="1"/>
</table>
</file>

<file path=xl/tables/table2.xml><?xml version="1.0" encoding="utf-8"?>
<table xmlns="http://schemas.openxmlformats.org/spreadsheetml/2006/main" headerRowCount="0" ref="A5:G5" displayName="Client" name="Client" id="2">
  <tableColumns count="7">
    <tableColumn name="Column1" id="1"/>
    <tableColumn name="Column2" id="2"/>
    <tableColumn name="Column3" id="3"/>
    <tableColumn name="Column4" id="4"/>
    <tableColumn name="Column5" id="5"/>
    <tableColumn name="Column6" id="6"/>
    <tableColumn name="Column7" id="7"/>
  </tableColumns>
  <tableStyleInfo name="SEARCH BAR-style" showColumnStripes="0" showFirstColumn="1" showLastColumn="1" showRowStripes="1"/>
  <extLst>
    <ext uri="GoogleSheetsCustomDataVersion1">
      <go:sheetsCustomData xmlns:go="http://customooxmlschemas.google.com/" headerRowCount="1"/>
    </ext>
  </extLst>
</table>
</file>

<file path=xl/tables/table3.xml><?xml version="1.0" encoding="utf-8"?>
<table xmlns="http://schemas.openxmlformats.org/spreadsheetml/2006/main" ref="A12:E13" displayName="Projects" name="Projects" id="3">
  <tableColumns count="5">
    <tableColumn name="Project Lead/ Contact Person" id="1"/>
    <tableColumn name="Project Number" id="2"/>
    <tableColumn name="Project Title" id="3"/>
    <tableColumn name="Project Tag" id="4"/>
    <tableColumn name="Status" id="5"/>
  </tableColumns>
  <tableStyleInfo name="SEARCH BAR-style 2" showColumnStripes="0" showFirstColumn="1" showLastColumn="1" showRowStripes="1"/>
</table>
</file>

<file path=xl/tables/table4.xml><?xml version="1.0" encoding="utf-8"?>
<table xmlns="http://schemas.openxmlformats.org/spreadsheetml/2006/main" ref="A18:D19" displayName="Charge_Slip" name="Charge_Slip" id="4">
  <tableColumns count="4">
    <tableColumn name="Charge Slip No. (CS-yyyy-xxx)" id="1"/>
    <tableColumn name="Client Name" id="2"/>
    <tableColumn name="Amount" id="3"/>
    <tableColumn name="Status" id="4"/>
  </tableColumns>
  <tableStyleInfo name="SEARCH BAR-style 3" showColumnStripes="0" showFirstColumn="1" showLastColumn="1" showRowStripes="1"/>
</table>
</file>

<file path=xl/tables/table5.xml><?xml version="1.0" encoding="utf-8"?>
<table xmlns="http://schemas.openxmlformats.org/spreadsheetml/2006/main" ref="A1:J1003" displayName="Client_ID_Records" name="Client_ID_Records" id="5">
  <tableColumns count="10">
    <tableColumn name="Year" id="1"/>
    <tableColumn name="Date Received" id="2"/>
    <tableColumn name="Status" id="3"/>
    <tableColumn name="Client Name" id="4"/>
    <tableColumn name="Client ID Number" id="5"/>
    <tableColumn name="Affiliation (Department and Institution Name and Address)" id="6"/>
    <tableColumn name="Sex" id="7"/>
    <tableColumn name="Designation" id="8"/>
    <tableColumn name="Email Address" id="9"/>
    <tableColumn name="Mobile Number" id="10"/>
  </tableColumns>
  <tableStyleInfo name="Client ID Records_v2-style" showColumnStripes="0" showFirstColumn="1" showLastColumn="1" showRowStripes="1"/>
</table>
</file>

<file path=xl/tables/table6.xml><?xml version="1.0" encoding="utf-8"?>
<table xmlns="http://schemas.openxmlformats.org/spreadsheetml/2006/main" ref="A1:O1020" displayName="Project_Records" name="Project_Records" id="6">
  <tableColumns count="15">
    <tableColumn name="Year" id="1"/>
    <tableColumn name="Start date" id="2"/>
    <tableColumn name="End date" id="3"/>
    <tableColumn name="Client Names" id="4"/>
    <tableColumn name="Project Lead/ Contact Person" id="5"/>
    <tableColumn name="Project Number" id="6"/>
    <tableColumn name="Project Title" id="7"/>
    <tableColumn name="Project Tag" id="8"/>
    <tableColumn name="Status" id="9"/>
    <tableColumn name="Sending Institution" id="10"/>
    <tableColumn name="Funding Category" id="11"/>
    <tableColumn name="Funding Institution" id="12"/>
    <tableColumn name="Service Requested" id="13"/>
    <tableColumn name="Personnel Assigned" id="14"/>
    <tableColumn name="Notes" id="15"/>
  </tableColumns>
  <tableStyleInfo name="Project Records_v2-style" showColumnStripes="0" showFirstColumn="1" showLastColumn="1" showRowStripes="1"/>
</table>
</file>

<file path=xl/tables/table7.xml><?xml version="1.0" encoding="utf-8"?>
<table xmlns="http://schemas.openxmlformats.org/spreadsheetml/2006/main" ref="A1:Q1102" displayName="Billing" name="Billing" id="7">
  <tableColumns count="17">
    <tableColumn name="Year" id="1"/>
    <tableColumn name="Date" id="2"/>
    <tableColumn name="Charge Slip No. (CS-yyyy-xxx)" id="3"/>
    <tableColumn name="Client Name" id="4"/>
    <tableColumn name="Amount" id="5"/>
    <tableColumn name="Status" id="6"/>
    <tableColumn name="Client ID" id="7"/>
    <tableColumn name="Address" id="8"/>
    <tableColumn name="Project/Training Request No." id="9"/>
    <tableColumn name="Payment For (Project/Training Title)" id="10"/>
    <tableColumn name="Service Requested" id="11"/>
    <tableColumn name="Service Details" id="12"/>
    <tableColumn name="R&amp;D Category" id="13"/>
    <tableColumn name="DV No. " id="14"/>
    <tableColumn name="OR No." id="15"/>
    <tableColumn name="Date of OR" id="16"/>
    <tableColumn name="Notes" id="17"/>
  </tableColumns>
  <tableStyleInfo name="Charge SlipBilling-style" showColumnStripes="0" showFirstColumn="1" showLastColumn="1" showRowStripes="1"/>
</table>
</file>

<file path=xl/tables/table8.xml><?xml version="1.0" encoding="utf-8"?>
<table xmlns="http://schemas.openxmlformats.org/spreadsheetml/2006/main" ref="A2:B10" displayName="Summary" name="Summary" id="8">
  <tableColumns count="2">
    <tableColumn name="Category" id="1"/>
    <tableColumn name="Income" id="2"/>
  </tableColumns>
  <tableStyleInfo name="Income Summary-style" showColumnStripes="0" showFirstColumn="1" showLastColumn="1" showRowStripes="1"/>
</table>
</file>

<file path=xl/tables/table9.xml><?xml version="1.0" encoding="utf-8"?>
<table xmlns="http://schemas.openxmlformats.org/spreadsheetml/2006/main" ref="A1:C9" displayName="Table1" name="Table1" id="9">
  <tableColumns count="3">
    <tableColumn name="Year" id="1"/>
    <tableColumn name="CLIENTS" id="2"/>
    <tableColumn name="PROJECTS" id="3"/>
  </tableColumns>
  <tableStyleInfo name="DASHBOARD-style" showColumnStripes="0" showFirstColumn="1" showLastColumn="1" showRowStripes="1"/>
</table>
</file>

<file path=xl/tables/table10.xml><?xml version="1.0" encoding="utf-8"?>
<table xmlns="http://schemas.openxmlformats.org/spreadsheetml/2006/main" totalsRowCount="1" ref="E1:G9" displayName="FUNDING_SOURCE" name="FUNDING_SOURCE" id="10">
  <tableColumns count="3">
    <tableColumn totalsRowLabel="TOTAL" name="Year" id="1"/>
    <tableColumn totalsRowFunction="custom" name="PGC Visayas Funded" id="2"/>
    <tableColumn totalsRowFunction="custom" name="External" id="3"/>
  </tableColumns>
  <tableStyleInfo name="DASHBOARD-style 2" showColumnStripes="0" showFirstColumn="1" showLastColumn="1" showRowStripes="1"/>
</table>
</file>

<file path=xl/tables/table11.xml><?xml version="1.0" encoding="utf-8"?>
<table xmlns="http://schemas.openxmlformats.org/spreadsheetml/2006/main" ref="I1:L9" displayName="SERVICES_AVAILED" name="SERVICES_AVAILED" id="11">
  <tableColumns count="4">
    <tableColumn name="Year" id="1"/>
    <tableColumn name="Laboratory Service" id="2"/>
    <tableColumn name="Equipment Use" id="3"/>
    <tableColumn name="Retail Sales" id="4"/>
  </tableColumns>
  <tableStyleInfo name="DASHBOARD-style 3" showColumnStripes="0" showFirstColumn="1" showLastColumn="1" showRowStripes="1"/>
</table>
</file>

<file path=xl/tables/table12.xml><?xml version="1.0" encoding="utf-8"?>
<table xmlns="http://schemas.openxmlformats.org/spreadsheetml/2006/main" ref="N1:S9" displayName="SENDING_INSTITUTION" name="SENDING_INSTITUTION" id="12">
  <tableColumns count="6">
    <tableColumn name="Year" id="1"/>
    <tableColumn name="UP System" id="2"/>
    <tableColumn name="SUC/HEI" id="3"/>
    <tableColumn name="Gov't Agencies" id="4"/>
    <tableColumn name="Private Local" id="5"/>
    <tableColumn name="International" id="6"/>
  </tableColumns>
  <tableStyleInfo name="DASHBOARD-style 4"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mailto:rmgaudiel@up.edu.ph" TargetMode="External"/><Relationship Id="rId20" Type="http://schemas.openxmlformats.org/officeDocument/2006/relationships/hyperlink" Target="mailto:maylayron@up.edu.ph" TargetMode="External"/><Relationship Id="rId42" Type="http://schemas.openxmlformats.org/officeDocument/2006/relationships/hyperlink" Target="mailto:ldatencio@up.edu.ph" TargetMode="External"/><Relationship Id="rId41" Type="http://schemas.openxmlformats.org/officeDocument/2006/relationships/hyperlink" Target="mailto:jfrasgo@up.edu.ph" TargetMode="External"/><Relationship Id="rId22" Type="http://schemas.openxmlformats.org/officeDocument/2006/relationships/hyperlink" Target="mailto:ladelgado1@up.edu.ph" TargetMode="External"/><Relationship Id="rId44" Type="http://schemas.openxmlformats.org/officeDocument/2006/relationships/hyperlink" Target="mailto:kdelossantos@up.edu.ph" TargetMode="External"/><Relationship Id="rId21" Type="http://schemas.openxmlformats.org/officeDocument/2006/relationships/hyperlink" Target="mailto:csdelcastillo@up.edu.ph" TargetMode="External"/><Relationship Id="rId43" Type="http://schemas.openxmlformats.org/officeDocument/2006/relationships/hyperlink" Target="mailto:wnsurnido@up.edu.ph" TargetMode="External"/><Relationship Id="rId24" Type="http://schemas.openxmlformats.org/officeDocument/2006/relationships/hyperlink" Target="mailto:alainjuayang@yahoo.com" TargetMode="External"/><Relationship Id="rId46" Type="http://schemas.openxmlformats.org/officeDocument/2006/relationships/drawing" Target="../drawings/drawing1.xml"/><Relationship Id="rId23" Type="http://schemas.openxmlformats.org/officeDocument/2006/relationships/hyperlink" Target="mailto:dvmiranda@up.edu.ph" TargetMode="External"/><Relationship Id="rId45" Type="http://schemas.openxmlformats.org/officeDocument/2006/relationships/hyperlink" Target="mailto:kcabismo@up.edu.ph" TargetMode="External"/><Relationship Id="rId1" Type="http://schemas.openxmlformats.org/officeDocument/2006/relationships/hyperlink" Target="mailto:nowena_solidum@yahoo.com" TargetMode="External"/><Relationship Id="rId2" Type="http://schemas.openxmlformats.org/officeDocument/2006/relationships/hyperlink" Target="mailto:castromarissa99@gmail.com" TargetMode="External"/><Relationship Id="rId3" Type="http://schemas.openxmlformats.org/officeDocument/2006/relationships/hyperlink" Target="mailto:sweetbrillantes@gmail.com" TargetMode="External"/><Relationship Id="rId4" Type="http://schemas.openxmlformats.org/officeDocument/2006/relationships/hyperlink" Target="mailto:irenelagumbay95@gmail.com" TargetMode="External"/><Relationship Id="rId9" Type="http://schemas.openxmlformats.org/officeDocument/2006/relationships/hyperlink" Target="mailto:doroteoalvin@yahoo.com" TargetMode="External"/><Relationship Id="rId26" Type="http://schemas.openxmlformats.org/officeDocument/2006/relationships/hyperlink" Target="mailto:lgyapdejeto@up.edu.ph" TargetMode="External"/><Relationship Id="rId25" Type="http://schemas.openxmlformats.org/officeDocument/2006/relationships/hyperlink" Target="mailto:jbtywayanmolecular2020@gmail.com" TargetMode="External"/><Relationship Id="rId28" Type="http://schemas.openxmlformats.org/officeDocument/2006/relationships/hyperlink" Target="mailto:racabebe@up.edu.ph" TargetMode="External"/><Relationship Id="rId27" Type="http://schemas.openxmlformats.org/officeDocument/2006/relationships/hyperlink" Target="mailto:dapenuela@up.edu.ph" TargetMode="External"/><Relationship Id="rId5" Type="http://schemas.openxmlformats.org/officeDocument/2006/relationships/hyperlink" Target="mailto:rhodmar.divino@ssu.up.edu.ph" TargetMode="External"/><Relationship Id="rId6" Type="http://schemas.openxmlformats.org/officeDocument/2006/relationships/hyperlink" Target="mailto:jattorrefiel@gmail.com" TargetMode="External"/><Relationship Id="rId29" Type="http://schemas.openxmlformats.org/officeDocument/2006/relationships/hyperlink" Target="mailto:acnoblezada@up.edu.ph" TargetMode="External"/><Relationship Id="rId7" Type="http://schemas.openxmlformats.org/officeDocument/2006/relationships/hyperlink" Target="mailto:rhyzz.jane@gmail.com" TargetMode="External"/><Relationship Id="rId8" Type="http://schemas.openxmlformats.org/officeDocument/2006/relationships/hyperlink" Target="mailto:atilanomaryantonette@gmail.com" TargetMode="External"/><Relationship Id="rId31" Type="http://schemas.openxmlformats.org/officeDocument/2006/relationships/hyperlink" Target="mailto:gemphilproject@gmail.com" TargetMode="External"/><Relationship Id="rId30" Type="http://schemas.openxmlformats.org/officeDocument/2006/relationships/hyperlink" Target="mailto:arlene.avillanosa@wpu.edu.ph" TargetMode="External"/><Relationship Id="rId11" Type="http://schemas.openxmlformats.org/officeDocument/2006/relationships/hyperlink" Target="mailto:ksebreo@up.edu.ph" TargetMode="External"/><Relationship Id="rId33" Type="http://schemas.openxmlformats.org/officeDocument/2006/relationships/hyperlink" Target="mailto:kblacson@up.edu.ph" TargetMode="External"/><Relationship Id="rId10" Type="http://schemas.openxmlformats.org/officeDocument/2006/relationships/hyperlink" Target="mailto:rcsibonga@gmail.com" TargetMode="External"/><Relationship Id="rId32" Type="http://schemas.openxmlformats.org/officeDocument/2006/relationships/hyperlink" Target="mailto:jasperpacho181@gmail.com" TargetMode="External"/><Relationship Id="rId13" Type="http://schemas.openxmlformats.org/officeDocument/2006/relationships/hyperlink" Target="mailto:addequito@up.edu.ph" TargetMode="External"/><Relationship Id="rId35" Type="http://schemas.openxmlformats.org/officeDocument/2006/relationships/hyperlink" Target="mailto:ctmejares@up.edu.ph" TargetMode="External"/><Relationship Id="rId12" Type="http://schemas.openxmlformats.org/officeDocument/2006/relationships/hyperlink" Target="mailto:kyleresmac@gmail.com" TargetMode="External"/><Relationship Id="rId34" Type="http://schemas.openxmlformats.org/officeDocument/2006/relationships/hyperlink" Target="mailto:cpponce@upv.edu.ph" TargetMode="External"/><Relationship Id="rId15" Type="http://schemas.openxmlformats.org/officeDocument/2006/relationships/hyperlink" Target="mailto:kptenizo@up.edu.ph" TargetMode="External"/><Relationship Id="rId37" Type="http://schemas.openxmlformats.org/officeDocument/2006/relationships/hyperlink" Target="mailto:ecrizo@up.edu.ph" TargetMode="External"/><Relationship Id="rId14" Type="http://schemas.openxmlformats.org/officeDocument/2006/relationships/hyperlink" Target="mailto:nadelenefaithcartago@yahoo.com" TargetMode="External"/><Relationship Id="rId36" Type="http://schemas.openxmlformats.org/officeDocument/2006/relationships/hyperlink" Target="mailto:recadiz@up.edu.ph" TargetMode="External"/><Relationship Id="rId17" Type="http://schemas.openxmlformats.org/officeDocument/2006/relationships/hyperlink" Target="mailto:wfmedrocillo@up.edu.ph" TargetMode="External"/><Relationship Id="rId39" Type="http://schemas.openxmlformats.org/officeDocument/2006/relationships/hyperlink" Target="mailto:rmgaudiel@up.edu.ph" TargetMode="External"/><Relationship Id="rId16" Type="http://schemas.openxmlformats.org/officeDocument/2006/relationships/hyperlink" Target="mailto:gacuevas@up.edu.ph" TargetMode="External"/><Relationship Id="rId38" Type="http://schemas.openxmlformats.org/officeDocument/2006/relationships/hyperlink" Target="mailto:spguinto@up.edu.ph" TargetMode="External"/><Relationship Id="rId19" Type="http://schemas.openxmlformats.org/officeDocument/2006/relationships/hyperlink" Target="mailto:dpmediodia@up.edu.ph" TargetMode="External"/><Relationship Id="rId18" Type="http://schemas.openxmlformats.org/officeDocument/2006/relationships/hyperlink" Target="mailto:lfendoma@up.edu.ph"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5" Type="http://schemas.openxmlformats.org/officeDocument/2006/relationships/table" Target="../tables/table2.xml"/><Relationship Id="rId6" Type="http://schemas.openxmlformats.org/officeDocument/2006/relationships/table" Target="../tables/table3.xml"/><Relationship Id="rId7" Type="http://schemas.openxmlformats.org/officeDocument/2006/relationships/table" Target="../tables/table4.xml"/></Relationships>
</file>

<file path=xl/worksheets/_rels/sheet4.xml.rels><?xml version="1.0" encoding="UTF-8" standalone="yes"?><Relationships xmlns="http://schemas.openxmlformats.org/package/2006/relationships"><Relationship Id="rId40" Type="http://schemas.openxmlformats.org/officeDocument/2006/relationships/hyperlink" Target="mailto:jfrasgo@up.edu.ph" TargetMode="External"/><Relationship Id="rId20" Type="http://schemas.openxmlformats.org/officeDocument/2006/relationships/hyperlink" Target="mailto:maylayron@up.edu.ph" TargetMode="External"/><Relationship Id="rId42" Type="http://schemas.openxmlformats.org/officeDocument/2006/relationships/hyperlink" Target="mailto:wnsurnido@up.edu.ph" TargetMode="External"/><Relationship Id="rId41" Type="http://schemas.openxmlformats.org/officeDocument/2006/relationships/hyperlink" Target="mailto:ldatencio@up.edu.ph" TargetMode="External"/><Relationship Id="rId22" Type="http://schemas.openxmlformats.org/officeDocument/2006/relationships/hyperlink" Target="mailto:ladelgado1@up.edu.ph" TargetMode="External"/><Relationship Id="rId44" Type="http://schemas.openxmlformats.org/officeDocument/2006/relationships/hyperlink" Target="mailto:kcabismo@up.edu.ph" TargetMode="External"/><Relationship Id="rId21" Type="http://schemas.openxmlformats.org/officeDocument/2006/relationships/hyperlink" Target="mailto:csdelcastillo@up.edu.ph" TargetMode="External"/><Relationship Id="rId43" Type="http://schemas.openxmlformats.org/officeDocument/2006/relationships/hyperlink" Target="mailto:kdelossantos@up.edu.ph" TargetMode="External"/><Relationship Id="rId24" Type="http://schemas.openxmlformats.org/officeDocument/2006/relationships/hyperlink" Target="mailto:alainjuayang@yahoo.com" TargetMode="External"/><Relationship Id="rId46" Type="http://schemas.openxmlformats.org/officeDocument/2006/relationships/drawing" Target="../drawings/drawing4.xml"/><Relationship Id="rId23" Type="http://schemas.openxmlformats.org/officeDocument/2006/relationships/hyperlink" Target="mailto:dvmiranda@up.edu.ph" TargetMode="External"/><Relationship Id="rId45" Type="http://schemas.openxmlformats.org/officeDocument/2006/relationships/hyperlink" Target="mailto:javaldez5@up.edu.ph" TargetMode="External"/><Relationship Id="rId1" Type="http://schemas.openxmlformats.org/officeDocument/2006/relationships/hyperlink" Target="mailto:nowena_solidum@yahoo.com" TargetMode="External"/><Relationship Id="rId2" Type="http://schemas.openxmlformats.org/officeDocument/2006/relationships/hyperlink" Target="mailto:castromarissa99@gmail.com" TargetMode="External"/><Relationship Id="rId3" Type="http://schemas.openxmlformats.org/officeDocument/2006/relationships/hyperlink" Target="mailto:sweetbrillantes@gmail.com" TargetMode="External"/><Relationship Id="rId4" Type="http://schemas.openxmlformats.org/officeDocument/2006/relationships/hyperlink" Target="mailto:irenelagumbay95@gmail.com" TargetMode="External"/><Relationship Id="rId9" Type="http://schemas.openxmlformats.org/officeDocument/2006/relationships/hyperlink" Target="mailto:doroteoalvin@yahoo.com" TargetMode="External"/><Relationship Id="rId26" Type="http://schemas.openxmlformats.org/officeDocument/2006/relationships/hyperlink" Target="mailto:lgyapdejeto@up.edu.ph" TargetMode="External"/><Relationship Id="rId48" Type="http://schemas.openxmlformats.org/officeDocument/2006/relationships/table" Target="../tables/table5.xml"/><Relationship Id="rId25" Type="http://schemas.openxmlformats.org/officeDocument/2006/relationships/hyperlink" Target="mailto:jbtywayanmolecular2020@gmail.com" TargetMode="External"/><Relationship Id="rId28" Type="http://schemas.openxmlformats.org/officeDocument/2006/relationships/hyperlink" Target="mailto:racabebe@up.edu.ph" TargetMode="External"/><Relationship Id="rId27" Type="http://schemas.openxmlformats.org/officeDocument/2006/relationships/hyperlink" Target="mailto:dapenuela@up.edu.ph" TargetMode="External"/><Relationship Id="rId5" Type="http://schemas.openxmlformats.org/officeDocument/2006/relationships/hyperlink" Target="mailto:rhodmar.divino@ssu.up.edu.ph" TargetMode="External"/><Relationship Id="rId6" Type="http://schemas.openxmlformats.org/officeDocument/2006/relationships/hyperlink" Target="mailto:jattorrefiel@gmail.com" TargetMode="External"/><Relationship Id="rId29" Type="http://schemas.openxmlformats.org/officeDocument/2006/relationships/hyperlink" Target="mailto:acnoblezada@up.edu.ph" TargetMode="External"/><Relationship Id="rId7" Type="http://schemas.openxmlformats.org/officeDocument/2006/relationships/hyperlink" Target="mailto:rhyzz.jane@gmail.com" TargetMode="External"/><Relationship Id="rId8" Type="http://schemas.openxmlformats.org/officeDocument/2006/relationships/hyperlink" Target="mailto:atilanomaryantonette@gmail.com" TargetMode="External"/><Relationship Id="rId31" Type="http://schemas.openxmlformats.org/officeDocument/2006/relationships/hyperlink" Target="mailto:gemphilproject@gmail.com" TargetMode="External"/><Relationship Id="rId30" Type="http://schemas.openxmlformats.org/officeDocument/2006/relationships/hyperlink" Target="mailto:arlene.avillanosa@wpu.edu.ph" TargetMode="External"/><Relationship Id="rId11" Type="http://schemas.openxmlformats.org/officeDocument/2006/relationships/hyperlink" Target="mailto:ksebreo@up.edu.ph" TargetMode="External"/><Relationship Id="rId33" Type="http://schemas.openxmlformats.org/officeDocument/2006/relationships/hyperlink" Target="mailto:kblacson@up.edu.ph" TargetMode="External"/><Relationship Id="rId10" Type="http://schemas.openxmlformats.org/officeDocument/2006/relationships/hyperlink" Target="mailto:rcsibonga@gmail.com" TargetMode="External"/><Relationship Id="rId32" Type="http://schemas.openxmlformats.org/officeDocument/2006/relationships/hyperlink" Target="mailto:jasperpacho181@gmail.com" TargetMode="External"/><Relationship Id="rId13" Type="http://schemas.openxmlformats.org/officeDocument/2006/relationships/hyperlink" Target="mailto:addequito@up.edu.ph" TargetMode="External"/><Relationship Id="rId35" Type="http://schemas.openxmlformats.org/officeDocument/2006/relationships/hyperlink" Target="mailto:ctmejares@up.edu.ph" TargetMode="External"/><Relationship Id="rId12" Type="http://schemas.openxmlformats.org/officeDocument/2006/relationships/hyperlink" Target="mailto:kyleresmac@gmail.com" TargetMode="External"/><Relationship Id="rId34" Type="http://schemas.openxmlformats.org/officeDocument/2006/relationships/hyperlink" Target="mailto:cpponce@upv.edu.ph" TargetMode="External"/><Relationship Id="rId15" Type="http://schemas.openxmlformats.org/officeDocument/2006/relationships/hyperlink" Target="mailto:kptenizo@up.edu.ph" TargetMode="External"/><Relationship Id="rId37" Type="http://schemas.openxmlformats.org/officeDocument/2006/relationships/hyperlink" Target="mailto:ecrizo@up.edu.ph" TargetMode="External"/><Relationship Id="rId14" Type="http://schemas.openxmlformats.org/officeDocument/2006/relationships/hyperlink" Target="mailto:nadelenefaithcartago@yahoo.com" TargetMode="External"/><Relationship Id="rId36" Type="http://schemas.openxmlformats.org/officeDocument/2006/relationships/hyperlink" Target="mailto:recadiz@up.edu.ph" TargetMode="External"/><Relationship Id="rId17" Type="http://schemas.openxmlformats.org/officeDocument/2006/relationships/hyperlink" Target="mailto:wfmedrocillo@up.edu.ph" TargetMode="External"/><Relationship Id="rId39" Type="http://schemas.openxmlformats.org/officeDocument/2006/relationships/hyperlink" Target="mailto:rmgaudiel@up.edu.ph" TargetMode="External"/><Relationship Id="rId16" Type="http://schemas.openxmlformats.org/officeDocument/2006/relationships/hyperlink" Target="mailto:gacuevas@up.edu.ph" TargetMode="External"/><Relationship Id="rId38" Type="http://schemas.openxmlformats.org/officeDocument/2006/relationships/hyperlink" Target="mailto:spguinto@up.edu.ph" TargetMode="External"/><Relationship Id="rId19" Type="http://schemas.openxmlformats.org/officeDocument/2006/relationships/hyperlink" Target="mailto:dpmediodia@up.edu.ph" TargetMode="External"/><Relationship Id="rId18" Type="http://schemas.openxmlformats.org/officeDocument/2006/relationships/hyperlink" Target="mailto:lfendoma@up.edu.ph" TargetMode="External"/></Relationships>
</file>

<file path=xl/worksheets/_rels/sheet5.xml.rels><?xml version="1.0" encoding="UTF-8" standalone="yes"?><Relationships xmlns="http://schemas.openxmlformats.org/package/2006/relationships"><Relationship Id="rId40" Type="http://schemas.openxmlformats.org/officeDocument/2006/relationships/hyperlink" Target="mailto:alex.cayanan2@gmail.com" TargetMode="External"/><Relationship Id="rId42" Type="http://schemas.openxmlformats.org/officeDocument/2006/relationships/hyperlink" Target="mailto:mfjavier@up.edu.ph" TargetMode="External"/><Relationship Id="rId41" Type="http://schemas.openxmlformats.org/officeDocument/2006/relationships/hyperlink" Target="mailto:nncartago@up.edu.ph" TargetMode="External"/><Relationship Id="rId44" Type="http://schemas.openxmlformats.org/officeDocument/2006/relationships/hyperlink" Target="mailto:nncartago@up.edu.ph" TargetMode="External"/><Relationship Id="rId43" Type="http://schemas.openxmlformats.org/officeDocument/2006/relationships/hyperlink" Target="mailto:jcvelo@up.edu.ph" TargetMode="External"/><Relationship Id="rId46" Type="http://schemas.openxmlformats.org/officeDocument/2006/relationships/hyperlink" Target="mailto:jcvelo@up.edu.ph" TargetMode="External"/><Relationship Id="rId45" Type="http://schemas.openxmlformats.org/officeDocument/2006/relationships/hyperlink" Target="mailto:alex.cayanan2@gmail.com" TargetMode="External"/><Relationship Id="rId107" Type="http://schemas.openxmlformats.org/officeDocument/2006/relationships/hyperlink" Target="mailto:lsmabaquiao2@up.edu.ph" TargetMode="External"/><Relationship Id="rId106" Type="http://schemas.openxmlformats.org/officeDocument/2006/relationships/hyperlink" Target="mailto:lsmabaquiao2@up.edu.ph" TargetMode="External"/><Relationship Id="rId105" Type="http://schemas.openxmlformats.org/officeDocument/2006/relationships/hyperlink" Target="mailto:dapenuela@up.edu.ph" TargetMode="External"/><Relationship Id="rId104" Type="http://schemas.openxmlformats.org/officeDocument/2006/relationships/hyperlink" Target="mailto:stevenmosura@gmail.com" TargetMode="External"/><Relationship Id="rId109" Type="http://schemas.openxmlformats.org/officeDocument/2006/relationships/hyperlink" Target="mailto:nncartago@up.edu.ph" TargetMode="External"/><Relationship Id="rId108" Type="http://schemas.openxmlformats.org/officeDocument/2006/relationships/hyperlink" Target="mailto:mfjavier@up.edu.ph" TargetMode="External"/><Relationship Id="rId48" Type="http://schemas.openxmlformats.org/officeDocument/2006/relationships/hyperlink" Target="mailto:mfjavier@up.edu.ph" TargetMode="External"/><Relationship Id="rId47" Type="http://schemas.openxmlformats.org/officeDocument/2006/relationships/hyperlink" Target="mailto:mfjavier@up.edu.ph" TargetMode="External"/><Relationship Id="rId49" Type="http://schemas.openxmlformats.org/officeDocument/2006/relationships/hyperlink" Target="mailto:dapenuela@up.edu.ph" TargetMode="External"/><Relationship Id="rId103" Type="http://schemas.openxmlformats.org/officeDocument/2006/relationships/hyperlink" Target="mailto:jcvelo@up.edu.ph" TargetMode="External"/><Relationship Id="rId102" Type="http://schemas.openxmlformats.org/officeDocument/2006/relationships/hyperlink" Target="mailto:nncartago@up.edu.ph" TargetMode="External"/><Relationship Id="rId101" Type="http://schemas.openxmlformats.org/officeDocument/2006/relationships/hyperlink" Target="mailto:stevenmosura@gmail.com" TargetMode="External"/><Relationship Id="rId100" Type="http://schemas.openxmlformats.org/officeDocument/2006/relationships/hyperlink" Target="mailto:lsmabaquiao2@up.edu.ph" TargetMode="External"/><Relationship Id="rId31" Type="http://schemas.openxmlformats.org/officeDocument/2006/relationships/hyperlink" Target="mailto:nncartago@up.edu.ph" TargetMode="External"/><Relationship Id="rId30" Type="http://schemas.openxmlformats.org/officeDocument/2006/relationships/hyperlink" Target="mailto:nncartago@up.edu.ph" TargetMode="External"/><Relationship Id="rId33" Type="http://schemas.openxmlformats.org/officeDocument/2006/relationships/hyperlink" Target="mailto:stevenmosura@gmail.com" TargetMode="External"/><Relationship Id="rId32" Type="http://schemas.openxmlformats.org/officeDocument/2006/relationships/hyperlink" Target="mailto:stevenmosura@gmail.com" TargetMode="External"/><Relationship Id="rId35" Type="http://schemas.openxmlformats.org/officeDocument/2006/relationships/hyperlink" Target="mailto:nncartago@up.edu.ph" TargetMode="External"/><Relationship Id="rId34" Type="http://schemas.openxmlformats.org/officeDocument/2006/relationships/hyperlink" Target="mailto:stevenmosura@gmail.com" TargetMode="External"/><Relationship Id="rId37" Type="http://schemas.openxmlformats.org/officeDocument/2006/relationships/hyperlink" Target="mailto:alex.cayanan2@gmail.com" TargetMode="External"/><Relationship Id="rId36" Type="http://schemas.openxmlformats.org/officeDocument/2006/relationships/hyperlink" Target="mailto:nncartago@up.edu.ph" TargetMode="External"/><Relationship Id="rId39" Type="http://schemas.openxmlformats.org/officeDocument/2006/relationships/hyperlink" Target="mailto:mfjavier@up.edu.ph" TargetMode="External"/><Relationship Id="rId38" Type="http://schemas.openxmlformats.org/officeDocument/2006/relationships/hyperlink" Target="mailto:alex.cayanan2@gmail.com" TargetMode="External"/><Relationship Id="rId20" Type="http://schemas.openxmlformats.org/officeDocument/2006/relationships/hyperlink" Target="mailto:mfjavier@up.edu.ph" TargetMode="External"/><Relationship Id="rId22" Type="http://schemas.openxmlformats.org/officeDocument/2006/relationships/hyperlink" Target="mailto:kgdatoon@up.edu.ph" TargetMode="External"/><Relationship Id="rId21" Type="http://schemas.openxmlformats.org/officeDocument/2006/relationships/hyperlink" Target="mailto:mfjavier@up.edu.ph" TargetMode="External"/><Relationship Id="rId24" Type="http://schemas.openxmlformats.org/officeDocument/2006/relationships/hyperlink" Target="mailto:mfjavier@up.edu.ph" TargetMode="External"/><Relationship Id="rId23" Type="http://schemas.openxmlformats.org/officeDocument/2006/relationships/hyperlink" Target="mailto:mfjavier@up.edu.ph" TargetMode="External"/><Relationship Id="rId26" Type="http://schemas.openxmlformats.org/officeDocument/2006/relationships/hyperlink" Target="mailto:mfjavier@up.edu.ph" TargetMode="External"/><Relationship Id="rId25" Type="http://schemas.openxmlformats.org/officeDocument/2006/relationships/hyperlink" Target="mailto:jcvelo@up.edu.ph" TargetMode="External"/><Relationship Id="rId28" Type="http://schemas.openxmlformats.org/officeDocument/2006/relationships/hyperlink" Target="mailto:nncartago@up.edu.ph" TargetMode="External"/><Relationship Id="rId27" Type="http://schemas.openxmlformats.org/officeDocument/2006/relationships/hyperlink" Target="mailto:jcvelo@up.edu.ph" TargetMode="External"/><Relationship Id="rId29" Type="http://schemas.openxmlformats.org/officeDocument/2006/relationships/hyperlink" Target="mailto:jcvelo@up.edu.ph" TargetMode="External"/><Relationship Id="rId95" Type="http://schemas.openxmlformats.org/officeDocument/2006/relationships/hyperlink" Target="mailto:jcvelo@up.edu.ph" TargetMode="External"/><Relationship Id="rId94" Type="http://schemas.openxmlformats.org/officeDocument/2006/relationships/hyperlink" Target="mailto:lsmabaquiao2@up.edu.ph" TargetMode="External"/><Relationship Id="rId97" Type="http://schemas.openxmlformats.org/officeDocument/2006/relationships/hyperlink" Target="mailto:jcvelo@up.edu.ph" TargetMode="External"/><Relationship Id="rId96" Type="http://schemas.openxmlformats.org/officeDocument/2006/relationships/hyperlink" Target="mailto:kgdatoon@up.edu.ph" TargetMode="External"/><Relationship Id="rId11" Type="http://schemas.openxmlformats.org/officeDocument/2006/relationships/hyperlink" Target="mailto:nncartago@up.edu.ph" TargetMode="External"/><Relationship Id="rId99" Type="http://schemas.openxmlformats.org/officeDocument/2006/relationships/hyperlink" Target="mailto:dapenuela@up.edu.ph" TargetMode="External"/><Relationship Id="rId10" Type="http://schemas.openxmlformats.org/officeDocument/2006/relationships/hyperlink" Target="mailto:jcvelo@up.edu.ph" TargetMode="External"/><Relationship Id="rId98" Type="http://schemas.openxmlformats.org/officeDocument/2006/relationships/hyperlink" Target="mailto:nncartago@up.edu.ph" TargetMode="External"/><Relationship Id="rId13" Type="http://schemas.openxmlformats.org/officeDocument/2006/relationships/hyperlink" Target="mailto:nncartago@up.edu.ph" TargetMode="External"/><Relationship Id="rId12" Type="http://schemas.openxmlformats.org/officeDocument/2006/relationships/hyperlink" Target="mailto:nncartago@up.edu.ph" TargetMode="External"/><Relationship Id="rId91" Type="http://schemas.openxmlformats.org/officeDocument/2006/relationships/hyperlink" Target="mailto:jcvelo@up.edu.ph" TargetMode="External"/><Relationship Id="rId90" Type="http://schemas.openxmlformats.org/officeDocument/2006/relationships/hyperlink" Target="mailto:mfjavier@up.edu.ph" TargetMode="External"/><Relationship Id="rId93" Type="http://schemas.openxmlformats.org/officeDocument/2006/relationships/hyperlink" Target="mailto:nncartago@up.edu.ph" TargetMode="External"/><Relationship Id="rId92" Type="http://schemas.openxmlformats.org/officeDocument/2006/relationships/hyperlink" Target="mailto:dapenuela@up.edu.ph" TargetMode="External"/><Relationship Id="rId116" Type="http://schemas.openxmlformats.org/officeDocument/2006/relationships/table" Target="../tables/table6.xml"/><Relationship Id="rId15" Type="http://schemas.openxmlformats.org/officeDocument/2006/relationships/hyperlink" Target="mailto:jcvelo@up.edu.ph" TargetMode="External"/><Relationship Id="rId110" Type="http://schemas.openxmlformats.org/officeDocument/2006/relationships/hyperlink" Target="mailto:lsmabaquiao2@up.edu.ph" TargetMode="External"/><Relationship Id="rId14" Type="http://schemas.openxmlformats.org/officeDocument/2006/relationships/hyperlink" Target="mailto:nncartago@up.edu.ph" TargetMode="External"/><Relationship Id="rId17" Type="http://schemas.openxmlformats.org/officeDocument/2006/relationships/hyperlink" Target="mailto:jcvelo@up.edu.ph" TargetMode="External"/><Relationship Id="rId16" Type="http://schemas.openxmlformats.org/officeDocument/2006/relationships/hyperlink" Target="mailto:mfjavier@up.edu.ph" TargetMode="External"/><Relationship Id="rId19" Type="http://schemas.openxmlformats.org/officeDocument/2006/relationships/hyperlink" Target="mailto:mfjavier@up.edu.ph" TargetMode="External"/><Relationship Id="rId114" Type="http://schemas.openxmlformats.org/officeDocument/2006/relationships/drawing" Target="../drawings/drawing5.xml"/><Relationship Id="rId18" Type="http://schemas.openxmlformats.org/officeDocument/2006/relationships/hyperlink" Target="mailto:jcvelo@up.edu.ph" TargetMode="External"/><Relationship Id="rId113" Type="http://schemas.openxmlformats.org/officeDocument/2006/relationships/hyperlink" Target="mailto:xemenesmeiservidadsecondes@gmail.com" TargetMode="External"/><Relationship Id="rId112" Type="http://schemas.openxmlformats.org/officeDocument/2006/relationships/hyperlink" Target="mailto:jeeeaquino@up.edu.ph" TargetMode="External"/><Relationship Id="rId111" Type="http://schemas.openxmlformats.org/officeDocument/2006/relationships/hyperlink" Target="mailto:xemenesmeiservidadsecondes@gmail.com" TargetMode="External"/><Relationship Id="rId84" Type="http://schemas.openxmlformats.org/officeDocument/2006/relationships/hyperlink" Target="mailto:stevenmosura@gmail.com" TargetMode="External"/><Relationship Id="rId83" Type="http://schemas.openxmlformats.org/officeDocument/2006/relationships/hyperlink" Target="mailto:mfjavier@up.edu.ph" TargetMode="External"/><Relationship Id="rId86" Type="http://schemas.openxmlformats.org/officeDocument/2006/relationships/hyperlink" Target="mailto:mfjavier@up.edu.ph" TargetMode="External"/><Relationship Id="rId85" Type="http://schemas.openxmlformats.org/officeDocument/2006/relationships/hyperlink" Target="mailto:jcvelo@up.edu.ph" TargetMode="External"/><Relationship Id="rId88" Type="http://schemas.openxmlformats.org/officeDocument/2006/relationships/hyperlink" Target="mailto:mfjavier@up.edu.ph" TargetMode="External"/><Relationship Id="rId87" Type="http://schemas.openxmlformats.org/officeDocument/2006/relationships/hyperlink" Target="mailto:mfjavier@up.edu.ph" TargetMode="External"/><Relationship Id="rId89" Type="http://schemas.openxmlformats.org/officeDocument/2006/relationships/hyperlink" Target="mailto:mfjavier@up.edu.ph" TargetMode="External"/><Relationship Id="rId80" Type="http://schemas.openxmlformats.org/officeDocument/2006/relationships/hyperlink" Target="mailto:nncartago@up.edu.ph" TargetMode="External"/><Relationship Id="rId82" Type="http://schemas.openxmlformats.org/officeDocument/2006/relationships/hyperlink" Target="mailto:mfjavier@up.edu.ph" TargetMode="External"/><Relationship Id="rId81" Type="http://schemas.openxmlformats.org/officeDocument/2006/relationships/hyperlink" Target="mailto:dapenuela@up.edu.ph" TargetMode="External"/><Relationship Id="rId1" Type="http://schemas.openxmlformats.org/officeDocument/2006/relationships/hyperlink" Target="mailto:mfjavier@up.edu.ph" TargetMode="External"/><Relationship Id="rId2" Type="http://schemas.openxmlformats.org/officeDocument/2006/relationships/hyperlink" Target="mailto:mfjavier@up.edu.ph" TargetMode="External"/><Relationship Id="rId3" Type="http://schemas.openxmlformats.org/officeDocument/2006/relationships/hyperlink" Target="mailto:jcvelo@up.edu.ph" TargetMode="External"/><Relationship Id="rId4" Type="http://schemas.openxmlformats.org/officeDocument/2006/relationships/hyperlink" Target="mailto:mfjavier@up.edu.ph" TargetMode="External"/><Relationship Id="rId9" Type="http://schemas.openxmlformats.org/officeDocument/2006/relationships/hyperlink" Target="mailto:mbbunda@up.edu.ph" TargetMode="External"/><Relationship Id="rId5" Type="http://schemas.openxmlformats.org/officeDocument/2006/relationships/hyperlink" Target="mailto:mfjavier@up.edu.ph" TargetMode="External"/><Relationship Id="rId6" Type="http://schemas.openxmlformats.org/officeDocument/2006/relationships/hyperlink" Target="mailto:mfjavier@up.edu.ph" TargetMode="External"/><Relationship Id="rId7" Type="http://schemas.openxmlformats.org/officeDocument/2006/relationships/hyperlink" Target="mailto:jcvelo@up.edu.ph" TargetMode="External"/><Relationship Id="rId8" Type="http://schemas.openxmlformats.org/officeDocument/2006/relationships/hyperlink" Target="mailto:jcvelo@up.edu.ph" TargetMode="External"/><Relationship Id="rId73" Type="http://schemas.openxmlformats.org/officeDocument/2006/relationships/hyperlink" Target="mailto:mfjavier@up.edu.ph" TargetMode="External"/><Relationship Id="rId72" Type="http://schemas.openxmlformats.org/officeDocument/2006/relationships/hyperlink" Target="mailto:jcvelo@up.edu.ph" TargetMode="External"/><Relationship Id="rId75" Type="http://schemas.openxmlformats.org/officeDocument/2006/relationships/hyperlink" Target="mailto:jcvelo@up.edu.ph" TargetMode="External"/><Relationship Id="rId74" Type="http://schemas.openxmlformats.org/officeDocument/2006/relationships/hyperlink" Target="mailto:mfjavier@up.edu.ph" TargetMode="External"/><Relationship Id="rId77" Type="http://schemas.openxmlformats.org/officeDocument/2006/relationships/hyperlink" Target="mailto:dapenuela@up.edu.ph" TargetMode="External"/><Relationship Id="rId76" Type="http://schemas.openxmlformats.org/officeDocument/2006/relationships/hyperlink" Target="mailto:jcvelo@up.edu.ph" TargetMode="External"/><Relationship Id="rId79" Type="http://schemas.openxmlformats.org/officeDocument/2006/relationships/hyperlink" Target="mailto:mfjavier@up.edu.ph" TargetMode="External"/><Relationship Id="rId78" Type="http://schemas.openxmlformats.org/officeDocument/2006/relationships/hyperlink" Target="mailto:jcvelo@up.edu.ph" TargetMode="External"/><Relationship Id="rId71" Type="http://schemas.openxmlformats.org/officeDocument/2006/relationships/hyperlink" Target="mailto:jcvelo@up.edu.ph" TargetMode="External"/><Relationship Id="rId70" Type="http://schemas.openxmlformats.org/officeDocument/2006/relationships/hyperlink" Target="mailto:stevenmosura@gmail.com" TargetMode="External"/><Relationship Id="rId62" Type="http://schemas.openxmlformats.org/officeDocument/2006/relationships/hyperlink" Target="mailto:nncartago@up.edu.ph" TargetMode="External"/><Relationship Id="rId61" Type="http://schemas.openxmlformats.org/officeDocument/2006/relationships/hyperlink" Target="mailto:nncartago@up.edu.ph" TargetMode="External"/><Relationship Id="rId64" Type="http://schemas.openxmlformats.org/officeDocument/2006/relationships/hyperlink" Target="mailto:stevenmosura@gmail.com" TargetMode="External"/><Relationship Id="rId63" Type="http://schemas.openxmlformats.org/officeDocument/2006/relationships/hyperlink" Target="mailto:nncartago@up.edu.ph" TargetMode="External"/><Relationship Id="rId66" Type="http://schemas.openxmlformats.org/officeDocument/2006/relationships/hyperlink" Target="mailto:jcvelo@up.edu.ph" TargetMode="External"/><Relationship Id="rId65" Type="http://schemas.openxmlformats.org/officeDocument/2006/relationships/hyperlink" Target="mailto:jcvelo@up.edu.ph" TargetMode="External"/><Relationship Id="rId68" Type="http://schemas.openxmlformats.org/officeDocument/2006/relationships/hyperlink" Target="mailto:mfjavier@up.edu.ph" TargetMode="External"/><Relationship Id="rId67" Type="http://schemas.openxmlformats.org/officeDocument/2006/relationships/hyperlink" Target="mailto:mfjavier@up.edu.ph" TargetMode="External"/><Relationship Id="rId60" Type="http://schemas.openxmlformats.org/officeDocument/2006/relationships/hyperlink" Target="mailto:nncartago@up.edu.ph" TargetMode="External"/><Relationship Id="rId69" Type="http://schemas.openxmlformats.org/officeDocument/2006/relationships/hyperlink" Target="mailto:mfjavier@up.edu.ph" TargetMode="External"/><Relationship Id="rId51" Type="http://schemas.openxmlformats.org/officeDocument/2006/relationships/hyperlink" Target="mailto:mfjavier@up.edu.ph" TargetMode="External"/><Relationship Id="rId50" Type="http://schemas.openxmlformats.org/officeDocument/2006/relationships/hyperlink" Target="mailto:nncartago@up.edu.ph" TargetMode="External"/><Relationship Id="rId53" Type="http://schemas.openxmlformats.org/officeDocument/2006/relationships/hyperlink" Target="mailto:nncartago@up.edu.ph" TargetMode="External"/><Relationship Id="rId52" Type="http://schemas.openxmlformats.org/officeDocument/2006/relationships/hyperlink" Target="mailto:mfjavier@up.edu.ph" TargetMode="External"/><Relationship Id="rId55" Type="http://schemas.openxmlformats.org/officeDocument/2006/relationships/hyperlink" Target="mailto:alex.cayanan2@gmail.com" TargetMode="External"/><Relationship Id="rId54" Type="http://schemas.openxmlformats.org/officeDocument/2006/relationships/hyperlink" Target="mailto:alex.cayanan2@gmail.com" TargetMode="External"/><Relationship Id="rId57" Type="http://schemas.openxmlformats.org/officeDocument/2006/relationships/hyperlink" Target="mailto:mfjavier@up.edu.ph" TargetMode="External"/><Relationship Id="rId56" Type="http://schemas.openxmlformats.org/officeDocument/2006/relationships/hyperlink" Target="mailto:dapenuela@up.edu.ph" TargetMode="External"/><Relationship Id="rId59" Type="http://schemas.openxmlformats.org/officeDocument/2006/relationships/hyperlink" Target="mailto:mfjavier@up.edu.ph" TargetMode="External"/><Relationship Id="rId58" Type="http://schemas.openxmlformats.org/officeDocument/2006/relationships/hyperlink" Target="mailto:mfjavier@up.edu.ph" TargetMode="External"/></Relationships>
</file>

<file path=xl/worksheets/_rels/sheet6.xml.rels><?xml version="1.0" encoding="UTF-8" standalone="yes"?><Relationships xmlns="http://schemas.openxmlformats.org/package/2006/relationships"><Relationship Id="rId11" Type="http://schemas.openxmlformats.org/officeDocument/2006/relationships/hyperlink" Target="https://drive.google.com/drive/u/1/folders/135IXp6abbPhw4yCcYHOuoEhg8WBchcUX" TargetMode="External"/><Relationship Id="rId10" Type="http://schemas.openxmlformats.org/officeDocument/2006/relationships/hyperlink" Target="https://drive.google.com/file/d/1CiemCDuSbPqzg6En5cjA1cORpPf7YI1G/view?usp=drive_link" TargetMode="External"/><Relationship Id="rId13" Type="http://schemas.openxmlformats.org/officeDocument/2006/relationships/hyperlink" Target="https://drive.google.com/file/d/1ayB2sZ0BnLEkCDZs3enissOwe9zOm9zb/view?usp=drive_link" TargetMode="External"/><Relationship Id="rId12" Type="http://schemas.openxmlformats.org/officeDocument/2006/relationships/hyperlink" Target="https://drive.google.com/file/d/1z4AnxuxJqC4ku3cQ7W_64AIrnauc45p3/view?usp=drive_link" TargetMode="External"/><Relationship Id="rId15" Type="http://schemas.openxmlformats.org/officeDocument/2006/relationships/hyperlink" Target="https://drive.google.com/file/d/1IeLrVlSfjwYM0Bxxi_e2CAh42mLsVP64/view?usp=drive_link" TargetMode="External"/><Relationship Id="rId14" Type="http://schemas.openxmlformats.org/officeDocument/2006/relationships/hyperlink" Target="https://drive.google.com/file/d/1an8Cgz4WEXlnUU2YsE9DApXrav5v0HqG/view?usp=drive_link" TargetMode="External"/><Relationship Id="rId16" Type="http://schemas.openxmlformats.org/officeDocument/2006/relationships/drawing" Target="../drawings/drawing6.xml"/><Relationship Id="rId18" Type="http://schemas.openxmlformats.org/officeDocument/2006/relationships/table" Target="../tables/table7.xml"/><Relationship Id="rId1" Type="http://schemas.openxmlformats.org/officeDocument/2006/relationships/hyperlink" Target="https://drive.google.com/drive/u/0/folders/135IXp6abbPhw4yCcYHOuoEhg8WBchcUX" TargetMode="External"/><Relationship Id="rId2" Type="http://schemas.openxmlformats.org/officeDocument/2006/relationships/hyperlink" Target="https://drive.google.com/file/d/172zMXOokIDdQ42FCJEAACn7Ya2ax82ML/view?usp=drive_link" TargetMode="External"/><Relationship Id="rId3" Type="http://schemas.openxmlformats.org/officeDocument/2006/relationships/hyperlink" Target="https://drive.google.com/file/d/1L2bm7qllvdiTNkFT4al3yesADWrhikNQ/view?usp=share_link" TargetMode="External"/><Relationship Id="rId4" Type="http://schemas.openxmlformats.org/officeDocument/2006/relationships/hyperlink" Target="https://drive.google.com/file/d/182ynDXFh-VCNBBJkBdumIUOMB2EVsCRN/view?usp=share_link" TargetMode="External"/><Relationship Id="rId9" Type="http://schemas.openxmlformats.org/officeDocument/2006/relationships/hyperlink" Target="https://drive.google.com/file/d/18rsIdmGLB9IEDf-DLRIVmMfo8R6nSsJU/view?usp=drive_link" TargetMode="External"/><Relationship Id="rId5" Type="http://schemas.openxmlformats.org/officeDocument/2006/relationships/hyperlink" Target="https://drive.google.com/file/d/172zMXOokIDdQ42FCJEAACn7Ya2ax82ML/view?usp=drive_link" TargetMode="External"/><Relationship Id="rId6" Type="http://schemas.openxmlformats.org/officeDocument/2006/relationships/hyperlink" Target="https://drive.google.com/drive/u/0/folders/1OznDDqy61o9SHD4yBfjuM9_3E4x-Tu7s" TargetMode="External"/><Relationship Id="rId7" Type="http://schemas.openxmlformats.org/officeDocument/2006/relationships/hyperlink" Target="https://drive.google.com/drive/u/0/folders/1OznDDqy61o9SHD4yBfjuM9_3E4x-Tu7s" TargetMode="External"/><Relationship Id="rId8" Type="http://schemas.openxmlformats.org/officeDocument/2006/relationships/hyperlink" Target="https://drive.google.com/drive/u/1/folders/135IXp6abbPhw4yCcYHOuoEhg8WBchcUX"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8.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9" Type="http://schemas.openxmlformats.org/officeDocument/2006/relationships/table" Target="../tables/table12.xml"/><Relationship Id="rId6" Type="http://schemas.openxmlformats.org/officeDocument/2006/relationships/table" Target="../tables/table9.xml"/><Relationship Id="rId7" Type="http://schemas.openxmlformats.org/officeDocument/2006/relationships/table" Target="../tables/table10.xml"/><Relationship Id="rId8" Type="http://schemas.openxmlformats.org/officeDocument/2006/relationships/table" Target="../tables/table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38"/>
    <col customWidth="1" min="2" max="2" width="28.25"/>
    <col customWidth="1" min="3" max="3" width="14.5"/>
    <col customWidth="1" min="4" max="4" width="13.38"/>
    <col customWidth="1" min="5" max="5" width="10.38"/>
    <col customWidth="1" min="6" max="6" width="14.88"/>
    <col customWidth="1" min="7" max="7" width="31.63"/>
    <col customWidth="1" min="8" max="8" width="29.75"/>
    <col customWidth="1" min="9" max="9" width="26.88"/>
    <col customWidth="1" min="10" max="10" width="22.5"/>
    <col customWidth="1" min="11" max="11" width="15.5"/>
    <col customWidth="1" min="12" max="12" width="25.88"/>
    <col customWidth="1" min="13" max="13" width="29.5"/>
    <col customWidth="1" min="14" max="14" width="80.25"/>
    <col customWidth="1" min="15" max="27" width="14.5"/>
  </cols>
  <sheetData>
    <row r="1">
      <c r="A1" s="1" t="s">
        <v>0</v>
      </c>
      <c r="B1" s="1" t="s">
        <v>1</v>
      </c>
      <c r="C1" s="2" t="s">
        <v>2</v>
      </c>
      <c r="D1" s="3" t="s">
        <v>3</v>
      </c>
      <c r="F1" s="4" t="s">
        <v>4</v>
      </c>
      <c r="G1" s="5" t="s">
        <v>5</v>
      </c>
      <c r="H1" s="1" t="s">
        <v>6</v>
      </c>
      <c r="I1" s="5" t="s">
        <v>7</v>
      </c>
      <c r="J1" s="6" t="s">
        <v>8</v>
      </c>
      <c r="K1" s="6" t="s">
        <v>9</v>
      </c>
      <c r="L1" s="7" t="s">
        <v>10</v>
      </c>
      <c r="M1" s="7" t="s">
        <v>11</v>
      </c>
      <c r="N1" s="7" t="s">
        <v>12</v>
      </c>
    </row>
    <row r="2">
      <c r="A2" s="8" t="s">
        <v>13</v>
      </c>
      <c r="B2" s="9"/>
      <c r="C2" s="9"/>
      <c r="D2" s="9"/>
      <c r="E2" s="9"/>
      <c r="F2" s="9"/>
      <c r="G2" s="9"/>
      <c r="H2" s="9"/>
      <c r="I2" s="9"/>
      <c r="J2" s="9"/>
      <c r="K2" s="9"/>
      <c r="L2" s="9"/>
      <c r="M2" s="9"/>
      <c r="N2" s="9"/>
      <c r="O2" s="9"/>
      <c r="P2" s="9"/>
      <c r="Q2" s="9"/>
      <c r="R2" s="9"/>
      <c r="S2" s="9"/>
      <c r="T2" s="9"/>
      <c r="U2" s="9"/>
      <c r="V2" s="9"/>
      <c r="W2" s="9"/>
      <c r="X2" s="9"/>
      <c r="Y2" s="9"/>
      <c r="Z2" s="9"/>
      <c r="AA2" s="10"/>
    </row>
    <row r="3">
      <c r="A3" s="11">
        <v>43873.0</v>
      </c>
      <c r="B3" s="12" t="s">
        <v>14</v>
      </c>
      <c r="C3" s="13"/>
      <c r="D3" s="14" t="s">
        <v>15</v>
      </c>
      <c r="E3" s="15" t="s">
        <v>16</v>
      </c>
      <c r="F3" s="16" t="s">
        <v>17</v>
      </c>
      <c r="G3" s="17"/>
      <c r="H3" s="18"/>
      <c r="I3" s="18"/>
      <c r="J3" s="18"/>
      <c r="K3" s="17"/>
      <c r="L3" s="18"/>
      <c r="M3" s="19"/>
      <c r="N3" s="19"/>
    </row>
    <row r="4">
      <c r="A4" s="20" t="s">
        <v>18</v>
      </c>
      <c r="B4" s="21"/>
      <c r="C4" s="21"/>
      <c r="D4" s="21"/>
      <c r="E4" s="21"/>
      <c r="F4" s="21"/>
      <c r="G4" s="21"/>
      <c r="H4" s="21"/>
      <c r="I4" s="21"/>
      <c r="J4" s="21"/>
      <c r="K4" s="21"/>
      <c r="L4" s="21"/>
      <c r="M4" s="21"/>
      <c r="N4" s="21"/>
      <c r="O4" s="21"/>
      <c r="P4" s="21"/>
      <c r="Q4" s="21"/>
      <c r="R4" s="21"/>
      <c r="S4" s="21"/>
      <c r="T4" s="21"/>
      <c r="U4" s="21"/>
      <c r="V4" s="21"/>
      <c r="W4" s="21"/>
      <c r="X4" s="21"/>
      <c r="Y4" s="21"/>
      <c r="Z4" s="21"/>
      <c r="AA4" s="22"/>
    </row>
    <row r="5">
      <c r="A5" s="23">
        <v>43873.0</v>
      </c>
      <c r="B5" s="24" t="s">
        <v>19</v>
      </c>
      <c r="C5" s="25" t="s">
        <v>20</v>
      </c>
      <c r="D5" s="26" t="s">
        <v>21</v>
      </c>
      <c r="E5" s="27">
        <v>1.0</v>
      </c>
      <c r="F5" s="16" t="s">
        <v>22</v>
      </c>
      <c r="G5" s="28" t="s">
        <v>23</v>
      </c>
      <c r="H5" s="24" t="s">
        <v>24</v>
      </c>
      <c r="I5" s="24" t="s">
        <v>25</v>
      </c>
      <c r="J5" s="24" t="s">
        <v>26</v>
      </c>
      <c r="K5" s="29">
        <v>9.983950535E9</v>
      </c>
      <c r="L5" s="24" t="s">
        <v>26</v>
      </c>
      <c r="M5" s="30" t="s">
        <v>27</v>
      </c>
      <c r="N5" s="24" t="s">
        <v>28</v>
      </c>
    </row>
    <row r="6" ht="15.75" customHeight="1">
      <c r="A6" s="23">
        <v>43873.0</v>
      </c>
      <c r="B6" s="24" t="s">
        <v>29</v>
      </c>
      <c r="C6" s="25" t="s">
        <v>20</v>
      </c>
      <c r="D6" s="26" t="s">
        <v>21</v>
      </c>
      <c r="E6" s="27">
        <v>2.0</v>
      </c>
      <c r="F6" s="16" t="s">
        <v>22</v>
      </c>
      <c r="G6" s="28" t="s">
        <v>23</v>
      </c>
      <c r="H6" s="24" t="s">
        <v>24</v>
      </c>
      <c r="I6" s="24" t="s">
        <v>25</v>
      </c>
      <c r="J6" s="24" t="s">
        <v>26</v>
      </c>
      <c r="K6" s="29">
        <v>9.506798777E9</v>
      </c>
      <c r="L6" s="24" t="s">
        <v>26</v>
      </c>
      <c r="M6" s="30" t="s">
        <v>30</v>
      </c>
      <c r="N6" s="24" t="s">
        <v>28</v>
      </c>
    </row>
    <row r="7" ht="15.75" customHeight="1">
      <c r="A7" s="23">
        <v>43873.0</v>
      </c>
      <c r="B7" s="24" t="s">
        <v>31</v>
      </c>
      <c r="C7" s="25" t="s">
        <v>20</v>
      </c>
      <c r="D7" s="26" t="s">
        <v>21</v>
      </c>
      <c r="E7" s="27">
        <v>3.0</v>
      </c>
      <c r="F7" s="16" t="s">
        <v>22</v>
      </c>
      <c r="G7" s="28" t="s">
        <v>32</v>
      </c>
      <c r="H7" s="24" t="s">
        <v>33</v>
      </c>
      <c r="I7" s="24" t="s">
        <v>34</v>
      </c>
      <c r="J7" s="24" t="s">
        <v>26</v>
      </c>
      <c r="K7" s="29">
        <v>9.177145364E9</v>
      </c>
      <c r="L7" s="24" t="s">
        <v>26</v>
      </c>
      <c r="M7" s="30" t="s">
        <v>35</v>
      </c>
      <c r="N7" s="24" t="s">
        <v>36</v>
      </c>
    </row>
    <row r="8" ht="15.75" customHeight="1">
      <c r="A8" s="23">
        <v>43873.0</v>
      </c>
      <c r="B8" s="24" t="s">
        <v>37</v>
      </c>
      <c r="C8" s="25" t="s">
        <v>20</v>
      </c>
      <c r="D8" s="26" t="s">
        <v>21</v>
      </c>
      <c r="E8" s="27">
        <v>4.0</v>
      </c>
      <c r="F8" s="16" t="s">
        <v>22</v>
      </c>
      <c r="G8" s="28" t="s">
        <v>38</v>
      </c>
      <c r="H8" s="24" t="s">
        <v>33</v>
      </c>
      <c r="I8" s="24" t="s">
        <v>34</v>
      </c>
      <c r="J8" s="24" t="s">
        <v>26</v>
      </c>
      <c r="K8" s="29">
        <v>9.165866013E9</v>
      </c>
      <c r="L8" s="24" t="s">
        <v>26</v>
      </c>
      <c r="M8" s="30" t="s">
        <v>39</v>
      </c>
      <c r="N8" s="24" t="s">
        <v>40</v>
      </c>
    </row>
    <row r="9" ht="15.75" customHeight="1">
      <c r="A9" s="23">
        <v>43873.0</v>
      </c>
      <c r="B9" s="24" t="s">
        <v>41</v>
      </c>
      <c r="C9" s="25" t="s">
        <v>42</v>
      </c>
      <c r="D9" s="26" t="s">
        <v>21</v>
      </c>
      <c r="E9" s="27">
        <v>5.0</v>
      </c>
      <c r="F9" s="16" t="s">
        <v>22</v>
      </c>
      <c r="G9" s="28" t="s">
        <v>43</v>
      </c>
      <c r="H9" s="24" t="s">
        <v>33</v>
      </c>
      <c r="I9" s="24" t="s">
        <v>44</v>
      </c>
      <c r="J9" s="24" t="s">
        <v>26</v>
      </c>
      <c r="K9" s="29">
        <v>9.056728581E9</v>
      </c>
      <c r="L9" s="24" t="s">
        <v>26</v>
      </c>
      <c r="M9" s="30" t="s">
        <v>45</v>
      </c>
      <c r="N9" s="24" t="s">
        <v>26</v>
      </c>
    </row>
    <row r="10" ht="15.75" customHeight="1">
      <c r="A10" s="23">
        <v>43873.0</v>
      </c>
      <c r="B10" s="24" t="s">
        <v>46</v>
      </c>
      <c r="C10" s="25" t="s">
        <v>42</v>
      </c>
      <c r="D10" s="26" t="s">
        <v>21</v>
      </c>
      <c r="E10" s="27">
        <v>6.0</v>
      </c>
      <c r="F10" s="16" t="s">
        <v>22</v>
      </c>
      <c r="G10" s="28" t="s">
        <v>23</v>
      </c>
      <c r="H10" s="24" t="s">
        <v>47</v>
      </c>
      <c r="I10" s="24" t="s">
        <v>48</v>
      </c>
      <c r="J10" s="24" t="s">
        <v>26</v>
      </c>
      <c r="K10" s="29">
        <v>9.0588489E9</v>
      </c>
      <c r="L10" s="24" t="s">
        <v>26</v>
      </c>
      <c r="M10" s="30" t="s">
        <v>49</v>
      </c>
      <c r="N10" s="24" t="s">
        <v>50</v>
      </c>
    </row>
    <row r="11" ht="15.75" customHeight="1">
      <c r="A11" s="23">
        <v>43873.0</v>
      </c>
      <c r="B11" s="24" t="s">
        <v>51</v>
      </c>
      <c r="C11" s="25" t="s">
        <v>20</v>
      </c>
      <c r="D11" s="26" t="s">
        <v>21</v>
      </c>
      <c r="E11" s="27">
        <v>7.0</v>
      </c>
      <c r="F11" s="16" t="s">
        <v>22</v>
      </c>
      <c r="G11" s="28" t="s">
        <v>52</v>
      </c>
      <c r="H11" s="24" t="s">
        <v>53</v>
      </c>
      <c r="I11" s="24" t="s">
        <v>54</v>
      </c>
      <c r="J11" s="24" t="s">
        <v>26</v>
      </c>
      <c r="K11" s="29">
        <v>9.66655313E9</v>
      </c>
      <c r="L11" s="24" t="s">
        <v>26</v>
      </c>
      <c r="M11" s="30" t="s">
        <v>55</v>
      </c>
      <c r="N11" s="24" t="s">
        <v>56</v>
      </c>
    </row>
    <row r="12" ht="15.75" customHeight="1">
      <c r="A12" s="23">
        <v>43873.0</v>
      </c>
      <c r="B12" s="24" t="s">
        <v>57</v>
      </c>
      <c r="C12" s="25" t="s">
        <v>20</v>
      </c>
      <c r="D12" s="26" t="s">
        <v>21</v>
      </c>
      <c r="E12" s="27">
        <v>8.0</v>
      </c>
      <c r="F12" s="16" t="s">
        <v>22</v>
      </c>
      <c r="G12" s="28" t="s">
        <v>58</v>
      </c>
      <c r="H12" s="24" t="s">
        <v>53</v>
      </c>
      <c r="I12" s="24" t="s">
        <v>54</v>
      </c>
      <c r="J12" s="24" t="s">
        <v>26</v>
      </c>
      <c r="K12" s="29">
        <v>9.062227281E9</v>
      </c>
      <c r="L12" s="24" t="s">
        <v>26</v>
      </c>
      <c r="M12" s="30" t="s">
        <v>59</v>
      </c>
      <c r="N12" s="24" t="s">
        <v>26</v>
      </c>
    </row>
    <row r="13" ht="15.75" customHeight="1">
      <c r="A13" s="23">
        <v>43874.0</v>
      </c>
      <c r="B13" s="24" t="s">
        <v>60</v>
      </c>
      <c r="C13" s="25" t="s">
        <v>42</v>
      </c>
      <c r="D13" s="26" t="s">
        <v>21</v>
      </c>
      <c r="E13" s="27">
        <v>9.0</v>
      </c>
      <c r="F13" s="16" t="s">
        <v>22</v>
      </c>
      <c r="G13" s="28" t="s">
        <v>38</v>
      </c>
      <c r="H13" s="24" t="s">
        <v>61</v>
      </c>
      <c r="I13" s="24" t="s">
        <v>62</v>
      </c>
      <c r="J13" s="24" t="s">
        <v>26</v>
      </c>
      <c r="K13" s="29">
        <v>9.272051528E9</v>
      </c>
      <c r="L13" s="24" t="s">
        <v>26</v>
      </c>
      <c r="M13" s="30" t="s">
        <v>63</v>
      </c>
      <c r="N13" s="24" t="s">
        <v>26</v>
      </c>
    </row>
    <row r="14" ht="31.5" customHeight="1">
      <c r="A14" s="23">
        <v>43902.0</v>
      </c>
      <c r="B14" s="24" t="s">
        <v>64</v>
      </c>
      <c r="C14" s="25" t="s">
        <v>20</v>
      </c>
      <c r="D14" s="26" t="s">
        <v>21</v>
      </c>
      <c r="E14" s="27">
        <v>10.0</v>
      </c>
      <c r="F14" s="16" t="s">
        <v>22</v>
      </c>
      <c r="G14" s="28" t="s">
        <v>65</v>
      </c>
      <c r="H14" s="24" t="s">
        <v>53</v>
      </c>
      <c r="I14" s="28" t="s">
        <v>66</v>
      </c>
      <c r="J14" s="24" t="s">
        <v>26</v>
      </c>
      <c r="K14" s="31" t="s">
        <v>67</v>
      </c>
      <c r="L14" s="24" t="s">
        <v>26</v>
      </c>
      <c r="M14" s="30" t="s">
        <v>68</v>
      </c>
      <c r="N14" s="28" t="s">
        <v>69</v>
      </c>
    </row>
    <row r="15">
      <c r="A15" s="23">
        <v>43903.0</v>
      </c>
      <c r="B15" s="24" t="s">
        <v>70</v>
      </c>
      <c r="C15" s="25" t="s">
        <v>20</v>
      </c>
      <c r="D15" s="26" t="s">
        <v>21</v>
      </c>
      <c r="E15" s="27">
        <v>11.0</v>
      </c>
      <c r="F15" s="16" t="s">
        <v>22</v>
      </c>
      <c r="G15" s="28" t="s">
        <v>71</v>
      </c>
      <c r="H15" s="24" t="s">
        <v>53</v>
      </c>
      <c r="I15" s="28" t="s">
        <v>72</v>
      </c>
      <c r="J15" s="24" t="s">
        <v>73</v>
      </c>
      <c r="K15" s="29">
        <v>9.174290778E9</v>
      </c>
      <c r="L15" s="24" t="s">
        <v>26</v>
      </c>
      <c r="M15" s="30" t="s">
        <v>74</v>
      </c>
      <c r="N15" s="28" t="s">
        <v>75</v>
      </c>
    </row>
    <row r="16" ht="15.75" customHeight="1">
      <c r="A16" s="23">
        <v>43990.0</v>
      </c>
      <c r="B16" s="24" t="s">
        <v>76</v>
      </c>
      <c r="C16" s="25" t="s">
        <v>42</v>
      </c>
      <c r="D16" s="26" t="s">
        <v>21</v>
      </c>
      <c r="E16" s="27">
        <v>12.0</v>
      </c>
      <c r="F16" s="16" t="s">
        <v>22</v>
      </c>
      <c r="G16" s="28" t="s">
        <v>58</v>
      </c>
      <c r="H16" s="24" t="s">
        <v>53</v>
      </c>
      <c r="I16" s="24" t="s">
        <v>54</v>
      </c>
      <c r="J16" s="24" t="s">
        <v>26</v>
      </c>
      <c r="K16" s="29">
        <v>9.17166979E9</v>
      </c>
      <c r="L16" s="24" t="s">
        <v>26</v>
      </c>
      <c r="M16" s="30" t="s">
        <v>77</v>
      </c>
      <c r="N16" s="24" t="s">
        <v>78</v>
      </c>
    </row>
    <row r="17" ht="15.75" customHeight="1">
      <c r="A17" s="23">
        <v>43990.0</v>
      </c>
      <c r="B17" s="24" t="s">
        <v>79</v>
      </c>
      <c r="C17" s="25" t="s">
        <v>20</v>
      </c>
      <c r="D17" s="26" t="s">
        <v>21</v>
      </c>
      <c r="E17" s="27">
        <v>13.0</v>
      </c>
      <c r="F17" s="16" t="s">
        <v>22</v>
      </c>
      <c r="G17" s="28" t="s">
        <v>80</v>
      </c>
      <c r="H17" s="24" t="s">
        <v>53</v>
      </c>
      <c r="I17" s="24" t="s">
        <v>54</v>
      </c>
      <c r="J17" s="24" t="s">
        <v>26</v>
      </c>
      <c r="K17" s="29">
        <v>9.177212519E9</v>
      </c>
      <c r="L17" s="24" t="s">
        <v>26</v>
      </c>
      <c r="M17" s="30" t="s">
        <v>81</v>
      </c>
      <c r="N17" s="24" t="s">
        <v>82</v>
      </c>
    </row>
    <row r="18" ht="15.75" customHeight="1">
      <c r="A18" s="23">
        <v>44015.0</v>
      </c>
      <c r="B18" s="24" t="s">
        <v>83</v>
      </c>
      <c r="C18" s="25" t="s">
        <v>20</v>
      </c>
      <c r="D18" s="26" t="s">
        <v>21</v>
      </c>
      <c r="E18" s="27">
        <v>14.0</v>
      </c>
      <c r="F18" s="16" t="s">
        <v>22</v>
      </c>
      <c r="G18" s="28" t="s">
        <v>84</v>
      </c>
      <c r="H18" s="24" t="s">
        <v>53</v>
      </c>
      <c r="I18" s="24" t="s">
        <v>85</v>
      </c>
      <c r="J18" s="24" t="s">
        <v>26</v>
      </c>
      <c r="K18" s="29">
        <v>9.452398275E9</v>
      </c>
      <c r="L18" s="24" t="s">
        <v>26</v>
      </c>
      <c r="M18" s="30" t="s">
        <v>86</v>
      </c>
      <c r="N18" s="24" t="s">
        <v>87</v>
      </c>
    </row>
    <row r="19" ht="15.75" customHeight="1">
      <c r="A19" s="23">
        <v>44015.0</v>
      </c>
      <c r="B19" s="24" t="s">
        <v>88</v>
      </c>
      <c r="C19" s="25" t="s">
        <v>42</v>
      </c>
      <c r="D19" s="26" t="s">
        <v>21</v>
      </c>
      <c r="E19" s="32">
        <v>15.0</v>
      </c>
      <c r="F19" s="16" t="s">
        <v>17</v>
      </c>
      <c r="G19" s="28" t="s">
        <v>89</v>
      </c>
      <c r="H19" s="24" t="s">
        <v>53</v>
      </c>
      <c r="I19" s="24" t="s">
        <v>90</v>
      </c>
      <c r="J19" s="24" t="s">
        <v>26</v>
      </c>
      <c r="K19" s="29">
        <v>9.983085275E9</v>
      </c>
      <c r="L19" s="24" t="s">
        <v>26</v>
      </c>
      <c r="M19" s="30" t="s">
        <v>91</v>
      </c>
      <c r="N19" s="24" t="s">
        <v>92</v>
      </c>
    </row>
    <row r="20" ht="15.75" customHeight="1">
      <c r="A20" s="23">
        <v>44034.0</v>
      </c>
      <c r="B20" s="24" t="s">
        <v>93</v>
      </c>
      <c r="C20" s="25" t="s">
        <v>42</v>
      </c>
      <c r="D20" s="26" t="s">
        <v>21</v>
      </c>
      <c r="E20" s="27">
        <v>16.0</v>
      </c>
      <c r="F20" s="16" t="s">
        <v>22</v>
      </c>
      <c r="G20" s="28" t="s">
        <v>80</v>
      </c>
      <c r="H20" s="24" t="s">
        <v>53</v>
      </c>
      <c r="I20" s="24" t="s">
        <v>94</v>
      </c>
      <c r="J20" s="24" t="s">
        <v>26</v>
      </c>
      <c r="K20" s="29">
        <v>9.953856717E9</v>
      </c>
      <c r="L20" s="24" t="s">
        <v>26</v>
      </c>
      <c r="M20" s="30" t="s">
        <v>95</v>
      </c>
      <c r="N20" s="24" t="s">
        <v>96</v>
      </c>
    </row>
    <row r="21" ht="15.75" customHeight="1">
      <c r="A21" s="23">
        <v>44034.0</v>
      </c>
      <c r="B21" s="24" t="s">
        <v>97</v>
      </c>
      <c r="C21" s="25" t="s">
        <v>42</v>
      </c>
      <c r="D21" s="26" t="s">
        <v>21</v>
      </c>
      <c r="E21" s="27">
        <v>17.0</v>
      </c>
      <c r="F21" s="16" t="s">
        <v>22</v>
      </c>
      <c r="G21" s="28" t="s">
        <v>71</v>
      </c>
      <c r="H21" s="24" t="s">
        <v>53</v>
      </c>
      <c r="I21" s="24" t="s">
        <v>94</v>
      </c>
      <c r="J21" s="24" t="s">
        <v>26</v>
      </c>
      <c r="K21" s="29">
        <v>9.36981029E8</v>
      </c>
      <c r="L21" s="24" t="s">
        <v>26</v>
      </c>
      <c r="M21" s="30" t="s">
        <v>98</v>
      </c>
      <c r="N21" s="24" t="s">
        <v>99</v>
      </c>
    </row>
    <row r="22" ht="15.75" customHeight="1">
      <c r="A22" s="23">
        <v>44035.0</v>
      </c>
      <c r="B22" s="24" t="s">
        <v>100</v>
      </c>
      <c r="C22" s="25" t="s">
        <v>42</v>
      </c>
      <c r="D22" s="26" t="s">
        <v>21</v>
      </c>
      <c r="E22" s="33">
        <v>18.0</v>
      </c>
      <c r="F22" s="16" t="s">
        <v>101</v>
      </c>
      <c r="G22" s="28" t="s">
        <v>32</v>
      </c>
      <c r="H22" s="24" t="s">
        <v>53</v>
      </c>
      <c r="I22" s="24" t="s">
        <v>102</v>
      </c>
      <c r="J22" s="24" t="s">
        <v>26</v>
      </c>
      <c r="K22" s="29">
        <v>9.152715677E9</v>
      </c>
      <c r="L22" s="24" t="s">
        <v>26</v>
      </c>
      <c r="M22" s="30" t="s">
        <v>103</v>
      </c>
    </row>
    <row r="23">
      <c r="A23" s="23">
        <v>44048.0</v>
      </c>
      <c r="B23" s="24" t="s">
        <v>104</v>
      </c>
      <c r="C23" s="25" t="s">
        <v>42</v>
      </c>
      <c r="D23" s="26" t="s">
        <v>21</v>
      </c>
      <c r="E23" s="27">
        <v>19.0</v>
      </c>
      <c r="F23" s="16" t="s">
        <v>22</v>
      </c>
      <c r="G23" s="28" t="s">
        <v>105</v>
      </c>
      <c r="H23" s="24" t="s">
        <v>53</v>
      </c>
      <c r="I23" s="34"/>
      <c r="J23" s="24" t="s">
        <v>26</v>
      </c>
      <c r="K23" s="29">
        <v>9.26725905E9</v>
      </c>
      <c r="L23" s="24" t="s">
        <v>26</v>
      </c>
      <c r="M23" s="30" t="s">
        <v>106</v>
      </c>
      <c r="N23" s="35" t="s">
        <v>107</v>
      </c>
    </row>
    <row r="24" ht="15.75" customHeight="1">
      <c r="A24" s="23">
        <v>44048.0</v>
      </c>
      <c r="B24" s="24" t="s">
        <v>108</v>
      </c>
      <c r="C24" s="25" t="s">
        <v>20</v>
      </c>
      <c r="D24" s="26" t="s">
        <v>21</v>
      </c>
      <c r="E24" s="27">
        <v>20.0</v>
      </c>
      <c r="F24" s="16" t="s">
        <v>22</v>
      </c>
      <c r="G24" s="28" t="s">
        <v>71</v>
      </c>
      <c r="H24" s="24" t="s">
        <v>53</v>
      </c>
      <c r="I24" s="24" t="s">
        <v>109</v>
      </c>
      <c r="J24" s="24" t="s">
        <v>26</v>
      </c>
      <c r="K24" s="29">
        <v>9.292671029E9</v>
      </c>
      <c r="L24" s="24" t="s">
        <v>26</v>
      </c>
      <c r="M24" s="30" t="s">
        <v>110</v>
      </c>
      <c r="N24" s="24" t="s">
        <v>111</v>
      </c>
    </row>
    <row r="25" ht="15.75" customHeight="1">
      <c r="A25" s="23">
        <v>44048.0</v>
      </c>
      <c r="B25" s="24" t="s">
        <v>112</v>
      </c>
      <c r="C25" s="25" t="s">
        <v>42</v>
      </c>
      <c r="D25" s="26" t="s">
        <v>21</v>
      </c>
      <c r="E25" s="32">
        <v>21.0</v>
      </c>
      <c r="F25" s="16" t="s">
        <v>17</v>
      </c>
      <c r="G25" s="28" t="s">
        <v>113</v>
      </c>
      <c r="H25" s="24" t="s">
        <v>53</v>
      </c>
      <c r="I25" s="16" t="s">
        <v>85</v>
      </c>
      <c r="J25" s="24" t="s">
        <v>26</v>
      </c>
      <c r="K25" s="29">
        <v>9.177110107E9</v>
      </c>
      <c r="L25" s="24" t="s">
        <v>26</v>
      </c>
      <c r="M25" s="36" t="s">
        <v>114</v>
      </c>
      <c r="N25" s="24" t="s">
        <v>115</v>
      </c>
    </row>
    <row r="26" ht="15.75" customHeight="1">
      <c r="A26" s="23">
        <v>44062.0</v>
      </c>
      <c r="B26" s="24" t="s">
        <v>116</v>
      </c>
      <c r="C26" s="25" t="s">
        <v>20</v>
      </c>
      <c r="D26" s="26" t="s">
        <v>21</v>
      </c>
      <c r="E26" s="33">
        <v>22.0</v>
      </c>
      <c r="F26" s="16" t="s">
        <v>101</v>
      </c>
      <c r="G26" s="28" t="s">
        <v>32</v>
      </c>
      <c r="H26" s="24" t="s">
        <v>53</v>
      </c>
      <c r="I26" s="24" t="s">
        <v>117</v>
      </c>
      <c r="K26" s="37"/>
    </row>
    <row r="27">
      <c r="A27" s="38">
        <v>44131.0</v>
      </c>
      <c r="B27" s="24" t="s">
        <v>118</v>
      </c>
      <c r="C27" s="25" t="s">
        <v>20</v>
      </c>
      <c r="D27" s="26" t="s">
        <v>21</v>
      </c>
      <c r="E27" s="39" t="s">
        <v>119</v>
      </c>
      <c r="F27" s="16" t="s">
        <v>22</v>
      </c>
      <c r="G27" s="28" t="s">
        <v>120</v>
      </c>
      <c r="H27" s="24" t="s">
        <v>33</v>
      </c>
      <c r="I27" s="28" t="s">
        <v>72</v>
      </c>
      <c r="J27" s="24" t="s">
        <v>73</v>
      </c>
      <c r="K27" s="29">
        <v>9.300953925E9</v>
      </c>
      <c r="L27" s="24" t="s">
        <v>26</v>
      </c>
      <c r="M27" s="30" t="s">
        <v>121</v>
      </c>
      <c r="N27" s="28" t="s">
        <v>75</v>
      </c>
    </row>
    <row r="28" ht="15.75" customHeight="1">
      <c r="A28" s="38">
        <v>44168.0</v>
      </c>
      <c r="B28" s="24" t="s">
        <v>122</v>
      </c>
      <c r="C28" s="25" t="s">
        <v>20</v>
      </c>
      <c r="D28" s="26" t="s">
        <v>21</v>
      </c>
      <c r="E28" s="40" t="s">
        <v>123</v>
      </c>
      <c r="F28" s="16" t="s">
        <v>17</v>
      </c>
      <c r="G28" s="28" t="s">
        <v>58</v>
      </c>
      <c r="H28" s="24" t="s">
        <v>53</v>
      </c>
      <c r="I28" s="24" t="s">
        <v>124</v>
      </c>
      <c r="J28" s="24" t="s">
        <v>26</v>
      </c>
      <c r="K28" s="41" t="s">
        <v>125</v>
      </c>
      <c r="L28" s="24" t="s">
        <v>26</v>
      </c>
      <c r="M28" s="36" t="s">
        <v>126</v>
      </c>
      <c r="N28" s="24" t="s">
        <v>127</v>
      </c>
    </row>
    <row r="29">
      <c r="A29" s="20" t="s">
        <v>128</v>
      </c>
      <c r="B29" s="21"/>
      <c r="C29" s="21"/>
      <c r="D29" s="21"/>
      <c r="E29" s="21"/>
      <c r="F29" s="21"/>
      <c r="G29" s="21"/>
      <c r="H29" s="21"/>
      <c r="I29" s="21"/>
      <c r="J29" s="21"/>
      <c r="K29" s="21"/>
      <c r="L29" s="21"/>
      <c r="M29" s="21"/>
      <c r="N29" s="21"/>
      <c r="O29" s="21"/>
      <c r="P29" s="21"/>
      <c r="Q29" s="21"/>
      <c r="R29" s="21"/>
      <c r="S29" s="21"/>
      <c r="T29" s="21"/>
      <c r="U29" s="21"/>
      <c r="V29" s="21"/>
      <c r="W29" s="21"/>
      <c r="X29" s="21"/>
      <c r="Y29" s="21"/>
      <c r="Z29" s="21"/>
      <c r="AA29" s="22"/>
    </row>
    <row r="30">
      <c r="A30" s="38">
        <v>44216.0</v>
      </c>
      <c r="B30" s="24" t="s">
        <v>129</v>
      </c>
      <c r="C30" s="25" t="s">
        <v>42</v>
      </c>
      <c r="D30" s="42" t="s">
        <v>130</v>
      </c>
      <c r="E30" s="27">
        <v>25.0</v>
      </c>
      <c r="F30" s="16" t="s">
        <v>22</v>
      </c>
      <c r="G30" s="28" t="s">
        <v>131</v>
      </c>
      <c r="H30" s="28" t="s">
        <v>132</v>
      </c>
      <c r="I30" s="24" t="s">
        <v>133</v>
      </c>
      <c r="J30" s="24" t="s">
        <v>26</v>
      </c>
      <c r="K30" s="41" t="s">
        <v>134</v>
      </c>
      <c r="L30" s="24" t="s">
        <v>26</v>
      </c>
      <c r="M30" s="30" t="s">
        <v>135</v>
      </c>
      <c r="N30" s="28" t="s">
        <v>136</v>
      </c>
    </row>
    <row r="31">
      <c r="A31" s="38">
        <v>44216.0</v>
      </c>
      <c r="B31" s="24" t="s">
        <v>137</v>
      </c>
      <c r="C31" s="25" t="s">
        <v>20</v>
      </c>
      <c r="D31" s="42" t="s">
        <v>130</v>
      </c>
      <c r="E31" s="27">
        <v>26.0</v>
      </c>
      <c r="F31" s="16" t="s">
        <v>22</v>
      </c>
      <c r="G31" s="28" t="s">
        <v>138</v>
      </c>
      <c r="H31" s="28" t="s">
        <v>139</v>
      </c>
      <c r="I31" s="24" t="s">
        <v>133</v>
      </c>
      <c r="J31" s="24" t="s">
        <v>26</v>
      </c>
      <c r="K31" s="41" t="s">
        <v>140</v>
      </c>
      <c r="L31" s="24" t="s">
        <v>26</v>
      </c>
      <c r="M31" s="30" t="s">
        <v>141</v>
      </c>
      <c r="N31" s="28" t="s">
        <v>142</v>
      </c>
    </row>
    <row r="32">
      <c r="A32" s="38">
        <v>44250.0</v>
      </c>
      <c r="B32" s="24" t="s">
        <v>143</v>
      </c>
      <c r="C32" s="25" t="s">
        <v>20</v>
      </c>
      <c r="D32" s="42" t="s">
        <v>130</v>
      </c>
      <c r="E32" s="27">
        <v>27.0</v>
      </c>
      <c r="F32" s="16" t="s">
        <v>22</v>
      </c>
      <c r="G32" s="28" t="s">
        <v>144</v>
      </c>
      <c r="H32" s="24" t="s">
        <v>47</v>
      </c>
      <c r="I32" s="28" t="s">
        <v>145</v>
      </c>
      <c r="J32" s="43" t="s">
        <v>146</v>
      </c>
      <c r="K32" s="41" t="s">
        <v>147</v>
      </c>
      <c r="L32" s="43" t="s">
        <v>148</v>
      </c>
      <c r="M32" s="30" t="s">
        <v>149</v>
      </c>
      <c r="N32" s="24" t="s">
        <v>150</v>
      </c>
    </row>
    <row r="33" ht="15.75" customHeight="1">
      <c r="A33" s="38">
        <v>44280.0</v>
      </c>
      <c r="B33" s="24" t="s">
        <v>151</v>
      </c>
      <c r="C33" s="25" t="s">
        <v>20</v>
      </c>
      <c r="D33" s="42" t="s">
        <v>130</v>
      </c>
      <c r="E33" s="27">
        <v>28.0</v>
      </c>
      <c r="F33" s="16" t="s">
        <v>22</v>
      </c>
      <c r="G33" s="28" t="s">
        <v>89</v>
      </c>
      <c r="H33" s="24" t="s">
        <v>53</v>
      </c>
      <c r="I33" s="24" t="s">
        <v>152</v>
      </c>
      <c r="J33" s="24" t="s">
        <v>153</v>
      </c>
      <c r="K33" s="41" t="s">
        <v>154</v>
      </c>
      <c r="L33" s="24" t="s">
        <v>26</v>
      </c>
      <c r="M33" s="30" t="s">
        <v>155</v>
      </c>
      <c r="N33" s="24" t="s">
        <v>156</v>
      </c>
    </row>
    <row r="34" ht="15.75" customHeight="1">
      <c r="A34" s="38">
        <v>44280.0</v>
      </c>
      <c r="B34" s="24" t="s">
        <v>157</v>
      </c>
      <c r="C34" s="25" t="s">
        <v>20</v>
      </c>
      <c r="D34" s="42" t="s">
        <v>130</v>
      </c>
      <c r="E34" s="27">
        <v>29.0</v>
      </c>
      <c r="F34" s="16" t="s">
        <v>22</v>
      </c>
      <c r="G34" s="28" t="s">
        <v>89</v>
      </c>
      <c r="H34" s="24" t="s">
        <v>53</v>
      </c>
      <c r="I34" s="24" t="s">
        <v>152</v>
      </c>
      <c r="J34" s="24" t="s">
        <v>26</v>
      </c>
      <c r="K34" s="41" t="s">
        <v>158</v>
      </c>
      <c r="L34" s="24" t="s">
        <v>26</v>
      </c>
      <c r="M34" s="30" t="s">
        <v>159</v>
      </c>
      <c r="N34" s="24" t="s">
        <v>160</v>
      </c>
    </row>
    <row r="35" ht="15.75" customHeight="1">
      <c r="A35" s="38">
        <v>44302.0</v>
      </c>
      <c r="B35" s="24" t="s">
        <v>161</v>
      </c>
      <c r="C35" s="25" t="s">
        <v>42</v>
      </c>
      <c r="D35" s="42" t="s">
        <v>130</v>
      </c>
      <c r="E35" s="27">
        <v>30.0</v>
      </c>
      <c r="F35" s="16" t="s">
        <v>22</v>
      </c>
      <c r="G35" s="28" t="s">
        <v>84</v>
      </c>
      <c r="H35" s="24" t="s">
        <v>53</v>
      </c>
      <c r="I35" s="24" t="s">
        <v>85</v>
      </c>
      <c r="J35" s="24" t="s">
        <v>26</v>
      </c>
      <c r="K35" s="41" t="s">
        <v>162</v>
      </c>
      <c r="L35" s="24" t="s">
        <v>26</v>
      </c>
      <c r="M35" s="30" t="s">
        <v>163</v>
      </c>
      <c r="N35" s="24" t="s">
        <v>164</v>
      </c>
    </row>
    <row r="36">
      <c r="A36" s="38">
        <v>44334.0</v>
      </c>
      <c r="B36" s="24" t="s">
        <v>165</v>
      </c>
      <c r="C36" s="25" t="s">
        <v>20</v>
      </c>
      <c r="D36" s="42" t="s">
        <v>130</v>
      </c>
      <c r="E36" s="32">
        <v>31.0</v>
      </c>
      <c r="F36" s="16" t="s">
        <v>17</v>
      </c>
      <c r="G36" s="28" t="s">
        <v>166</v>
      </c>
      <c r="H36" s="24" t="s">
        <v>167</v>
      </c>
      <c r="I36" s="24" t="s">
        <v>168</v>
      </c>
      <c r="J36" s="24" t="s">
        <v>26</v>
      </c>
      <c r="K36" s="41" t="s">
        <v>169</v>
      </c>
      <c r="L36" s="24" t="s">
        <v>26</v>
      </c>
      <c r="M36" s="36" t="s">
        <v>170</v>
      </c>
      <c r="N36" s="28" t="s">
        <v>171</v>
      </c>
    </row>
    <row r="37">
      <c r="A37" s="38">
        <v>44334.0</v>
      </c>
      <c r="B37" s="24" t="s">
        <v>172</v>
      </c>
      <c r="C37" s="25" t="s">
        <v>42</v>
      </c>
      <c r="D37" s="42" t="s">
        <v>130</v>
      </c>
      <c r="E37" s="32">
        <v>32.0</v>
      </c>
      <c r="F37" s="16" t="s">
        <v>17</v>
      </c>
      <c r="G37" s="28" t="s">
        <v>173</v>
      </c>
      <c r="H37" s="24" t="s">
        <v>167</v>
      </c>
      <c r="I37" s="24" t="s">
        <v>168</v>
      </c>
      <c r="J37" s="24" t="s">
        <v>26</v>
      </c>
      <c r="K37" s="41" t="s">
        <v>174</v>
      </c>
      <c r="L37" s="24" t="s">
        <v>26</v>
      </c>
      <c r="M37" s="30" t="s">
        <v>175</v>
      </c>
      <c r="N37" s="28" t="s">
        <v>171</v>
      </c>
    </row>
    <row r="38">
      <c r="A38" s="38">
        <v>44334.0</v>
      </c>
      <c r="B38" s="24" t="s">
        <v>176</v>
      </c>
      <c r="C38" s="25" t="s">
        <v>42</v>
      </c>
      <c r="D38" s="42" t="s">
        <v>130</v>
      </c>
      <c r="E38" s="32">
        <v>33.0</v>
      </c>
      <c r="F38" s="16" t="s">
        <v>17</v>
      </c>
      <c r="G38" s="28" t="s">
        <v>89</v>
      </c>
      <c r="H38" s="24" t="s">
        <v>167</v>
      </c>
      <c r="I38" s="24" t="s">
        <v>168</v>
      </c>
      <c r="J38" s="24" t="s">
        <v>26</v>
      </c>
      <c r="K38" s="41" t="s">
        <v>177</v>
      </c>
      <c r="L38" s="24" t="s">
        <v>26</v>
      </c>
      <c r="M38" s="30" t="s">
        <v>178</v>
      </c>
      <c r="N38" s="28" t="s">
        <v>171</v>
      </c>
    </row>
    <row r="39">
      <c r="A39" s="38">
        <v>44382.0</v>
      </c>
      <c r="B39" s="24" t="s">
        <v>179</v>
      </c>
      <c r="C39" s="25" t="s">
        <v>20</v>
      </c>
      <c r="D39" s="42" t="s">
        <v>130</v>
      </c>
      <c r="E39" s="27">
        <v>34.0</v>
      </c>
      <c r="F39" s="16" t="s">
        <v>22</v>
      </c>
      <c r="G39" s="28" t="s">
        <v>71</v>
      </c>
      <c r="H39" s="24" t="s">
        <v>53</v>
      </c>
      <c r="I39" s="24" t="s">
        <v>94</v>
      </c>
      <c r="J39" s="24" t="s">
        <v>26</v>
      </c>
      <c r="K39" s="41" t="s">
        <v>180</v>
      </c>
      <c r="L39" s="24" t="s">
        <v>26</v>
      </c>
      <c r="M39" s="30" t="s">
        <v>181</v>
      </c>
      <c r="N39" s="28" t="s">
        <v>182</v>
      </c>
    </row>
    <row r="40">
      <c r="A40" s="38">
        <v>44382.0</v>
      </c>
      <c r="B40" s="24" t="s">
        <v>183</v>
      </c>
      <c r="C40" s="25" t="s">
        <v>20</v>
      </c>
      <c r="D40" s="42" t="s">
        <v>130</v>
      </c>
      <c r="E40" s="27">
        <v>35.0</v>
      </c>
      <c r="F40" s="16" t="s">
        <v>22</v>
      </c>
      <c r="G40" s="28" t="s">
        <v>166</v>
      </c>
      <c r="H40" s="24" t="s">
        <v>53</v>
      </c>
      <c r="I40" s="24" t="s">
        <v>94</v>
      </c>
      <c r="J40" s="24" t="s">
        <v>26</v>
      </c>
      <c r="K40" s="41" t="s">
        <v>184</v>
      </c>
      <c r="L40" s="24" t="s">
        <v>26</v>
      </c>
      <c r="M40" s="30" t="s">
        <v>185</v>
      </c>
      <c r="N40" s="28" t="s">
        <v>182</v>
      </c>
    </row>
    <row r="41">
      <c r="A41" s="38">
        <v>44435.0</v>
      </c>
      <c r="B41" s="24" t="s">
        <v>186</v>
      </c>
      <c r="C41" s="25" t="s">
        <v>20</v>
      </c>
      <c r="D41" s="42" t="s">
        <v>130</v>
      </c>
      <c r="E41" s="33">
        <v>36.0</v>
      </c>
      <c r="F41" s="16" t="s">
        <v>101</v>
      </c>
      <c r="G41" s="28" t="s">
        <v>32</v>
      </c>
      <c r="H41" s="28" t="s">
        <v>187</v>
      </c>
      <c r="I41" s="24" t="s">
        <v>26</v>
      </c>
      <c r="J41" s="24" t="s">
        <v>26</v>
      </c>
      <c r="K41" s="41" t="s">
        <v>188</v>
      </c>
      <c r="L41" s="24" t="s">
        <v>26</v>
      </c>
      <c r="M41" s="30" t="s">
        <v>189</v>
      </c>
      <c r="N41" s="28" t="s">
        <v>190</v>
      </c>
    </row>
    <row r="42">
      <c r="A42" s="20" t="s">
        <v>191</v>
      </c>
      <c r="B42" s="21"/>
      <c r="C42" s="21"/>
      <c r="D42" s="21"/>
      <c r="E42" s="21"/>
      <c r="F42" s="21"/>
      <c r="G42" s="21"/>
      <c r="H42" s="21"/>
      <c r="I42" s="21"/>
      <c r="J42" s="21"/>
      <c r="K42" s="21"/>
      <c r="L42" s="21"/>
      <c r="M42" s="21"/>
      <c r="N42" s="21"/>
      <c r="O42" s="21"/>
      <c r="P42" s="21"/>
      <c r="Q42" s="21"/>
      <c r="R42" s="21"/>
      <c r="S42" s="21"/>
      <c r="T42" s="21"/>
      <c r="U42" s="21"/>
      <c r="V42" s="21"/>
      <c r="W42" s="21"/>
      <c r="X42" s="21"/>
      <c r="Y42" s="21"/>
      <c r="Z42" s="21"/>
      <c r="AA42" s="22"/>
    </row>
    <row r="43">
      <c r="A43" s="38">
        <v>44580.0</v>
      </c>
      <c r="B43" s="35" t="s">
        <v>192</v>
      </c>
      <c r="C43" s="25" t="s">
        <v>20</v>
      </c>
      <c r="D43" s="42" t="s">
        <v>193</v>
      </c>
      <c r="E43" s="33">
        <v>37.0</v>
      </c>
      <c r="F43" s="44" t="s">
        <v>101</v>
      </c>
      <c r="G43" s="37" t="s">
        <v>194</v>
      </c>
      <c r="H43" s="24" t="s">
        <v>53</v>
      </c>
      <c r="I43" s="24" t="s">
        <v>85</v>
      </c>
      <c r="J43" s="24" t="s">
        <v>26</v>
      </c>
      <c r="K43" s="37"/>
      <c r="L43" s="35" t="s">
        <v>26</v>
      </c>
      <c r="M43" s="30" t="s">
        <v>195</v>
      </c>
      <c r="N43" s="28" t="s">
        <v>196</v>
      </c>
    </row>
    <row r="44" ht="15.75" customHeight="1">
      <c r="A44" s="38">
        <v>44622.0</v>
      </c>
      <c r="B44" s="35" t="s">
        <v>197</v>
      </c>
      <c r="C44" s="25" t="s">
        <v>42</v>
      </c>
      <c r="D44" s="42" t="s">
        <v>193</v>
      </c>
      <c r="E44" s="32">
        <v>38.0</v>
      </c>
      <c r="F44" s="44" t="s">
        <v>17</v>
      </c>
      <c r="G44" s="37" t="s">
        <v>166</v>
      </c>
      <c r="H44" s="24" t="s">
        <v>53</v>
      </c>
      <c r="I44" s="24" t="s">
        <v>152</v>
      </c>
      <c r="J44" s="24" t="s">
        <v>26</v>
      </c>
      <c r="K44" s="41" t="s">
        <v>198</v>
      </c>
      <c r="L44" s="24" t="s">
        <v>26</v>
      </c>
      <c r="M44" s="30" t="s">
        <v>199</v>
      </c>
      <c r="N44" s="28" t="s">
        <v>200</v>
      </c>
    </row>
    <row r="45" ht="15.75" customHeight="1">
      <c r="A45" s="38">
        <v>44622.0</v>
      </c>
      <c r="B45" s="35" t="s">
        <v>201</v>
      </c>
      <c r="C45" s="25" t="s">
        <v>20</v>
      </c>
      <c r="D45" s="42" t="s">
        <v>193</v>
      </c>
      <c r="E45" s="32">
        <v>39.0</v>
      </c>
      <c r="F45" s="44" t="s">
        <v>17</v>
      </c>
      <c r="G45" s="37" t="s">
        <v>89</v>
      </c>
      <c r="H45" s="24" t="s">
        <v>53</v>
      </c>
      <c r="I45" s="24" t="s">
        <v>202</v>
      </c>
      <c r="J45" s="24" t="s">
        <v>26</v>
      </c>
      <c r="K45" s="41" t="s">
        <v>203</v>
      </c>
      <c r="L45" s="24" t="s">
        <v>26</v>
      </c>
      <c r="M45" s="30" t="s">
        <v>204</v>
      </c>
      <c r="N45" s="28" t="s">
        <v>200</v>
      </c>
    </row>
    <row r="46" ht="15.75" customHeight="1">
      <c r="A46" s="45">
        <v>44622.0</v>
      </c>
      <c r="B46" s="35" t="s">
        <v>205</v>
      </c>
      <c r="C46" s="25" t="s">
        <v>42</v>
      </c>
      <c r="D46" s="42" t="s">
        <v>193</v>
      </c>
      <c r="E46" s="27">
        <v>40.0</v>
      </c>
      <c r="F46" s="44" t="s">
        <v>22</v>
      </c>
      <c r="G46" s="37" t="s">
        <v>84</v>
      </c>
      <c r="H46" s="24" t="s">
        <v>53</v>
      </c>
      <c r="I46" s="24" t="s">
        <v>206</v>
      </c>
      <c r="J46" s="43" t="s">
        <v>207</v>
      </c>
      <c r="K46" s="41" t="s">
        <v>208</v>
      </c>
      <c r="L46" s="24" t="s">
        <v>26</v>
      </c>
      <c r="M46" s="30" t="s">
        <v>209</v>
      </c>
      <c r="N46" s="46" t="s">
        <v>209</v>
      </c>
    </row>
    <row r="47">
      <c r="A47" s="38">
        <v>44624.0</v>
      </c>
      <c r="B47" s="24" t="s">
        <v>210</v>
      </c>
      <c r="C47" s="25" t="s">
        <v>42</v>
      </c>
      <c r="D47" s="42" t="s">
        <v>193</v>
      </c>
      <c r="E47" s="27">
        <v>41.0</v>
      </c>
      <c r="F47" s="44" t="s">
        <v>22</v>
      </c>
      <c r="G47" s="28" t="s">
        <v>211</v>
      </c>
      <c r="H47" s="24" t="s">
        <v>53</v>
      </c>
      <c r="I47" s="24" t="s">
        <v>206</v>
      </c>
      <c r="J47" s="24" t="s">
        <v>26</v>
      </c>
      <c r="K47" s="41" t="s">
        <v>212</v>
      </c>
      <c r="L47" s="24" t="s">
        <v>26</v>
      </c>
      <c r="M47" s="30" t="s">
        <v>213</v>
      </c>
      <c r="N47" s="28" t="s">
        <v>214</v>
      </c>
    </row>
    <row r="48" ht="15.75" customHeight="1">
      <c r="A48" s="38">
        <v>44628.0</v>
      </c>
      <c r="B48" s="35" t="s">
        <v>215</v>
      </c>
      <c r="C48" s="25" t="s">
        <v>42</v>
      </c>
      <c r="D48" s="42" t="s">
        <v>193</v>
      </c>
      <c r="E48" s="27">
        <v>42.0</v>
      </c>
      <c r="F48" s="44" t="s">
        <v>22</v>
      </c>
      <c r="G48" s="37" t="s">
        <v>216</v>
      </c>
      <c r="H48" s="24" t="s">
        <v>53</v>
      </c>
      <c r="I48" s="24" t="s">
        <v>217</v>
      </c>
      <c r="J48" s="24" t="s">
        <v>26</v>
      </c>
      <c r="K48" s="41" t="s">
        <v>218</v>
      </c>
      <c r="L48" s="24" t="s">
        <v>26</v>
      </c>
      <c r="M48" s="30" t="s">
        <v>219</v>
      </c>
      <c r="N48" s="28" t="s">
        <v>220</v>
      </c>
    </row>
    <row r="49" ht="15.75" customHeight="1">
      <c r="A49" s="38">
        <v>44634.0</v>
      </c>
      <c r="B49" s="35" t="s">
        <v>221</v>
      </c>
      <c r="C49" s="25" t="s">
        <v>42</v>
      </c>
      <c r="D49" s="42" t="s">
        <v>193</v>
      </c>
      <c r="E49" s="27">
        <v>43.0</v>
      </c>
      <c r="F49" s="44" t="s">
        <v>22</v>
      </c>
      <c r="G49" s="37" t="s">
        <v>89</v>
      </c>
      <c r="H49" s="24" t="s">
        <v>53</v>
      </c>
      <c r="I49" s="24" t="s">
        <v>85</v>
      </c>
      <c r="J49" s="24" t="s">
        <v>26</v>
      </c>
      <c r="K49" s="41" t="s">
        <v>222</v>
      </c>
      <c r="L49" s="24" t="s">
        <v>26</v>
      </c>
      <c r="M49" s="30" t="s">
        <v>223</v>
      </c>
      <c r="N49" s="28" t="s">
        <v>224</v>
      </c>
    </row>
    <row r="50" ht="15.75" customHeight="1">
      <c r="A50" s="38">
        <v>44644.0</v>
      </c>
      <c r="B50" s="35" t="s">
        <v>225</v>
      </c>
      <c r="C50" s="25" t="s">
        <v>42</v>
      </c>
      <c r="D50" s="42" t="s">
        <v>193</v>
      </c>
      <c r="E50" s="27">
        <v>44.0</v>
      </c>
      <c r="F50" s="44" t="s">
        <v>22</v>
      </c>
      <c r="G50" s="37" t="s">
        <v>226</v>
      </c>
      <c r="H50" s="24" t="s">
        <v>53</v>
      </c>
      <c r="I50" s="24" t="s">
        <v>152</v>
      </c>
      <c r="J50" s="24" t="s">
        <v>26</v>
      </c>
      <c r="K50" s="41" t="s">
        <v>227</v>
      </c>
      <c r="L50" s="24" t="s">
        <v>26</v>
      </c>
      <c r="M50" s="30" t="s">
        <v>228</v>
      </c>
      <c r="N50" s="28" t="s">
        <v>229</v>
      </c>
    </row>
    <row r="51" ht="15.75" customHeight="1">
      <c r="A51" s="38">
        <v>44645.0</v>
      </c>
      <c r="B51" s="35" t="s">
        <v>230</v>
      </c>
      <c r="C51" s="25" t="s">
        <v>42</v>
      </c>
      <c r="D51" s="42" t="s">
        <v>193</v>
      </c>
      <c r="E51" s="27">
        <v>45.0</v>
      </c>
      <c r="F51" s="44" t="s">
        <v>22</v>
      </c>
      <c r="G51" s="37" t="s">
        <v>211</v>
      </c>
      <c r="H51" s="24" t="s">
        <v>53</v>
      </c>
      <c r="I51" s="24" t="s">
        <v>85</v>
      </c>
      <c r="J51" s="24" t="s">
        <v>26</v>
      </c>
      <c r="K51" s="41" t="s">
        <v>231</v>
      </c>
      <c r="L51" s="24" t="s">
        <v>26</v>
      </c>
      <c r="M51" s="30" t="s">
        <v>232</v>
      </c>
      <c r="N51" s="28" t="s">
        <v>233</v>
      </c>
    </row>
    <row r="52">
      <c r="A52" s="47">
        <v>44663.0</v>
      </c>
      <c r="B52" s="44" t="s">
        <v>234</v>
      </c>
      <c r="C52" s="48" t="s">
        <v>42</v>
      </c>
      <c r="D52" s="49" t="s">
        <v>193</v>
      </c>
      <c r="E52" s="50">
        <v>46.0</v>
      </c>
      <c r="F52" s="44" t="s">
        <v>22</v>
      </c>
      <c r="G52" s="51" t="s">
        <v>235</v>
      </c>
      <c r="H52" s="51" t="s">
        <v>236</v>
      </c>
      <c r="I52" s="51" t="s">
        <v>237</v>
      </c>
      <c r="J52" s="44" t="s">
        <v>26</v>
      </c>
      <c r="K52" s="52" t="s">
        <v>238</v>
      </c>
      <c r="L52" s="44" t="s">
        <v>26</v>
      </c>
      <c r="M52" s="44" t="s">
        <v>239</v>
      </c>
      <c r="N52" s="44" t="s">
        <v>240</v>
      </c>
    </row>
    <row r="53" ht="15.75" customHeight="1">
      <c r="A53" s="47">
        <v>44680.0</v>
      </c>
      <c r="B53" s="44" t="s">
        <v>241</v>
      </c>
      <c r="C53" s="48" t="s">
        <v>42</v>
      </c>
      <c r="D53" s="49" t="s">
        <v>193</v>
      </c>
      <c r="E53" s="50">
        <v>47.0</v>
      </c>
      <c r="F53" s="44" t="s">
        <v>22</v>
      </c>
      <c r="G53" s="37"/>
      <c r="K53" s="37"/>
    </row>
    <row r="54" ht="15.75" customHeight="1">
      <c r="A54" s="47">
        <v>44680.0</v>
      </c>
      <c r="B54" s="44" t="s">
        <v>242</v>
      </c>
      <c r="C54" s="48" t="s">
        <v>42</v>
      </c>
      <c r="D54" s="49" t="s">
        <v>193</v>
      </c>
      <c r="E54" s="53">
        <v>48.0</v>
      </c>
      <c r="F54" s="44" t="s">
        <v>17</v>
      </c>
      <c r="G54" s="37"/>
      <c r="K54" s="37"/>
    </row>
    <row r="55" ht="15.75" customHeight="1">
      <c r="A55" s="47">
        <v>44705.0</v>
      </c>
      <c r="B55" s="44" t="s">
        <v>243</v>
      </c>
      <c r="C55" s="48" t="s">
        <v>20</v>
      </c>
      <c r="D55" s="49" t="s">
        <v>193</v>
      </c>
      <c r="E55" s="50">
        <v>49.0</v>
      </c>
      <c r="F55" s="44" t="s">
        <v>22</v>
      </c>
      <c r="G55" s="51" t="s">
        <v>71</v>
      </c>
      <c r="H55" s="44" t="s">
        <v>53</v>
      </c>
      <c r="I55" s="44" t="s">
        <v>244</v>
      </c>
      <c r="J55" s="44" t="s">
        <v>26</v>
      </c>
      <c r="K55" s="52" t="s">
        <v>245</v>
      </c>
      <c r="L55" s="44" t="s">
        <v>26</v>
      </c>
      <c r="M55" s="44" t="s">
        <v>246</v>
      </c>
      <c r="N55" s="44" t="s">
        <v>26</v>
      </c>
    </row>
    <row r="56" ht="30.0" customHeight="1">
      <c r="A56" s="47">
        <v>44718.0</v>
      </c>
      <c r="B56" s="44" t="s">
        <v>247</v>
      </c>
      <c r="C56" s="48" t="s">
        <v>20</v>
      </c>
      <c r="D56" s="49" t="s">
        <v>193</v>
      </c>
      <c r="E56" s="50">
        <v>50.0</v>
      </c>
      <c r="F56" s="44" t="s">
        <v>22</v>
      </c>
      <c r="G56" s="51" t="s">
        <v>248</v>
      </c>
      <c r="H56" s="44" t="s">
        <v>249</v>
      </c>
      <c r="I56" s="51" t="s">
        <v>250</v>
      </c>
      <c r="J56" s="44" t="s">
        <v>26</v>
      </c>
      <c r="K56" s="52" t="s">
        <v>251</v>
      </c>
      <c r="L56" s="44" t="s">
        <v>26</v>
      </c>
      <c r="M56" s="44" t="s">
        <v>252</v>
      </c>
      <c r="N56" s="44" t="s">
        <v>253</v>
      </c>
    </row>
    <row r="57" ht="31.5" customHeight="1">
      <c r="A57" s="47">
        <v>44725.0</v>
      </c>
      <c r="B57" s="44" t="s">
        <v>254</v>
      </c>
      <c r="C57" s="48" t="s">
        <v>20</v>
      </c>
      <c r="D57" s="49" t="s">
        <v>193</v>
      </c>
      <c r="E57" s="50">
        <v>51.0</v>
      </c>
      <c r="F57" s="44" t="s">
        <v>22</v>
      </c>
      <c r="G57" s="51" t="s">
        <v>255</v>
      </c>
      <c r="H57" s="51" t="s">
        <v>256</v>
      </c>
      <c r="I57" s="51" t="s">
        <v>257</v>
      </c>
      <c r="K57" s="37"/>
    </row>
    <row r="58" ht="16.5" customHeight="1">
      <c r="A58" s="47">
        <v>44729.0</v>
      </c>
      <c r="B58" s="44" t="s">
        <v>258</v>
      </c>
      <c r="C58" s="48" t="s">
        <v>42</v>
      </c>
      <c r="D58" s="49" t="s">
        <v>193</v>
      </c>
      <c r="E58" s="50">
        <v>52.0</v>
      </c>
      <c r="F58" s="44" t="s">
        <v>22</v>
      </c>
      <c r="G58" s="51" t="s">
        <v>71</v>
      </c>
      <c r="H58" s="44" t="s">
        <v>53</v>
      </c>
      <c r="I58" s="44" t="s">
        <v>94</v>
      </c>
      <c r="J58" s="44" t="s">
        <v>26</v>
      </c>
      <c r="K58" s="51" t="s">
        <v>26</v>
      </c>
      <c r="L58" s="44" t="s">
        <v>26</v>
      </c>
      <c r="M58" s="44" t="s">
        <v>26</v>
      </c>
      <c r="N58" s="44" t="s">
        <v>259</v>
      </c>
    </row>
    <row r="59" ht="16.5" customHeight="1">
      <c r="A59" s="47">
        <v>44725.0</v>
      </c>
      <c r="B59" s="44" t="s">
        <v>260</v>
      </c>
      <c r="C59" s="48" t="s">
        <v>20</v>
      </c>
      <c r="D59" s="49" t="s">
        <v>193</v>
      </c>
      <c r="E59" s="50">
        <v>53.0</v>
      </c>
      <c r="F59" s="44" t="s">
        <v>22</v>
      </c>
      <c r="G59" s="51" t="s">
        <v>261</v>
      </c>
      <c r="H59" s="44" t="s">
        <v>249</v>
      </c>
      <c r="I59" s="44" t="s">
        <v>250</v>
      </c>
      <c r="J59" s="44" t="s">
        <v>26</v>
      </c>
      <c r="K59" s="52" t="s">
        <v>262</v>
      </c>
      <c r="L59" s="44" t="s">
        <v>26</v>
      </c>
      <c r="M59" s="44" t="s">
        <v>263</v>
      </c>
      <c r="N59" s="44" t="s">
        <v>26</v>
      </c>
    </row>
    <row r="60">
      <c r="A60" s="47">
        <v>44733.0</v>
      </c>
      <c r="B60" s="44" t="s">
        <v>264</v>
      </c>
      <c r="C60" s="48" t="s">
        <v>42</v>
      </c>
      <c r="D60" s="49" t="s">
        <v>193</v>
      </c>
      <c r="E60" s="50">
        <v>54.0</v>
      </c>
      <c r="F60" s="44" t="s">
        <v>22</v>
      </c>
      <c r="G60" s="51" t="s">
        <v>32</v>
      </c>
      <c r="H60" s="51" t="s">
        <v>265</v>
      </c>
      <c r="I60" s="44" t="s">
        <v>26</v>
      </c>
      <c r="J60" s="44" t="s">
        <v>26</v>
      </c>
      <c r="K60" s="51" t="s">
        <v>26</v>
      </c>
      <c r="L60" s="44" t="s">
        <v>26</v>
      </c>
      <c r="M60" s="44" t="s">
        <v>26</v>
      </c>
      <c r="N60" s="44" t="s">
        <v>266</v>
      </c>
    </row>
    <row r="61" ht="36.0" customHeight="1">
      <c r="A61" s="47">
        <v>44763.0</v>
      </c>
      <c r="B61" s="44" t="s">
        <v>267</v>
      </c>
      <c r="C61" s="48" t="s">
        <v>20</v>
      </c>
      <c r="D61" s="49" t="s">
        <v>193</v>
      </c>
      <c r="E61" s="50">
        <v>55.0</v>
      </c>
      <c r="F61" s="44" t="s">
        <v>22</v>
      </c>
      <c r="G61" s="51" t="s">
        <v>113</v>
      </c>
      <c r="H61" s="44" t="s">
        <v>53</v>
      </c>
      <c r="I61" s="44" t="s">
        <v>244</v>
      </c>
      <c r="J61" s="44" t="s">
        <v>26</v>
      </c>
      <c r="K61" s="51" t="s">
        <v>26</v>
      </c>
      <c r="L61" s="44" t="s">
        <v>26</v>
      </c>
      <c r="M61" s="44" t="s">
        <v>268</v>
      </c>
      <c r="N61" s="51" t="s">
        <v>269</v>
      </c>
    </row>
    <row r="62">
      <c r="A62" s="47">
        <v>44785.0</v>
      </c>
      <c r="B62" s="44" t="s">
        <v>270</v>
      </c>
      <c r="C62" s="48" t="s">
        <v>20</v>
      </c>
      <c r="D62" s="49" t="s">
        <v>193</v>
      </c>
      <c r="E62" s="50">
        <v>56.0</v>
      </c>
      <c r="F62" s="44" t="s">
        <v>22</v>
      </c>
      <c r="G62" s="51" t="s">
        <v>271</v>
      </c>
      <c r="H62" s="44" t="s">
        <v>272</v>
      </c>
      <c r="I62" s="51" t="s">
        <v>273</v>
      </c>
      <c r="J62" s="44" t="s">
        <v>26</v>
      </c>
      <c r="K62" s="54">
        <v>9.065278053E9</v>
      </c>
      <c r="L62" s="44" t="s">
        <v>26</v>
      </c>
      <c r="M62" s="44" t="s">
        <v>274</v>
      </c>
      <c r="N62" s="44" t="s">
        <v>275</v>
      </c>
    </row>
    <row r="63">
      <c r="A63" s="47">
        <v>44785.0</v>
      </c>
      <c r="B63" s="44" t="s">
        <v>276</v>
      </c>
      <c r="C63" s="48" t="s">
        <v>20</v>
      </c>
      <c r="D63" s="49" t="s">
        <v>193</v>
      </c>
      <c r="E63" s="50">
        <v>57.0</v>
      </c>
      <c r="F63" s="44" t="s">
        <v>22</v>
      </c>
      <c r="G63" s="51" t="s">
        <v>277</v>
      </c>
      <c r="H63" s="44" t="s">
        <v>272</v>
      </c>
      <c r="I63" s="51" t="s">
        <v>273</v>
      </c>
      <c r="J63" s="44" t="s">
        <v>26</v>
      </c>
      <c r="K63" s="54">
        <v>9.166094464E9</v>
      </c>
      <c r="L63" s="44" t="s">
        <v>26</v>
      </c>
      <c r="M63" s="44" t="s">
        <v>278</v>
      </c>
      <c r="N63" s="44" t="s">
        <v>279</v>
      </c>
    </row>
    <row r="64">
      <c r="A64" s="47">
        <v>44785.0</v>
      </c>
      <c r="B64" s="51" t="s">
        <v>280</v>
      </c>
      <c r="C64" s="48" t="s">
        <v>20</v>
      </c>
      <c r="D64" s="49" t="s">
        <v>193</v>
      </c>
      <c r="E64" s="50">
        <v>58.0</v>
      </c>
      <c r="F64" s="44" t="s">
        <v>22</v>
      </c>
      <c r="G64" s="51" t="s">
        <v>38</v>
      </c>
      <c r="H64" s="44" t="s">
        <v>272</v>
      </c>
      <c r="I64" s="51" t="s">
        <v>281</v>
      </c>
      <c r="J64" s="44" t="s">
        <v>26</v>
      </c>
      <c r="K64" s="54">
        <v>9.606937846E9</v>
      </c>
      <c r="L64" s="44" t="s">
        <v>26</v>
      </c>
      <c r="M64" s="44" t="s">
        <v>282</v>
      </c>
      <c r="N64" s="44" t="s">
        <v>283</v>
      </c>
    </row>
    <row r="65">
      <c r="A65" s="47">
        <v>44785.0</v>
      </c>
      <c r="B65" s="44" t="s">
        <v>284</v>
      </c>
      <c r="C65" s="48" t="s">
        <v>20</v>
      </c>
      <c r="D65" s="49" t="s">
        <v>193</v>
      </c>
      <c r="E65" s="50">
        <v>59.0</v>
      </c>
      <c r="F65" s="44" t="s">
        <v>22</v>
      </c>
      <c r="G65" s="51" t="s">
        <v>285</v>
      </c>
      <c r="H65" s="44" t="s">
        <v>272</v>
      </c>
      <c r="I65" s="51" t="s">
        <v>286</v>
      </c>
      <c r="J65" s="44" t="s">
        <v>26</v>
      </c>
      <c r="K65" s="54">
        <v>9.770898748E9</v>
      </c>
      <c r="L65" s="44" t="s">
        <v>26</v>
      </c>
      <c r="M65" s="44" t="s">
        <v>287</v>
      </c>
      <c r="N65" s="44" t="s">
        <v>288</v>
      </c>
    </row>
    <row r="66" ht="15.75" customHeight="1">
      <c r="A66" s="47">
        <v>44868.0</v>
      </c>
      <c r="B66" s="44" t="s">
        <v>289</v>
      </c>
      <c r="C66" s="48" t="s">
        <v>42</v>
      </c>
      <c r="D66" s="49" t="s">
        <v>193</v>
      </c>
      <c r="E66" s="53">
        <v>60.0</v>
      </c>
      <c r="F66" s="44" t="s">
        <v>17</v>
      </c>
      <c r="G66" s="51" t="s">
        <v>290</v>
      </c>
      <c r="H66" s="44" t="s">
        <v>53</v>
      </c>
      <c r="I66" s="44" t="s">
        <v>152</v>
      </c>
      <c r="J66" s="44" t="s">
        <v>291</v>
      </c>
      <c r="K66" s="54">
        <v>9.61091456E9</v>
      </c>
      <c r="L66" s="44" t="s">
        <v>26</v>
      </c>
      <c r="M66" s="44" t="s">
        <v>292</v>
      </c>
      <c r="N66" s="44" t="s">
        <v>293</v>
      </c>
    </row>
    <row r="67" ht="15.75" customHeight="1">
      <c r="A67" s="47">
        <v>44869.0</v>
      </c>
      <c r="B67" s="44" t="s">
        <v>294</v>
      </c>
      <c r="C67" s="48" t="s">
        <v>20</v>
      </c>
      <c r="D67" s="49" t="s">
        <v>193</v>
      </c>
      <c r="E67" s="53">
        <v>61.0</v>
      </c>
      <c r="F67" s="44" t="s">
        <v>17</v>
      </c>
      <c r="G67" s="51" t="s">
        <v>89</v>
      </c>
      <c r="H67" s="44" t="s">
        <v>53</v>
      </c>
      <c r="I67" s="44" t="s">
        <v>152</v>
      </c>
      <c r="J67" s="44" t="s">
        <v>26</v>
      </c>
      <c r="K67" s="54">
        <v>9.776634482E9</v>
      </c>
      <c r="L67" s="44" t="s">
        <v>26</v>
      </c>
      <c r="M67" s="44" t="s">
        <v>295</v>
      </c>
      <c r="N67" s="44" t="s">
        <v>296</v>
      </c>
    </row>
    <row r="68" ht="24.75" customHeight="1">
      <c r="A68" s="47">
        <v>44859.0</v>
      </c>
      <c r="B68" s="44" t="s">
        <v>297</v>
      </c>
      <c r="C68" s="48" t="s">
        <v>20</v>
      </c>
      <c r="D68" s="49" t="s">
        <v>193</v>
      </c>
      <c r="E68" s="53">
        <v>62.0</v>
      </c>
      <c r="F68" s="44" t="s">
        <v>17</v>
      </c>
      <c r="G68" s="55" t="s">
        <v>298</v>
      </c>
      <c r="H68" s="51" t="s">
        <v>299</v>
      </c>
      <c r="I68" s="51" t="s">
        <v>300</v>
      </c>
      <c r="J68" s="44" t="s">
        <v>26</v>
      </c>
      <c r="K68" s="51">
        <v>9.171740515E9</v>
      </c>
      <c r="L68" s="44" t="s">
        <v>26</v>
      </c>
      <c r="M68" s="44" t="s">
        <v>301</v>
      </c>
      <c r="N68" s="44" t="s">
        <v>302</v>
      </c>
    </row>
    <row r="69" ht="44.25" customHeight="1">
      <c r="A69" s="47">
        <v>44859.0</v>
      </c>
      <c r="B69" s="44" t="s">
        <v>303</v>
      </c>
      <c r="C69" s="48" t="s">
        <v>20</v>
      </c>
      <c r="D69" s="49" t="s">
        <v>193</v>
      </c>
      <c r="E69" s="53">
        <v>63.0</v>
      </c>
      <c r="F69" s="44" t="s">
        <v>17</v>
      </c>
      <c r="G69" s="51" t="s">
        <v>304</v>
      </c>
      <c r="H69" s="51" t="s">
        <v>299</v>
      </c>
      <c r="I69" s="51" t="s">
        <v>305</v>
      </c>
      <c r="J69" s="44" t="s">
        <v>26</v>
      </c>
      <c r="K69" s="51" t="s">
        <v>26</v>
      </c>
      <c r="L69" s="44" t="s">
        <v>306</v>
      </c>
      <c r="M69" s="44" t="s">
        <v>307</v>
      </c>
      <c r="N69" s="44" t="s">
        <v>302</v>
      </c>
    </row>
    <row r="70" ht="45.0" customHeight="1">
      <c r="A70" s="47">
        <v>44859.0</v>
      </c>
      <c r="B70" s="44" t="s">
        <v>308</v>
      </c>
      <c r="C70" s="48" t="s">
        <v>20</v>
      </c>
      <c r="D70" s="49" t="s">
        <v>193</v>
      </c>
      <c r="E70" s="53">
        <v>64.0</v>
      </c>
      <c r="F70" s="44" t="s">
        <v>17</v>
      </c>
      <c r="G70" s="51" t="s">
        <v>309</v>
      </c>
      <c r="H70" s="51" t="s">
        <v>299</v>
      </c>
      <c r="I70" s="51" t="s">
        <v>305</v>
      </c>
      <c r="J70" s="44" t="s">
        <v>26</v>
      </c>
      <c r="K70" s="51" t="s">
        <v>26</v>
      </c>
      <c r="L70" s="44" t="s">
        <v>306</v>
      </c>
      <c r="M70" s="44" t="s">
        <v>310</v>
      </c>
      <c r="N70" s="44" t="s">
        <v>302</v>
      </c>
    </row>
    <row r="71" ht="39.75" customHeight="1">
      <c r="A71" s="47">
        <v>44859.0</v>
      </c>
      <c r="B71" s="44" t="s">
        <v>311</v>
      </c>
      <c r="C71" s="48" t="s">
        <v>20</v>
      </c>
      <c r="D71" s="49" t="s">
        <v>193</v>
      </c>
      <c r="E71" s="53">
        <v>65.0</v>
      </c>
      <c r="F71" s="44" t="s">
        <v>17</v>
      </c>
      <c r="G71" s="54" t="s">
        <v>312</v>
      </c>
      <c r="H71" s="51" t="s">
        <v>299</v>
      </c>
      <c r="I71" s="51" t="s">
        <v>305</v>
      </c>
      <c r="J71" s="44" t="s">
        <v>26</v>
      </c>
      <c r="K71" s="51" t="s">
        <v>26</v>
      </c>
      <c r="L71" s="44" t="s">
        <v>26</v>
      </c>
      <c r="M71" s="44" t="s">
        <v>313</v>
      </c>
      <c r="N71" s="44" t="s">
        <v>302</v>
      </c>
    </row>
    <row r="72" ht="39.75" customHeight="1">
      <c r="A72" s="47">
        <v>44902.0</v>
      </c>
      <c r="B72" s="44" t="s">
        <v>314</v>
      </c>
      <c r="C72" s="48" t="s">
        <v>20</v>
      </c>
      <c r="D72" s="49" t="s">
        <v>193</v>
      </c>
      <c r="E72" s="50">
        <v>66.0</v>
      </c>
      <c r="F72" s="44" t="s">
        <v>22</v>
      </c>
      <c r="G72" s="51" t="s">
        <v>315</v>
      </c>
      <c r="H72" s="44" t="s">
        <v>53</v>
      </c>
      <c r="I72" s="51" t="s">
        <v>316</v>
      </c>
      <c r="J72" s="44" t="s">
        <v>26</v>
      </c>
      <c r="K72" s="51" t="s">
        <v>26</v>
      </c>
      <c r="L72" s="44" t="s">
        <v>26</v>
      </c>
      <c r="M72" s="44" t="s">
        <v>317</v>
      </c>
      <c r="N72" s="56" t="s">
        <v>318</v>
      </c>
    </row>
    <row r="73" ht="25.5" customHeight="1">
      <c r="A73" s="47">
        <v>44910.0</v>
      </c>
      <c r="B73" s="44" t="s">
        <v>319</v>
      </c>
      <c r="C73" s="48" t="s">
        <v>42</v>
      </c>
      <c r="D73" s="49" t="s">
        <v>193</v>
      </c>
      <c r="E73" s="50">
        <v>67.0</v>
      </c>
      <c r="F73" s="44" t="s">
        <v>22</v>
      </c>
      <c r="G73" s="51" t="s">
        <v>320</v>
      </c>
      <c r="H73" s="44" t="s">
        <v>53</v>
      </c>
      <c r="I73" s="24" t="s">
        <v>85</v>
      </c>
      <c r="J73" s="44" t="s">
        <v>26</v>
      </c>
      <c r="K73" s="51" t="s">
        <v>26</v>
      </c>
      <c r="L73" s="44" t="s">
        <v>26</v>
      </c>
      <c r="N73" s="28" t="s">
        <v>196</v>
      </c>
    </row>
    <row r="74" ht="26.25" customHeight="1">
      <c r="A74" s="47">
        <v>44910.0</v>
      </c>
      <c r="B74" s="44" t="s">
        <v>321</v>
      </c>
      <c r="C74" s="48" t="s">
        <v>20</v>
      </c>
      <c r="D74" s="49" t="s">
        <v>193</v>
      </c>
      <c r="E74" s="50">
        <v>68.0</v>
      </c>
      <c r="F74" s="44" t="s">
        <v>22</v>
      </c>
      <c r="G74" s="51" t="s">
        <v>320</v>
      </c>
      <c r="H74" s="44" t="s">
        <v>53</v>
      </c>
      <c r="I74" s="24" t="s">
        <v>85</v>
      </c>
      <c r="J74" s="44" t="s">
        <v>26</v>
      </c>
      <c r="K74" s="51" t="s">
        <v>26</v>
      </c>
      <c r="L74" s="44" t="s">
        <v>26</v>
      </c>
      <c r="N74" s="28" t="s">
        <v>196</v>
      </c>
    </row>
    <row r="75" ht="26.25" customHeight="1">
      <c r="A75" s="47">
        <v>44910.0</v>
      </c>
      <c r="B75" s="44" t="s">
        <v>322</v>
      </c>
      <c r="C75" s="48" t="s">
        <v>20</v>
      </c>
      <c r="D75" s="49" t="s">
        <v>193</v>
      </c>
      <c r="E75" s="50">
        <v>69.0</v>
      </c>
      <c r="F75" s="44" t="s">
        <v>22</v>
      </c>
      <c r="G75" s="51" t="s">
        <v>320</v>
      </c>
      <c r="H75" s="44" t="s">
        <v>53</v>
      </c>
      <c r="I75" s="24" t="s">
        <v>85</v>
      </c>
      <c r="J75" s="44" t="s">
        <v>26</v>
      </c>
      <c r="K75" s="51" t="s">
        <v>26</v>
      </c>
      <c r="L75" s="44" t="s">
        <v>26</v>
      </c>
      <c r="N75" s="28" t="s">
        <v>196</v>
      </c>
    </row>
    <row r="76" ht="26.25" customHeight="1">
      <c r="A76" s="47">
        <v>44925.0</v>
      </c>
      <c r="B76" s="44" t="s">
        <v>323</v>
      </c>
      <c r="C76" s="48" t="s">
        <v>20</v>
      </c>
      <c r="D76" s="49" t="s">
        <v>193</v>
      </c>
      <c r="E76" s="57" t="s">
        <v>324</v>
      </c>
      <c r="F76" s="44" t="s">
        <v>22</v>
      </c>
      <c r="G76" s="51" t="s">
        <v>315</v>
      </c>
      <c r="H76" s="44" t="s">
        <v>53</v>
      </c>
      <c r="I76" s="51" t="s">
        <v>316</v>
      </c>
      <c r="J76" s="44" t="s">
        <v>26</v>
      </c>
      <c r="K76" s="51">
        <v>9.756763834E9</v>
      </c>
      <c r="L76" s="44" t="s">
        <v>26</v>
      </c>
      <c r="M76" s="44" t="s">
        <v>325</v>
      </c>
      <c r="N76" s="56" t="s">
        <v>318</v>
      </c>
    </row>
    <row r="77">
      <c r="A77" s="8" t="s">
        <v>326</v>
      </c>
      <c r="B77" s="9"/>
      <c r="C77" s="9"/>
      <c r="D77" s="9"/>
      <c r="E77" s="9"/>
      <c r="F77" s="9"/>
      <c r="G77" s="9"/>
      <c r="H77" s="9"/>
      <c r="I77" s="9"/>
      <c r="J77" s="9"/>
      <c r="K77" s="9"/>
      <c r="L77" s="9"/>
      <c r="M77" s="9"/>
      <c r="N77" s="9"/>
      <c r="O77" s="9"/>
      <c r="P77" s="9"/>
      <c r="Q77" s="9"/>
      <c r="R77" s="9"/>
      <c r="S77" s="9"/>
      <c r="T77" s="9"/>
      <c r="U77" s="9"/>
      <c r="V77" s="9"/>
      <c r="W77" s="9"/>
      <c r="X77" s="9"/>
      <c r="Y77" s="9"/>
      <c r="Z77" s="9"/>
      <c r="AA77" s="10"/>
    </row>
    <row r="78" ht="15.75" customHeight="1">
      <c r="A78" s="47">
        <v>44951.0</v>
      </c>
      <c r="B78" s="44" t="s">
        <v>327</v>
      </c>
      <c r="C78" s="48" t="s">
        <v>42</v>
      </c>
      <c r="D78" s="49" t="s">
        <v>328</v>
      </c>
      <c r="E78" s="53">
        <v>70.0</v>
      </c>
      <c r="F78" s="44" t="s">
        <v>17</v>
      </c>
      <c r="G78" s="51" t="s">
        <v>32</v>
      </c>
      <c r="H78" s="44" t="s">
        <v>329</v>
      </c>
      <c r="K78" s="37"/>
    </row>
    <row r="79" ht="29.25" customHeight="1">
      <c r="A79" s="47">
        <v>44964.0</v>
      </c>
      <c r="B79" s="44" t="s">
        <v>330</v>
      </c>
      <c r="C79" s="48" t="s">
        <v>20</v>
      </c>
      <c r="D79" s="49" t="s">
        <v>328</v>
      </c>
      <c r="E79" s="53">
        <v>71.0</v>
      </c>
      <c r="F79" s="44" t="s">
        <v>17</v>
      </c>
      <c r="G79" s="51" t="s">
        <v>331</v>
      </c>
      <c r="H79" s="51" t="s">
        <v>332</v>
      </c>
      <c r="I79" s="51" t="s">
        <v>333</v>
      </c>
      <c r="K79" s="51">
        <v>9.985307495E9</v>
      </c>
      <c r="M79" s="44" t="s">
        <v>334</v>
      </c>
      <c r="N79" s="44" t="s">
        <v>335</v>
      </c>
    </row>
    <row r="80" ht="15.75" customHeight="1">
      <c r="A80" s="47">
        <v>44972.0</v>
      </c>
      <c r="B80" s="44" t="s">
        <v>336</v>
      </c>
      <c r="C80" s="48" t="s">
        <v>42</v>
      </c>
      <c r="D80" s="49" t="s">
        <v>328</v>
      </c>
      <c r="E80" s="50">
        <v>72.0</v>
      </c>
      <c r="F80" s="44" t="s">
        <v>22</v>
      </c>
      <c r="G80" s="51" t="s">
        <v>166</v>
      </c>
      <c r="H80" s="44" t="s">
        <v>337</v>
      </c>
      <c r="K80" s="37"/>
    </row>
    <row r="81" ht="25.5" customHeight="1">
      <c r="A81" s="58">
        <v>44985.0</v>
      </c>
      <c r="B81" s="44" t="s">
        <v>338</v>
      </c>
      <c r="C81" s="48" t="s">
        <v>42</v>
      </c>
      <c r="D81" s="49" t="s">
        <v>328</v>
      </c>
      <c r="E81" s="50">
        <v>73.0</v>
      </c>
      <c r="F81" s="44" t="s">
        <v>22</v>
      </c>
      <c r="G81" s="51" t="s">
        <v>113</v>
      </c>
      <c r="H81" s="44" t="s">
        <v>339</v>
      </c>
      <c r="I81" s="44" t="s">
        <v>340</v>
      </c>
      <c r="J81" s="44" t="s">
        <v>341</v>
      </c>
      <c r="K81" s="51" t="s">
        <v>342</v>
      </c>
      <c r="M81" s="44" t="s">
        <v>343</v>
      </c>
      <c r="N81" s="44" t="s">
        <v>344</v>
      </c>
    </row>
    <row r="82" ht="62.25" customHeight="1">
      <c r="A82" s="58">
        <v>44985.0</v>
      </c>
      <c r="B82" s="44" t="s">
        <v>345</v>
      </c>
      <c r="C82" s="48" t="s">
        <v>20</v>
      </c>
      <c r="D82" s="49" t="s">
        <v>328</v>
      </c>
      <c r="E82" s="50">
        <v>74.0</v>
      </c>
      <c r="F82" s="44" t="s">
        <v>22</v>
      </c>
      <c r="G82" s="51" t="s">
        <v>113</v>
      </c>
      <c r="H82" s="44" t="s">
        <v>339</v>
      </c>
      <c r="I82" s="44" t="s">
        <v>340</v>
      </c>
      <c r="J82" s="44" t="s">
        <v>346</v>
      </c>
      <c r="K82" s="51" t="s">
        <v>347</v>
      </c>
      <c r="M82" s="44" t="s">
        <v>348</v>
      </c>
      <c r="N82" s="44" t="s">
        <v>349</v>
      </c>
    </row>
    <row r="83" ht="24.75" customHeight="1">
      <c r="A83" s="47">
        <v>44985.0</v>
      </c>
      <c r="B83" s="44" t="s">
        <v>350</v>
      </c>
      <c r="C83" s="48" t="s">
        <v>20</v>
      </c>
      <c r="D83" s="49" t="s">
        <v>328</v>
      </c>
      <c r="E83" s="57" t="s">
        <v>351</v>
      </c>
      <c r="F83" s="44" t="s">
        <v>22</v>
      </c>
      <c r="G83" s="59" t="s">
        <v>315</v>
      </c>
      <c r="H83" s="44" t="s">
        <v>53</v>
      </c>
      <c r="I83" s="51" t="s">
        <v>316</v>
      </c>
      <c r="J83" s="59" t="s">
        <v>26</v>
      </c>
      <c r="K83" s="37"/>
      <c r="N83" s="56" t="s">
        <v>318</v>
      </c>
    </row>
    <row r="84" ht="51.0" customHeight="1">
      <c r="A84" s="47">
        <v>44985.0</v>
      </c>
      <c r="B84" s="44" t="s">
        <v>352</v>
      </c>
      <c r="C84" s="48" t="s">
        <v>42</v>
      </c>
      <c r="D84" s="49" t="s">
        <v>328</v>
      </c>
      <c r="E84" s="50">
        <v>76.0</v>
      </c>
      <c r="F84" s="44" t="s">
        <v>22</v>
      </c>
      <c r="G84" s="51" t="s">
        <v>353</v>
      </c>
      <c r="H84" s="44" t="s">
        <v>53</v>
      </c>
      <c r="I84" s="51" t="s">
        <v>305</v>
      </c>
      <c r="J84" s="44" t="s">
        <v>26</v>
      </c>
      <c r="K84" s="37"/>
      <c r="M84" s="60"/>
    </row>
    <row r="85" ht="15.75" customHeight="1">
      <c r="A85" s="47">
        <v>44999.0</v>
      </c>
      <c r="B85" s="61" t="s">
        <v>354</v>
      </c>
      <c r="C85" s="48" t="s">
        <v>20</v>
      </c>
      <c r="D85" s="49" t="s">
        <v>328</v>
      </c>
      <c r="E85" s="53">
        <v>77.0</v>
      </c>
      <c r="F85" s="61" t="s">
        <v>17</v>
      </c>
      <c r="G85" s="51" t="s">
        <v>355</v>
      </c>
      <c r="H85" s="44" t="s">
        <v>53</v>
      </c>
      <c r="I85" s="24" t="s">
        <v>85</v>
      </c>
      <c r="J85" s="44" t="s">
        <v>26</v>
      </c>
      <c r="K85" s="37"/>
      <c r="M85" s="60" t="s">
        <v>287</v>
      </c>
    </row>
    <row r="86" ht="15.75" customHeight="1">
      <c r="A86" s="47">
        <v>44999.0</v>
      </c>
      <c r="B86" s="61" t="s">
        <v>284</v>
      </c>
      <c r="C86" s="48" t="s">
        <v>20</v>
      </c>
      <c r="D86" s="49" t="s">
        <v>328</v>
      </c>
      <c r="E86" s="50">
        <v>78.0</v>
      </c>
      <c r="F86" s="61" t="s">
        <v>22</v>
      </c>
      <c r="G86" s="51"/>
      <c r="I86" s="24"/>
      <c r="K86" s="62"/>
    </row>
    <row r="87" ht="15.75" customHeight="1">
      <c r="A87" s="58">
        <v>45007.0</v>
      </c>
      <c r="B87" s="44" t="s">
        <v>356</v>
      </c>
      <c r="C87" s="48" t="s">
        <v>20</v>
      </c>
      <c r="D87" s="49" t="s">
        <v>328</v>
      </c>
      <c r="E87" s="50">
        <v>79.0</v>
      </c>
      <c r="F87" s="61" t="s">
        <v>22</v>
      </c>
      <c r="G87" s="51" t="s">
        <v>357</v>
      </c>
      <c r="H87" s="44" t="s">
        <v>53</v>
      </c>
      <c r="I87" s="44" t="s">
        <v>358</v>
      </c>
      <c r="J87" s="44" t="s">
        <v>26</v>
      </c>
      <c r="K87" s="62" t="s">
        <v>359</v>
      </c>
      <c r="L87" s="44" t="s">
        <v>26</v>
      </c>
      <c r="M87" s="44" t="s">
        <v>360</v>
      </c>
      <c r="N87" s="44" t="s">
        <v>361</v>
      </c>
    </row>
    <row r="88" ht="15.75" customHeight="1">
      <c r="A88" s="58">
        <v>45020.0</v>
      </c>
      <c r="B88" s="44" t="s">
        <v>362</v>
      </c>
      <c r="C88" s="48" t="s">
        <v>20</v>
      </c>
      <c r="D88" s="49" t="s">
        <v>328</v>
      </c>
      <c r="E88" s="50">
        <v>80.0</v>
      </c>
      <c r="F88" s="61" t="s">
        <v>22</v>
      </c>
      <c r="G88" s="51" t="s">
        <v>363</v>
      </c>
      <c r="H88" s="44" t="s">
        <v>53</v>
      </c>
      <c r="J88" s="44" t="s">
        <v>26</v>
      </c>
      <c r="K88" s="62" t="s">
        <v>364</v>
      </c>
      <c r="L88" s="44" t="s">
        <v>26</v>
      </c>
      <c r="M88" s="44" t="s">
        <v>365</v>
      </c>
      <c r="N88" s="44" t="s">
        <v>366</v>
      </c>
    </row>
    <row r="89">
      <c r="A89" s="47">
        <v>45035.0</v>
      </c>
      <c r="B89" s="44" t="s">
        <v>367</v>
      </c>
      <c r="C89" s="48" t="s">
        <v>20</v>
      </c>
      <c r="D89" s="49" t="s">
        <v>328</v>
      </c>
      <c r="E89" s="50">
        <v>81.0</v>
      </c>
      <c r="F89" s="61" t="s">
        <v>22</v>
      </c>
      <c r="G89" s="51" t="s">
        <v>368</v>
      </c>
      <c r="H89" s="44" t="s">
        <v>53</v>
      </c>
      <c r="I89" s="51" t="s">
        <v>316</v>
      </c>
      <c r="J89" s="44" t="s">
        <v>26</v>
      </c>
      <c r="K89" s="51">
        <v>9.183304418E9</v>
      </c>
      <c r="L89" s="44" t="s">
        <v>26</v>
      </c>
      <c r="M89" s="44" t="s">
        <v>369</v>
      </c>
      <c r="N89" s="44" t="s">
        <v>370</v>
      </c>
    </row>
    <row r="90">
      <c r="A90" s="47">
        <v>45035.0</v>
      </c>
      <c r="B90" s="44" t="s">
        <v>371</v>
      </c>
      <c r="C90" s="48" t="s">
        <v>20</v>
      </c>
      <c r="D90" s="49" t="s">
        <v>328</v>
      </c>
      <c r="E90" s="50">
        <v>82.0</v>
      </c>
      <c r="F90" s="61" t="s">
        <v>22</v>
      </c>
      <c r="G90" s="51" t="s">
        <v>368</v>
      </c>
      <c r="H90" s="44" t="s">
        <v>53</v>
      </c>
      <c r="I90" s="51" t="s">
        <v>316</v>
      </c>
      <c r="J90" s="44">
        <v>5118523.0</v>
      </c>
      <c r="K90" s="51">
        <v>9.156252447E9</v>
      </c>
      <c r="L90" s="44" t="s">
        <v>26</v>
      </c>
      <c r="M90" s="44" t="s">
        <v>372</v>
      </c>
      <c r="N90" s="44" t="s">
        <v>370</v>
      </c>
    </row>
    <row r="91">
      <c r="A91" s="47">
        <v>45036.0</v>
      </c>
      <c r="B91" s="44" t="s">
        <v>373</v>
      </c>
      <c r="C91" s="48" t="s">
        <v>20</v>
      </c>
      <c r="D91" s="49" t="s">
        <v>328</v>
      </c>
      <c r="E91" s="50">
        <v>83.0</v>
      </c>
      <c r="F91" s="61" t="s">
        <v>22</v>
      </c>
      <c r="G91" s="51" t="s">
        <v>368</v>
      </c>
      <c r="H91" s="44" t="s">
        <v>53</v>
      </c>
      <c r="I91" s="51" t="s">
        <v>316</v>
      </c>
      <c r="J91" s="44">
        <v>5118523.0</v>
      </c>
      <c r="K91" s="51">
        <v>9.500034025E9</v>
      </c>
      <c r="L91" s="44" t="s">
        <v>26</v>
      </c>
      <c r="M91" s="44" t="s">
        <v>374</v>
      </c>
    </row>
    <row r="92" ht="15.75" customHeight="1">
      <c r="A92" s="47">
        <v>45051.0</v>
      </c>
      <c r="B92" s="44" t="s">
        <v>375</v>
      </c>
      <c r="C92" s="48" t="s">
        <v>20</v>
      </c>
      <c r="D92" s="49" t="s">
        <v>328</v>
      </c>
      <c r="E92" s="50">
        <v>84.0</v>
      </c>
      <c r="F92" s="61" t="s">
        <v>22</v>
      </c>
      <c r="G92" s="51" t="s">
        <v>211</v>
      </c>
      <c r="H92" s="44" t="s">
        <v>53</v>
      </c>
      <c r="I92" s="44" t="s">
        <v>358</v>
      </c>
      <c r="J92" s="44" t="s">
        <v>26</v>
      </c>
      <c r="K92" s="51">
        <v>9.45102709E9</v>
      </c>
      <c r="L92" s="44" t="s">
        <v>26</v>
      </c>
      <c r="M92" s="44" t="s">
        <v>376</v>
      </c>
      <c r="N92" s="44" t="s">
        <v>377</v>
      </c>
    </row>
    <row r="93" ht="15.75" customHeight="1">
      <c r="A93" s="47">
        <v>45054.0</v>
      </c>
      <c r="B93" s="44" t="s">
        <v>378</v>
      </c>
      <c r="C93" s="48" t="s">
        <v>20</v>
      </c>
      <c r="D93" s="49" t="s">
        <v>328</v>
      </c>
      <c r="E93" s="53">
        <v>85.0</v>
      </c>
      <c r="F93" s="61" t="s">
        <v>17</v>
      </c>
      <c r="G93" s="51" t="s">
        <v>379</v>
      </c>
      <c r="H93" s="44" t="s">
        <v>53</v>
      </c>
      <c r="I93" s="44" t="s">
        <v>85</v>
      </c>
      <c r="J93" s="44">
        <v>3319762.0</v>
      </c>
      <c r="K93" s="51">
        <v>9.150466811E9</v>
      </c>
      <c r="L93" s="44" t="s">
        <v>26</v>
      </c>
      <c r="M93" s="44" t="s">
        <v>380</v>
      </c>
      <c r="N93" s="44" t="s">
        <v>381</v>
      </c>
    </row>
    <row r="94" ht="15.75" customHeight="1">
      <c r="A94" s="47">
        <v>45062.0</v>
      </c>
      <c r="B94" s="44" t="s">
        <v>382</v>
      </c>
      <c r="C94" s="48" t="s">
        <v>42</v>
      </c>
      <c r="D94" s="49" t="s">
        <v>328</v>
      </c>
      <c r="E94" s="50">
        <v>86.0</v>
      </c>
      <c r="F94" s="61" t="s">
        <v>22</v>
      </c>
      <c r="G94" s="51" t="s">
        <v>383</v>
      </c>
      <c r="H94" s="44" t="s">
        <v>53</v>
      </c>
      <c r="I94" s="44" t="s">
        <v>206</v>
      </c>
      <c r="J94" s="44" t="s">
        <v>26</v>
      </c>
      <c r="K94" s="51">
        <v>9.381797811E9</v>
      </c>
      <c r="L94" s="44" t="s">
        <v>26</v>
      </c>
      <c r="M94" s="44" t="s">
        <v>384</v>
      </c>
      <c r="N94" s="44" t="s">
        <v>385</v>
      </c>
    </row>
    <row r="95" ht="15.75" customHeight="1">
      <c r="A95" s="47">
        <v>45062.0</v>
      </c>
      <c r="B95" s="44" t="s">
        <v>386</v>
      </c>
      <c r="C95" s="48" t="s">
        <v>20</v>
      </c>
      <c r="D95" s="49" t="s">
        <v>328</v>
      </c>
      <c r="E95" s="50">
        <v>87.0</v>
      </c>
      <c r="F95" s="61" t="s">
        <v>22</v>
      </c>
      <c r="G95" s="51" t="s">
        <v>383</v>
      </c>
      <c r="H95" s="44" t="s">
        <v>53</v>
      </c>
      <c r="I95" s="44" t="s">
        <v>206</v>
      </c>
      <c r="J95" s="44" t="s">
        <v>26</v>
      </c>
      <c r="K95" s="51">
        <v>9.611424133E9</v>
      </c>
      <c r="L95" s="44" t="s">
        <v>26</v>
      </c>
      <c r="M95" s="44" t="s">
        <v>387</v>
      </c>
      <c r="N95" s="44" t="s">
        <v>388</v>
      </c>
    </row>
    <row r="96">
      <c r="A96" s="58">
        <v>45083.0</v>
      </c>
      <c r="B96" s="44" t="s">
        <v>389</v>
      </c>
      <c r="C96" s="48" t="s">
        <v>20</v>
      </c>
      <c r="D96" s="49" t="s">
        <v>328</v>
      </c>
      <c r="E96" s="50">
        <v>88.0</v>
      </c>
      <c r="F96" s="61" t="s">
        <v>22</v>
      </c>
      <c r="G96" s="51" t="s">
        <v>390</v>
      </c>
      <c r="H96" s="44" t="s">
        <v>236</v>
      </c>
      <c r="I96" s="51" t="s">
        <v>391</v>
      </c>
      <c r="J96" s="44" t="s">
        <v>26</v>
      </c>
      <c r="K96" s="51">
        <v>9.510585545E9</v>
      </c>
      <c r="L96" s="44" t="s">
        <v>26</v>
      </c>
      <c r="M96" s="44" t="s">
        <v>392</v>
      </c>
    </row>
    <row r="97">
      <c r="A97" s="47">
        <v>45083.0</v>
      </c>
      <c r="B97" s="44" t="s">
        <v>393</v>
      </c>
      <c r="C97" s="48" t="s">
        <v>20</v>
      </c>
      <c r="D97" s="49" t="s">
        <v>328</v>
      </c>
      <c r="E97" s="50">
        <v>89.0</v>
      </c>
      <c r="F97" s="61" t="s">
        <v>22</v>
      </c>
      <c r="G97" s="51" t="s">
        <v>394</v>
      </c>
      <c r="H97" s="51" t="s">
        <v>395</v>
      </c>
      <c r="I97" s="51" t="s">
        <v>396</v>
      </c>
      <c r="J97" s="44" t="s">
        <v>397</v>
      </c>
      <c r="K97" s="51">
        <v>9.948480119E9</v>
      </c>
      <c r="L97" s="44" t="s">
        <v>26</v>
      </c>
      <c r="M97" s="51" t="s">
        <v>398</v>
      </c>
      <c r="N97" s="44" t="s">
        <v>399</v>
      </c>
    </row>
    <row r="98">
      <c r="A98" s="47">
        <v>45083.0</v>
      </c>
      <c r="B98" s="44" t="s">
        <v>400</v>
      </c>
      <c r="C98" s="48" t="s">
        <v>20</v>
      </c>
      <c r="D98" s="49" t="s">
        <v>328</v>
      </c>
      <c r="E98" s="50">
        <v>90.0</v>
      </c>
      <c r="F98" s="61" t="s">
        <v>22</v>
      </c>
      <c r="G98" s="51" t="s">
        <v>401</v>
      </c>
      <c r="H98" s="51" t="s">
        <v>395</v>
      </c>
      <c r="J98" s="44" t="s">
        <v>26</v>
      </c>
      <c r="K98" s="51">
        <v>9.06264839E9</v>
      </c>
      <c r="L98" s="44" t="s">
        <v>26</v>
      </c>
      <c r="M98" s="44" t="s">
        <v>402</v>
      </c>
      <c r="N98" s="44" t="s">
        <v>403</v>
      </c>
    </row>
    <row r="99" ht="15.75" customHeight="1">
      <c r="A99" s="47">
        <v>45085.0</v>
      </c>
      <c r="B99" s="44" t="s">
        <v>404</v>
      </c>
      <c r="C99" s="48" t="s">
        <v>20</v>
      </c>
      <c r="D99" s="49" t="s">
        <v>328</v>
      </c>
      <c r="E99" s="50">
        <v>91.0</v>
      </c>
      <c r="F99" s="61" t="s">
        <v>22</v>
      </c>
      <c r="G99" s="51" t="s">
        <v>405</v>
      </c>
      <c r="H99" s="44" t="s">
        <v>406</v>
      </c>
      <c r="I99" s="44" t="s">
        <v>407</v>
      </c>
      <c r="K99" s="37"/>
    </row>
    <row r="100">
      <c r="A100" s="58">
        <v>45091.0</v>
      </c>
      <c r="B100" s="44" t="s">
        <v>408</v>
      </c>
      <c r="C100" s="48" t="s">
        <v>20</v>
      </c>
      <c r="D100" s="49" t="s">
        <v>328</v>
      </c>
      <c r="E100" s="50">
        <v>92.0</v>
      </c>
      <c r="F100" s="61" t="s">
        <v>22</v>
      </c>
      <c r="G100" s="51" t="s">
        <v>409</v>
      </c>
      <c r="H100" s="44" t="s">
        <v>410</v>
      </c>
      <c r="I100" s="44" t="s">
        <v>411</v>
      </c>
      <c r="J100" s="44" t="s">
        <v>26</v>
      </c>
      <c r="K100" s="51">
        <v>9.955359003E9</v>
      </c>
      <c r="L100" s="44" t="s">
        <v>26</v>
      </c>
      <c r="M100" s="44" t="s">
        <v>412</v>
      </c>
      <c r="N100" s="44" t="s">
        <v>413</v>
      </c>
    </row>
    <row r="101" ht="15.75" customHeight="1">
      <c r="A101" s="47">
        <v>45103.0</v>
      </c>
      <c r="B101" s="44" t="s">
        <v>414</v>
      </c>
      <c r="C101" s="48" t="s">
        <v>42</v>
      </c>
      <c r="D101" s="49" t="s">
        <v>328</v>
      </c>
      <c r="E101" s="50">
        <v>93.0</v>
      </c>
      <c r="F101" s="61" t="s">
        <v>22</v>
      </c>
      <c r="G101" s="51" t="s">
        <v>415</v>
      </c>
      <c r="H101" s="44" t="s">
        <v>416</v>
      </c>
      <c r="J101" s="44" t="s">
        <v>417</v>
      </c>
      <c r="K101" s="51">
        <v>9.458039067E9</v>
      </c>
      <c r="L101" s="44" t="s">
        <v>417</v>
      </c>
      <c r="M101" s="44" t="s">
        <v>418</v>
      </c>
      <c r="N101" s="44" t="s">
        <v>419</v>
      </c>
    </row>
    <row r="102" ht="15.75" customHeight="1">
      <c r="A102" s="47">
        <v>45103.0</v>
      </c>
      <c r="B102" s="44" t="s">
        <v>420</v>
      </c>
      <c r="C102" s="48" t="s">
        <v>20</v>
      </c>
      <c r="D102" s="49" t="s">
        <v>328</v>
      </c>
      <c r="E102" s="50">
        <v>94.0</v>
      </c>
      <c r="F102" s="61" t="s">
        <v>22</v>
      </c>
      <c r="G102" s="51" t="s">
        <v>421</v>
      </c>
      <c r="H102" s="44" t="s">
        <v>416</v>
      </c>
      <c r="K102" s="51">
        <v>9.101570895E9</v>
      </c>
      <c r="M102" s="44" t="s">
        <v>422</v>
      </c>
      <c r="N102" s="44" t="s">
        <v>423</v>
      </c>
    </row>
    <row r="103">
      <c r="A103" s="47">
        <v>45103.0</v>
      </c>
      <c r="B103" s="51" t="s">
        <v>424</v>
      </c>
      <c r="C103" s="48" t="s">
        <v>20</v>
      </c>
      <c r="D103" s="49" t="s">
        <v>328</v>
      </c>
      <c r="E103" s="50">
        <v>95.0</v>
      </c>
      <c r="F103" s="61" t="s">
        <v>22</v>
      </c>
      <c r="G103" s="51" t="s">
        <v>425</v>
      </c>
      <c r="H103" s="44" t="s">
        <v>416</v>
      </c>
      <c r="K103" s="51">
        <v>9.291552319E9</v>
      </c>
      <c r="M103" s="44" t="s">
        <v>426</v>
      </c>
      <c r="N103" s="44" t="s">
        <v>427</v>
      </c>
    </row>
    <row r="104" ht="30.75" customHeight="1">
      <c r="A104" s="63">
        <v>45119.0</v>
      </c>
      <c r="B104" s="44" t="s">
        <v>428</v>
      </c>
      <c r="C104" s="48" t="s">
        <v>42</v>
      </c>
      <c r="D104" s="49" t="s">
        <v>328</v>
      </c>
      <c r="E104" s="53">
        <v>96.0</v>
      </c>
      <c r="F104" s="44" t="s">
        <v>17</v>
      </c>
      <c r="G104" s="51" t="s">
        <v>166</v>
      </c>
      <c r="H104" s="44" t="s">
        <v>53</v>
      </c>
      <c r="I104" s="51" t="s">
        <v>316</v>
      </c>
      <c r="J104" s="44" t="s">
        <v>26</v>
      </c>
      <c r="K104" s="37"/>
      <c r="L104" s="44" t="s">
        <v>26</v>
      </c>
      <c r="M104" s="44" t="s">
        <v>429</v>
      </c>
    </row>
    <row r="105" ht="33.75" customHeight="1">
      <c r="A105" s="64">
        <v>45119.0</v>
      </c>
      <c r="B105" s="44" t="s">
        <v>430</v>
      </c>
      <c r="C105" s="48" t="s">
        <v>42</v>
      </c>
      <c r="D105" s="49" t="s">
        <v>328</v>
      </c>
      <c r="E105" s="53">
        <v>97.0</v>
      </c>
      <c r="F105" s="44" t="s">
        <v>17</v>
      </c>
      <c r="G105" s="51" t="s">
        <v>71</v>
      </c>
      <c r="H105" s="44" t="s">
        <v>53</v>
      </c>
      <c r="I105" s="51" t="s">
        <v>316</v>
      </c>
      <c r="J105" s="44" t="s">
        <v>26</v>
      </c>
      <c r="K105" s="37"/>
      <c r="L105" s="44" t="s">
        <v>26</v>
      </c>
      <c r="M105" s="65" t="s">
        <v>431</v>
      </c>
    </row>
    <row r="106">
      <c r="A106" s="58">
        <v>45125.0</v>
      </c>
      <c r="B106" s="44" t="s">
        <v>432</v>
      </c>
      <c r="C106" s="48" t="s">
        <v>20</v>
      </c>
      <c r="D106" s="49" t="s">
        <v>328</v>
      </c>
      <c r="E106" s="53">
        <v>98.0</v>
      </c>
      <c r="F106" s="44" t="s">
        <v>17</v>
      </c>
      <c r="G106" s="51" t="s">
        <v>433</v>
      </c>
      <c r="H106" s="51" t="s">
        <v>434</v>
      </c>
      <c r="J106" s="44" t="s">
        <v>26</v>
      </c>
      <c r="K106" s="51">
        <v>9.157867613E9</v>
      </c>
      <c r="L106" s="44" t="s">
        <v>26</v>
      </c>
      <c r="M106" s="44" t="s">
        <v>435</v>
      </c>
    </row>
    <row r="107" ht="32.25" customHeight="1">
      <c r="A107" s="47">
        <v>45125.0</v>
      </c>
      <c r="B107" s="66" t="s">
        <v>436</v>
      </c>
      <c r="C107" s="48" t="s">
        <v>20</v>
      </c>
      <c r="D107" s="49" t="s">
        <v>328</v>
      </c>
      <c r="E107" s="53">
        <v>99.0</v>
      </c>
      <c r="F107" s="44" t="s">
        <v>17</v>
      </c>
      <c r="G107" s="51" t="s">
        <v>437</v>
      </c>
      <c r="H107" s="59" t="s">
        <v>53</v>
      </c>
      <c r="I107" s="51" t="s">
        <v>316</v>
      </c>
      <c r="J107" s="44" t="s">
        <v>26</v>
      </c>
      <c r="K107" s="37"/>
      <c r="L107" s="44" t="s">
        <v>26</v>
      </c>
    </row>
    <row r="108">
      <c r="A108" s="58">
        <v>45140.0</v>
      </c>
      <c r="B108" s="44" t="s">
        <v>438</v>
      </c>
      <c r="C108" s="48" t="s">
        <v>20</v>
      </c>
      <c r="D108" s="49" t="s">
        <v>328</v>
      </c>
      <c r="E108" s="50">
        <v>100.0</v>
      </c>
      <c r="F108" s="44" t="s">
        <v>22</v>
      </c>
      <c r="G108" s="51" t="s">
        <v>439</v>
      </c>
      <c r="H108" s="44" t="s">
        <v>236</v>
      </c>
      <c r="I108" s="67" t="s">
        <v>440</v>
      </c>
      <c r="J108" s="44" t="s">
        <v>441</v>
      </c>
      <c r="K108" s="51">
        <v>9.176276757E9</v>
      </c>
      <c r="L108" s="44" t="s">
        <v>26</v>
      </c>
      <c r="M108" s="44" t="s">
        <v>442</v>
      </c>
      <c r="N108" s="44" t="s">
        <v>442</v>
      </c>
    </row>
    <row r="109">
      <c r="A109" s="58">
        <v>45154.0</v>
      </c>
      <c r="B109" s="44" t="s">
        <v>443</v>
      </c>
      <c r="C109" s="48" t="s">
        <v>42</v>
      </c>
      <c r="D109" s="49" t="s">
        <v>328</v>
      </c>
      <c r="E109" s="50">
        <v>101.0</v>
      </c>
      <c r="F109" s="44" t="s">
        <v>22</v>
      </c>
      <c r="G109" s="51" t="s">
        <v>444</v>
      </c>
      <c r="H109" s="44" t="s">
        <v>236</v>
      </c>
      <c r="I109" s="51" t="s">
        <v>445</v>
      </c>
      <c r="J109" s="44" t="s">
        <v>26</v>
      </c>
      <c r="K109" s="51">
        <v>9.688541748E9</v>
      </c>
      <c r="L109" s="44" t="s">
        <v>26</v>
      </c>
      <c r="M109" s="44" t="s">
        <v>446</v>
      </c>
      <c r="N109" s="44" t="s">
        <v>447</v>
      </c>
    </row>
    <row r="110">
      <c r="A110" s="58">
        <v>45154.0</v>
      </c>
      <c r="B110" s="44" t="s">
        <v>448</v>
      </c>
      <c r="C110" s="48" t="s">
        <v>20</v>
      </c>
      <c r="D110" s="49" t="s">
        <v>328</v>
      </c>
      <c r="E110" s="50">
        <v>102.0</v>
      </c>
      <c r="F110" s="44" t="s">
        <v>22</v>
      </c>
      <c r="G110" s="51" t="s">
        <v>444</v>
      </c>
      <c r="H110" s="44" t="s">
        <v>236</v>
      </c>
      <c r="I110" s="51" t="s">
        <v>445</v>
      </c>
      <c r="J110" s="44" t="s">
        <v>26</v>
      </c>
      <c r="K110" s="51">
        <v>9.953364536E9</v>
      </c>
      <c r="L110" s="44" t="s">
        <v>26</v>
      </c>
      <c r="M110" s="44" t="s">
        <v>449</v>
      </c>
      <c r="N110" s="44" t="s">
        <v>450</v>
      </c>
    </row>
    <row r="111">
      <c r="A111" s="58">
        <v>45154.0</v>
      </c>
      <c r="B111" s="44" t="s">
        <v>451</v>
      </c>
      <c r="C111" s="48" t="s">
        <v>20</v>
      </c>
      <c r="D111" s="49" t="s">
        <v>328</v>
      </c>
      <c r="E111" s="50">
        <v>103.0</v>
      </c>
      <c r="F111" s="44" t="s">
        <v>22</v>
      </c>
      <c r="G111" s="51" t="s">
        <v>444</v>
      </c>
      <c r="H111" s="44" t="s">
        <v>236</v>
      </c>
      <c r="I111" s="51" t="s">
        <v>445</v>
      </c>
      <c r="J111" s="44" t="s">
        <v>26</v>
      </c>
      <c r="K111" s="51">
        <v>9.561884175E9</v>
      </c>
      <c r="L111" s="44" t="s">
        <v>26</v>
      </c>
      <c r="M111" s="44" t="s">
        <v>452</v>
      </c>
      <c r="N111" s="44" t="s">
        <v>453</v>
      </c>
    </row>
    <row r="112">
      <c r="A112" s="58">
        <v>45154.0</v>
      </c>
      <c r="B112" s="44" t="s">
        <v>454</v>
      </c>
      <c r="C112" s="48" t="s">
        <v>42</v>
      </c>
      <c r="D112" s="49" t="s">
        <v>328</v>
      </c>
      <c r="E112" s="50">
        <v>104.0</v>
      </c>
      <c r="F112" s="44" t="s">
        <v>22</v>
      </c>
      <c r="G112" s="51" t="s">
        <v>444</v>
      </c>
      <c r="H112" s="44" t="s">
        <v>236</v>
      </c>
      <c r="I112" s="51" t="s">
        <v>445</v>
      </c>
      <c r="J112" s="44" t="s">
        <v>26</v>
      </c>
      <c r="K112" s="51">
        <v>9.206182909E9</v>
      </c>
      <c r="L112" s="44" t="s">
        <v>26</v>
      </c>
      <c r="M112" s="44" t="s">
        <v>455</v>
      </c>
      <c r="N112" s="44" t="s">
        <v>456</v>
      </c>
    </row>
    <row r="113">
      <c r="A113" s="58">
        <v>45154.0</v>
      </c>
      <c r="B113" s="44" t="s">
        <v>457</v>
      </c>
      <c r="C113" s="48" t="s">
        <v>42</v>
      </c>
      <c r="D113" s="49" t="s">
        <v>328</v>
      </c>
      <c r="E113" s="50">
        <v>105.0</v>
      </c>
      <c r="F113" s="44" t="s">
        <v>22</v>
      </c>
      <c r="G113" s="51" t="s">
        <v>444</v>
      </c>
      <c r="H113" s="44" t="s">
        <v>236</v>
      </c>
      <c r="I113" s="51" t="s">
        <v>445</v>
      </c>
      <c r="J113" s="44" t="s">
        <v>26</v>
      </c>
      <c r="K113" s="51">
        <v>9.164855575E9</v>
      </c>
      <c r="L113" s="44" t="s">
        <v>26</v>
      </c>
      <c r="M113" s="44" t="s">
        <v>458</v>
      </c>
      <c r="N113" s="44" t="s">
        <v>459</v>
      </c>
    </row>
    <row r="114">
      <c r="A114" s="58">
        <v>45154.0</v>
      </c>
      <c r="B114" s="44" t="s">
        <v>460</v>
      </c>
      <c r="C114" s="48" t="s">
        <v>20</v>
      </c>
      <c r="D114" s="49" t="s">
        <v>328</v>
      </c>
      <c r="E114" s="50">
        <v>106.0</v>
      </c>
      <c r="F114" s="44" t="s">
        <v>22</v>
      </c>
      <c r="G114" s="51" t="s">
        <v>444</v>
      </c>
      <c r="H114" s="44" t="s">
        <v>236</v>
      </c>
      <c r="I114" s="51" t="s">
        <v>445</v>
      </c>
      <c r="J114" s="44" t="s">
        <v>26</v>
      </c>
      <c r="K114" s="51">
        <v>9.063475178E9</v>
      </c>
      <c r="L114" s="44" t="s">
        <v>26</v>
      </c>
      <c r="M114" s="44" t="s">
        <v>461</v>
      </c>
      <c r="N114" s="44" t="s">
        <v>462</v>
      </c>
    </row>
    <row r="115">
      <c r="A115" s="58">
        <v>45154.0</v>
      </c>
      <c r="B115" s="44" t="s">
        <v>463</v>
      </c>
      <c r="C115" s="48" t="s">
        <v>42</v>
      </c>
      <c r="D115" s="49" t="s">
        <v>328</v>
      </c>
      <c r="E115" s="50">
        <v>107.0</v>
      </c>
      <c r="F115" s="44" t="s">
        <v>22</v>
      </c>
      <c r="G115" s="51" t="s">
        <v>444</v>
      </c>
      <c r="H115" s="44" t="s">
        <v>236</v>
      </c>
      <c r="I115" s="51" t="s">
        <v>445</v>
      </c>
      <c r="J115" s="68" t="s">
        <v>26</v>
      </c>
      <c r="K115" s="69">
        <v>9.952864296E9</v>
      </c>
      <c r="L115" s="68" t="s">
        <v>26</v>
      </c>
      <c r="M115" s="69" t="s">
        <v>464</v>
      </c>
      <c r="N115" s="44" t="s">
        <v>465</v>
      </c>
    </row>
    <row r="116">
      <c r="A116" s="58">
        <v>45154.0</v>
      </c>
      <c r="B116" s="44" t="s">
        <v>466</v>
      </c>
      <c r="C116" s="48" t="s">
        <v>20</v>
      </c>
      <c r="D116" s="49" t="s">
        <v>328</v>
      </c>
      <c r="E116" s="50">
        <v>108.0</v>
      </c>
      <c r="F116" s="44" t="s">
        <v>22</v>
      </c>
      <c r="G116" s="51" t="s">
        <v>444</v>
      </c>
      <c r="H116" s="44" t="s">
        <v>236</v>
      </c>
      <c r="I116" s="51" t="s">
        <v>445</v>
      </c>
      <c r="J116" s="68" t="s">
        <v>26</v>
      </c>
      <c r="K116" s="69">
        <v>9.081679223E9</v>
      </c>
      <c r="L116" s="68" t="s">
        <v>26</v>
      </c>
      <c r="M116" s="44" t="s">
        <v>467</v>
      </c>
      <c r="N116" s="44" t="s">
        <v>468</v>
      </c>
    </row>
    <row r="117">
      <c r="A117" s="58">
        <v>45154.0</v>
      </c>
      <c r="B117" s="44" t="s">
        <v>469</v>
      </c>
      <c r="C117" s="48" t="s">
        <v>20</v>
      </c>
      <c r="D117" s="49" t="s">
        <v>328</v>
      </c>
      <c r="E117" s="50">
        <v>109.0</v>
      </c>
      <c r="F117" s="44" t="s">
        <v>22</v>
      </c>
      <c r="G117" s="51" t="s">
        <v>444</v>
      </c>
      <c r="H117" s="44" t="s">
        <v>236</v>
      </c>
      <c r="I117" s="51" t="s">
        <v>445</v>
      </c>
      <c r="J117" s="68" t="s">
        <v>26</v>
      </c>
      <c r="K117" s="51">
        <v>9.308276464E9</v>
      </c>
      <c r="L117" s="68" t="s">
        <v>26</v>
      </c>
      <c r="M117" s="44" t="s">
        <v>470</v>
      </c>
      <c r="N117" s="44" t="s">
        <v>462</v>
      </c>
    </row>
    <row r="118">
      <c r="A118" s="58">
        <v>45154.0</v>
      </c>
      <c r="B118" s="44" t="s">
        <v>471</v>
      </c>
      <c r="C118" s="48" t="s">
        <v>20</v>
      </c>
      <c r="D118" s="49" t="s">
        <v>328</v>
      </c>
      <c r="E118" s="50">
        <v>110.0</v>
      </c>
      <c r="F118" s="44" t="s">
        <v>22</v>
      </c>
      <c r="G118" s="51" t="s">
        <v>444</v>
      </c>
      <c r="H118" s="44" t="s">
        <v>236</v>
      </c>
      <c r="I118" s="51" t="s">
        <v>445</v>
      </c>
      <c r="J118" s="68" t="s">
        <v>26</v>
      </c>
      <c r="K118" s="51">
        <v>9.456986832E9</v>
      </c>
      <c r="L118" s="68" t="s">
        <v>26</v>
      </c>
      <c r="M118" s="44" t="s">
        <v>472</v>
      </c>
      <c r="N118" s="44" t="s">
        <v>473</v>
      </c>
    </row>
    <row r="119" ht="27.0" customHeight="1">
      <c r="A119" s="47">
        <v>45154.0</v>
      </c>
      <c r="B119" s="51" t="s">
        <v>474</v>
      </c>
      <c r="C119" s="48" t="s">
        <v>20</v>
      </c>
      <c r="D119" s="49" t="s">
        <v>328</v>
      </c>
      <c r="E119" s="50">
        <v>111.0</v>
      </c>
      <c r="F119" s="44" t="s">
        <v>22</v>
      </c>
      <c r="G119" s="51" t="s">
        <v>32</v>
      </c>
      <c r="H119" s="44" t="s">
        <v>475</v>
      </c>
      <c r="I119" s="44" t="s">
        <v>476</v>
      </c>
      <c r="J119" s="68" t="s">
        <v>26</v>
      </c>
      <c r="K119" s="51">
        <v>9.761912989E9</v>
      </c>
      <c r="L119" s="44" t="s">
        <v>26</v>
      </c>
      <c r="M119" s="44" t="s">
        <v>477</v>
      </c>
      <c r="N119" s="44" t="s">
        <v>478</v>
      </c>
    </row>
    <row r="120" ht="15.75" customHeight="1">
      <c r="A120" s="58">
        <v>45167.0</v>
      </c>
      <c r="B120" s="44" t="s">
        <v>479</v>
      </c>
      <c r="C120" s="48" t="s">
        <v>42</v>
      </c>
      <c r="D120" s="49" t="s">
        <v>328</v>
      </c>
      <c r="E120" s="50">
        <v>112.0</v>
      </c>
      <c r="F120" s="44" t="s">
        <v>22</v>
      </c>
      <c r="G120" s="51" t="s">
        <v>480</v>
      </c>
      <c r="H120" s="44" t="s">
        <v>481</v>
      </c>
      <c r="I120" s="44" t="s">
        <v>482</v>
      </c>
      <c r="J120" s="44" t="s">
        <v>26</v>
      </c>
      <c r="K120" s="51">
        <v>9.560589216E9</v>
      </c>
      <c r="L120" s="44" t="s">
        <v>26</v>
      </c>
      <c r="M120" s="44" t="s">
        <v>483</v>
      </c>
      <c r="N120" s="44" t="s">
        <v>484</v>
      </c>
    </row>
    <row r="121" ht="15.75" customHeight="1">
      <c r="A121" s="47">
        <v>45180.0</v>
      </c>
      <c r="B121" s="44" t="s">
        <v>485</v>
      </c>
      <c r="C121" s="48" t="s">
        <v>20</v>
      </c>
      <c r="D121" s="49" t="s">
        <v>328</v>
      </c>
      <c r="E121" s="53">
        <v>113.0</v>
      </c>
      <c r="F121" s="44" t="s">
        <v>22</v>
      </c>
      <c r="G121" s="51" t="s">
        <v>383</v>
      </c>
      <c r="H121" s="44" t="s">
        <v>486</v>
      </c>
      <c r="I121" s="44" t="s">
        <v>487</v>
      </c>
      <c r="J121" s="44" t="s">
        <v>26</v>
      </c>
      <c r="K121" s="51">
        <v>9.46281452E9</v>
      </c>
      <c r="L121" s="44" t="s">
        <v>26</v>
      </c>
      <c r="M121" s="44" t="s">
        <v>488</v>
      </c>
      <c r="N121" s="44" t="s">
        <v>489</v>
      </c>
    </row>
    <row r="122" ht="15.75" customHeight="1">
      <c r="A122" s="47">
        <v>45190.0</v>
      </c>
      <c r="B122" s="44" t="s">
        <v>490</v>
      </c>
      <c r="C122" s="48" t="s">
        <v>20</v>
      </c>
      <c r="D122" s="49" t="s">
        <v>328</v>
      </c>
      <c r="E122" s="53">
        <v>114.0</v>
      </c>
      <c r="F122" s="44" t="s">
        <v>17</v>
      </c>
      <c r="G122" s="51" t="s">
        <v>89</v>
      </c>
      <c r="H122" s="44" t="s">
        <v>486</v>
      </c>
      <c r="I122" s="44" t="s">
        <v>491</v>
      </c>
      <c r="J122" s="44" t="s">
        <v>26</v>
      </c>
      <c r="K122" s="51">
        <v>9.459665988E9</v>
      </c>
      <c r="L122" s="44" t="s">
        <v>26</v>
      </c>
      <c r="M122" s="44" t="s">
        <v>492</v>
      </c>
      <c r="N122" s="44" t="s">
        <v>493</v>
      </c>
    </row>
    <row r="123" ht="15.75" customHeight="1">
      <c r="A123" s="47">
        <v>45209.0</v>
      </c>
      <c r="B123" s="44" t="s">
        <v>494</v>
      </c>
      <c r="C123" s="48" t="s">
        <v>20</v>
      </c>
      <c r="D123" s="49" t="s">
        <v>328</v>
      </c>
      <c r="E123" s="53">
        <v>115.0</v>
      </c>
      <c r="F123" s="44" t="s">
        <v>17</v>
      </c>
      <c r="G123" s="51" t="s">
        <v>89</v>
      </c>
      <c r="H123" s="44" t="s">
        <v>486</v>
      </c>
      <c r="I123" s="44" t="s">
        <v>495</v>
      </c>
      <c r="J123" s="44" t="s">
        <v>26</v>
      </c>
      <c r="K123" s="37"/>
      <c r="M123" s="70" t="s">
        <v>496</v>
      </c>
    </row>
    <row r="124" ht="15.75" customHeight="1">
      <c r="A124" s="47">
        <v>45224.0</v>
      </c>
      <c r="B124" s="44" t="s">
        <v>497</v>
      </c>
      <c r="C124" s="48" t="s">
        <v>20</v>
      </c>
      <c r="D124" s="49" t="s">
        <v>328</v>
      </c>
      <c r="E124" s="53">
        <v>116.0</v>
      </c>
      <c r="F124" s="44" t="s">
        <v>17</v>
      </c>
      <c r="G124" s="51" t="s">
        <v>498</v>
      </c>
      <c r="H124" s="71" t="s">
        <v>499</v>
      </c>
      <c r="K124" s="37"/>
    </row>
    <row r="125" ht="15.75" customHeight="1">
      <c r="A125" s="47">
        <v>45239.0</v>
      </c>
      <c r="B125" s="44" t="s">
        <v>500</v>
      </c>
      <c r="C125" s="48" t="s">
        <v>42</v>
      </c>
      <c r="D125" s="49" t="s">
        <v>328</v>
      </c>
      <c r="E125" s="72">
        <v>117.0</v>
      </c>
      <c r="F125" s="44" t="s">
        <v>101</v>
      </c>
      <c r="G125" s="51" t="s">
        <v>52</v>
      </c>
      <c r="H125" s="44" t="s">
        <v>501</v>
      </c>
      <c r="J125" s="44" t="s">
        <v>26</v>
      </c>
      <c r="K125" s="51">
        <v>9.666957324E9</v>
      </c>
      <c r="L125" s="44" t="s">
        <v>26</v>
      </c>
      <c r="M125" s="44" t="s">
        <v>502</v>
      </c>
    </row>
    <row r="126" ht="15.75" customHeight="1">
      <c r="A126" s="47">
        <v>45239.0</v>
      </c>
      <c r="B126" s="44" t="s">
        <v>503</v>
      </c>
      <c r="C126" s="48" t="s">
        <v>20</v>
      </c>
      <c r="D126" s="49" t="s">
        <v>328</v>
      </c>
      <c r="E126" s="50">
        <v>118.0</v>
      </c>
      <c r="F126" s="44" t="s">
        <v>22</v>
      </c>
      <c r="G126" s="51" t="s">
        <v>504</v>
      </c>
      <c r="H126" s="44" t="s">
        <v>505</v>
      </c>
      <c r="K126" s="37"/>
      <c r="M126" s="65" t="s">
        <v>506</v>
      </c>
    </row>
    <row r="127">
      <c r="A127" s="47">
        <v>45240.0</v>
      </c>
      <c r="B127" s="44" t="s">
        <v>507</v>
      </c>
      <c r="C127" s="48" t="s">
        <v>42</v>
      </c>
      <c r="D127" s="49" t="s">
        <v>328</v>
      </c>
      <c r="E127" s="50">
        <v>119.0</v>
      </c>
      <c r="F127" s="44" t="s">
        <v>22</v>
      </c>
      <c r="G127" s="51" t="s">
        <v>166</v>
      </c>
      <c r="H127" s="44" t="s">
        <v>486</v>
      </c>
      <c r="I127" s="51" t="s">
        <v>316</v>
      </c>
      <c r="J127" s="44" t="s">
        <v>26</v>
      </c>
      <c r="K127" s="51">
        <v>9.157578534E9</v>
      </c>
      <c r="L127" s="44" t="s">
        <v>26</v>
      </c>
      <c r="M127" s="73" t="s">
        <v>508</v>
      </c>
      <c r="N127" s="44" t="s">
        <v>509</v>
      </c>
    </row>
    <row r="128">
      <c r="A128" s="47">
        <v>45240.0</v>
      </c>
      <c r="B128" s="44" t="s">
        <v>510</v>
      </c>
      <c r="C128" s="48" t="s">
        <v>20</v>
      </c>
      <c r="D128" s="49" t="s">
        <v>328</v>
      </c>
      <c r="E128" s="50">
        <v>120.0</v>
      </c>
      <c r="F128" s="44" t="s">
        <v>22</v>
      </c>
      <c r="G128" s="51" t="s">
        <v>511</v>
      </c>
      <c r="H128" s="44" t="s">
        <v>486</v>
      </c>
      <c r="I128" s="51" t="s">
        <v>316</v>
      </c>
      <c r="J128" s="44" t="s">
        <v>26</v>
      </c>
      <c r="K128" s="51">
        <v>9.157578534E9</v>
      </c>
      <c r="L128" s="44" t="s">
        <v>26</v>
      </c>
      <c r="M128" s="44" t="s">
        <v>512</v>
      </c>
      <c r="N128" s="44" t="s">
        <v>509</v>
      </c>
    </row>
    <row r="129">
      <c r="A129" s="47">
        <v>45240.0</v>
      </c>
      <c r="B129" s="44" t="s">
        <v>513</v>
      </c>
      <c r="C129" s="48" t="s">
        <v>20</v>
      </c>
      <c r="D129" s="49" t="s">
        <v>328</v>
      </c>
      <c r="E129" s="74">
        <v>121.0</v>
      </c>
      <c r="F129" s="44" t="s">
        <v>22</v>
      </c>
      <c r="G129" s="51" t="s">
        <v>514</v>
      </c>
      <c r="H129" s="44" t="s">
        <v>486</v>
      </c>
      <c r="I129" s="51" t="s">
        <v>316</v>
      </c>
      <c r="J129" s="44" t="s">
        <v>26</v>
      </c>
      <c r="K129" s="51">
        <v>9.157578534E9</v>
      </c>
      <c r="L129" s="44" t="s">
        <v>26</v>
      </c>
      <c r="M129" s="73" t="s">
        <v>508</v>
      </c>
      <c r="N129" s="44" t="s">
        <v>509</v>
      </c>
    </row>
    <row r="130">
      <c r="A130" s="47">
        <v>45240.0</v>
      </c>
      <c r="B130" s="44" t="s">
        <v>515</v>
      </c>
      <c r="C130" s="48" t="s">
        <v>20</v>
      </c>
      <c r="D130" s="49" t="s">
        <v>328</v>
      </c>
      <c r="E130" s="75">
        <v>122.0</v>
      </c>
      <c r="F130" s="44" t="s">
        <v>17</v>
      </c>
      <c r="G130" s="51" t="s">
        <v>516</v>
      </c>
      <c r="H130" s="44" t="s">
        <v>486</v>
      </c>
      <c r="I130" s="51" t="s">
        <v>316</v>
      </c>
      <c r="J130" s="44" t="s">
        <v>26</v>
      </c>
      <c r="K130" s="51">
        <v>9.157578534E9</v>
      </c>
      <c r="L130" s="44" t="s">
        <v>26</v>
      </c>
      <c r="M130" s="44" t="s">
        <v>517</v>
      </c>
      <c r="N130" s="44" t="s">
        <v>509</v>
      </c>
    </row>
    <row r="131">
      <c r="A131" s="47">
        <v>45240.0</v>
      </c>
      <c r="B131" s="44" t="s">
        <v>518</v>
      </c>
      <c r="C131" s="48" t="s">
        <v>42</v>
      </c>
      <c r="D131" s="49" t="s">
        <v>328</v>
      </c>
      <c r="E131" s="75">
        <v>123.0</v>
      </c>
      <c r="F131" s="44" t="s">
        <v>17</v>
      </c>
      <c r="G131" s="51" t="s">
        <v>516</v>
      </c>
      <c r="H131" s="44" t="s">
        <v>486</v>
      </c>
      <c r="I131" s="51" t="s">
        <v>316</v>
      </c>
      <c r="K131" s="37"/>
    </row>
    <row r="132">
      <c r="A132" s="47">
        <v>45240.0</v>
      </c>
      <c r="B132" s="44" t="s">
        <v>519</v>
      </c>
      <c r="C132" s="48" t="s">
        <v>20</v>
      </c>
      <c r="D132" s="49" t="s">
        <v>328</v>
      </c>
      <c r="E132" s="75">
        <v>124.0</v>
      </c>
      <c r="F132" s="44" t="s">
        <v>17</v>
      </c>
      <c r="G132" s="51" t="s">
        <v>516</v>
      </c>
      <c r="H132" s="44" t="s">
        <v>486</v>
      </c>
      <c r="I132" s="51" t="s">
        <v>316</v>
      </c>
      <c r="K132" s="37"/>
    </row>
    <row r="133">
      <c r="A133" s="47">
        <v>45240.0</v>
      </c>
      <c r="B133" s="44" t="s">
        <v>520</v>
      </c>
      <c r="C133" s="48" t="s">
        <v>20</v>
      </c>
      <c r="D133" s="49" t="s">
        <v>328</v>
      </c>
      <c r="E133" s="75">
        <v>125.0</v>
      </c>
      <c r="F133" s="44" t="s">
        <v>17</v>
      </c>
      <c r="G133" s="51" t="s">
        <v>516</v>
      </c>
      <c r="H133" s="44" t="s">
        <v>486</v>
      </c>
      <c r="I133" s="51" t="s">
        <v>316</v>
      </c>
      <c r="K133" s="37"/>
    </row>
    <row r="134">
      <c r="A134" s="47">
        <v>45250.0</v>
      </c>
      <c r="B134" s="44" t="s">
        <v>521</v>
      </c>
      <c r="C134" s="48" t="s">
        <v>20</v>
      </c>
      <c r="D134" s="49" t="s">
        <v>328</v>
      </c>
      <c r="E134" s="75">
        <v>126.0</v>
      </c>
      <c r="F134" s="44" t="s">
        <v>17</v>
      </c>
      <c r="G134" s="51" t="s">
        <v>173</v>
      </c>
      <c r="H134" s="44" t="s">
        <v>486</v>
      </c>
      <c r="I134" s="51" t="s">
        <v>522</v>
      </c>
      <c r="J134" s="44" t="s">
        <v>26</v>
      </c>
      <c r="K134" s="51">
        <v>9.464907985E9</v>
      </c>
      <c r="L134" s="44" t="s">
        <v>26</v>
      </c>
      <c r="M134" s="44" t="s">
        <v>523</v>
      </c>
      <c r="N134" s="44" t="s">
        <v>524</v>
      </c>
    </row>
    <row r="135" ht="15.75" customHeight="1">
      <c r="A135" s="58">
        <v>45258.0</v>
      </c>
      <c r="B135" s="44" t="s">
        <v>525</v>
      </c>
      <c r="C135" s="48" t="s">
        <v>20</v>
      </c>
      <c r="D135" s="49" t="s">
        <v>328</v>
      </c>
      <c r="E135" s="74">
        <v>127.0</v>
      </c>
      <c r="F135" s="44" t="s">
        <v>22</v>
      </c>
      <c r="G135" s="51" t="s">
        <v>526</v>
      </c>
      <c r="H135" s="44" t="s">
        <v>527</v>
      </c>
      <c r="I135" s="44" t="s">
        <v>26</v>
      </c>
      <c r="J135" s="44" t="s">
        <v>26</v>
      </c>
      <c r="K135" s="51">
        <v>9.1759018954E10</v>
      </c>
      <c r="L135" s="44" t="s">
        <v>26</v>
      </c>
      <c r="M135" s="44" t="s">
        <v>528</v>
      </c>
      <c r="N135" s="44" t="s">
        <v>529</v>
      </c>
    </row>
    <row r="136" ht="15.75" customHeight="1">
      <c r="A136" s="8" t="s">
        <v>530</v>
      </c>
      <c r="B136" s="9"/>
      <c r="C136" s="9"/>
      <c r="D136" s="9"/>
      <c r="E136" s="9"/>
      <c r="F136" s="9"/>
      <c r="G136" s="9"/>
      <c r="H136" s="9"/>
      <c r="I136" s="9"/>
      <c r="J136" s="9"/>
      <c r="K136" s="9"/>
      <c r="L136" s="9"/>
      <c r="M136" s="9"/>
      <c r="N136" s="9"/>
      <c r="O136" s="9"/>
      <c r="P136" s="9"/>
      <c r="Q136" s="9"/>
      <c r="R136" s="9"/>
      <c r="S136" s="9"/>
      <c r="T136" s="9"/>
      <c r="U136" s="9"/>
      <c r="V136" s="9"/>
      <c r="W136" s="9"/>
      <c r="X136" s="9"/>
      <c r="Y136" s="9"/>
      <c r="Z136" s="9"/>
      <c r="AA136" s="10"/>
    </row>
    <row r="137">
      <c r="A137" s="47">
        <v>45316.0</v>
      </c>
      <c r="B137" s="44" t="s">
        <v>531</v>
      </c>
      <c r="C137" s="48" t="s">
        <v>42</v>
      </c>
      <c r="D137" s="49" t="s">
        <v>532</v>
      </c>
      <c r="E137" s="75">
        <v>128.0</v>
      </c>
      <c r="F137" s="44" t="s">
        <v>17</v>
      </c>
      <c r="G137" s="51" t="s">
        <v>533</v>
      </c>
      <c r="H137" s="51" t="s">
        <v>534</v>
      </c>
      <c r="I137" s="51" t="s">
        <v>535</v>
      </c>
      <c r="J137" s="44" t="s">
        <v>536</v>
      </c>
      <c r="K137" s="51">
        <v>9.604499224E9</v>
      </c>
      <c r="L137" s="44" t="s">
        <v>536</v>
      </c>
      <c r="M137" s="44" t="s">
        <v>537</v>
      </c>
      <c r="N137" s="51" t="s">
        <v>538</v>
      </c>
    </row>
    <row r="138">
      <c r="A138" s="47">
        <v>45316.0</v>
      </c>
      <c r="B138" s="44" t="s">
        <v>539</v>
      </c>
      <c r="C138" s="48" t="s">
        <v>42</v>
      </c>
      <c r="D138" s="49" t="s">
        <v>532</v>
      </c>
      <c r="E138" s="74">
        <v>129.0</v>
      </c>
      <c r="F138" s="44" t="s">
        <v>22</v>
      </c>
      <c r="G138" s="51" t="s">
        <v>540</v>
      </c>
      <c r="H138" s="51" t="s">
        <v>541</v>
      </c>
      <c r="I138" s="51" t="s">
        <v>542</v>
      </c>
      <c r="J138" s="44" t="s">
        <v>26</v>
      </c>
      <c r="K138" s="51">
        <v>9.619640315E9</v>
      </c>
      <c r="L138" s="44" t="s">
        <v>26</v>
      </c>
      <c r="M138" s="44" t="s">
        <v>543</v>
      </c>
      <c r="N138" s="51" t="s">
        <v>544</v>
      </c>
    </row>
    <row r="139">
      <c r="A139" s="47">
        <v>45316.0</v>
      </c>
      <c r="B139" s="44" t="s">
        <v>545</v>
      </c>
      <c r="C139" s="48" t="s">
        <v>20</v>
      </c>
      <c r="D139" s="49" t="s">
        <v>532</v>
      </c>
      <c r="E139" s="74">
        <v>130.0</v>
      </c>
      <c r="F139" s="44" t="s">
        <v>22</v>
      </c>
      <c r="G139" s="51" t="s">
        <v>540</v>
      </c>
      <c r="H139" s="51" t="s">
        <v>541</v>
      </c>
      <c r="I139" s="51" t="s">
        <v>542</v>
      </c>
      <c r="J139" s="44" t="s">
        <v>26</v>
      </c>
      <c r="K139" s="51">
        <v>9.102856406E9</v>
      </c>
      <c r="L139" s="44" t="s">
        <v>26</v>
      </c>
      <c r="M139" s="76" t="s">
        <v>546</v>
      </c>
      <c r="N139" s="51" t="s">
        <v>544</v>
      </c>
    </row>
    <row r="140">
      <c r="A140" s="47">
        <v>45316.0</v>
      </c>
      <c r="B140" s="44" t="s">
        <v>547</v>
      </c>
      <c r="C140" s="48" t="s">
        <v>20</v>
      </c>
      <c r="D140" s="49" t="s">
        <v>532</v>
      </c>
      <c r="E140" s="77">
        <v>131.0</v>
      </c>
      <c r="F140" s="44" t="s">
        <v>17</v>
      </c>
      <c r="G140" s="51" t="s">
        <v>548</v>
      </c>
      <c r="H140" s="51" t="s">
        <v>541</v>
      </c>
      <c r="I140" s="51" t="s">
        <v>542</v>
      </c>
      <c r="J140" s="44" t="s">
        <v>26</v>
      </c>
      <c r="K140" s="51">
        <v>9.171336791E9</v>
      </c>
      <c r="L140" s="44" t="s">
        <v>26</v>
      </c>
      <c r="M140" s="44" t="s">
        <v>496</v>
      </c>
      <c r="N140" s="51" t="s">
        <v>549</v>
      </c>
    </row>
    <row r="141">
      <c r="A141" s="47">
        <v>45316.0</v>
      </c>
      <c r="B141" s="44" t="s">
        <v>550</v>
      </c>
      <c r="C141" s="48" t="s">
        <v>42</v>
      </c>
      <c r="D141" s="49" t="s">
        <v>532</v>
      </c>
      <c r="E141" s="74">
        <v>132.0</v>
      </c>
      <c r="F141" s="44" t="s">
        <v>22</v>
      </c>
      <c r="G141" s="51" t="s">
        <v>540</v>
      </c>
      <c r="H141" s="51" t="s">
        <v>541</v>
      </c>
      <c r="I141" s="51" t="s">
        <v>542</v>
      </c>
      <c r="J141" s="44" t="s">
        <v>26</v>
      </c>
      <c r="K141" s="51">
        <v>9.999955739E9</v>
      </c>
      <c r="L141" s="44" t="s">
        <v>26</v>
      </c>
      <c r="M141" s="44" t="s">
        <v>551</v>
      </c>
      <c r="N141" s="51" t="s">
        <v>552</v>
      </c>
    </row>
    <row r="142">
      <c r="A142" s="47">
        <v>45316.0</v>
      </c>
      <c r="B142" s="44" t="s">
        <v>553</v>
      </c>
      <c r="C142" s="48" t="s">
        <v>42</v>
      </c>
      <c r="D142" s="49" t="s">
        <v>532</v>
      </c>
      <c r="E142" s="74">
        <v>133.0</v>
      </c>
      <c r="F142" s="44" t="s">
        <v>22</v>
      </c>
      <c r="G142" s="51" t="s">
        <v>194</v>
      </c>
      <c r="H142" s="51" t="s">
        <v>541</v>
      </c>
      <c r="I142" s="51" t="s">
        <v>542</v>
      </c>
      <c r="J142" s="44" t="s">
        <v>26</v>
      </c>
      <c r="K142" s="51" t="s">
        <v>554</v>
      </c>
      <c r="L142" s="44" t="s">
        <v>26</v>
      </c>
      <c r="M142" s="44" t="s">
        <v>555</v>
      </c>
      <c r="N142" s="51" t="s">
        <v>549</v>
      </c>
    </row>
    <row r="143">
      <c r="A143" s="47">
        <v>45316.0</v>
      </c>
      <c r="B143" s="44" t="s">
        <v>556</v>
      </c>
      <c r="C143" s="48" t="s">
        <v>42</v>
      </c>
      <c r="D143" s="49" t="s">
        <v>532</v>
      </c>
      <c r="E143" s="74">
        <v>134.0</v>
      </c>
      <c r="F143" s="44" t="s">
        <v>22</v>
      </c>
      <c r="G143" s="51" t="s">
        <v>540</v>
      </c>
      <c r="H143" s="51" t="s">
        <v>541</v>
      </c>
      <c r="I143" s="51" t="s">
        <v>542</v>
      </c>
      <c r="J143" s="44" t="s">
        <v>26</v>
      </c>
      <c r="K143" s="51">
        <v>9.27806509E9</v>
      </c>
      <c r="L143" s="44" t="s">
        <v>26</v>
      </c>
      <c r="M143" s="44" t="s">
        <v>557</v>
      </c>
      <c r="N143" s="51" t="s">
        <v>552</v>
      </c>
    </row>
    <row r="144" ht="15.75" customHeight="1">
      <c r="A144" s="47">
        <v>45329.0</v>
      </c>
      <c r="B144" s="44" t="s">
        <v>558</v>
      </c>
      <c r="C144" s="48" t="s">
        <v>20</v>
      </c>
      <c r="D144" s="49" t="s">
        <v>532</v>
      </c>
      <c r="E144" s="74">
        <v>135.0</v>
      </c>
      <c r="F144" s="44" t="s">
        <v>22</v>
      </c>
      <c r="G144" s="51" t="s">
        <v>559</v>
      </c>
      <c r="H144" s="44" t="s">
        <v>486</v>
      </c>
      <c r="I144" s="44" t="s">
        <v>560</v>
      </c>
      <c r="J144" s="44" t="s">
        <v>26</v>
      </c>
      <c r="K144" s="51">
        <v>9.129646194E9</v>
      </c>
      <c r="L144" s="44" t="s">
        <v>26</v>
      </c>
      <c r="M144" s="44" t="s">
        <v>561</v>
      </c>
    </row>
    <row r="145" ht="15.75" customHeight="1">
      <c r="A145" s="47">
        <v>45330.0</v>
      </c>
      <c r="B145" s="44" t="s">
        <v>562</v>
      </c>
      <c r="C145" s="48" t="s">
        <v>20</v>
      </c>
      <c r="D145" s="49" t="s">
        <v>532</v>
      </c>
      <c r="E145" s="75">
        <v>136.0</v>
      </c>
      <c r="F145" s="44" t="s">
        <v>17</v>
      </c>
      <c r="G145" s="51" t="s">
        <v>540</v>
      </c>
      <c r="H145" s="44" t="s">
        <v>486</v>
      </c>
      <c r="I145" s="44" t="s">
        <v>487</v>
      </c>
      <c r="J145" s="44" t="s">
        <v>26</v>
      </c>
      <c r="K145" s="44" t="s">
        <v>26</v>
      </c>
      <c r="L145" s="44" t="s">
        <v>26</v>
      </c>
    </row>
    <row r="146" ht="15.75" customHeight="1">
      <c r="A146" s="47">
        <v>45335.0</v>
      </c>
      <c r="B146" s="44" t="s">
        <v>563</v>
      </c>
      <c r="C146" s="48" t="s">
        <v>20</v>
      </c>
      <c r="D146" s="49" t="s">
        <v>532</v>
      </c>
      <c r="E146" s="75">
        <v>137.0</v>
      </c>
      <c r="F146" s="44" t="s">
        <v>17</v>
      </c>
      <c r="G146" s="51" t="s">
        <v>564</v>
      </c>
      <c r="H146" s="44" t="s">
        <v>486</v>
      </c>
      <c r="I146" s="44" t="s">
        <v>487</v>
      </c>
      <c r="J146" s="44" t="s">
        <v>26</v>
      </c>
      <c r="K146" s="44" t="s">
        <v>26</v>
      </c>
      <c r="L146" s="44" t="s">
        <v>26</v>
      </c>
    </row>
    <row r="147">
      <c r="A147" s="47">
        <v>45335.0</v>
      </c>
      <c r="B147" s="44" t="s">
        <v>565</v>
      </c>
      <c r="C147" s="48" t="s">
        <v>20</v>
      </c>
      <c r="D147" s="49" t="s">
        <v>532</v>
      </c>
      <c r="E147" s="75">
        <v>138.0</v>
      </c>
      <c r="F147" s="44" t="s">
        <v>17</v>
      </c>
      <c r="G147" s="51" t="s">
        <v>564</v>
      </c>
      <c r="H147" s="44" t="s">
        <v>486</v>
      </c>
      <c r="I147" s="44" t="s">
        <v>487</v>
      </c>
      <c r="J147" s="44" t="s">
        <v>26</v>
      </c>
      <c r="K147" s="44" t="s">
        <v>26</v>
      </c>
      <c r="L147" s="44" t="s">
        <v>26</v>
      </c>
    </row>
    <row r="148">
      <c r="A148" s="47">
        <v>45335.0</v>
      </c>
      <c r="B148" s="44" t="s">
        <v>566</v>
      </c>
      <c r="C148" s="48" t="s">
        <v>42</v>
      </c>
      <c r="D148" s="49" t="s">
        <v>532</v>
      </c>
      <c r="E148" s="75">
        <v>139.0</v>
      </c>
      <c r="F148" s="44" t="s">
        <v>22</v>
      </c>
      <c r="G148" s="44" t="s">
        <v>516</v>
      </c>
      <c r="H148" s="44" t="s">
        <v>486</v>
      </c>
      <c r="I148" s="44" t="s">
        <v>560</v>
      </c>
      <c r="J148" s="44" t="s">
        <v>26</v>
      </c>
      <c r="K148" s="51">
        <v>9.688537971E9</v>
      </c>
      <c r="L148" s="44" t="s">
        <v>26</v>
      </c>
      <c r="M148" s="44" t="s">
        <v>567</v>
      </c>
      <c r="N148" s="44" t="s">
        <v>26</v>
      </c>
    </row>
    <row r="149">
      <c r="A149" s="47">
        <v>45337.0</v>
      </c>
      <c r="B149" s="44" t="s">
        <v>568</v>
      </c>
      <c r="C149" s="48" t="s">
        <v>42</v>
      </c>
      <c r="D149" s="49" t="s">
        <v>532</v>
      </c>
      <c r="E149" s="75">
        <v>140.0</v>
      </c>
      <c r="F149" s="44" t="s">
        <v>17</v>
      </c>
      <c r="G149" s="51" t="s">
        <v>113</v>
      </c>
      <c r="H149" s="44" t="s">
        <v>569</v>
      </c>
      <c r="I149" s="44" t="s">
        <v>570</v>
      </c>
      <c r="J149" s="44" t="s">
        <v>26</v>
      </c>
      <c r="K149" s="51">
        <v>9.187518769E9</v>
      </c>
      <c r="L149" s="44" t="s">
        <v>26</v>
      </c>
      <c r="M149" s="44" t="s">
        <v>571</v>
      </c>
      <c r="N149" s="44" t="s">
        <v>572</v>
      </c>
    </row>
    <row r="150">
      <c r="A150" s="47">
        <v>45337.0</v>
      </c>
      <c r="B150" s="44" t="s">
        <v>573</v>
      </c>
      <c r="C150" s="48" t="s">
        <v>42</v>
      </c>
      <c r="D150" s="49" t="s">
        <v>532</v>
      </c>
      <c r="E150" s="75">
        <v>141.0</v>
      </c>
      <c r="F150" s="44" t="s">
        <v>17</v>
      </c>
      <c r="G150" s="51" t="s">
        <v>516</v>
      </c>
      <c r="H150" s="44" t="s">
        <v>569</v>
      </c>
      <c r="I150" s="44" t="s">
        <v>574</v>
      </c>
      <c r="J150" s="44" t="s">
        <v>26</v>
      </c>
      <c r="K150" s="51">
        <v>9.634700147E9</v>
      </c>
      <c r="L150" s="44" t="s">
        <v>26</v>
      </c>
      <c r="M150" s="44" t="s">
        <v>571</v>
      </c>
      <c r="N150" s="44" t="s">
        <v>575</v>
      </c>
    </row>
    <row r="151">
      <c r="A151" s="47">
        <v>45348.0</v>
      </c>
      <c r="B151" s="44" t="s">
        <v>576</v>
      </c>
      <c r="C151" s="48" t="s">
        <v>20</v>
      </c>
      <c r="D151" s="49" t="s">
        <v>532</v>
      </c>
      <c r="E151" s="74">
        <v>142.0</v>
      </c>
      <c r="F151" s="44" t="s">
        <v>22</v>
      </c>
      <c r="G151" s="51" t="s">
        <v>577</v>
      </c>
      <c r="H151" s="44" t="s">
        <v>236</v>
      </c>
      <c r="I151" s="51" t="s">
        <v>578</v>
      </c>
      <c r="J151" s="44" t="s">
        <v>26</v>
      </c>
      <c r="K151" s="51">
        <v>9.173190003E9</v>
      </c>
      <c r="L151" s="44" t="s">
        <v>26</v>
      </c>
      <c r="M151" s="51" t="s">
        <v>579</v>
      </c>
      <c r="N151" s="44" t="s">
        <v>26</v>
      </c>
    </row>
    <row r="152">
      <c r="A152" s="47">
        <v>45349.0</v>
      </c>
      <c r="B152" s="44" t="s">
        <v>580</v>
      </c>
      <c r="C152" s="48" t="s">
        <v>20</v>
      </c>
      <c r="D152" s="49" t="s">
        <v>532</v>
      </c>
      <c r="E152" s="74">
        <v>143.0</v>
      </c>
      <c r="F152" s="44" t="s">
        <v>22</v>
      </c>
      <c r="G152" s="51" t="s">
        <v>577</v>
      </c>
      <c r="H152" s="44" t="s">
        <v>236</v>
      </c>
      <c r="I152" s="51" t="s">
        <v>578</v>
      </c>
      <c r="J152" s="44" t="s">
        <v>26</v>
      </c>
      <c r="K152" s="51">
        <v>9.175488515E9</v>
      </c>
      <c r="L152" s="44" t="s">
        <v>26</v>
      </c>
      <c r="M152" s="44" t="s">
        <v>581</v>
      </c>
      <c r="N152" s="44" t="s">
        <v>26</v>
      </c>
    </row>
    <row r="153">
      <c r="A153" s="78">
        <v>45362.0</v>
      </c>
      <c r="B153" s="44" t="s">
        <v>582</v>
      </c>
      <c r="C153" s="48" t="s">
        <v>20</v>
      </c>
      <c r="D153" s="49" t="s">
        <v>532</v>
      </c>
      <c r="E153" s="74">
        <v>144.0</v>
      </c>
      <c r="F153" s="44" t="s">
        <v>22</v>
      </c>
      <c r="G153" s="51" t="s">
        <v>516</v>
      </c>
      <c r="H153" s="44" t="s">
        <v>583</v>
      </c>
      <c r="J153" s="44" t="s">
        <v>26</v>
      </c>
      <c r="K153" s="51">
        <v>9.173032472E9</v>
      </c>
      <c r="L153" s="44" t="s">
        <v>26</v>
      </c>
      <c r="M153" s="76" t="s">
        <v>584</v>
      </c>
      <c r="N153" s="44" t="s">
        <v>585</v>
      </c>
    </row>
    <row r="154">
      <c r="A154" s="78">
        <v>45364.0</v>
      </c>
      <c r="B154" s="44" t="s">
        <v>586</v>
      </c>
      <c r="C154" s="48" t="s">
        <v>20</v>
      </c>
      <c r="D154" s="49" t="s">
        <v>532</v>
      </c>
      <c r="E154" s="75">
        <v>145.0</v>
      </c>
      <c r="F154" s="44" t="s">
        <v>17</v>
      </c>
      <c r="G154" s="51" t="s">
        <v>113</v>
      </c>
      <c r="H154" s="44" t="s">
        <v>486</v>
      </c>
      <c r="I154" s="44" t="s">
        <v>487</v>
      </c>
      <c r="J154" s="44" t="s">
        <v>26</v>
      </c>
      <c r="K154" s="51">
        <v>9.175838028E9</v>
      </c>
      <c r="L154" s="44" t="s">
        <v>26</v>
      </c>
      <c r="M154" s="44" t="s">
        <v>587</v>
      </c>
      <c r="N154" s="44" t="s">
        <v>26</v>
      </c>
    </row>
    <row r="155">
      <c r="A155" s="78">
        <v>45364.0</v>
      </c>
      <c r="B155" s="44" t="s">
        <v>588</v>
      </c>
      <c r="C155" s="48" t="s">
        <v>20</v>
      </c>
      <c r="D155" s="49" t="s">
        <v>532</v>
      </c>
      <c r="E155" s="74">
        <v>146.0</v>
      </c>
      <c r="F155" s="44" t="s">
        <v>22</v>
      </c>
      <c r="G155" s="51" t="s">
        <v>516</v>
      </c>
      <c r="H155" s="44" t="s">
        <v>486</v>
      </c>
      <c r="I155" s="44" t="s">
        <v>589</v>
      </c>
      <c r="J155" s="44" t="s">
        <v>26</v>
      </c>
      <c r="K155" s="51">
        <v>9.283359867E9</v>
      </c>
      <c r="L155" s="44" t="s">
        <v>26</v>
      </c>
      <c r="M155" s="44" t="s">
        <v>590</v>
      </c>
      <c r="N155" s="44" t="s">
        <v>591</v>
      </c>
    </row>
    <row r="156">
      <c r="A156" s="78">
        <v>45364.0</v>
      </c>
      <c r="B156" s="44" t="s">
        <v>592</v>
      </c>
      <c r="C156" s="48" t="s">
        <v>20</v>
      </c>
      <c r="D156" s="49" t="s">
        <v>532</v>
      </c>
      <c r="E156" s="74">
        <v>147.0</v>
      </c>
      <c r="F156" s="44" t="s">
        <v>22</v>
      </c>
      <c r="G156" s="51" t="s">
        <v>516</v>
      </c>
      <c r="H156" s="44" t="s">
        <v>486</v>
      </c>
      <c r="I156" s="44" t="s">
        <v>589</v>
      </c>
      <c r="J156" s="44" t="s">
        <v>26</v>
      </c>
      <c r="K156" s="51">
        <v>9.388436797E9</v>
      </c>
      <c r="L156" s="44" t="s">
        <v>26</v>
      </c>
      <c r="M156" s="44" t="s">
        <v>593</v>
      </c>
      <c r="N156" s="44" t="s">
        <v>594</v>
      </c>
    </row>
    <row r="157">
      <c r="A157" s="78">
        <v>45364.0</v>
      </c>
      <c r="B157" s="44" t="s">
        <v>595</v>
      </c>
      <c r="C157" s="48" t="s">
        <v>20</v>
      </c>
      <c r="D157" s="49" t="s">
        <v>532</v>
      </c>
      <c r="E157" s="75">
        <v>148.0</v>
      </c>
      <c r="F157" s="44" t="s">
        <v>17</v>
      </c>
      <c r="G157" s="51" t="s">
        <v>516</v>
      </c>
      <c r="H157" s="44" t="s">
        <v>486</v>
      </c>
      <c r="I157" s="44" t="s">
        <v>589</v>
      </c>
      <c r="J157" s="44" t="s">
        <v>26</v>
      </c>
      <c r="K157" s="51">
        <v>9.631781505E9</v>
      </c>
      <c r="L157" s="44" t="s">
        <v>26</v>
      </c>
      <c r="M157" s="44" t="s">
        <v>596</v>
      </c>
      <c r="N157" s="44" t="s">
        <v>26</v>
      </c>
    </row>
    <row r="158">
      <c r="A158" s="78">
        <v>45364.0</v>
      </c>
      <c r="B158" s="44" t="s">
        <v>597</v>
      </c>
      <c r="C158" s="48" t="s">
        <v>20</v>
      </c>
      <c r="D158" s="49" t="s">
        <v>532</v>
      </c>
      <c r="E158" s="75">
        <v>149.0</v>
      </c>
      <c r="F158" s="44" t="s">
        <v>22</v>
      </c>
      <c r="G158" s="51" t="s">
        <v>516</v>
      </c>
      <c r="H158" s="44" t="s">
        <v>486</v>
      </c>
      <c r="I158" s="44" t="s">
        <v>487</v>
      </c>
      <c r="J158" s="44" t="s">
        <v>26</v>
      </c>
      <c r="K158" s="37"/>
    </row>
    <row r="159">
      <c r="A159" s="78">
        <v>45364.0</v>
      </c>
      <c r="B159" s="44" t="s">
        <v>598</v>
      </c>
      <c r="C159" s="48" t="s">
        <v>42</v>
      </c>
      <c r="D159" s="49" t="s">
        <v>532</v>
      </c>
      <c r="E159" s="75">
        <v>150.0</v>
      </c>
      <c r="F159" s="44" t="s">
        <v>22</v>
      </c>
      <c r="G159" s="51" t="s">
        <v>516</v>
      </c>
      <c r="H159" s="44" t="s">
        <v>486</v>
      </c>
      <c r="I159" s="44" t="s">
        <v>487</v>
      </c>
      <c r="J159" s="44" t="s">
        <v>26</v>
      </c>
      <c r="K159" s="37"/>
    </row>
    <row r="160">
      <c r="A160" s="78">
        <v>45378.0</v>
      </c>
      <c r="B160" s="44" t="s">
        <v>599</v>
      </c>
      <c r="C160" s="48" t="s">
        <v>20</v>
      </c>
      <c r="D160" s="49" t="s">
        <v>532</v>
      </c>
      <c r="E160" s="74">
        <v>151.0</v>
      </c>
      <c r="F160" s="44" t="s">
        <v>22</v>
      </c>
      <c r="G160" s="51" t="s">
        <v>516</v>
      </c>
      <c r="H160" s="44" t="s">
        <v>486</v>
      </c>
      <c r="I160" s="44" t="s">
        <v>600</v>
      </c>
      <c r="J160" s="44" t="s">
        <v>601</v>
      </c>
      <c r="K160" s="51">
        <v>9.77451695E9</v>
      </c>
      <c r="L160" s="44" t="s">
        <v>26</v>
      </c>
      <c r="M160" s="44" t="s">
        <v>602</v>
      </c>
    </row>
    <row r="161">
      <c r="A161" s="79">
        <v>45378.0</v>
      </c>
      <c r="B161" s="80" t="s">
        <v>603</v>
      </c>
      <c r="C161" s="48" t="s">
        <v>20</v>
      </c>
      <c r="D161" s="49" t="s">
        <v>532</v>
      </c>
      <c r="E161" s="74">
        <v>152.0</v>
      </c>
      <c r="F161" s="44" t="s">
        <v>22</v>
      </c>
      <c r="G161" s="51" t="s">
        <v>604</v>
      </c>
      <c r="H161" s="51" t="s">
        <v>605</v>
      </c>
      <c r="I161" s="44" t="s">
        <v>26</v>
      </c>
      <c r="J161" s="44" t="s">
        <v>26</v>
      </c>
      <c r="K161" s="51">
        <v>9.950188719E9</v>
      </c>
      <c r="L161" s="44" t="s">
        <v>26</v>
      </c>
      <c r="M161" s="44" t="s">
        <v>606</v>
      </c>
      <c r="N161" s="44" t="s">
        <v>607</v>
      </c>
    </row>
    <row r="162">
      <c r="A162" s="79">
        <v>45385.0</v>
      </c>
      <c r="B162" s="44" t="s">
        <v>608</v>
      </c>
      <c r="C162" s="48" t="s">
        <v>42</v>
      </c>
      <c r="D162" s="49" t="s">
        <v>532</v>
      </c>
      <c r="E162" s="74">
        <v>153.0</v>
      </c>
      <c r="F162" s="44" t="s">
        <v>22</v>
      </c>
      <c r="G162" s="51" t="s">
        <v>609</v>
      </c>
      <c r="H162" s="44" t="s">
        <v>610</v>
      </c>
      <c r="I162" s="44" t="s">
        <v>611</v>
      </c>
      <c r="J162" s="44" t="s">
        <v>26</v>
      </c>
      <c r="K162" s="51">
        <v>9.054978382E9</v>
      </c>
      <c r="L162" s="44" t="s">
        <v>26</v>
      </c>
      <c r="M162" s="44" t="s">
        <v>612</v>
      </c>
      <c r="N162" s="44" t="s">
        <v>613</v>
      </c>
    </row>
    <row r="163">
      <c r="A163" s="79">
        <v>45385.0</v>
      </c>
      <c r="B163" s="44" t="s">
        <v>614</v>
      </c>
      <c r="C163" s="48" t="s">
        <v>42</v>
      </c>
      <c r="D163" s="49" t="s">
        <v>532</v>
      </c>
      <c r="E163" s="74">
        <v>154.0</v>
      </c>
      <c r="F163" s="44" t="s">
        <v>22</v>
      </c>
      <c r="G163" s="51" t="s">
        <v>609</v>
      </c>
      <c r="H163" s="44" t="s">
        <v>610</v>
      </c>
      <c r="I163" s="44" t="s">
        <v>611</v>
      </c>
      <c r="J163" s="44" t="s">
        <v>26</v>
      </c>
      <c r="K163" s="51">
        <v>9.664505106E9</v>
      </c>
      <c r="L163" s="44" t="s">
        <v>26</v>
      </c>
      <c r="M163" s="44" t="s">
        <v>615</v>
      </c>
      <c r="N163" s="44" t="s">
        <v>616</v>
      </c>
    </row>
    <row r="164">
      <c r="A164" s="79">
        <v>45385.0</v>
      </c>
      <c r="B164" s="44" t="s">
        <v>617</v>
      </c>
      <c r="C164" s="48" t="s">
        <v>42</v>
      </c>
      <c r="D164" s="49" t="s">
        <v>532</v>
      </c>
      <c r="E164" s="74">
        <v>155.0</v>
      </c>
      <c r="F164" s="44" t="s">
        <v>22</v>
      </c>
      <c r="G164" s="51" t="s">
        <v>609</v>
      </c>
      <c r="H164" s="44" t="s">
        <v>610</v>
      </c>
      <c r="I164" s="44" t="s">
        <v>611</v>
      </c>
      <c r="J164" s="44" t="s">
        <v>26</v>
      </c>
      <c r="K164" s="51">
        <v>9.391932949E9</v>
      </c>
      <c r="L164" s="44" t="s">
        <v>26</v>
      </c>
      <c r="M164" s="76" t="s">
        <v>618</v>
      </c>
      <c r="N164" s="44" t="s">
        <v>619</v>
      </c>
    </row>
    <row r="165">
      <c r="A165" s="79">
        <v>45385.0</v>
      </c>
      <c r="B165" s="44" t="s">
        <v>620</v>
      </c>
      <c r="C165" s="48" t="s">
        <v>42</v>
      </c>
      <c r="D165" s="49" t="s">
        <v>532</v>
      </c>
      <c r="E165" s="74">
        <v>156.0</v>
      </c>
      <c r="F165" s="44" t="s">
        <v>22</v>
      </c>
      <c r="G165" s="51" t="s">
        <v>609</v>
      </c>
      <c r="H165" s="44" t="s">
        <v>610</v>
      </c>
      <c r="I165" s="44" t="s">
        <v>611</v>
      </c>
      <c r="J165" s="44">
        <v>9.982961736E9</v>
      </c>
      <c r="K165" s="51">
        <v>9.982961736E9</v>
      </c>
      <c r="L165" s="44" t="s">
        <v>26</v>
      </c>
      <c r="M165" s="44" t="s">
        <v>621</v>
      </c>
      <c r="N165" s="44" t="s">
        <v>622</v>
      </c>
    </row>
    <row r="166">
      <c r="A166" s="79">
        <v>45385.0</v>
      </c>
      <c r="B166" s="44" t="s">
        <v>623</v>
      </c>
      <c r="C166" s="48" t="s">
        <v>42</v>
      </c>
      <c r="D166" s="49" t="s">
        <v>532</v>
      </c>
      <c r="E166" s="74">
        <v>157.0</v>
      </c>
      <c r="F166" s="44" t="s">
        <v>22</v>
      </c>
      <c r="G166" s="51" t="s">
        <v>609</v>
      </c>
      <c r="H166" s="44" t="s">
        <v>610</v>
      </c>
      <c r="I166" s="44" t="s">
        <v>611</v>
      </c>
      <c r="J166" s="44" t="s">
        <v>26</v>
      </c>
      <c r="K166" s="51">
        <v>9.101073737E9</v>
      </c>
      <c r="L166" s="44" t="s">
        <v>26</v>
      </c>
      <c r="M166" s="44" t="s">
        <v>624</v>
      </c>
      <c r="N166" s="51" t="s">
        <v>625</v>
      </c>
    </row>
    <row r="167">
      <c r="A167" s="79">
        <v>45385.0</v>
      </c>
      <c r="B167" s="44" t="s">
        <v>626</v>
      </c>
      <c r="C167" s="48" t="s">
        <v>20</v>
      </c>
      <c r="D167" s="49" t="s">
        <v>532</v>
      </c>
      <c r="E167" s="74">
        <v>158.0</v>
      </c>
      <c r="F167" s="44" t="s">
        <v>22</v>
      </c>
      <c r="G167" s="51" t="s">
        <v>609</v>
      </c>
      <c r="H167" s="44" t="s">
        <v>610</v>
      </c>
      <c r="I167" s="44" t="s">
        <v>611</v>
      </c>
      <c r="J167" s="51">
        <v>9.171236369E9</v>
      </c>
      <c r="K167" s="51">
        <v>9.171236369E9</v>
      </c>
      <c r="L167" s="44" t="s">
        <v>26</v>
      </c>
      <c r="M167" s="44" t="s">
        <v>627</v>
      </c>
      <c r="N167" s="44" t="s">
        <v>628</v>
      </c>
    </row>
    <row r="168">
      <c r="A168" s="79">
        <v>45385.0</v>
      </c>
      <c r="B168" s="44">
        <v>0.0</v>
      </c>
      <c r="C168" s="48" t="s">
        <v>20</v>
      </c>
      <c r="D168" s="49" t="s">
        <v>532</v>
      </c>
      <c r="E168" s="74">
        <v>159.0</v>
      </c>
      <c r="F168" s="44" t="s">
        <v>22</v>
      </c>
      <c r="G168" s="51" t="s">
        <v>609</v>
      </c>
      <c r="H168" s="44" t="s">
        <v>610</v>
      </c>
      <c r="I168" s="44" t="s">
        <v>611</v>
      </c>
      <c r="J168" s="44" t="s">
        <v>26</v>
      </c>
      <c r="K168" s="51">
        <v>9.163571706E9</v>
      </c>
      <c r="L168" s="44" t="s">
        <v>26</v>
      </c>
      <c r="M168" s="44" t="s">
        <v>629</v>
      </c>
      <c r="N168" s="44" t="s">
        <v>630</v>
      </c>
    </row>
    <row r="169">
      <c r="A169" s="79">
        <v>45385.0</v>
      </c>
      <c r="B169" s="44" t="s">
        <v>631</v>
      </c>
      <c r="C169" s="48" t="s">
        <v>20</v>
      </c>
      <c r="D169" s="49" t="s">
        <v>532</v>
      </c>
      <c r="E169" s="74">
        <v>160.0</v>
      </c>
      <c r="F169" s="44" t="s">
        <v>22</v>
      </c>
      <c r="G169" s="51" t="s">
        <v>609</v>
      </c>
      <c r="H169" s="44" t="s">
        <v>610</v>
      </c>
      <c r="I169" s="44" t="s">
        <v>611</v>
      </c>
      <c r="J169" s="81" t="s">
        <v>632</v>
      </c>
      <c r="K169" s="51">
        <v>9.498834252E9</v>
      </c>
      <c r="L169" s="44" t="s">
        <v>26</v>
      </c>
      <c r="M169" s="44" t="s">
        <v>633</v>
      </c>
      <c r="N169" s="44" t="s">
        <v>634</v>
      </c>
    </row>
    <row r="170">
      <c r="A170" s="79">
        <v>45390.0</v>
      </c>
      <c r="B170" s="44" t="s">
        <v>635</v>
      </c>
      <c r="C170" s="48" t="s">
        <v>20</v>
      </c>
      <c r="D170" s="49" t="s">
        <v>532</v>
      </c>
      <c r="E170" s="75">
        <v>161.0</v>
      </c>
      <c r="F170" s="44" t="s">
        <v>17</v>
      </c>
      <c r="G170" s="51" t="s">
        <v>636</v>
      </c>
      <c r="H170" s="44" t="s">
        <v>486</v>
      </c>
      <c r="I170" s="44" t="s">
        <v>589</v>
      </c>
      <c r="J170" s="44" t="s">
        <v>26</v>
      </c>
      <c r="K170" s="51">
        <v>9.458215278E9</v>
      </c>
      <c r="L170" s="44" t="s">
        <v>26</v>
      </c>
      <c r="M170" s="44" t="s">
        <v>637</v>
      </c>
    </row>
    <row r="171">
      <c r="A171" s="79">
        <v>45399.0</v>
      </c>
      <c r="B171" s="44" t="s">
        <v>638</v>
      </c>
      <c r="C171" s="48" t="s">
        <v>20</v>
      </c>
      <c r="D171" s="49" t="s">
        <v>532</v>
      </c>
      <c r="E171" s="75">
        <v>162.0</v>
      </c>
      <c r="F171" s="44" t="s">
        <v>17</v>
      </c>
      <c r="G171" s="51" t="s">
        <v>516</v>
      </c>
      <c r="H171" s="44" t="s">
        <v>486</v>
      </c>
      <c r="I171" s="44" t="s">
        <v>639</v>
      </c>
      <c r="J171" s="44" t="s">
        <v>26</v>
      </c>
      <c r="K171" s="51">
        <v>9.381004236E9</v>
      </c>
      <c r="L171" s="44" t="s">
        <v>26</v>
      </c>
      <c r="M171" s="44" t="s">
        <v>640</v>
      </c>
      <c r="N171" s="44" t="s">
        <v>641</v>
      </c>
    </row>
    <row r="172">
      <c r="A172" s="79">
        <v>45401.0</v>
      </c>
      <c r="B172" s="44" t="s">
        <v>642</v>
      </c>
      <c r="C172" s="48" t="s">
        <v>20</v>
      </c>
      <c r="D172" s="49" t="s">
        <v>532</v>
      </c>
      <c r="E172" s="75">
        <v>163.0</v>
      </c>
      <c r="F172" s="44" t="s">
        <v>17</v>
      </c>
      <c r="G172" s="51" t="s">
        <v>516</v>
      </c>
      <c r="H172" s="44" t="s">
        <v>486</v>
      </c>
      <c r="I172" s="44" t="s">
        <v>643</v>
      </c>
      <c r="J172" s="44" t="s">
        <v>26</v>
      </c>
      <c r="K172" s="51" t="s">
        <v>644</v>
      </c>
      <c r="L172" s="44" t="s">
        <v>26</v>
      </c>
      <c r="M172" s="44" t="s">
        <v>645</v>
      </c>
    </row>
    <row r="173">
      <c r="A173" s="79">
        <v>45401.0</v>
      </c>
      <c r="B173" s="44" t="s">
        <v>646</v>
      </c>
      <c r="C173" s="48" t="s">
        <v>20</v>
      </c>
      <c r="D173" s="49" t="s">
        <v>532</v>
      </c>
      <c r="E173" s="75">
        <v>164.0</v>
      </c>
      <c r="F173" s="44" t="s">
        <v>17</v>
      </c>
      <c r="G173" s="51" t="s">
        <v>516</v>
      </c>
      <c r="H173" s="44" t="s">
        <v>486</v>
      </c>
      <c r="I173" s="44" t="s">
        <v>643</v>
      </c>
      <c r="J173" s="44" t="s">
        <v>26</v>
      </c>
      <c r="K173" s="51">
        <v>9.171266387E9</v>
      </c>
      <c r="M173" s="44" t="s">
        <v>647</v>
      </c>
    </row>
    <row r="174">
      <c r="A174" s="79">
        <v>45401.0</v>
      </c>
      <c r="B174" s="44" t="s">
        <v>648</v>
      </c>
      <c r="C174" s="48" t="s">
        <v>42</v>
      </c>
      <c r="D174" s="49" t="s">
        <v>532</v>
      </c>
      <c r="E174" s="75">
        <v>165.0</v>
      </c>
      <c r="F174" s="44" t="s">
        <v>17</v>
      </c>
      <c r="G174" s="51" t="s">
        <v>516</v>
      </c>
      <c r="H174" s="44" t="s">
        <v>486</v>
      </c>
      <c r="I174" s="44" t="s">
        <v>643</v>
      </c>
      <c r="J174" s="44" t="s">
        <v>26</v>
      </c>
      <c r="K174" s="51">
        <v>9.634731348E9</v>
      </c>
      <c r="L174" s="44" t="s">
        <v>26</v>
      </c>
      <c r="M174" s="44" t="s">
        <v>649</v>
      </c>
    </row>
    <row r="175">
      <c r="A175" s="79">
        <v>45405.0</v>
      </c>
      <c r="B175" s="44" t="s">
        <v>650</v>
      </c>
      <c r="C175" s="48" t="s">
        <v>20</v>
      </c>
      <c r="D175" s="49" t="s">
        <v>532</v>
      </c>
      <c r="E175" s="75">
        <v>166.0</v>
      </c>
      <c r="F175" s="44" t="s">
        <v>17</v>
      </c>
      <c r="G175" s="51" t="s">
        <v>516</v>
      </c>
      <c r="H175" s="44" t="s">
        <v>486</v>
      </c>
      <c r="I175" s="44" t="s">
        <v>643</v>
      </c>
      <c r="J175" s="44" t="s">
        <v>26</v>
      </c>
      <c r="K175" s="37"/>
    </row>
    <row r="176">
      <c r="A176" s="79">
        <v>45414.0</v>
      </c>
      <c r="B176" s="44" t="s">
        <v>651</v>
      </c>
      <c r="C176" s="48" t="s">
        <v>20</v>
      </c>
      <c r="D176" s="49" t="s">
        <v>532</v>
      </c>
      <c r="E176" s="74">
        <v>167.0</v>
      </c>
      <c r="F176" s="44" t="s">
        <v>22</v>
      </c>
      <c r="G176" s="82" t="s">
        <v>652</v>
      </c>
      <c r="H176" s="44" t="s">
        <v>653</v>
      </c>
      <c r="I176" s="44" t="s">
        <v>654</v>
      </c>
      <c r="J176" s="44" t="s">
        <v>26</v>
      </c>
      <c r="K176" s="51">
        <v>9.052424758E9</v>
      </c>
      <c r="L176" s="44" t="s">
        <v>26</v>
      </c>
      <c r="M176" s="44" t="s">
        <v>655</v>
      </c>
      <c r="N176" s="51" t="s">
        <v>656</v>
      </c>
    </row>
    <row r="177">
      <c r="A177" s="79">
        <v>45415.0</v>
      </c>
      <c r="B177" s="44" t="s">
        <v>657</v>
      </c>
      <c r="C177" s="48" t="s">
        <v>42</v>
      </c>
      <c r="D177" s="49" t="s">
        <v>532</v>
      </c>
      <c r="E177" s="75" t="s">
        <v>658</v>
      </c>
      <c r="F177" s="44" t="s">
        <v>17</v>
      </c>
      <c r="G177" s="51" t="s">
        <v>113</v>
      </c>
      <c r="H177" s="44" t="s">
        <v>486</v>
      </c>
      <c r="I177" s="44" t="s">
        <v>639</v>
      </c>
      <c r="J177" s="44" t="s">
        <v>26</v>
      </c>
      <c r="K177" s="51" t="s">
        <v>26</v>
      </c>
      <c r="L177" s="44" t="s">
        <v>26</v>
      </c>
      <c r="M177" s="44" t="s">
        <v>659</v>
      </c>
      <c r="N177" s="44" t="s">
        <v>26</v>
      </c>
    </row>
    <row r="178">
      <c r="A178" s="79">
        <v>45415.0</v>
      </c>
      <c r="B178" s="44" t="s">
        <v>660</v>
      </c>
      <c r="C178" s="48" t="s">
        <v>20</v>
      </c>
      <c r="D178" s="49" t="s">
        <v>532</v>
      </c>
      <c r="E178" s="75" t="s">
        <v>661</v>
      </c>
      <c r="F178" s="44" t="s">
        <v>17</v>
      </c>
      <c r="G178" s="51" t="s">
        <v>662</v>
      </c>
      <c r="H178" s="44" t="s">
        <v>486</v>
      </c>
      <c r="I178" s="44" t="s">
        <v>639</v>
      </c>
      <c r="J178" s="44" t="s">
        <v>26</v>
      </c>
      <c r="K178" s="51">
        <v>9.608345552E9</v>
      </c>
      <c r="L178" s="44" t="s">
        <v>26</v>
      </c>
      <c r="M178" s="44" t="s">
        <v>663</v>
      </c>
      <c r="N178" s="44" t="s">
        <v>26</v>
      </c>
    </row>
    <row r="179">
      <c r="A179" s="79">
        <v>45415.0</v>
      </c>
      <c r="B179" s="44" t="s">
        <v>664</v>
      </c>
      <c r="C179" s="48" t="s">
        <v>42</v>
      </c>
      <c r="D179" s="49" t="s">
        <v>532</v>
      </c>
      <c r="E179" s="75">
        <v>169.0</v>
      </c>
      <c r="F179" s="44" t="s">
        <v>17</v>
      </c>
      <c r="G179" s="51" t="s">
        <v>665</v>
      </c>
      <c r="H179" s="44" t="s">
        <v>486</v>
      </c>
      <c r="I179" s="44" t="s">
        <v>639</v>
      </c>
      <c r="J179" s="44" t="s">
        <v>26</v>
      </c>
      <c r="K179" s="51">
        <v>9.613182274E9</v>
      </c>
      <c r="L179" s="44" t="s">
        <v>26</v>
      </c>
      <c r="M179" s="44" t="s">
        <v>666</v>
      </c>
      <c r="N179" s="44" t="s">
        <v>26</v>
      </c>
    </row>
    <row r="180">
      <c r="A180" s="79">
        <v>45418.0</v>
      </c>
      <c r="B180" s="44" t="s">
        <v>667</v>
      </c>
      <c r="C180" s="48" t="s">
        <v>42</v>
      </c>
      <c r="D180" s="49" t="s">
        <v>532</v>
      </c>
      <c r="E180" s="74">
        <v>170.0</v>
      </c>
      <c r="F180" s="44" t="s">
        <v>22</v>
      </c>
      <c r="G180" s="51" t="s">
        <v>516</v>
      </c>
      <c r="H180" s="44" t="s">
        <v>668</v>
      </c>
      <c r="I180" s="44" t="s">
        <v>26</v>
      </c>
      <c r="J180" s="44" t="s">
        <v>26</v>
      </c>
      <c r="K180" s="51">
        <v>9.083932168E9</v>
      </c>
      <c r="L180" s="44" t="s">
        <v>26</v>
      </c>
      <c r="M180" s="44" t="s">
        <v>669</v>
      </c>
      <c r="N180" s="44" t="s">
        <v>670</v>
      </c>
    </row>
    <row r="181">
      <c r="A181" s="79">
        <v>45419.0</v>
      </c>
      <c r="B181" s="44" t="s">
        <v>671</v>
      </c>
      <c r="C181" s="48" t="s">
        <v>42</v>
      </c>
      <c r="D181" s="49" t="s">
        <v>532</v>
      </c>
      <c r="E181" s="74">
        <v>171.0</v>
      </c>
      <c r="F181" s="44" t="s">
        <v>22</v>
      </c>
      <c r="G181" s="51" t="s">
        <v>516</v>
      </c>
      <c r="H181" s="44" t="s">
        <v>672</v>
      </c>
      <c r="I181" s="44" t="s">
        <v>26</v>
      </c>
      <c r="J181" s="44" t="s">
        <v>26</v>
      </c>
      <c r="K181" s="51">
        <v>9.770336214E9</v>
      </c>
      <c r="M181" s="44" t="s">
        <v>673</v>
      </c>
    </row>
    <row r="182">
      <c r="A182" s="79">
        <v>45434.0</v>
      </c>
      <c r="B182" s="44" t="s">
        <v>674</v>
      </c>
      <c r="C182" s="48" t="s">
        <v>20</v>
      </c>
      <c r="D182" s="49" t="s">
        <v>532</v>
      </c>
      <c r="E182" s="75">
        <v>172.0</v>
      </c>
      <c r="F182" s="44" t="s">
        <v>17</v>
      </c>
      <c r="G182" s="51" t="s">
        <v>71</v>
      </c>
      <c r="H182" s="44" t="s">
        <v>236</v>
      </c>
      <c r="I182" s="44" t="s">
        <v>675</v>
      </c>
      <c r="J182" s="44" t="s">
        <v>26</v>
      </c>
      <c r="K182" s="51">
        <v>9.298776331E9</v>
      </c>
      <c r="L182" s="44" t="s">
        <v>26</v>
      </c>
      <c r="M182" s="44" t="s">
        <v>676</v>
      </c>
      <c r="N182" s="44" t="s">
        <v>677</v>
      </c>
    </row>
    <row r="183">
      <c r="A183" s="79">
        <v>45434.0</v>
      </c>
      <c r="B183" s="44" t="s">
        <v>678</v>
      </c>
      <c r="C183" s="48" t="s">
        <v>20</v>
      </c>
      <c r="D183" s="49" t="s">
        <v>532</v>
      </c>
      <c r="E183" s="75">
        <v>173.0</v>
      </c>
      <c r="F183" s="44" t="s">
        <v>17</v>
      </c>
      <c r="G183" s="51" t="s">
        <v>166</v>
      </c>
      <c r="H183" s="44" t="s">
        <v>236</v>
      </c>
      <c r="I183" s="44" t="s">
        <v>675</v>
      </c>
      <c r="J183" s="44" t="s">
        <v>679</v>
      </c>
      <c r="K183" s="51">
        <v>9.17798092E9</v>
      </c>
      <c r="L183" s="44" t="s">
        <v>26</v>
      </c>
      <c r="M183" s="44" t="s">
        <v>680</v>
      </c>
      <c r="N183" s="44" t="s">
        <v>677</v>
      </c>
    </row>
    <row r="184">
      <c r="A184" s="79">
        <v>45450.0</v>
      </c>
      <c r="B184" s="44" t="s">
        <v>681</v>
      </c>
      <c r="C184" s="48" t="s">
        <v>20</v>
      </c>
      <c r="D184" s="49" t="s">
        <v>532</v>
      </c>
      <c r="E184" s="75">
        <v>174.0</v>
      </c>
      <c r="F184" s="44" t="s">
        <v>17</v>
      </c>
      <c r="G184" s="51" t="s">
        <v>662</v>
      </c>
      <c r="H184" s="44" t="s">
        <v>486</v>
      </c>
      <c r="I184" s="44" t="s">
        <v>639</v>
      </c>
      <c r="J184" s="44" t="s">
        <v>26</v>
      </c>
      <c r="K184" s="51">
        <v>9.274920681E9</v>
      </c>
      <c r="L184" s="44" t="s">
        <v>26</v>
      </c>
      <c r="M184" s="44" t="s">
        <v>682</v>
      </c>
      <c r="N184" s="44" t="s">
        <v>683</v>
      </c>
    </row>
    <row r="185">
      <c r="A185" s="79">
        <v>45456.0</v>
      </c>
      <c r="B185" s="44" t="s">
        <v>684</v>
      </c>
      <c r="C185" s="48" t="s">
        <v>42</v>
      </c>
      <c r="D185" s="49" t="s">
        <v>532</v>
      </c>
      <c r="E185" s="75">
        <v>175.0</v>
      </c>
      <c r="F185" s="44" t="s">
        <v>17</v>
      </c>
      <c r="G185" s="51" t="s">
        <v>685</v>
      </c>
      <c r="H185" s="83" t="s">
        <v>686</v>
      </c>
      <c r="I185" s="44" t="s">
        <v>687</v>
      </c>
      <c r="J185" s="44" t="s">
        <v>26</v>
      </c>
      <c r="K185" s="51">
        <v>9.620739174E9</v>
      </c>
      <c r="L185" s="44" t="s">
        <v>26</v>
      </c>
      <c r="M185" s="44" t="s">
        <v>688</v>
      </c>
    </row>
    <row r="186">
      <c r="A186" s="79">
        <v>45476.0</v>
      </c>
      <c r="B186" s="44" t="s">
        <v>689</v>
      </c>
      <c r="C186" s="48" t="s">
        <v>42</v>
      </c>
      <c r="D186" s="49" t="s">
        <v>532</v>
      </c>
      <c r="E186" s="75">
        <v>176.0</v>
      </c>
      <c r="F186" s="44" t="s">
        <v>17</v>
      </c>
      <c r="G186" s="51" t="s">
        <v>690</v>
      </c>
      <c r="H186" s="44" t="s">
        <v>486</v>
      </c>
      <c r="I186" s="44" t="s">
        <v>639</v>
      </c>
      <c r="J186" s="44" t="s">
        <v>26</v>
      </c>
      <c r="K186" s="51">
        <v>9.764510568E9</v>
      </c>
      <c r="L186" s="44" t="s">
        <v>26</v>
      </c>
      <c r="M186" s="44" t="s">
        <v>691</v>
      </c>
      <c r="N186" s="44" t="s">
        <v>692</v>
      </c>
    </row>
    <row r="187">
      <c r="A187" s="79">
        <v>45491.0</v>
      </c>
      <c r="B187" s="44" t="s">
        <v>693</v>
      </c>
      <c r="C187" s="48" t="s">
        <v>20</v>
      </c>
      <c r="D187" s="49" t="s">
        <v>532</v>
      </c>
      <c r="E187" s="75">
        <v>177.0</v>
      </c>
      <c r="F187" s="44" t="s">
        <v>17</v>
      </c>
      <c r="G187" s="51" t="s">
        <v>694</v>
      </c>
      <c r="H187" s="44" t="s">
        <v>486</v>
      </c>
      <c r="I187" s="44" t="s">
        <v>639</v>
      </c>
      <c r="J187" s="44" t="s">
        <v>26</v>
      </c>
      <c r="K187" s="51">
        <v>9.95237285E9</v>
      </c>
      <c r="L187" s="44" t="s">
        <v>26</v>
      </c>
      <c r="M187" s="44" t="s">
        <v>695</v>
      </c>
      <c r="N187" s="44" t="s">
        <v>696</v>
      </c>
    </row>
    <row r="188">
      <c r="A188" s="79">
        <v>45498.0</v>
      </c>
      <c r="B188" s="44" t="s">
        <v>697</v>
      </c>
      <c r="C188" s="48" t="s">
        <v>20</v>
      </c>
      <c r="D188" s="49" t="s">
        <v>532</v>
      </c>
      <c r="E188" s="75">
        <v>178.0</v>
      </c>
      <c r="F188" s="44" t="s">
        <v>22</v>
      </c>
      <c r="G188" s="51" t="s">
        <v>516</v>
      </c>
      <c r="H188" s="44" t="s">
        <v>698</v>
      </c>
      <c r="I188" s="44" t="s">
        <v>699</v>
      </c>
      <c r="J188" s="44" t="s">
        <v>699</v>
      </c>
      <c r="K188" s="51">
        <v>9.076134501E9</v>
      </c>
      <c r="L188" s="44" t="s">
        <v>700</v>
      </c>
      <c r="M188" s="44" t="s">
        <v>701</v>
      </c>
      <c r="N188" s="44" t="s">
        <v>700</v>
      </c>
    </row>
    <row r="189">
      <c r="A189" s="79">
        <v>45498.0</v>
      </c>
      <c r="B189" s="44" t="s">
        <v>702</v>
      </c>
      <c r="C189" s="48" t="s">
        <v>20</v>
      </c>
      <c r="D189" s="49" t="s">
        <v>532</v>
      </c>
      <c r="E189" s="75">
        <v>179.0</v>
      </c>
      <c r="F189" s="44" t="s">
        <v>22</v>
      </c>
      <c r="G189" s="51" t="s">
        <v>516</v>
      </c>
      <c r="H189" s="44" t="s">
        <v>698</v>
      </c>
      <c r="I189" s="44" t="s">
        <v>699</v>
      </c>
      <c r="J189" s="44" t="s">
        <v>699</v>
      </c>
      <c r="K189" s="51">
        <v>9.814970366E9</v>
      </c>
      <c r="L189" s="44" t="s">
        <v>699</v>
      </c>
      <c r="M189" s="76" t="s">
        <v>703</v>
      </c>
      <c r="N189" s="44" t="s">
        <v>700</v>
      </c>
    </row>
    <row r="190">
      <c r="A190" s="79">
        <v>45518.0</v>
      </c>
      <c r="B190" s="44" t="s">
        <v>704</v>
      </c>
      <c r="C190" s="48" t="s">
        <v>20</v>
      </c>
      <c r="D190" s="49" t="s">
        <v>532</v>
      </c>
      <c r="E190" s="75">
        <v>180.0</v>
      </c>
      <c r="F190" s="44" t="s">
        <v>17</v>
      </c>
      <c r="G190" s="51" t="s">
        <v>32</v>
      </c>
      <c r="H190" s="44" t="s">
        <v>705</v>
      </c>
      <c r="I190" s="44" t="s">
        <v>706</v>
      </c>
      <c r="K190" s="51">
        <v>9.774969142E9</v>
      </c>
      <c r="M190" s="44" t="s">
        <v>707</v>
      </c>
      <c r="N190" s="44" t="s">
        <v>708</v>
      </c>
    </row>
    <row r="191">
      <c r="A191" s="79">
        <v>45531.0</v>
      </c>
      <c r="B191" s="44" t="s">
        <v>709</v>
      </c>
      <c r="C191" s="48" t="s">
        <v>42</v>
      </c>
      <c r="D191" s="49" t="s">
        <v>532</v>
      </c>
      <c r="E191" s="75">
        <v>181.0</v>
      </c>
      <c r="F191" s="44" t="s">
        <v>17</v>
      </c>
      <c r="G191" s="51" t="s">
        <v>710</v>
      </c>
      <c r="H191" s="44" t="s">
        <v>711</v>
      </c>
      <c r="K191" s="51">
        <v>9.476425081E9</v>
      </c>
      <c r="M191" s="44" t="s">
        <v>712</v>
      </c>
    </row>
    <row r="192">
      <c r="A192" s="79">
        <v>45533.0</v>
      </c>
      <c r="B192" s="44" t="s">
        <v>713</v>
      </c>
      <c r="C192" s="48" t="s">
        <v>42</v>
      </c>
      <c r="D192" s="49" t="s">
        <v>532</v>
      </c>
      <c r="E192" s="75">
        <v>182.0</v>
      </c>
      <c r="F192" s="44" t="s">
        <v>17</v>
      </c>
      <c r="G192" s="51" t="s">
        <v>714</v>
      </c>
      <c r="H192" s="44" t="s">
        <v>715</v>
      </c>
      <c r="I192" s="44" t="s">
        <v>699</v>
      </c>
      <c r="J192" s="44" t="s">
        <v>699</v>
      </c>
      <c r="K192" s="51" t="s">
        <v>699</v>
      </c>
      <c r="L192" s="44" t="s">
        <v>699</v>
      </c>
      <c r="M192" s="44" t="s">
        <v>716</v>
      </c>
      <c r="N192" s="44" t="s">
        <v>699</v>
      </c>
    </row>
    <row r="193">
      <c r="A193" s="79">
        <v>45540.0</v>
      </c>
      <c r="B193" s="44" t="s">
        <v>717</v>
      </c>
      <c r="C193" s="48" t="s">
        <v>20</v>
      </c>
      <c r="D193" s="49" t="s">
        <v>532</v>
      </c>
      <c r="E193" s="75">
        <v>183.0</v>
      </c>
      <c r="F193" s="44" t="s">
        <v>17</v>
      </c>
      <c r="G193" s="51" t="s">
        <v>71</v>
      </c>
      <c r="H193" s="44" t="s">
        <v>718</v>
      </c>
      <c r="I193" s="44" t="s">
        <v>719</v>
      </c>
      <c r="J193" s="44" t="s">
        <v>720</v>
      </c>
      <c r="K193" s="51">
        <v>9.67229311E9</v>
      </c>
      <c r="L193" s="44" t="s">
        <v>699</v>
      </c>
      <c r="M193" s="44" t="s">
        <v>721</v>
      </c>
      <c r="N193" s="44" t="s">
        <v>722</v>
      </c>
    </row>
    <row r="194">
      <c r="A194" s="79">
        <v>45545.0</v>
      </c>
      <c r="B194" s="44" t="s">
        <v>723</v>
      </c>
      <c r="C194" s="48" t="s">
        <v>42</v>
      </c>
      <c r="D194" s="49" t="s">
        <v>532</v>
      </c>
      <c r="E194" s="75">
        <v>184.0</v>
      </c>
      <c r="F194" s="44" t="s">
        <v>17</v>
      </c>
      <c r="G194" s="51" t="s">
        <v>32</v>
      </c>
      <c r="K194" s="37"/>
    </row>
    <row r="195">
      <c r="A195" s="79">
        <v>45545.0</v>
      </c>
      <c r="B195" s="44" t="s">
        <v>724</v>
      </c>
      <c r="C195" s="48" t="s">
        <v>20</v>
      </c>
      <c r="D195" s="49" t="s">
        <v>532</v>
      </c>
      <c r="E195" s="75">
        <v>185.0</v>
      </c>
      <c r="F195" s="44" t="s">
        <v>17</v>
      </c>
      <c r="G195" s="51" t="s">
        <v>564</v>
      </c>
      <c r="K195" s="37"/>
    </row>
    <row r="196">
      <c r="A196" s="79">
        <v>45554.0</v>
      </c>
      <c r="B196" s="44" t="s">
        <v>725</v>
      </c>
      <c r="C196" s="48" t="s">
        <v>42</v>
      </c>
      <c r="D196" s="49" t="s">
        <v>532</v>
      </c>
      <c r="E196" s="75">
        <v>186.0</v>
      </c>
      <c r="F196" s="44" t="s">
        <v>22</v>
      </c>
      <c r="G196" s="51" t="s">
        <v>726</v>
      </c>
      <c r="H196" s="44" t="s">
        <v>727</v>
      </c>
      <c r="I196" s="44" t="s">
        <v>495</v>
      </c>
      <c r="J196" s="44" t="s">
        <v>700</v>
      </c>
      <c r="K196" s="51">
        <v>9.484356268E9</v>
      </c>
      <c r="M196" s="76" t="s">
        <v>728</v>
      </c>
    </row>
    <row r="197">
      <c r="B197" s="44" t="s">
        <v>729</v>
      </c>
      <c r="C197" s="48" t="s">
        <v>20</v>
      </c>
      <c r="D197" s="49" t="s">
        <v>532</v>
      </c>
      <c r="E197" s="75">
        <v>187.0</v>
      </c>
      <c r="F197" s="44" t="s">
        <v>17</v>
      </c>
      <c r="G197" s="51" t="s">
        <v>71</v>
      </c>
      <c r="H197" s="44" t="s">
        <v>486</v>
      </c>
      <c r="I197" s="44" t="s">
        <v>643</v>
      </c>
      <c r="J197" s="44" t="s">
        <v>699</v>
      </c>
      <c r="K197" s="51">
        <v>9.464306098E9</v>
      </c>
      <c r="M197" s="44" t="s">
        <v>730</v>
      </c>
    </row>
    <row r="198">
      <c r="A198" s="84">
        <v>45572.0</v>
      </c>
      <c r="B198" s="44" t="s">
        <v>37</v>
      </c>
      <c r="C198" s="48" t="s">
        <v>20</v>
      </c>
      <c r="D198" s="49" t="s">
        <v>532</v>
      </c>
      <c r="E198" s="75">
        <v>188.0</v>
      </c>
      <c r="F198" s="44" t="s">
        <v>17</v>
      </c>
      <c r="G198" s="51" t="s">
        <v>38</v>
      </c>
      <c r="H198" s="44" t="s">
        <v>33</v>
      </c>
      <c r="I198" s="44" t="s">
        <v>26</v>
      </c>
      <c r="J198" s="44" t="s">
        <v>26</v>
      </c>
      <c r="K198" s="51" t="s">
        <v>26</v>
      </c>
      <c r="L198" s="44" t="s">
        <v>26</v>
      </c>
      <c r="M198" s="85" t="s">
        <v>731</v>
      </c>
    </row>
    <row r="199">
      <c r="A199" s="84">
        <v>45572.0</v>
      </c>
      <c r="B199" s="44" t="s">
        <v>732</v>
      </c>
      <c r="C199" s="48" t="s">
        <v>20</v>
      </c>
      <c r="D199" s="49" t="s">
        <v>532</v>
      </c>
      <c r="E199" s="75">
        <v>189.0</v>
      </c>
      <c r="F199" s="44" t="s">
        <v>17</v>
      </c>
      <c r="G199" s="51" t="s">
        <v>38</v>
      </c>
      <c r="H199" s="44" t="s">
        <v>33</v>
      </c>
      <c r="I199" s="44" t="s">
        <v>26</v>
      </c>
      <c r="J199" s="44" t="s">
        <v>26</v>
      </c>
      <c r="K199" s="51" t="s">
        <v>26</v>
      </c>
      <c r="L199" s="44" t="s">
        <v>26</v>
      </c>
    </row>
    <row r="200">
      <c r="A200" s="84">
        <v>45572.0</v>
      </c>
      <c r="B200" s="44" t="s">
        <v>733</v>
      </c>
      <c r="C200" s="48" t="s">
        <v>20</v>
      </c>
      <c r="D200" s="49" t="s">
        <v>532</v>
      </c>
      <c r="E200" s="75">
        <v>190.0</v>
      </c>
      <c r="F200" s="44" t="s">
        <v>17</v>
      </c>
      <c r="G200" s="51" t="s">
        <v>540</v>
      </c>
      <c r="H200" s="44" t="s">
        <v>33</v>
      </c>
      <c r="I200" s="44" t="s">
        <v>26</v>
      </c>
      <c r="J200" s="44" t="s">
        <v>26</v>
      </c>
      <c r="K200" s="51" t="s">
        <v>26</v>
      </c>
      <c r="L200" s="44" t="s">
        <v>26</v>
      </c>
    </row>
    <row r="201">
      <c r="A201" s="84">
        <v>45572.0</v>
      </c>
      <c r="B201" s="44" t="s">
        <v>734</v>
      </c>
      <c r="C201" s="48" t="s">
        <v>20</v>
      </c>
      <c r="D201" s="49" t="s">
        <v>532</v>
      </c>
      <c r="E201" s="75">
        <v>191.0</v>
      </c>
      <c r="F201" s="44" t="s">
        <v>17</v>
      </c>
      <c r="G201" s="51" t="s">
        <v>540</v>
      </c>
      <c r="H201" s="44" t="s">
        <v>33</v>
      </c>
      <c r="I201" s="44" t="s">
        <v>26</v>
      </c>
      <c r="J201" s="44" t="s">
        <v>26</v>
      </c>
      <c r="K201" s="51" t="s">
        <v>26</v>
      </c>
      <c r="L201" s="44" t="s">
        <v>26</v>
      </c>
    </row>
    <row r="202">
      <c r="A202" s="84">
        <v>45572.0</v>
      </c>
      <c r="B202" s="44" t="s">
        <v>735</v>
      </c>
      <c r="C202" s="48" t="s">
        <v>20</v>
      </c>
      <c r="D202" s="49" t="s">
        <v>532</v>
      </c>
      <c r="E202" s="75">
        <v>192.0</v>
      </c>
      <c r="F202" s="44" t="s">
        <v>17</v>
      </c>
      <c r="G202" s="51" t="s">
        <v>736</v>
      </c>
      <c r="H202" s="44" t="s">
        <v>33</v>
      </c>
      <c r="I202" s="44" t="s">
        <v>26</v>
      </c>
      <c r="J202" s="44" t="s">
        <v>26</v>
      </c>
      <c r="K202" s="51" t="s">
        <v>26</v>
      </c>
      <c r="L202" s="44" t="s">
        <v>26</v>
      </c>
    </row>
    <row r="203">
      <c r="A203" s="84">
        <v>45513.0</v>
      </c>
      <c r="B203" s="59" t="s">
        <v>737</v>
      </c>
      <c r="C203" s="48" t="s">
        <v>42</v>
      </c>
      <c r="D203" s="49" t="s">
        <v>532</v>
      </c>
      <c r="E203" s="75">
        <v>193.0</v>
      </c>
      <c r="F203" s="44" t="s">
        <v>22</v>
      </c>
      <c r="G203" s="51" t="s">
        <v>738</v>
      </c>
      <c r="H203" s="86" t="s">
        <v>705</v>
      </c>
      <c r="I203" s="44" t="s">
        <v>26</v>
      </c>
      <c r="J203" s="44" t="s">
        <v>26</v>
      </c>
      <c r="K203" s="51" t="s">
        <v>26</v>
      </c>
      <c r="L203" s="44" t="s">
        <v>26</v>
      </c>
    </row>
    <row r="204">
      <c r="A204" s="84">
        <v>45513.0</v>
      </c>
      <c r="B204" s="44" t="s">
        <v>739</v>
      </c>
      <c r="C204" s="48" t="s">
        <v>20</v>
      </c>
      <c r="D204" s="49" t="s">
        <v>532</v>
      </c>
      <c r="E204" s="75">
        <v>194.0</v>
      </c>
      <c r="F204" s="44" t="s">
        <v>22</v>
      </c>
      <c r="G204" s="51" t="s">
        <v>26</v>
      </c>
      <c r="I204" s="44" t="s">
        <v>26</v>
      </c>
      <c r="J204" s="44" t="s">
        <v>26</v>
      </c>
      <c r="K204" s="51" t="s">
        <v>26</v>
      </c>
      <c r="L204" s="44" t="s">
        <v>26</v>
      </c>
    </row>
    <row r="205">
      <c r="A205" s="84">
        <v>45513.0</v>
      </c>
      <c r="B205" s="44" t="s">
        <v>740</v>
      </c>
      <c r="C205" s="48" t="s">
        <v>20</v>
      </c>
      <c r="D205" s="49" t="s">
        <v>532</v>
      </c>
      <c r="E205" s="75">
        <v>195.0</v>
      </c>
      <c r="F205" s="44" t="s">
        <v>22</v>
      </c>
      <c r="G205" s="51" t="s">
        <v>32</v>
      </c>
      <c r="I205" s="44" t="s">
        <v>26</v>
      </c>
      <c r="J205" s="44" t="s">
        <v>26</v>
      </c>
      <c r="K205" s="51" t="s">
        <v>26</v>
      </c>
      <c r="L205" s="44" t="s">
        <v>26</v>
      </c>
    </row>
    <row r="206">
      <c r="A206" s="84">
        <v>45513.0</v>
      </c>
      <c r="B206" s="44" t="s">
        <v>741</v>
      </c>
      <c r="C206" s="48" t="s">
        <v>20</v>
      </c>
      <c r="D206" s="49" t="s">
        <v>532</v>
      </c>
      <c r="E206" s="75">
        <v>196.0</v>
      </c>
      <c r="F206" s="44" t="s">
        <v>22</v>
      </c>
      <c r="G206" s="51" t="s">
        <v>738</v>
      </c>
      <c r="I206" s="44" t="s">
        <v>26</v>
      </c>
      <c r="J206" s="44" t="s">
        <v>26</v>
      </c>
      <c r="K206" s="51" t="s">
        <v>26</v>
      </c>
      <c r="L206" s="44" t="s">
        <v>26</v>
      </c>
    </row>
    <row r="207">
      <c r="A207" s="84">
        <v>45481.0</v>
      </c>
      <c r="B207" s="59" t="s">
        <v>742</v>
      </c>
      <c r="C207" s="48" t="s">
        <v>42</v>
      </c>
      <c r="D207" s="49" t="s">
        <v>532</v>
      </c>
      <c r="E207" s="75">
        <v>197.0</v>
      </c>
      <c r="F207" s="44" t="s">
        <v>22</v>
      </c>
      <c r="G207" s="51" t="s">
        <v>743</v>
      </c>
      <c r="H207" s="86" t="s">
        <v>744</v>
      </c>
      <c r="I207" s="44" t="s">
        <v>26</v>
      </c>
      <c r="J207" s="44" t="s">
        <v>26</v>
      </c>
      <c r="K207" s="51" t="s">
        <v>26</v>
      </c>
      <c r="L207" s="44" t="s">
        <v>26</v>
      </c>
    </row>
    <row r="208">
      <c r="A208" s="84">
        <v>45481.0</v>
      </c>
      <c r="B208" s="44" t="s">
        <v>745</v>
      </c>
      <c r="C208" s="48" t="s">
        <v>20</v>
      </c>
      <c r="D208" s="49" t="s">
        <v>532</v>
      </c>
      <c r="E208" s="75">
        <v>198.0</v>
      </c>
      <c r="F208" s="44" t="s">
        <v>22</v>
      </c>
      <c r="G208" s="51" t="s">
        <v>746</v>
      </c>
      <c r="I208" s="44" t="s">
        <v>26</v>
      </c>
      <c r="J208" s="44" t="s">
        <v>26</v>
      </c>
      <c r="K208" s="51" t="s">
        <v>26</v>
      </c>
      <c r="L208" s="44" t="s">
        <v>26</v>
      </c>
    </row>
    <row r="209">
      <c r="A209" s="84">
        <v>45481.0</v>
      </c>
      <c r="B209" s="44" t="s">
        <v>747</v>
      </c>
      <c r="C209" s="48" t="s">
        <v>20</v>
      </c>
      <c r="D209" s="49" t="s">
        <v>532</v>
      </c>
      <c r="E209" s="75">
        <v>199.0</v>
      </c>
      <c r="F209" s="44" t="s">
        <v>22</v>
      </c>
      <c r="G209" s="51" t="s">
        <v>32</v>
      </c>
      <c r="I209" s="44" t="s">
        <v>26</v>
      </c>
      <c r="J209" s="44" t="s">
        <v>26</v>
      </c>
      <c r="K209" s="51" t="s">
        <v>26</v>
      </c>
      <c r="L209" s="44" t="s">
        <v>26</v>
      </c>
    </row>
    <row r="210">
      <c r="A210" s="84">
        <v>45481.0</v>
      </c>
      <c r="B210" s="44" t="s">
        <v>748</v>
      </c>
      <c r="C210" s="48" t="s">
        <v>42</v>
      </c>
      <c r="D210" s="49" t="s">
        <v>532</v>
      </c>
      <c r="E210" s="75">
        <v>200.0</v>
      </c>
      <c r="F210" s="44" t="s">
        <v>22</v>
      </c>
      <c r="G210" s="51" t="s">
        <v>32</v>
      </c>
      <c r="I210" s="44" t="s">
        <v>26</v>
      </c>
      <c r="J210" s="44" t="s">
        <v>26</v>
      </c>
      <c r="K210" s="51" t="s">
        <v>26</v>
      </c>
      <c r="L210" s="44" t="s">
        <v>26</v>
      </c>
    </row>
    <row r="211">
      <c r="A211" s="79">
        <v>45573.0</v>
      </c>
      <c r="B211" s="44" t="s">
        <v>749</v>
      </c>
      <c r="C211" s="48" t="s">
        <v>20</v>
      </c>
      <c r="D211" s="49" t="s">
        <v>532</v>
      </c>
      <c r="E211" s="75">
        <v>201.0</v>
      </c>
      <c r="F211" s="44" t="s">
        <v>22</v>
      </c>
      <c r="G211" s="51" t="s">
        <v>32</v>
      </c>
      <c r="H211" s="44" t="s">
        <v>750</v>
      </c>
      <c r="I211" s="44" t="s">
        <v>751</v>
      </c>
      <c r="K211" s="37"/>
    </row>
    <row r="212">
      <c r="A212" s="79">
        <v>45579.0</v>
      </c>
      <c r="B212" s="44" t="s">
        <v>752</v>
      </c>
      <c r="C212" s="48" t="s">
        <v>42</v>
      </c>
      <c r="D212" s="49" t="s">
        <v>532</v>
      </c>
      <c r="E212" s="75">
        <v>202.0</v>
      </c>
      <c r="F212" s="44" t="s">
        <v>17</v>
      </c>
      <c r="G212" s="51" t="s">
        <v>753</v>
      </c>
      <c r="H212" s="44" t="s">
        <v>589</v>
      </c>
      <c r="I212" s="44" t="s">
        <v>754</v>
      </c>
      <c r="J212" s="44" t="s">
        <v>26</v>
      </c>
      <c r="K212" s="51">
        <v>9.209650556E9</v>
      </c>
      <c r="L212" s="44" t="s">
        <v>26</v>
      </c>
      <c r="M212" s="44" t="s">
        <v>755</v>
      </c>
    </row>
    <row r="213">
      <c r="A213" s="79">
        <v>45579.0</v>
      </c>
      <c r="B213" s="44" t="s">
        <v>756</v>
      </c>
      <c r="C213" s="48" t="s">
        <v>20</v>
      </c>
      <c r="D213" s="49" t="s">
        <v>532</v>
      </c>
      <c r="E213" s="75">
        <v>203.0</v>
      </c>
      <c r="F213" s="44" t="s">
        <v>17</v>
      </c>
      <c r="G213" s="51" t="s">
        <v>757</v>
      </c>
      <c r="H213" s="44" t="s">
        <v>758</v>
      </c>
      <c r="I213" s="44" t="s">
        <v>639</v>
      </c>
      <c r="J213" s="44" t="s">
        <v>26</v>
      </c>
      <c r="K213" s="51">
        <v>9.156418251E9</v>
      </c>
      <c r="L213" s="44" t="s">
        <v>26</v>
      </c>
      <c r="M213" s="44" t="s">
        <v>759</v>
      </c>
    </row>
    <row r="214">
      <c r="A214" s="79">
        <v>45579.0</v>
      </c>
      <c r="B214" s="44" t="s">
        <v>760</v>
      </c>
      <c r="C214" s="48" t="s">
        <v>42</v>
      </c>
      <c r="D214" s="49" t="s">
        <v>532</v>
      </c>
      <c r="E214" s="75">
        <v>204.0</v>
      </c>
      <c r="F214" s="44" t="s">
        <v>17</v>
      </c>
      <c r="G214" s="51" t="s">
        <v>757</v>
      </c>
      <c r="H214" s="44" t="s">
        <v>758</v>
      </c>
      <c r="I214" s="44" t="s">
        <v>639</v>
      </c>
      <c r="J214" s="44" t="s">
        <v>26</v>
      </c>
      <c r="K214" s="51">
        <v>9.062271477E9</v>
      </c>
      <c r="L214" s="44" t="s">
        <v>26</v>
      </c>
      <c r="M214" s="44" t="s">
        <v>761</v>
      </c>
    </row>
    <row r="215">
      <c r="A215" s="79">
        <v>45582.0</v>
      </c>
      <c r="B215" s="44" t="s">
        <v>762</v>
      </c>
      <c r="C215" s="48" t="s">
        <v>42</v>
      </c>
      <c r="D215" s="49" t="s">
        <v>532</v>
      </c>
      <c r="E215" s="75">
        <v>205.0</v>
      </c>
      <c r="F215" s="44" t="s">
        <v>17</v>
      </c>
      <c r="G215" s="51" t="s">
        <v>32</v>
      </c>
      <c r="H215" s="44" t="s">
        <v>763</v>
      </c>
      <c r="K215" s="37"/>
      <c r="M215" s="44" t="s">
        <v>764</v>
      </c>
    </row>
    <row r="216">
      <c r="A216" s="79">
        <v>45594.0</v>
      </c>
      <c r="B216" s="44" t="s">
        <v>765</v>
      </c>
      <c r="C216" s="48" t="s">
        <v>20</v>
      </c>
      <c r="D216" s="49" t="s">
        <v>532</v>
      </c>
      <c r="E216" s="75">
        <v>206.0</v>
      </c>
      <c r="F216" s="44" t="s">
        <v>22</v>
      </c>
      <c r="G216" s="51" t="s">
        <v>766</v>
      </c>
      <c r="H216" s="44" t="s">
        <v>767</v>
      </c>
      <c r="K216" s="51">
        <v>9.173018228E9</v>
      </c>
      <c r="M216" s="44" t="s">
        <v>768</v>
      </c>
    </row>
    <row r="217">
      <c r="A217" s="79">
        <v>45594.0</v>
      </c>
      <c r="B217" s="44" t="s">
        <v>769</v>
      </c>
      <c r="C217" s="48" t="s">
        <v>20</v>
      </c>
      <c r="D217" s="49" t="s">
        <v>532</v>
      </c>
      <c r="E217" s="75">
        <v>207.0</v>
      </c>
      <c r="F217" s="44" t="s">
        <v>22</v>
      </c>
      <c r="G217" s="51" t="s">
        <v>770</v>
      </c>
      <c r="H217" s="44" t="s">
        <v>767</v>
      </c>
      <c r="K217" s="51">
        <v>9.176247084E9</v>
      </c>
      <c r="M217" s="44" t="s">
        <v>771</v>
      </c>
    </row>
    <row r="218">
      <c r="A218" s="79">
        <v>45594.0</v>
      </c>
      <c r="B218" s="44" t="s">
        <v>772</v>
      </c>
      <c r="C218" s="48" t="s">
        <v>20</v>
      </c>
      <c r="D218" s="49" t="s">
        <v>532</v>
      </c>
      <c r="E218" s="75">
        <v>208.0</v>
      </c>
      <c r="F218" s="44" t="s">
        <v>22</v>
      </c>
      <c r="G218" s="51" t="s">
        <v>773</v>
      </c>
      <c r="H218" s="44" t="s">
        <v>767</v>
      </c>
      <c r="K218" s="51">
        <v>9.166869558E9</v>
      </c>
      <c r="M218" s="44" t="s">
        <v>774</v>
      </c>
    </row>
    <row r="219">
      <c r="A219" s="79">
        <v>45594.0</v>
      </c>
      <c r="B219" s="44" t="s">
        <v>775</v>
      </c>
      <c r="C219" s="48" t="s">
        <v>20</v>
      </c>
      <c r="D219" s="49" t="s">
        <v>532</v>
      </c>
      <c r="E219" s="75">
        <v>209.0</v>
      </c>
      <c r="F219" s="44" t="s">
        <v>22</v>
      </c>
      <c r="G219" s="51" t="s">
        <v>766</v>
      </c>
      <c r="H219" s="44" t="s">
        <v>767</v>
      </c>
      <c r="K219" s="51">
        <v>9.27476702E9</v>
      </c>
      <c r="M219" s="44" t="s">
        <v>776</v>
      </c>
    </row>
    <row r="220">
      <c r="A220" s="79">
        <v>45608.0</v>
      </c>
      <c r="B220" s="44" t="s">
        <v>777</v>
      </c>
      <c r="C220" s="48" t="s">
        <v>20</v>
      </c>
      <c r="D220" s="49" t="s">
        <v>532</v>
      </c>
      <c r="E220" s="75">
        <v>210.0</v>
      </c>
      <c r="F220" s="44" t="s">
        <v>17</v>
      </c>
      <c r="G220" s="51" t="s">
        <v>516</v>
      </c>
      <c r="H220" s="44" t="s">
        <v>115</v>
      </c>
      <c r="I220" s="44" t="s">
        <v>751</v>
      </c>
      <c r="J220" s="44" t="s">
        <v>26</v>
      </c>
      <c r="K220" s="51">
        <v>9.672290995E9</v>
      </c>
      <c r="M220" s="44" t="s">
        <v>778</v>
      </c>
      <c r="N220" s="44" t="s">
        <v>26</v>
      </c>
    </row>
    <row r="221">
      <c r="A221" s="79">
        <v>45573.0</v>
      </c>
      <c r="B221" s="44" t="s">
        <v>779</v>
      </c>
      <c r="C221" s="48" t="s">
        <v>42</v>
      </c>
      <c r="D221" s="49" t="s">
        <v>532</v>
      </c>
      <c r="E221" s="75">
        <v>211.0</v>
      </c>
      <c r="F221" s="44" t="s">
        <v>22</v>
      </c>
      <c r="G221" s="51" t="s">
        <v>516</v>
      </c>
      <c r="J221" s="44" t="s">
        <v>26</v>
      </c>
      <c r="K221" s="37"/>
      <c r="M221" s="44" t="s">
        <v>780</v>
      </c>
    </row>
    <row r="222">
      <c r="A222" s="79">
        <v>45573.0</v>
      </c>
      <c r="B222" s="44" t="s">
        <v>781</v>
      </c>
      <c r="C222" s="48" t="s">
        <v>20</v>
      </c>
      <c r="D222" s="49" t="s">
        <v>532</v>
      </c>
      <c r="E222" s="75">
        <v>212.0</v>
      </c>
      <c r="F222" s="44" t="s">
        <v>22</v>
      </c>
      <c r="G222" s="51" t="s">
        <v>516</v>
      </c>
      <c r="J222" s="44" t="s">
        <v>26</v>
      </c>
      <c r="K222" s="37"/>
      <c r="M222" s="44" t="s">
        <v>310</v>
      </c>
    </row>
    <row r="223">
      <c r="A223" s="79">
        <v>45573.0</v>
      </c>
      <c r="B223" s="44" t="s">
        <v>782</v>
      </c>
      <c r="C223" s="48" t="s">
        <v>20</v>
      </c>
      <c r="D223" s="49" t="s">
        <v>532</v>
      </c>
      <c r="E223" s="75">
        <v>213.0</v>
      </c>
      <c r="F223" s="44" t="s">
        <v>22</v>
      </c>
      <c r="G223" s="51" t="s">
        <v>516</v>
      </c>
      <c r="J223" s="44" t="s">
        <v>26</v>
      </c>
      <c r="K223" s="37"/>
      <c r="M223" s="44" t="s">
        <v>783</v>
      </c>
    </row>
    <row r="224">
      <c r="A224" s="79">
        <v>45573.0</v>
      </c>
      <c r="B224" s="44" t="s">
        <v>784</v>
      </c>
      <c r="C224" s="48" t="s">
        <v>20</v>
      </c>
      <c r="D224" s="49" t="s">
        <v>532</v>
      </c>
      <c r="E224" s="75">
        <v>214.0</v>
      </c>
      <c r="F224" s="44" t="s">
        <v>22</v>
      </c>
      <c r="G224" s="51" t="s">
        <v>516</v>
      </c>
      <c r="J224" s="44" t="s">
        <v>26</v>
      </c>
      <c r="K224" s="37"/>
      <c r="M224" s="44" t="s">
        <v>785</v>
      </c>
    </row>
    <row r="225">
      <c r="A225" s="79">
        <v>45573.0</v>
      </c>
      <c r="B225" s="44" t="s">
        <v>786</v>
      </c>
      <c r="C225" s="48" t="s">
        <v>20</v>
      </c>
      <c r="D225" s="49" t="s">
        <v>532</v>
      </c>
      <c r="E225" s="75">
        <v>215.0</v>
      </c>
      <c r="F225" s="44" t="s">
        <v>22</v>
      </c>
      <c r="G225" s="51" t="s">
        <v>32</v>
      </c>
      <c r="J225" s="44" t="s">
        <v>26</v>
      </c>
      <c r="K225" s="37"/>
      <c r="M225" s="44" t="s">
        <v>787</v>
      </c>
    </row>
    <row r="226">
      <c r="A226" s="79">
        <v>45573.0</v>
      </c>
      <c r="B226" s="44" t="s">
        <v>788</v>
      </c>
      <c r="C226" s="48" t="s">
        <v>42</v>
      </c>
      <c r="D226" s="49" t="s">
        <v>532</v>
      </c>
      <c r="E226" s="75">
        <v>216.0</v>
      </c>
      <c r="F226" s="44" t="s">
        <v>22</v>
      </c>
      <c r="G226" s="51" t="s">
        <v>516</v>
      </c>
      <c r="H226" s="44" t="s">
        <v>750</v>
      </c>
      <c r="I226" s="44" t="s">
        <v>751</v>
      </c>
      <c r="J226" s="44" t="s">
        <v>26</v>
      </c>
      <c r="K226" s="37"/>
      <c r="M226" s="44" t="s">
        <v>789</v>
      </c>
    </row>
    <row r="227">
      <c r="A227" s="79">
        <v>45608.0</v>
      </c>
      <c r="B227" s="44" t="s">
        <v>790</v>
      </c>
      <c r="C227" s="48" t="s">
        <v>20</v>
      </c>
      <c r="D227" s="49" t="s">
        <v>532</v>
      </c>
      <c r="E227" s="75">
        <v>217.0</v>
      </c>
      <c r="F227" s="44" t="s">
        <v>17</v>
      </c>
      <c r="G227" s="51" t="s">
        <v>516</v>
      </c>
      <c r="H227" s="44" t="s">
        <v>115</v>
      </c>
      <c r="I227" s="44" t="s">
        <v>589</v>
      </c>
      <c r="J227" s="44" t="s">
        <v>26</v>
      </c>
      <c r="K227" s="51">
        <v>9.103421957E9</v>
      </c>
      <c r="L227" s="44" t="s">
        <v>26</v>
      </c>
      <c r="M227" s="44" t="s">
        <v>791</v>
      </c>
    </row>
    <row r="228">
      <c r="A228" s="79">
        <v>45608.0</v>
      </c>
      <c r="B228" s="44" t="s">
        <v>792</v>
      </c>
      <c r="C228" s="48" t="s">
        <v>42</v>
      </c>
      <c r="D228" s="49" t="s">
        <v>532</v>
      </c>
      <c r="E228" s="75">
        <v>218.0</v>
      </c>
      <c r="F228" s="44" t="s">
        <v>17</v>
      </c>
      <c r="G228" s="51" t="s">
        <v>662</v>
      </c>
      <c r="H228" s="44" t="s">
        <v>115</v>
      </c>
      <c r="I228" s="44" t="s">
        <v>793</v>
      </c>
      <c r="J228" s="44" t="s">
        <v>26</v>
      </c>
      <c r="K228" s="51">
        <v>9.60618213E9</v>
      </c>
      <c r="L228" s="44" t="s">
        <v>26</v>
      </c>
      <c r="M228" s="44" t="s">
        <v>794</v>
      </c>
    </row>
    <row r="229">
      <c r="A229" s="79">
        <v>45609.0</v>
      </c>
      <c r="B229" s="44" t="s">
        <v>795</v>
      </c>
      <c r="C229" s="48" t="s">
        <v>20</v>
      </c>
      <c r="D229" s="49" t="s">
        <v>532</v>
      </c>
      <c r="E229" s="75">
        <v>219.0</v>
      </c>
      <c r="F229" s="44" t="s">
        <v>17</v>
      </c>
      <c r="G229" s="51" t="s">
        <v>796</v>
      </c>
      <c r="H229" s="44" t="s">
        <v>797</v>
      </c>
      <c r="I229" s="44" t="s">
        <v>798</v>
      </c>
      <c r="J229" s="44" t="s">
        <v>26</v>
      </c>
      <c r="K229" s="51">
        <v>9.469600418E9</v>
      </c>
      <c r="L229" s="44" t="s">
        <v>26</v>
      </c>
      <c r="M229" s="44" t="s">
        <v>799</v>
      </c>
    </row>
    <row r="230">
      <c r="A230" s="79">
        <v>45610.0</v>
      </c>
      <c r="B230" s="44" t="s">
        <v>800</v>
      </c>
      <c r="C230" s="48" t="s">
        <v>42</v>
      </c>
      <c r="D230" s="49" t="s">
        <v>532</v>
      </c>
      <c r="E230" s="75">
        <v>220.0</v>
      </c>
      <c r="F230" s="44" t="s">
        <v>17</v>
      </c>
      <c r="G230" s="51" t="s">
        <v>801</v>
      </c>
      <c r="H230" s="51" t="s">
        <v>802</v>
      </c>
      <c r="I230" s="44" t="s">
        <v>803</v>
      </c>
      <c r="K230" s="44" t="s">
        <v>804</v>
      </c>
      <c r="M230" s="44" t="s">
        <v>805</v>
      </c>
    </row>
    <row r="231">
      <c r="C231" s="87"/>
      <c r="D231" s="88"/>
      <c r="E231" s="89"/>
      <c r="F231" s="35"/>
      <c r="G231" s="37"/>
      <c r="K231" s="37"/>
    </row>
    <row r="232">
      <c r="C232" s="87"/>
      <c r="D232" s="88"/>
      <c r="E232" s="89"/>
      <c r="F232" s="35"/>
      <c r="G232" s="37"/>
      <c r="K232" s="37"/>
    </row>
    <row r="233">
      <c r="C233" s="87"/>
      <c r="D233" s="88"/>
      <c r="E233" s="89"/>
      <c r="F233" s="35"/>
      <c r="G233" s="37"/>
      <c r="K233" s="37"/>
    </row>
    <row r="234">
      <c r="C234" s="87"/>
      <c r="D234" s="88"/>
      <c r="E234" s="89"/>
      <c r="F234" s="35"/>
      <c r="G234" s="37"/>
      <c r="K234" s="37"/>
    </row>
    <row r="235">
      <c r="C235" s="87"/>
      <c r="D235" s="88"/>
      <c r="E235" s="89"/>
      <c r="F235" s="35"/>
      <c r="G235" s="37"/>
      <c r="K235" s="37"/>
    </row>
    <row r="236">
      <c r="C236" s="87"/>
      <c r="D236" s="88"/>
      <c r="E236" s="89"/>
      <c r="F236" s="35"/>
      <c r="G236" s="37"/>
      <c r="K236" s="37"/>
    </row>
    <row r="237">
      <c r="C237" s="87"/>
      <c r="D237" s="88"/>
      <c r="E237" s="89"/>
      <c r="F237" s="35"/>
      <c r="G237" s="37"/>
      <c r="K237" s="37"/>
    </row>
    <row r="238">
      <c r="C238" s="87"/>
      <c r="D238" s="88"/>
      <c r="E238" s="89"/>
      <c r="F238" s="35"/>
      <c r="G238" s="37"/>
      <c r="K238" s="37"/>
    </row>
    <row r="239">
      <c r="C239" s="87"/>
      <c r="D239" s="88"/>
      <c r="E239" s="89"/>
      <c r="F239" s="35"/>
      <c r="G239" s="37"/>
      <c r="K239" s="37"/>
    </row>
    <row r="240">
      <c r="C240" s="87"/>
      <c r="D240" s="88"/>
      <c r="E240" s="89"/>
      <c r="F240" s="35"/>
      <c r="G240" s="37"/>
      <c r="K240" s="37"/>
    </row>
    <row r="241">
      <c r="C241" s="87"/>
      <c r="D241" s="88"/>
      <c r="E241" s="89"/>
      <c r="F241" s="35"/>
      <c r="G241" s="37"/>
      <c r="K241" s="37"/>
    </row>
    <row r="242">
      <c r="C242" s="87"/>
      <c r="D242" s="88"/>
      <c r="E242" s="89"/>
      <c r="F242" s="35"/>
      <c r="G242" s="37"/>
      <c r="K242" s="37"/>
    </row>
    <row r="243">
      <c r="C243" s="87"/>
      <c r="D243" s="88"/>
      <c r="E243" s="89"/>
      <c r="F243" s="35"/>
      <c r="G243" s="37"/>
      <c r="K243" s="37"/>
    </row>
    <row r="244">
      <c r="C244" s="87"/>
      <c r="D244" s="88"/>
      <c r="E244" s="89"/>
      <c r="F244" s="35"/>
      <c r="G244" s="37"/>
      <c r="K244" s="37"/>
    </row>
    <row r="245">
      <c r="C245" s="87"/>
      <c r="D245" s="88"/>
      <c r="E245" s="89"/>
      <c r="F245" s="35"/>
      <c r="G245" s="37"/>
      <c r="K245" s="37"/>
    </row>
    <row r="246">
      <c r="C246" s="87"/>
      <c r="D246" s="88"/>
      <c r="E246" s="89"/>
      <c r="F246" s="35"/>
      <c r="G246" s="37"/>
      <c r="K246" s="37"/>
    </row>
    <row r="247">
      <c r="C247" s="87"/>
      <c r="D247" s="88"/>
      <c r="E247" s="89"/>
      <c r="F247" s="35"/>
      <c r="G247" s="37"/>
      <c r="K247" s="37"/>
    </row>
    <row r="248">
      <c r="C248" s="87"/>
      <c r="D248" s="88"/>
      <c r="E248" s="89"/>
      <c r="F248" s="35"/>
      <c r="G248" s="37"/>
      <c r="K248" s="37"/>
    </row>
    <row r="249">
      <c r="C249" s="87"/>
      <c r="D249" s="88"/>
      <c r="E249" s="89"/>
      <c r="F249" s="35"/>
      <c r="G249" s="37"/>
      <c r="K249" s="37"/>
    </row>
    <row r="250">
      <c r="C250" s="87"/>
      <c r="D250" s="88"/>
      <c r="E250" s="89"/>
      <c r="F250" s="35"/>
      <c r="G250" s="37"/>
      <c r="K250" s="37"/>
    </row>
    <row r="251">
      <c r="C251" s="87"/>
      <c r="D251" s="88"/>
      <c r="E251" s="89"/>
      <c r="F251" s="35"/>
      <c r="G251" s="37"/>
      <c r="K251" s="37"/>
    </row>
    <row r="252">
      <c r="C252" s="87"/>
      <c r="D252" s="88"/>
      <c r="E252" s="89"/>
      <c r="F252" s="35"/>
      <c r="G252" s="37"/>
      <c r="K252" s="37"/>
    </row>
    <row r="253">
      <c r="C253" s="87"/>
      <c r="D253" s="88"/>
      <c r="E253" s="89"/>
      <c r="F253" s="35"/>
      <c r="G253" s="37"/>
      <c r="K253" s="37"/>
    </row>
    <row r="254">
      <c r="C254" s="87"/>
      <c r="D254" s="88"/>
      <c r="E254" s="89"/>
      <c r="F254" s="35"/>
      <c r="G254" s="37"/>
      <c r="K254" s="37"/>
    </row>
    <row r="255">
      <c r="C255" s="87"/>
      <c r="D255" s="88"/>
      <c r="E255" s="89"/>
      <c r="F255" s="35"/>
      <c r="G255" s="37"/>
      <c r="K255" s="37"/>
    </row>
    <row r="256">
      <c r="C256" s="87"/>
      <c r="D256" s="88"/>
      <c r="E256" s="89"/>
      <c r="F256" s="35"/>
      <c r="G256" s="37"/>
      <c r="K256" s="37"/>
    </row>
    <row r="257">
      <c r="C257" s="87"/>
      <c r="D257" s="88"/>
      <c r="E257" s="89"/>
      <c r="F257" s="35"/>
      <c r="G257" s="37"/>
      <c r="K257" s="37"/>
    </row>
    <row r="258">
      <c r="C258" s="87"/>
      <c r="D258" s="88"/>
      <c r="E258" s="89"/>
      <c r="F258" s="35"/>
      <c r="G258" s="37"/>
      <c r="K258" s="37"/>
    </row>
    <row r="259">
      <c r="C259" s="87"/>
      <c r="D259" s="88"/>
      <c r="E259" s="89"/>
      <c r="F259" s="35"/>
      <c r="G259" s="37"/>
      <c r="K259" s="37"/>
    </row>
    <row r="260">
      <c r="C260" s="87"/>
      <c r="D260" s="88"/>
      <c r="E260" s="89"/>
      <c r="F260" s="35"/>
      <c r="G260" s="37"/>
      <c r="K260" s="37"/>
    </row>
    <row r="261">
      <c r="C261" s="87"/>
      <c r="D261" s="88"/>
      <c r="E261" s="89"/>
      <c r="F261" s="35"/>
      <c r="G261" s="37"/>
      <c r="K261" s="37"/>
    </row>
    <row r="262">
      <c r="C262" s="87"/>
      <c r="D262" s="88"/>
      <c r="E262" s="89"/>
      <c r="F262" s="35"/>
      <c r="G262" s="37"/>
      <c r="K262" s="37"/>
    </row>
    <row r="263">
      <c r="C263" s="87"/>
      <c r="D263" s="88"/>
      <c r="E263" s="89"/>
      <c r="F263" s="35"/>
      <c r="G263" s="37"/>
      <c r="K263" s="37"/>
    </row>
    <row r="264">
      <c r="C264" s="87"/>
      <c r="D264" s="88"/>
      <c r="E264" s="89"/>
      <c r="F264" s="35"/>
      <c r="G264" s="37"/>
      <c r="K264" s="37"/>
    </row>
    <row r="265">
      <c r="C265" s="87"/>
      <c r="D265" s="88"/>
      <c r="E265" s="89"/>
      <c r="F265" s="35"/>
      <c r="G265" s="37"/>
      <c r="K265" s="37"/>
    </row>
    <row r="266">
      <c r="C266" s="87"/>
      <c r="D266" s="88"/>
      <c r="E266" s="89"/>
      <c r="F266" s="35"/>
      <c r="G266" s="37"/>
      <c r="K266" s="37"/>
    </row>
    <row r="267">
      <c r="C267" s="87"/>
      <c r="D267" s="88"/>
      <c r="E267" s="89"/>
      <c r="F267" s="35"/>
      <c r="G267" s="37"/>
      <c r="K267" s="37"/>
    </row>
    <row r="268">
      <c r="C268" s="87"/>
      <c r="D268" s="88"/>
      <c r="E268" s="89"/>
      <c r="F268" s="35"/>
      <c r="G268" s="37"/>
      <c r="K268" s="37"/>
    </row>
    <row r="269">
      <c r="C269" s="87"/>
      <c r="D269" s="88"/>
      <c r="E269" s="89"/>
      <c r="F269" s="35"/>
      <c r="G269" s="37"/>
      <c r="K269" s="37"/>
    </row>
    <row r="270">
      <c r="C270" s="87"/>
      <c r="D270" s="88"/>
      <c r="E270" s="89"/>
      <c r="F270" s="35"/>
      <c r="G270" s="37"/>
      <c r="K270" s="37"/>
    </row>
    <row r="271">
      <c r="C271" s="87"/>
      <c r="D271" s="88"/>
      <c r="E271" s="89"/>
      <c r="F271" s="35"/>
      <c r="G271" s="37"/>
      <c r="K271" s="37"/>
    </row>
    <row r="272">
      <c r="C272" s="87"/>
      <c r="D272" s="88"/>
      <c r="E272" s="89"/>
      <c r="F272" s="35"/>
      <c r="G272" s="37"/>
      <c r="K272" s="37"/>
    </row>
    <row r="273">
      <c r="C273" s="87"/>
      <c r="D273" s="88"/>
      <c r="E273" s="89"/>
      <c r="F273" s="35"/>
      <c r="G273" s="37"/>
      <c r="K273" s="37"/>
    </row>
    <row r="274">
      <c r="C274" s="87"/>
      <c r="D274" s="88"/>
      <c r="E274" s="89"/>
      <c r="F274" s="35"/>
      <c r="G274" s="37"/>
      <c r="K274" s="37"/>
    </row>
    <row r="275">
      <c r="C275" s="87"/>
      <c r="D275" s="88"/>
      <c r="E275" s="89"/>
      <c r="F275" s="35"/>
      <c r="G275" s="37"/>
      <c r="K275" s="37"/>
    </row>
    <row r="276">
      <c r="C276" s="87"/>
      <c r="D276" s="88"/>
      <c r="E276" s="89"/>
      <c r="F276" s="35"/>
      <c r="G276" s="37"/>
      <c r="K276" s="37"/>
    </row>
    <row r="277">
      <c r="C277" s="87"/>
      <c r="D277" s="88"/>
      <c r="E277" s="89"/>
      <c r="F277" s="35"/>
      <c r="G277" s="37"/>
      <c r="K277" s="37"/>
    </row>
    <row r="278">
      <c r="C278" s="87"/>
      <c r="D278" s="88"/>
      <c r="E278" s="89"/>
      <c r="F278" s="35"/>
      <c r="G278" s="37"/>
      <c r="K278" s="37"/>
    </row>
    <row r="279">
      <c r="C279" s="87"/>
      <c r="D279" s="88"/>
      <c r="E279" s="89"/>
      <c r="F279" s="35"/>
      <c r="G279" s="37"/>
      <c r="K279" s="37"/>
    </row>
    <row r="280">
      <c r="C280" s="87"/>
      <c r="D280" s="88"/>
      <c r="E280" s="89"/>
      <c r="F280" s="35"/>
      <c r="G280" s="37"/>
      <c r="K280" s="37"/>
    </row>
    <row r="281">
      <c r="C281" s="87"/>
      <c r="D281" s="88"/>
      <c r="E281" s="89"/>
      <c r="F281" s="35"/>
      <c r="G281" s="37"/>
      <c r="K281" s="37"/>
    </row>
    <row r="282">
      <c r="C282" s="87"/>
      <c r="D282" s="88"/>
      <c r="E282" s="89"/>
      <c r="F282" s="35"/>
      <c r="G282" s="37"/>
      <c r="K282" s="37"/>
    </row>
    <row r="283">
      <c r="C283" s="87"/>
      <c r="D283" s="88"/>
      <c r="E283" s="89"/>
      <c r="F283" s="35"/>
      <c r="G283" s="37"/>
      <c r="K283" s="37"/>
    </row>
    <row r="284">
      <c r="C284" s="87"/>
      <c r="D284" s="88"/>
      <c r="E284" s="89"/>
      <c r="F284" s="35"/>
      <c r="G284" s="37"/>
      <c r="K284" s="37"/>
    </row>
    <row r="285">
      <c r="C285" s="87"/>
      <c r="D285" s="88"/>
      <c r="E285" s="89"/>
      <c r="F285" s="35"/>
      <c r="G285" s="37"/>
      <c r="K285" s="37"/>
    </row>
    <row r="286">
      <c r="C286" s="87"/>
      <c r="D286" s="88"/>
      <c r="E286" s="89"/>
      <c r="F286" s="35"/>
      <c r="G286" s="37"/>
      <c r="K286" s="37"/>
    </row>
    <row r="287">
      <c r="C287" s="87"/>
      <c r="D287" s="88"/>
      <c r="E287" s="89"/>
      <c r="F287" s="35"/>
      <c r="G287" s="37"/>
      <c r="K287" s="37"/>
    </row>
    <row r="288">
      <c r="C288" s="87"/>
      <c r="D288" s="88"/>
      <c r="E288" s="89"/>
      <c r="F288" s="35"/>
      <c r="G288" s="37"/>
      <c r="K288" s="37"/>
    </row>
    <row r="289">
      <c r="C289" s="87"/>
      <c r="D289" s="88"/>
      <c r="E289" s="89"/>
      <c r="F289" s="35"/>
      <c r="G289" s="37"/>
      <c r="K289" s="37"/>
    </row>
    <row r="290">
      <c r="C290" s="87"/>
      <c r="D290" s="88"/>
      <c r="E290" s="89"/>
      <c r="F290" s="35"/>
      <c r="G290" s="37"/>
      <c r="K290" s="37"/>
    </row>
    <row r="291">
      <c r="C291" s="87"/>
      <c r="D291" s="88"/>
      <c r="E291" s="89"/>
      <c r="F291" s="35"/>
      <c r="G291" s="37"/>
      <c r="K291" s="37"/>
    </row>
    <row r="292">
      <c r="C292" s="87"/>
      <c r="D292" s="88"/>
      <c r="E292" s="89"/>
      <c r="F292" s="35"/>
      <c r="G292" s="37"/>
      <c r="K292" s="37"/>
    </row>
    <row r="293">
      <c r="C293" s="87"/>
      <c r="D293" s="88"/>
      <c r="E293" s="89"/>
      <c r="F293" s="35"/>
      <c r="G293" s="37"/>
      <c r="K293" s="37"/>
    </row>
    <row r="294">
      <c r="C294" s="87"/>
      <c r="D294" s="88"/>
      <c r="E294" s="89"/>
      <c r="F294" s="35"/>
      <c r="G294" s="37"/>
      <c r="K294" s="37"/>
    </row>
    <row r="295">
      <c r="C295" s="87"/>
      <c r="D295" s="88"/>
      <c r="E295" s="89"/>
      <c r="F295" s="35"/>
      <c r="G295" s="37"/>
      <c r="K295" s="37"/>
    </row>
    <row r="296">
      <c r="C296" s="87"/>
      <c r="D296" s="88"/>
      <c r="E296" s="89"/>
      <c r="F296" s="35"/>
      <c r="G296" s="37"/>
      <c r="K296" s="37"/>
    </row>
    <row r="297">
      <c r="C297" s="87"/>
      <c r="D297" s="88"/>
      <c r="E297" s="89"/>
      <c r="F297" s="35"/>
      <c r="G297" s="37"/>
      <c r="K297" s="37"/>
    </row>
    <row r="298">
      <c r="C298" s="87"/>
      <c r="D298" s="88"/>
      <c r="E298" s="89"/>
      <c r="F298" s="35"/>
      <c r="G298" s="37"/>
      <c r="K298" s="37"/>
    </row>
    <row r="299">
      <c r="C299" s="87"/>
      <c r="D299" s="88"/>
      <c r="E299" s="89"/>
      <c r="F299" s="35"/>
      <c r="G299" s="37"/>
      <c r="K299" s="37"/>
    </row>
    <row r="300">
      <c r="C300" s="87"/>
      <c r="D300" s="88"/>
      <c r="E300" s="89"/>
      <c r="F300" s="35"/>
      <c r="G300" s="37"/>
      <c r="K300" s="37"/>
    </row>
    <row r="301">
      <c r="C301" s="87"/>
      <c r="D301" s="88"/>
      <c r="E301" s="89"/>
      <c r="F301" s="35"/>
      <c r="G301" s="37"/>
      <c r="K301" s="37"/>
    </row>
    <row r="302">
      <c r="C302" s="87"/>
      <c r="D302" s="88"/>
      <c r="E302" s="89"/>
      <c r="F302" s="35"/>
      <c r="G302" s="37"/>
      <c r="K302" s="37"/>
    </row>
    <row r="303">
      <c r="C303" s="87"/>
      <c r="D303" s="88"/>
      <c r="E303" s="89"/>
      <c r="F303" s="35"/>
      <c r="G303" s="37"/>
      <c r="K303" s="37"/>
    </row>
    <row r="304">
      <c r="C304" s="87"/>
      <c r="D304" s="88"/>
      <c r="E304" s="89"/>
      <c r="F304" s="35"/>
      <c r="G304" s="37"/>
      <c r="K304" s="37"/>
    </row>
    <row r="305">
      <c r="C305" s="87"/>
      <c r="D305" s="88"/>
      <c r="E305" s="89"/>
      <c r="F305" s="35"/>
      <c r="G305" s="37"/>
      <c r="K305" s="37"/>
    </row>
    <row r="306">
      <c r="C306" s="87"/>
      <c r="D306" s="88"/>
      <c r="E306" s="89"/>
      <c r="F306" s="35"/>
      <c r="G306" s="37"/>
      <c r="K306" s="37"/>
    </row>
    <row r="307">
      <c r="C307" s="87"/>
      <c r="D307" s="88"/>
      <c r="E307" s="89"/>
      <c r="F307" s="35"/>
      <c r="G307" s="37"/>
      <c r="K307" s="37"/>
    </row>
    <row r="308">
      <c r="C308" s="87"/>
      <c r="D308" s="88"/>
      <c r="E308" s="89"/>
      <c r="F308" s="35"/>
      <c r="G308" s="37"/>
      <c r="K308" s="37"/>
    </row>
    <row r="309">
      <c r="C309" s="87"/>
      <c r="D309" s="88"/>
      <c r="E309" s="89"/>
      <c r="F309" s="35"/>
      <c r="G309" s="37"/>
      <c r="K309" s="37"/>
    </row>
    <row r="310">
      <c r="C310" s="87"/>
      <c r="D310" s="88"/>
      <c r="E310" s="89"/>
      <c r="F310" s="35"/>
      <c r="G310" s="37"/>
      <c r="K310" s="37"/>
    </row>
    <row r="311">
      <c r="C311" s="87"/>
      <c r="D311" s="88"/>
      <c r="E311" s="89"/>
      <c r="F311" s="35"/>
      <c r="G311" s="37"/>
      <c r="K311" s="37"/>
    </row>
    <row r="312">
      <c r="C312" s="87"/>
      <c r="D312" s="88"/>
      <c r="E312" s="89"/>
      <c r="F312" s="35"/>
      <c r="G312" s="37"/>
      <c r="K312" s="37"/>
    </row>
    <row r="313">
      <c r="C313" s="87"/>
      <c r="D313" s="88"/>
      <c r="E313" s="89"/>
      <c r="F313" s="35"/>
      <c r="G313" s="37"/>
      <c r="K313" s="37"/>
    </row>
    <row r="314">
      <c r="C314" s="87"/>
      <c r="D314" s="88"/>
      <c r="E314" s="89"/>
      <c r="F314" s="35"/>
      <c r="G314" s="37"/>
      <c r="K314" s="37"/>
    </row>
    <row r="315">
      <c r="C315" s="87"/>
      <c r="D315" s="88"/>
      <c r="E315" s="89"/>
      <c r="F315" s="35"/>
      <c r="G315" s="37"/>
      <c r="K315" s="37"/>
    </row>
    <row r="316">
      <c r="C316" s="87"/>
      <c r="D316" s="88"/>
      <c r="E316" s="89"/>
      <c r="F316" s="35"/>
      <c r="G316" s="37"/>
      <c r="K316" s="37"/>
    </row>
    <row r="317">
      <c r="C317" s="87"/>
      <c r="D317" s="88"/>
      <c r="E317" s="89"/>
      <c r="F317" s="35"/>
      <c r="G317" s="37"/>
      <c r="K317" s="37"/>
    </row>
    <row r="318">
      <c r="C318" s="87"/>
      <c r="D318" s="88"/>
      <c r="E318" s="89"/>
      <c r="F318" s="35"/>
      <c r="G318" s="37"/>
      <c r="K318" s="37"/>
    </row>
    <row r="319">
      <c r="C319" s="87"/>
      <c r="D319" s="88"/>
      <c r="E319" s="89"/>
      <c r="F319" s="35"/>
      <c r="G319" s="37"/>
      <c r="K319" s="37"/>
    </row>
    <row r="320">
      <c r="C320" s="87"/>
      <c r="D320" s="88"/>
      <c r="E320" s="89"/>
      <c r="F320" s="35"/>
      <c r="G320" s="37"/>
      <c r="K320" s="37"/>
    </row>
    <row r="321">
      <c r="C321" s="87"/>
      <c r="D321" s="88"/>
      <c r="E321" s="89"/>
      <c r="F321" s="35"/>
      <c r="G321" s="37"/>
      <c r="K321" s="37"/>
    </row>
    <row r="322">
      <c r="C322" s="87"/>
      <c r="D322" s="88"/>
      <c r="E322" s="89"/>
      <c r="F322" s="35"/>
      <c r="G322" s="37"/>
      <c r="K322" s="37"/>
    </row>
    <row r="323">
      <c r="C323" s="87"/>
      <c r="D323" s="88"/>
      <c r="E323" s="89"/>
      <c r="F323" s="35"/>
      <c r="G323" s="37"/>
      <c r="K323" s="37"/>
    </row>
    <row r="324">
      <c r="C324" s="87"/>
      <c r="D324" s="88"/>
      <c r="E324" s="89"/>
      <c r="F324" s="35"/>
      <c r="G324" s="37"/>
      <c r="K324" s="37"/>
    </row>
    <row r="325">
      <c r="C325" s="87"/>
      <c r="D325" s="88"/>
      <c r="E325" s="89"/>
      <c r="F325" s="35"/>
      <c r="G325" s="37"/>
      <c r="K325" s="37"/>
    </row>
    <row r="326">
      <c r="C326" s="87"/>
      <c r="D326" s="88"/>
      <c r="E326" s="89"/>
      <c r="F326" s="35"/>
      <c r="G326" s="37"/>
      <c r="K326" s="37"/>
    </row>
    <row r="327">
      <c r="C327" s="87"/>
      <c r="D327" s="88"/>
      <c r="E327" s="89"/>
      <c r="F327" s="35"/>
      <c r="G327" s="37"/>
      <c r="K327" s="37"/>
    </row>
    <row r="328">
      <c r="C328" s="87"/>
      <c r="D328" s="88"/>
      <c r="E328" s="89"/>
      <c r="F328" s="35"/>
      <c r="G328" s="37"/>
      <c r="K328" s="37"/>
    </row>
    <row r="329">
      <c r="C329" s="87"/>
      <c r="D329" s="88"/>
      <c r="E329" s="89"/>
      <c r="F329" s="35"/>
      <c r="G329" s="37"/>
      <c r="K329" s="37"/>
    </row>
    <row r="330">
      <c r="C330" s="87"/>
      <c r="D330" s="88"/>
      <c r="E330" s="89"/>
      <c r="F330" s="35"/>
      <c r="G330" s="37"/>
      <c r="K330" s="37"/>
    </row>
    <row r="331">
      <c r="C331" s="87"/>
      <c r="D331" s="88"/>
      <c r="E331" s="89"/>
      <c r="F331" s="35"/>
      <c r="G331" s="37"/>
      <c r="K331" s="37"/>
    </row>
    <row r="332">
      <c r="C332" s="87"/>
      <c r="D332" s="88"/>
      <c r="E332" s="89"/>
      <c r="F332" s="35"/>
      <c r="G332" s="37"/>
      <c r="K332" s="37"/>
    </row>
    <row r="333">
      <c r="C333" s="87"/>
      <c r="D333" s="88"/>
      <c r="E333" s="89"/>
      <c r="F333" s="35"/>
      <c r="G333" s="37"/>
      <c r="K333" s="37"/>
    </row>
    <row r="334">
      <c r="C334" s="87"/>
      <c r="D334" s="88"/>
      <c r="E334" s="89"/>
      <c r="F334" s="35"/>
      <c r="G334" s="37"/>
      <c r="K334" s="37"/>
    </row>
    <row r="335">
      <c r="C335" s="87"/>
      <c r="D335" s="88"/>
      <c r="E335" s="89"/>
      <c r="F335" s="35"/>
      <c r="G335" s="37"/>
      <c r="K335" s="37"/>
    </row>
    <row r="336">
      <c r="C336" s="87"/>
      <c r="D336" s="88"/>
      <c r="E336" s="89"/>
      <c r="F336" s="35"/>
      <c r="G336" s="37"/>
      <c r="K336" s="37"/>
    </row>
    <row r="337">
      <c r="C337" s="87"/>
      <c r="D337" s="88"/>
      <c r="E337" s="89"/>
      <c r="F337" s="35"/>
      <c r="G337" s="37"/>
      <c r="K337" s="37"/>
    </row>
    <row r="338">
      <c r="C338" s="87"/>
      <c r="D338" s="88"/>
      <c r="E338" s="89"/>
      <c r="F338" s="35"/>
      <c r="G338" s="37"/>
      <c r="K338" s="37"/>
    </row>
    <row r="339">
      <c r="C339" s="87"/>
      <c r="D339" s="88"/>
      <c r="E339" s="89"/>
      <c r="F339" s="35"/>
      <c r="G339" s="37"/>
      <c r="K339" s="37"/>
    </row>
    <row r="340">
      <c r="C340" s="87"/>
      <c r="D340" s="88"/>
      <c r="E340" s="89"/>
      <c r="F340" s="35"/>
      <c r="G340" s="37"/>
      <c r="K340" s="37"/>
    </row>
    <row r="341">
      <c r="C341" s="87"/>
      <c r="D341" s="88"/>
      <c r="E341" s="89"/>
      <c r="F341" s="35"/>
      <c r="G341" s="37"/>
      <c r="K341" s="37"/>
    </row>
    <row r="342">
      <c r="C342" s="87"/>
      <c r="D342" s="88"/>
      <c r="E342" s="89"/>
      <c r="F342" s="35"/>
      <c r="G342" s="37"/>
      <c r="K342" s="37"/>
    </row>
    <row r="343">
      <c r="C343" s="87"/>
      <c r="D343" s="88"/>
      <c r="E343" s="89"/>
      <c r="F343" s="35"/>
      <c r="G343" s="37"/>
      <c r="K343" s="37"/>
    </row>
    <row r="344">
      <c r="C344" s="87"/>
      <c r="D344" s="88"/>
      <c r="E344" s="89"/>
      <c r="F344" s="35"/>
      <c r="G344" s="37"/>
      <c r="K344" s="37"/>
    </row>
    <row r="345">
      <c r="C345" s="87"/>
      <c r="D345" s="88"/>
      <c r="E345" s="89"/>
      <c r="F345" s="35"/>
      <c r="G345" s="37"/>
      <c r="K345" s="37"/>
    </row>
    <row r="346">
      <c r="C346" s="87"/>
      <c r="D346" s="88"/>
      <c r="E346" s="89"/>
      <c r="F346" s="35"/>
      <c r="G346" s="37"/>
      <c r="K346" s="37"/>
    </row>
    <row r="347">
      <c r="C347" s="87"/>
      <c r="D347" s="88"/>
      <c r="E347" s="89"/>
      <c r="F347" s="35"/>
      <c r="G347" s="37"/>
      <c r="K347" s="37"/>
    </row>
    <row r="348">
      <c r="C348" s="87"/>
      <c r="D348" s="88"/>
      <c r="E348" s="89"/>
      <c r="F348" s="35"/>
      <c r="G348" s="37"/>
      <c r="K348" s="37"/>
    </row>
    <row r="349">
      <c r="C349" s="87"/>
      <c r="D349" s="88"/>
      <c r="E349" s="89"/>
      <c r="F349" s="35"/>
      <c r="G349" s="37"/>
      <c r="K349" s="37"/>
    </row>
    <row r="350">
      <c r="C350" s="87"/>
      <c r="D350" s="88"/>
      <c r="E350" s="89"/>
      <c r="F350" s="35"/>
      <c r="G350" s="37"/>
      <c r="K350" s="37"/>
    </row>
    <row r="351">
      <c r="C351" s="87"/>
      <c r="D351" s="88"/>
      <c r="E351" s="89"/>
      <c r="F351" s="35"/>
      <c r="G351" s="37"/>
      <c r="K351" s="37"/>
    </row>
    <row r="352">
      <c r="C352" s="87"/>
      <c r="D352" s="88"/>
      <c r="E352" s="89"/>
      <c r="F352" s="35"/>
      <c r="G352" s="37"/>
      <c r="K352" s="37"/>
    </row>
    <row r="353">
      <c r="C353" s="87"/>
      <c r="D353" s="88"/>
      <c r="E353" s="89"/>
      <c r="F353" s="35"/>
      <c r="G353" s="37"/>
      <c r="K353" s="37"/>
    </row>
    <row r="354">
      <c r="C354" s="87"/>
      <c r="D354" s="88"/>
      <c r="E354" s="89"/>
      <c r="F354" s="35"/>
      <c r="G354" s="37"/>
      <c r="K354" s="37"/>
    </row>
    <row r="355">
      <c r="C355" s="87"/>
      <c r="D355" s="88"/>
      <c r="E355" s="89"/>
      <c r="F355" s="35"/>
      <c r="G355" s="37"/>
      <c r="K355" s="37"/>
    </row>
    <row r="356">
      <c r="C356" s="87"/>
      <c r="D356" s="88"/>
      <c r="E356" s="89"/>
      <c r="F356" s="35"/>
      <c r="G356" s="37"/>
      <c r="K356" s="37"/>
    </row>
    <row r="357">
      <c r="C357" s="87"/>
      <c r="D357" s="88"/>
      <c r="E357" s="89"/>
      <c r="F357" s="35"/>
      <c r="G357" s="37"/>
      <c r="K357" s="37"/>
    </row>
    <row r="358">
      <c r="C358" s="87"/>
      <c r="D358" s="88"/>
      <c r="E358" s="89"/>
      <c r="F358" s="35"/>
      <c r="G358" s="37"/>
      <c r="K358" s="37"/>
    </row>
    <row r="359">
      <c r="C359" s="87"/>
      <c r="D359" s="88"/>
      <c r="E359" s="89"/>
      <c r="F359" s="35"/>
      <c r="G359" s="37"/>
      <c r="K359" s="37"/>
    </row>
    <row r="360">
      <c r="C360" s="87"/>
      <c r="D360" s="88"/>
      <c r="E360" s="89"/>
      <c r="F360" s="35"/>
      <c r="G360" s="37"/>
      <c r="K360" s="37"/>
    </row>
    <row r="361">
      <c r="C361" s="87"/>
      <c r="D361" s="88"/>
      <c r="E361" s="89"/>
      <c r="F361" s="35"/>
      <c r="G361" s="37"/>
      <c r="K361" s="37"/>
    </row>
    <row r="362">
      <c r="C362" s="87"/>
      <c r="D362" s="88"/>
      <c r="E362" s="89"/>
      <c r="F362" s="35"/>
      <c r="G362" s="37"/>
      <c r="K362" s="37"/>
    </row>
    <row r="363">
      <c r="C363" s="87"/>
      <c r="D363" s="88"/>
      <c r="E363" s="89"/>
      <c r="F363" s="35"/>
      <c r="G363" s="37"/>
      <c r="K363" s="37"/>
    </row>
    <row r="364">
      <c r="C364" s="87"/>
      <c r="D364" s="88"/>
      <c r="E364" s="89"/>
      <c r="F364" s="35"/>
      <c r="G364" s="37"/>
      <c r="K364" s="37"/>
    </row>
    <row r="365">
      <c r="C365" s="87"/>
      <c r="D365" s="88"/>
      <c r="E365" s="89"/>
      <c r="F365" s="35"/>
      <c r="G365" s="37"/>
      <c r="K365" s="37"/>
    </row>
    <row r="366">
      <c r="C366" s="87"/>
      <c r="D366" s="88"/>
      <c r="E366" s="89"/>
      <c r="F366" s="35"/>
      <c r="G366" s="37"/>
      <c r="K366" s="37"/>
    </row>
    <row r="367">
      <c r="C367" s="87"/>
      <c r="D367" s="88"/>
      <c r="E367" s="89"/>
      <c r="F367" s="35"/>
      <c r="G367" s="37"/>
      <c r="K367" s="37"/>
    </row>
    <row r="368">
      <c r="C368" s="87"/>
      <c r="D368" s="88"/>
      <c r="E368" s="89"/>
      <c r="F368" s="35"/>
      <c r="G368" s="37"/>
      <c r="K368" s="37"/>
    </row>
    <row r="369">
      <c r="C369" s="87"/>
      <c r="D369" s="88"/>
      <c r="E369" s="89"/>
      <c r="F369" s="35"/>
      <c r="G369" s="37"/>
      <c r="K369" s="37"/>
    </row>
    <row r="370">
      <c r="C370" s="87"/>
      <c r="D370" s="88"/>
      <c r="E370" s="89"/>
      <c r="F370" s="35"/>
      <c r="G370" s="37"/>
      <c r="K370" s="37"/>
    </row>
    <row r="371">
      <c r="C371" s="87"/>
      <c r="D371" s="88"/>
      <c r="E371" s="89"/>
      <c r="F371" s="35"/>
      <c r="G371" s="37"/>
      <c r="K371" s="37"/>
    </row>
    <row r="372">
      <c r="C372" s="87"/>
      <c r="D372" s="88"/>
      <c r="E372" s="89"/>
      <c r="F372" s="35"/>
      <c r="G372" s="37"/>
      <c r="K372" s="37"/>
    </row>
    <row r="373">
      <c r="C373" s="87"/>
      <c r="D373" s="88"/>
      <c r="E373" s="89"/>
      <c r="F373" s="35"/>
      <c r="G373" s="37"/>
      <c r="K373" s="37"/>
    </row>
    <row r="374">
      <c r="C374" s="87"/>
      <c r="D374" s="88"/>
      <c r="E374" s="89"/>
      <c r="F374" s="35"/>
      <c r="G374" s="37"/>
      <c r="K374" s="37"/>
    </row>
    <row r="375">
      <c r="C375" s="87"/>
      <c r="D375" s="88"/>
      <c r="E375" s="89"/>
      <c r="F375" s="35"/>
      <c r="G375" s="37"/>
      <c r="K375" s="37"/>
    </row>
    <row r="376">
      <c r="C376" s="87"/>
      <c r="D376" s="88"/>
      <c r="E376" s="89"/>
      <c r="F376" s="35"/>
      <c r="G376" s="37"/>
      <c r="K376" s="37"/>
    </row>
    <row r="377">
      <c r="C377" s="87"/>
      <c r="D377" s="88"/>
      <c r="E377" s="89"/>
      <c r="F377" s="35"/>
      <c r="G377" s="37"/>
      <c r="K377" s="37"/>
    </row>
    <row r="378">
      <c r="C378" s="87"/>
      <c r="D378" s="88"/>
      <c r="E378" s="89"/>
      <c r="F378" s="35"/>
      <c r="G378" s="37"/>
      <c r="K378" s="37"/>
    </row>
    <row r="379">
      <c r="C379" s="87"/>
      <c r="D379" s="88"/>
      <c r="E379" s="89"/>
      <c r="F379" s="35"/>
      <c r="G379" s="37"/>
      <c r="K379" s="37"/>
    </row>
    <row r="380">
      <c r="C380" s="87"/>
      <c r="D380" s="88"/>
      <c r="E380" s="89"/>
      <c r="F380" s="35"/>
      <c r="G380" s="37"/>
      <c r="K380" s="37"/>
    </row>
    <row r="381">
      <c r="C381" s="87"/>
      <c r="D381" s="88"/>
      <c r="E381" s="89"/>
      <c r="F381" s="35"/>
      <c r="G381" s="37"/>
      <c r="K381" s="37"/>
    </row>
    <row r="382">
      <c r="C382" s="87"/>
      <c r="D382" s="88"/>
      <c r="E382" s="89"/>
      <c r="F382" s="35"/>
      <c r="G382" s="37"/>
      <c r="K382" s="37"/>
    </row>
    <row r="383">
      <c r="C383" s="87"/>
      <c r="D383" s="88"/>
      <c r="E383" s="89"/>
      <c r="F383" s="35"/>
      <c r="G383" s="37"/>
      <c r="K383" s="37"/>
    </row>
    <row r="384">
      <c r="C384" s="87"/>
      <c r="D384" s="88"/>
      <c r="E384" s="89"/>
      <c r="F384" s="35"/>
      <c r="G384" s="37"/>
      <c r="K384" s="37"/>
    </row>
    <row r="385">
      <c r="C385" s="87"/>
      <c r="D385" s="88"/>
      <c r="E385" s="89"/>
      <c r="F385" s="35"/>
      <c r="G385" s="37"/>
      <c r="K385" s="37"/>
    </row>
    <row r="386">
      <c r="C386" s="87"/>
      <c r="D386" s="88"/>
      <c r="E386" s="89"/>
      <c r="F386" s="35"/>
      <c r="G386" s="37"/>
      <c r="K386" s="37"/>
    </row>
    <row r="387">
      <c r="C387" s="87"/>
      <c r="D387" s="88"/>
      <c r="E387" s="89"/>
      <c r="F387" s="35"/>
      <c r="G387" s="37"/>
      <c r="K387" s="37"/>
    </row>
    <row r="388">
      <c r="C388" s="87"/>
      <c r="D388" s="88"/>
      <c r="E388" s="89"/>
      <c r="F388" s="35"/>
      <c r="G388" s="37"/>
      <c r="K388" s="37"/>
    </row>
    <row r="389">
      <c r="C389" s="87"/>
      <c r="D389" s="88"/>
      <c r="E389" s="89"/>
      <c r="F389" s="35"/>
      <c r="G389" s="37"/>
      <c r="K389" s="37"/>
    </row>
    <row r="390">
      <c r="C390" s="87"/>
      <c r="D390" s="88"/>
      <c r="E390" s="89"/>
      <c r="F390" s="35"/>
      <c r="G390" s="37"/>
      <c r="K390" s="37"/>
    </row>
    <row r="391">
      <c r="C391" s="87"/>
      <c r="D391" s="88"/>
      <c r="E391" s="89"/>
      <c r="F391" s="35"/>
      <c r="G391" s="37"/>
      <c r="K391" s="37"/>
    </row>
    <row r="392">
      <c r="C392" s="87"/>
      <c r="D392" s="88"/>
      <c r="E392" s="89"/>
      <c r="F392" s="35"/>
      <c r="G392" s="37"/>
      <c r="K392" s="37"/>
    </row>
    <row r="393">
      <c r="C393" s="87"/>
      <c r="D393" s="88"/>
      <c r="E393" s="89"/>
      <c r="F393" s="35"/>
      <c r="G393" s="37"/>
      <c r="K393" s="37"/>
    </row>
    <row r="394">
      <c r="C394" s="87"/>
      <c r="D394" s="88"/>
      <c r="E394" s="89"/>
      <c r="F394" s="35"/>
      <c r="G394" s="37"/>
      <c r="K394" s="37"/>
    </row>
    <row r="395">
      <c r="C395" s="87"/>
      <c r="D395" s="88"/>
      <c r="E395" s="89"/>
      <c r="F395" s="35"/>
      <c r="G395" s="37"/>
      <c r="K395" s="37"/>
    </row>
    <row r="396">
      <c r="C396" s="87"/>
      <c r="D396" s="88"/>
      <c r="E396" s="89"/>
      <c r="F396" s="35"/>
      <c r="G396" s="37"/>
      <c r="K396" s="37"/>
    </row>
    <row r="397">
      <c r="C397" s="87"/>
      <c r="D397" s="88"/>
      <c r="E397" s="89"/>
      <c r="F397" s="35"/>
      <c r="G397" s="37"/>
      <c r="K397" s="37"/>
    </row>
    <row r="398">
      <c r="C398" s="87"/>
      <c r="D398" s="88"/>
      <c r="E398" s="89"/>
      <c r="F398" s="35"/>
      <c r="G398" s="37"/>
      <c r="K398" s="37"/>
    </row>
    <row r="399">
      <c r="C399" s="87"/>
      <c r="D399" s="88"/>
      <c r="E399" s="89"/>
      <c r="F399" s="35"/>
      <c r="G399" s="37"/>
      <c r="K399" s="37"/>
    </row>
    <row r="400">
      <c r="C400" s="87"/>
      <c r="D400" s="88"/>
      <c r="E400" s="89"/>
      <c r="F400" s="35"/>
      <c r="G400" s="37"/>
      <c r="K400" s="37"/>
    </row>
    <row r="401">
      <c r="C401" s="87"/>
      <c r="D401" s="88"/>
      <c r="E401" s="89"/>
      <c r="F401" s="35"/>
      <c r="G401" s="37"/>
      <c r="K401" s="37"/>
    </row>
    <row r="402">
      <c r="C402" s="87"/>
      <c r="D402" s="88"/>
      <c r="E402" s="89"/>
      <c r="F402" s="35"/>
      <c r="G402" s="37"/>
      <c r="K402" s="37"/>
    </row>
    <row r="403">
      <c r="C403" s="87"/>
      <c r="D403" s="88"/>
      <c r="E403" s="89"/>
      <c r="F403" s="35"/>
      <c r="G403" s="37"/>
      <c r="K403" s="37"/>
    </row>
    <row r="404">
      <c r="C404" s="87"/>
      <c r="D404" s="88"/>
      <c r="E404" s="89"/>
      <c r="F404" s="35"/>
      <c r="G404" s="37"/>
      <c r="K404" s="37"/>
    </row>
    <row r="405">
      <c r="C405" s="87"/>
      <c r="D405" s="88"/>
      <c r="E405" s="89"/>
      <c r="F405" s="35"/>
      <c r="G405" s="37"/>
      <c r="K405" s="37"/>
    </row>
    <row r="406">
      <c r="C406" s="87"/>
      <c r="D406" s="88"/>
      <c r="E406" s="89"/>
      <c r="F406" s="35"/>
      <c r="G406" s="37"/>
      <c r="K406" s="37"/>
    </row>
    <row r="407">
      <c r="C407" s="87"/>
      <c r="D407" s="88"/>
      <c r="E407" s="89"/>
      <c r="F407" s="35"/>
      <c r="G407" s="37"/>
      <c r="K407" s="37"/>
    </row>
    <row r="408">
      <c r="C408" s="87"/>
      <c r="D408" s="88"/>
      <c r="E408" s="89"/>
      <c r="F408" s="35"/>
      <c r="G408" s="37"/>
      <c r="K408" s="37"/>
    </row>
    <row r="409">
      <c r="C409" s="87"/>
      <c r="D409" s="88"/>
      <c r="E409" s="89"/>
      <c r="F409" s="35"/>
      <c r="G409" s="37"/>
      <c r="K409" s="37"/>
    </row>
    <row r="410">
      <c r="C410" s="87"/>
      <c r="D410" s="88"/>
      <c r="E410" s="89"/>
      <c r="F410" s="35"/>
      <c r="G410" s="37"/>
      <c r="K410" s="37"/>
    </row>
    <row r="411">
      <c r="C411" s="87"/>
      <c r="D411" s="88"/>
      <c r="E411" s="89"/>
      <c r="F411" s="35"/>
      <c r="G411" s="37"/>
      <c r="K411" s="37"/>
    </row>
    <row r="412">
      <c r="C412" s="87"/>
      <c r="D412" s="88"/>
      <c r="E412" s="89"/>
      <c r="F412" s="35"/>
      <c r="G412" s="37"/>
      <c r="K412" s="37"/>
    </row>
    <row r="413">
      <c r="C413" s="87"/>
      <c r="D413" s="88"/>
      <c r="E413" s="89"/>
      <c r="F413" s="35"/>
      <c r="G413" s="37"/>
      <c r="K413" s="37"/>
    </row>
    <row r="414">
      <c r="C414" s="87"/>
      <c r="D414" s="88"/>
      <c r="E414" s="89"/>
      <c r="F414" s="35"/>
      <c r="G414" s="37"/>
      <c r="K414" s="37"/>
    </row>
    <row r="415">
      <c r="C415" s="87"/>
      <c r="D415" s="88"/>
      <c r="E415" s="89"/>
      <c r="F415" s="35"/>
      <c r="G415" s="37"/>
      <c r="K415" s="37"/>
    </row>
    <row r="416">
      <c r="C416" s="87"/>
      <c r="D416" s="88"/>
      <c r="E416" s="89"/>
      <c r="F416" s="35"/>
      <c r="G416" s="37"/>
      <c r="K416" s="37"/>
    </row>
    <row r="417">
      <c r="C417" s="87"/>
      <c r="D417" s="88"/>
      <c r="E417" s="89"/>
      <c r="F417" s="35"/>
      <c r="G417" s="37"/>
      <c r="K417" s="37"/>
    </row>
    <row r="418">
      <c r="C418" s="87"/>
      <c r="D418" s="88"/>
      <c r="E418" s="89"/>
      <c r="F418" s="35"/>
      <c r="G418" s="37"/>
      <c r="K418" s="37"/>
    </row>
    <row r="419">
      <c r="C419" s="87"/>
      <c r="D419" s="88"/>
      <c r="E419" s="89"/>
      <c r="F419" s="35"/>
      <c r="G419" s="37"/>
      <c r="K419" s="37"/>
    </row>
    <row r="420">
      <c r="C420" s="87"/>
      <c r="D420" s="88"/>
      <c r="E420" s="89"/>
      <c r="F420" s="35"/>
      <c r="G420" s="37"/>
      <c r="K420" s="37"/>
    </row>
    <row r="421">
      <c r="C421" s="87"/>
      <c r="D421" s="88"/>
      <c r="E421" s="89"/>
      <c r="F421" s="35"/>
      <c r="G421" s="37"/>
      <c r="K421" s="37"/>
    </row>
    <row r="422">
      <c r="C422" s="87"/>
      <c r="D422" s="88"/>
      <c r="E422" s="89"/>
      <c r="F422" s="35"/>
      <c r="G422" s="37"/>
      <c r="K422" s="37"/>
    </row>
    <row r="423">
      <c r="C423" s="87"/>
      <c r="D423" s="88"/>
      <c r="E423" s="89"/>
      <c r="F423" s="35"/>
      <c r="G423" s="37"/>
      <c r="K423" s="37"/>
    </row>
    <row r="424">
      <c r="C424" s="87"/>
      <c r="D424" s="88"/>
      <c r="E424" s="89"/>
      <c r="F424" s="35"/>
      <c r="G424" s="37"/>
      <c r="K424" s="37"/>
    </row>
    <row r="425">
      <c r="C425" s="87"/>
      <c r="D425" s="88"/>
      <c r="E425" s="89"/>
      <c r="F425" s="35"/>
      <c r="G425" s="37"/>
      <c r="K425" s="37"/>
    </row>
    <row r="426">
      <c r="C426" s="87"/>
      <c r="D426" s="88"/>
      <c r="E426" s="89"/>
      <c r="F426" s="35"/>
      <c r="G426" s="37"/>
      <c r="K426" s="37"/>
    </row>
    <row r="427">
      <c r="C427" s="87"/>
      <c r="D427" s="88"/>
      <c r="E427" s="89"/>
      <c r="F427" s="35"/>
      <c r="G427" s="37"/>
      <c r="K427" s="37"/>
    </row>
    <row r="428">
      <c r="C428" s="87"/>
      <c r="D428" s="88"/>
      <c r="E428" s="89"/>
      <c r="F428" s="35"/>
      <c r="G428" s="37"/>
      <c r="K428" s="37"/>
    </row>
    <row r="429">
      <c r="C429" s="87"/>
      <c r="D429" s="88"/>
      <c r="E429" s="89"/>
      <c r="F429" s="35"/>
      <c r="G429" s="37"/>
      <c r="K429" s="37"/>
    </row>
    <row r="430">
      <c r="C430" s="87"/>
      <c r="D430" s="88"/>
      <c r="E430" s="89"/>
      <c r="F430" s="35"/>
      <c r="G430" s="37"/>
      <c r="K430" s="37"/>
    </row>
    <row r="431">
      <c r="C431" s="87"/>
      <c r="D431" s="88"/>
      <c r="E431" s="89"/>
      <c r="F431" s="35"/>
      <c r="G431" s="37"/>
      <c r="K431" s="37"/>
    </row>
    <row r="432">
      <c r="C432" s="87"/>
      <c r="D432" s="88"/>
      <c r="E432" s="89"/>
      <c r="F432" s="35"/>
      <c r="G432" s="37"/>
      <c r="K432" s="37"/>
    </row>
    <row r="433">
      <c r="C433" s="87"/>
      <c r="D433" s="88"/>
      <c r="E433" s="89"/>
      <c r="F433" s="35"/>
      <c r="G433" s="37"/>
      <c r="K433" s="37"/>
    </row>
    <row r="434">
      <c r="C434" s="87"/>
      <c r="D434" s="88"/>
      <c r="E434" s="89"/>
      <c r="F434" s="35"/>
      <c r="G434" s="37"/>
      <c r="K434" s="37"/>
    </row>
    <row r="435">
      <c r="C435" s="87"/>
      <c r="D435" s="88"/>
      <c r="E435" s="89"/>
      <c r="F435" s="35"/>
      <c r="G435" s="37"/>
      <c r="K435" s="37"/>
    </row>
    <row r="436">
      <c r="C436" s="87"/>
      <c r="D436" s="88"/>
      <c r="E436" s="89"/>
      <c r="F436" s="35"/>
      <c r="G436" s="37"/>
      <c r="K436" s="37"/>
    </row>
    <row r="437">
      <c r="C437" s="87"/>
      <c r="D437" s="88"/>
      <c r="E437" s="89"/>
      <c r="F437" s="35"/>
      <c r="G437" s="37"/>
      <c r="K437" s="37"/>
    </row>
    <row r="438">
      <c r="C438" s="87"/>
      <c r="D438" s="88"/>
      <c r="E438" s="89"/>
      <c r="F438" s="35"/>
      <c r="G438" s="37"/>
      <c r="K438" s="37"/>
    </row>
    <row r="439">
      <c r="C439" s="87"/>
      <c r="D439" s="88"/>
      <c r="E439" s="89"/>
      <c r="F439" s="35"/>
      <c r="G439" s="37"/>
      <c r="K439" s="37"/>
    </row>
    <row r="440">
      <c r="C440" s="87"/>
      <c r="D440" s="88"/>
      <c r="E440" s="89"/>
      <c r="F440" s="35"/>
      <c r="G440" s="37"/>
      <c r="K440" s="37"/>
    </row>
    <row r="441">
      <c r="C441" s="87"/>
      <c r="D441" s="88"/>
      <c r="E441" s="89"/>
      <c r="F441" s="35"/>
      <c r="G441" s="37"/>
      <c r="K441" s="37"/>
    </row>
    <row r="442">
      <c r="C442" s="87"/>
      <c r="D442" s="88"/>
      <c r="E442" s="89"/>
      <c r="F442" s="35"/>
      <c r="G442" s="37"/>
      <c r="K442" s="37"/>
    </row>
    <row r="443">
      <c r="C443" s="87"/>
      <c r="D443" s="88"/>
      <c r="E443" s="89"/>
      <c r="F443" s="35"/>
      <c r="G443" s="37"/>
      <c r="K443" s="37"/>
    </row>
    <row r="444">
      <c r="C444" s="87"/>
      <c r="D444" s="88"/>
      <c r="E444" s="89"/>
      <c r="F444" s="35"/>
      <c r="G444" s="37"/>
      <c r="K444" s="37"/>
    </row>
    <row r="445">
      <c r="C445" s="87"/>
      <c r="D445" s="88"/>
      <c r="E445" s="89"/>
      <c r="F445" s="35"/>
      <c r="G445" s="37"/>
      <c r="K445" s="37"/>
    </row>
    <row r="446">
      <c r="C446" s="87"/>
      <c r="D446" s="88"/>
      <c r="E446" s="89"/>
      <c r="F446" s="35"/>
      <c r="G446" s="37"/>
      <c r="K446" s="37"/>
    </row>
    <row r="447">
      <c r="C447" s="87"/>
      <c r="D447" s="88"/>
      <c r="E447" s="89"/>
      <c r="F447" s="35"/>
      <c r="G447" s="37"/>
      <c r="K447" s="37"/>
    </row>
    <row r="448">
      <c r="C448" s="87"/>
      <c r="D448" s="88"/>
      <c r="E448" s="89"/>
      <c r="F448" s="35"/>
      <c r="G448" s="37"/>
      <c r="K448" s="37"/>
    </row>
    <row r="449">
      <c r="C449" s="87"/>
      <c r="D449" s="88"/>
      <c r="E449" s="89"/>
      <c r="F449" s="35"/>
      <c r="G449" s="37"/>
      <c r="K449" s="37"/>
    </row>
    <row r="450">
      <c r="C450" s="87"/>
      <c r="D450" s="88"/>
      <c r="E450" s="89"/>
      <c r="F450" s="35"/>
      <c r="G450" s="37"/>
      <c r="K450" s="37"/>
    </row>
    <row r="451">
      <c r="C451" s="87"/>
      <c r="D451" s="88"/>
      <c r="E451" s="89"/>
      <c r="F451" s="35"/>
      <c r="G451" s="37"/>
      <c r="K451" s="37"/>
    </row>
    <row r="452">
      <c r="C452" s="87"/>
      <c r="D452" s="88"/>
      <c r="E452" s="89"/>
      <c r="F452" s="35"/>
      <c r="G452" s="37"/>
      <c r="K452" s="37"/>
    </row>
    <row r="453">
      <c r="C453" s="87"/>
      <c r="D453" s="88"/>
      <c r="E453" s="89"/>
      <c r="F453" s="35"/>
      <c r="G453" s="37"/>
      <c r="K453" s="37"/>
    </row>
    <row r="454">
      <c r="C454" s="87"/>
      <c r="D454" s="88"/>
      <c r="E454" s="89"/>
      <c r="F454" s="35"/>
      <c r="G454" s="37"/>
      <c r="K454" s="37"/>
    </row>
    <row r="455">
      <c r="C455" s="87"/>
      <c r="D455" s="88"/>
      <c r="E455" s="89"/>
      <c r="F455" s="35"/>
      <c r="G455" s="37"/>
      <c r="K455" s="37"/>
    </row>
    <row r="456">
      <c r="C456" s="87"/>
      <c r="D456" s="88"/>
      <c r="E456" s="89"/>
      <c r="F456" s="35"/>
      <c r="G456" s="37"/>
      <c r="K456" s="37"/>
    </row>
    <row r="457">
      <c r="C457" s="87"/>
      <c r="D457" s="88"/>
      <c r="E457" s="89"/>
      <c r="F457" s="35"/>
      <c r="G457" s="37"/>
      <c r="K457" s="37"/>
    </row>
    <row r="458">
      <c r="C458" s="87"/>
      <c r="D458" s="88"/>
      <c r="E458" s="89"/>
      <c r="F458" s="35"/>
      <c r="G458" s="37"/>
      <c r="K458" s="37"/>
    </row>
    <row r="459">
      <c r="C459" s="87"/>
      <c r="D459" s="88"/>
      <c r="E459" s="89"/>
      <c r="F459" s="35"/>
      <c r="G459" s="37"/>
      <c r="K459" s="37"/>
    </row>
    <row r="460">
      <c r="C460" s="87"/>
      <c r="D460" s="88"/>
      <c r="E460" s="89"/>
      <c r="F460" s="35"/>
      <c r="G460" s="37"/>
      <c r="K460" s="37"/>
    </row>
    <row r="461">
      <c r="C461" s="87"/>
      <c r="D461" s="88"/>
      <c r="E461" s="89"/>
      <c r="F461" s="35"/>
      <c r="G461" s="37"/>
      <c r="K461" s="37"/>
    </row>
    <row r="462">
      <c r="C462" s="87"/>
      <c r="D462" s="88"/>
      <c r="E462" s="89"/>
      <c r="F462" s="35"/>
      <c r="G462" s="37"/>
      <c r="K462" s="37"/>
    </row>
    <row r="463">
      <c r="C463" s="87"/>
      <c r="D463" s="88"/>
      <c r="E463" s="89"/>
      <c r="F463" s="35"/>
      <c r="G463" s="37"/>
      <c r="K463" s="37"/>
    </row>
    <row r="464">
      <c r="C464" s="87"/>
      <c r="D464" s="88"/>
      <c r="E464" s="89"/>
      <c r="F464" s="35"/>
      <c r="G464" s="37"/>
      <c r="K464" s="37"/>
    </row>
    <row r="465">
      <c r="C465" s="87"/>
      <c r="D465" s="88"/>
      <c r="E465" s="89"/>
      <c r="F465" s="35"/>
      <c r="G465" s="37"/>
      <c r="K465" s="37"/>
    </row>
    <row r="466">
      <c r="C466" s="87"/>
      <c r="D466" s="88"/>
      <c r="E466" s="89"/>
      <c r="F466" s="35"/>
      <c r="G466" s="37"/>
      <c r="K466" s="37"/>
    </row>
    <row r="467">
      <c r="C467" s="87"/>
      <c r="D467" s="88"/>
      <c r="E467" s="89"/>
      <c r="F467" s="35"/>
      <c r="G467" s="37"/>
      <c r="K467" s="37"/>
    </row>
    <row r="468">
      <c r="C468" s="87"/>
      <c r="D468" s="88"/>
      <c r="E468" s="89"/>
      <c r="F468" s="35"/>
      <c r="G468" s="37"/>
      <c r="K468" s="37"/>
    </row>
    <row r="469">
      <c r="C469" s="87"/>
      <c r="D469" s="88"/>
      <c r="E469" s="89"/>
      <c r="F469" s="35"/>
      <c r="G469" s="37"/>
      <c r="K469" s="37"/>
    </row>
    <row r="470">
      <c r="C470" s="87"/>
      <c r="D470" s="88"/>
      <c r="E470" s="89"/>
      <c r="F470" s="35"/>
      <c r="G470" s="37"/>
      <c r="K470" s="37"/>
    </row>
    <row r="471">
      <c r="C471" s="87"/>
      <c r="D471" s="88"/>
      <c r="E471" s="89"/>
      <c r="F471" s="35"/>
      <c r="G471" s="37"/>
      <c r="K471" s="37"/>
    </row>
    <row r="472">
      <c r="C472" s="87"/>
      <c r="D472" s="88"/>
      <c r="E472" s="89"/>
      <c r="F472" s="35"/>
      <c r="G472" s="37"/>
      <c r="K472" s="37"/>
    </row>
    <row r="473">
      <c r="C473" s="87"/>
      <c r="D473" s="88"/>
      <c r="E473" s="89"/>
      <c r="F473" s="35"/>
      <c r="G473" s="37"/>
      <c r="K473" s="37"/>
    </row>
    <row r="474">
      <c r="C474" s="87"/>
      <c r="D474" s="88"/>
      <c r="E474" s="89"/>
      <c r="F474" s="35"/>
      <c r="G474" s="37"/>
      <c r="K474" s="37"/>
    </row>
    <row r="475">
      <c r="C475" s="87"/>
      <c r="D475" s="88"/>
      <c r="E475" s="89"/>
      <c r="F475" s="35"/>
      <c r="G475" s="37"/>
      <c r="K475" s="37"/>
    </row>
    <row r="476">
      <c r="C476" s="87"/>
      <c r="D476" s="88"/>
      <c r="E476" s="89"/>
      <c r="F476" s="35"/>
      <c r="G476" s="37"/>
      <c r="K476" s="37"/>
    </row>
    <row r="477">
      <c r="C477" s="87"/>
      <c r="D477" s="88"/>
      <c r="E477" s="89"/>
      <c r="F477" s="35"/>
      <c r="G477" s="37"/>
      <c r="K477" s="37"/>
    </row>
    <row r="478">
      <c r="C478" s="87"/>
      <c r="D478" s="88"/>
      <c r="E478" s="89"/>
      <c r="F478" s="35"/>
      <c r="G478" s="37"/>
      <c r="K478" s="37"/>
    </row>
    <row r="479">
      <c r="C479" s="87"/>
      <c r="D479" s="88"/>
      <c r="E479" s="89"/>
      <c r="F479" s="35"/>
      <c r="G479" s="37"/>
      <c r="K479" s="37"/>
    </row>
    <row r="480">
      <c r="C480" s="87"/>
      <c r="D480" s="88"/>
      <c r="E480" s="89"/>
      <c r="F480" s="35"/>
      <c r="G480" s="37"/>
      <c r="K480" s="37"/>
    </row>
    <row r="481">
      <c r="C481" s="87"/>
      <c r="D481" s="88"/>
      <c r="E481" s="89"/>
      <c r="F481" s="35"/>
      <c r="G481" s="37"/>
      <c r="K481" s="37"/>
    </row>
    <row r="482">
      <c r="C482" s="87"/>
      <c r="D482" s="88"/>
      <c r="E482" s="89"/>
      <c r="F482" s="35"/>
      <c r="G482" s="37"/>
      <c r="K482" s="37"/>
    </row>
    <row r="483">
      <c r="C483" s="87"/>
      <c r="D483" s="88"/>
      <c r="E483" s="89"/>
      <c r="F483" s="35"/>
      <c r="G483" s="37"/>
      <c r="K483" s="37"/>
    </row>
    <row r="484">
      <c r="C484" s="87"/>
      <c r="D484" s="88"/>
      <c r="E484" s="89"/>
      <c r="F484" s="35"/>
      <c r="G484" s="37"/>
      <c r="K484" s="37"/>
    </row>
    <row r="485">
      <c r="C485" s="87"/>
      <c r="D485" s="88"/>
      <c r="E485" s="89"/>
      <c r="F485" s="35"/>
      <c r="G485" s="37"/>
      <c r="K485" s="37"/>
    </row>
    <row r="486">
      <c r="C486" s="87"/>
      <c r="D486" s="88"/>
      <c r="E486" s="89"/>
      <c r="F486" s="35"/>
      <c r="G486" s="37"/>
      <c r="K486" s="37"/>
    </row>
    <row r="487">
      <c r="C487" s="87"/>
      <c r="D487" s="88"/>
      <c r="E487" s="89"/>
      <c r="F487" s="35"/>
      <c r="G487" s="37"/>
      <c r="K487" s="37"/>
    </row>
    <row r="488">
      <c r="C488" s="87"/>
      <c r="D488" s="88"/>
      <c r="E488" s="89"/>
      <c r="F488" s="35"/>
      <c r="G488" s="37"/>
      <c r="K488" s="37"/>
    </row>
    <row r="489">
      <c r="C489" s="87"/>
      <c r="D489" s="88"/>
      <c r="E489" s="89"/>
      <c r="F489" s="35"/>
      <c r="G489" s="37"/>
      <c r="K489" s="37"/>
    </row>
    <row r="490">
      <c r="C490" s="87"/>
      <c r="D490" s="88"/>
      <c r="E490" s="89"/>
      <c r="F490" s="35"/>
      <c r="G490" s="37"/>
      <c r="K490" s="37"/>
    </row>
    <row r="491">
      <c r="C491" s="87"/>
      <c r="D491" s="88"/>
      <c r="E491" s="89"/>
      <c r="F491" s="35"/>
      <c r="G491" s="37"/>
      <c r="K491" s="37"/>
    </row>
    <row r="492">
      <c r="C492" s="87"/>
      <c r="D492" s="88"/>
      <c r="E492" s="89"/>
      <c r="F492" s="35"/>
      <c r="G492" s="37"/>
      <c r="K492" s="37"/>
    </row>
    <row r="493">
      <c r="C493" s="87"/>
      <c r="D493" s="88"/>
      <c r="E493" s="89"/>
      <c r="F493" s="35"/>
      <c r="G493" s="37"/>
      <c r="K493" s="37"/>
    </row>
    <row r="494">
      <c r="C494" s="87"/>
      <c r="D494" s="88"/>
      <c r="E494" s="89"/>
      <c r="F494" s="35"/>
      <c r="G494" s="37"/>
      <c r="K494" s="37"/>
    </row>
    <row r="495">
      <c r="C495" s="87"/>
      <c r="D495" s="88"/>
      <c r="E495" s="89"/>
      <c r="F495" s="35"/>
      <c r="G495" s="37"/>
      <c r="K495" s="37"/>
    </row>
    <row r="496">
      <c r="C496" s="87"/>
      <c r="D496" s="88"/>
      <c r="E496" s="89"/>
      <c r="F496" s="35"/>
      <c r="G496" s="37"/>
      <c r="K496" s="37"/>
    </row>
    <row r="497">
      <c r="C497" s="87"/>
      <c r="D497" s="88"/>
      <c r="E497" s="89"/>
      <c r="F497" s="35"/>
      <c r="G497" s="37"/>
      <c r="K497" s="37"/>
    </row>
    <row r="498">
      <c r="C498" s="87"/>
      <c r="D498" s="88"/>
      <c r="E498" s="89"/>
      <c r="F498" s="35"/>
      <c r="G498" s="37"/>
      <c r="K498" s="37"/>
    </row>
    <row r="499">
      <c r="C499" s="87"/>
      <c r="D499" s="88"/>
      <c r="E499" s="89"/>
      <c r="F499" s="35"/>
      <c r="G499" s="37"/>
      <c r="K499" s="37"/>
    </row>
    <row r="500">
      <c r="C500" s="87"/>
      <c r="D500" s="88"/>
      <c r="E500" s="89"/>
      <c r="F500" s="35"/>
      <c r="G500" s="37"/>
      <c r="K500" s="37"/>
    </row>
    <row r="501">
      <c r="C501" s="87"/>
      <c r="D501" s="88"/>
      <c r="E501" s="89"/>
      <c r="F501" s="35"/>
      <c r="G501" s="37"/>
      <c r="K501" s="37"/>
    </row>
    <row r="502">
      <c r="C502" s="87"/>
      <c r="D502" s="88"/>
      <c r="E502" s="89"/>
      <c r="F502" s="35"/>
      <c r="G502" s="37"/>
      <c r="K502" s="37"/>
    </row>
    <row r="503">
      <c r="C503" s="87"/>
      <c r="D503" s="88"/>
      <c r="E503" s="89"/>
      <c r="F503" s="35"/>
      <c r="G503" s="37"/>
      <c r="K503" s="37"/>
    </row>
    <row r="504">
      <c r="C504" s="87"/>
      <c r="D504" s="88"/>
      <c r="E504" s="89"/>
      <c r="F504" s="35"/>
      <c r="G504" s="37"/>
      <c r="K504" s="37"/>
    </row>
    <row r="505">
      <c r="C505" s="87"/>
      <c r="D505" s="88"/>
      <c r="E505" s="89"/>
      <c r="F505" s="35"/>
      <c r="G505" s="37"/>
      <c r="K505" s="37"/>
    </row>
    <row r="506">
      <c r="C506" s="87"/>
      <c r="D506" s="88"/>
      <c r="E506" s="89"/>
      <c r="F506" s="35"/>
      <c r="G506" s="37"/>
      <c r="K506" s="37"/>
    </row>
    <row r="507">
      <c r="C507" s="87"/>
      <c r="D507" s="88"/>
      <c r="E507" s="89"/>
      <c r="F507" s="35"/>
      <c r="G507" s="37"/>
      <c r="K507" s="37"/>
    </row>
    <row r="508">
      <c r="C508" s="87"/>
      <c r="D508" s="88"/>
      <c r="E508" s="89"/>
      <c r="F508" s="35"/>
      <c r="G508" s="37"/>
      <c r="K508" s="37"/>
    </row>
    <row r="509">
      <c r="C509" s="87"/>
      <c r="D509" s="88"/>
      <c r="E509" s="89"/>
      <c r="F509" s="35"/>
      <c r="G509" s="37"/>
      <c r="K509" s="37"/>
    </row>
    <row r="510">
      <c r="C510" s="87"/>
      <c r="D510" s="88"/>
      <c r="E510" s="89"/>
      <c r="F510" s="35"/>
      <c r="G510" s="37"/>
      <c r="K510" s="37"/>
    </row>
    <row r="511">
      <c r="C511" s="87"/>
      <c r="D511" s="88"/>
      <c r="E511" s="89"/>
      <c r="F511" s="35"/>
      <c r="G511" s="37"/>
      <c r="K511" s="37"/>
    </row>
    <row r="512">
      <c r="C512" s="87"/>
      <c r="D512" s="88"/>
      <c r="E512" s="89"/>
      <c r="F512" s="35"/>
      <c r="G512" s="37"/>
      <c r="K512" s="37"/>
    </row>
    <row r="513">
      <c r="C513" s="87"/>
      <c r="D513" s="88"/>
      <c r="E513" s="89"/>
      <c r="F513" s="35"/>
      <c r="G513" s="37"/>
      <c r="K513" s="37"/>
    </row>
    <row r="514">
      <c r="C514" s="87"/>
      <c r="D514" s="88"/>
      <c r="E514" s="89"/>
      <c r="F514" s="35"/>
      <c r="G514" s="37"/>
      <c r="K514" s="37"/>
    </row>
    <row r="515">
      <c r="C515" s="87"/>
      <c r="D515" s="88"/>
      <c r="E515" s="89"/>
      <c r="F515" s="35"/>
      <c r="G515" s="37"/>
      <c r="K515" s="37"/>
    </row>
    <row r="516">
      <c r="C516" s="87"/>
      <c r="D516" s="88"/>
      <c r="E516" s="89"/>
      <c r="F516" s="35"/>
      <c r="G516" s="37"/>
      <c r="K516" s="37"/>
    </row>
    <row r="517">
      <c r="C517" s="87"/>
      <c r="D517" s="88"/>
      <c r="E517" s="89"/>
      <c r="F517" s="35"/>
      <c r="G517" s="37"/>
      <c r="K517" s="37"/>
    </row>
    <row r="518">
      <c r="C518" s="87"/>
      <c r="D518" s="88"/>
      <c r="E518" s="89"/>
      <c r="F518" s="35"/>
      <c r="G518" s="37"/>
      <c r="K518" s="37"/>
    </row>
    <row r="519">
      <c r="C519" s="87"/>
      <c r="D519" s="88"/>
      <c r="E519" s="89"/>
      <c r="F519" s="35"/>
      <c r="G519" s="37"/>
      <c r="K519" s="37"/>
    </row>
    <row r="520">
      <c r="C520" s="87"/>
      <c r="D520" s="88"/>
      <c r="E520" s="89"/>
      <c r="F520" s="35"/>
      <c r="G520" s="37"/>
      <c r="K520" s="37"/>
    </row>
    <row r="521">
      <c r="C521" s="87"/>
      <c r="D521" s="88"/>
      <c r="E521" s="89"/>
      <c r="F521" s="35"/>
      <c r="G521" s="37"/>
      <c r="K521" s="37"/>
    </row>
    <row r="522">
      <c r="C522" s="87"/>
      <c r="D522" s="88"/>
      <c r="E522" s="89"/>
      <c r="F522" s="35"/>
      <c r="G522" s="37"/>
      <c r="K522" s="37"/>
    </row>
    <row r="523">
      <c r="C523" s="87"/>
      <c r="D523" s="88"/>
      <c r="E523" s="89"/>
      <c r="F523" s="35"/>
      <c r="G523" s="37"/>
      <c r="K523" s="37"/>
    </row>
    <row r="524">
      <c r="C524" s="87"/>
      <c r="D524" s="88"/>
      <c r="E524" s="89"/>
      <c r="F524" s="35"/>
      <c r="G524" s="37"/>
      <c r="K524" s="37"/>
    </row>
    <row r="525">
      <c r="C525" s="87"/>
      <c r="D525" s="88"/>
      <c r="E525" s="89"/>
      <c r="F525" s="35"/>
      <c r="G525" s="37"/>
      <c r="K525" s="37"/>
    </row>
    <row r="526">
      <c r="C526" s="87"/>
      <c r="D526" s="88"/>
      <c r="E526" s="89"/>
      <c r="F526" s="35"/>
      <c r="G526" s="37"/>
      <c r="K526" s="37"/>
    </row>
    <row r="527">
      <c r="C527" s="87"/>
      <c r="D527" s="88"/>
      <c r="E527" s="89"/>
      <c r="F527" s="35"/>
      <c r="G527" s="37"/>
      <c r="K527" s="37"/>
    </row>
    <row r="528">
      <c r="C528" s="87"/>
      <c r="D528" s="88"/>
      <c r="E528" s="89"/>
      <c r="F528" s="35"/>
      <c r="G528" s="37"/>
      <c r="K528" s="37"/>
    </row>
    <row r="529">
      <c r="C529" s="87"/>
      <c r="D529" s="88"/>
      <c r="E529" s="89"/>
      <c r="F529" s="35"/>
      <c r="G529" s="37"/>
      <c r="K529" s="37"/>
    </row>
    <row r="530">
      <c r="C530" s="87"/>
      <c r="D530" s="88"/>
      <c r="E530" s="89"/>
      <c r="F530" s="35"/>
      <c r="G530" s="37"/>
      <c r="K530" s="37"/>
    </row>
    <row r="531">
      <c r="C531" s="87"/>
      <c r="D531" s="88"/>
      <c r="E531" s="89"/>
      <c r="F531" s="35"/>
      <c r="G531" s="37"/>
      <c r="K531" s="37"/>
    </row>
    <row r="532">
      <c r="C532" s="87"/>
      <c r="D532" s="88"/>
      <c r="E532" s="89"/>
      <c r="F532" s="35"/>
      <c r="G532" s="37"/>
      <c r="K532" s="37"/>
    </row>
    <row r="533">
      <c r="C533" s="87"/>
      <c r="D533" s="88"/>
      <c r="E533" s="89"/>
      <c r="F533" s="35"/>
      <c r="G533" s="37"/>
      <c r="K533" s="37"/>
    </row>
    <row r="534">
      <c r="C534" s="87"/>
      <c r="D534" s="88"/>
      <c r="E534" s="89"/>
      <c r="F534" s="35"/>
      <c r="G534" s="37"/>
      <c r="K534" s="37"/>
    </row>
    <row r="535">
      <c r="C535" s="87"/>
      <c r="D535" s="88"/>
      <c r="E535" s="89"/>
      <c r="F535" s="35"/>
      <c r="G535" s="37"/>
      <c r="K535" s="37"/>
    </row>
    <row r="536">
      <c r="C536" s="87"/>
      <c r="D536" s="88"/>
      <c r="E536" s="89"/>
      <c r="F536" s="35"/>
      <c r="G536" s="37"/>
      <c r="K536" s="37"/>
    </row>
    <row r="537">
      <c r="C537" s="87"/>
      <c r="D537" s="88"/>
      <c r="E537" s="89"/>
      <c r="F537" s="35"/>
      <c r="G537" s="37"/>
      <c r="K537" s="37"/>
    </row>
    <row r="538">
      <c r="C538" s="87"/>
      <c r="D538" s="88"/>
      <c r="E538" s="89"/>
      <c r="F538" s="35"/>
      <c r="G538" s="37"/>
      <c r="K538" s="37"/>
    </row>
    <row r="539">
      <c r="C539" s="87"/>
      <c r="D539" s="88"/>
      <c r="E539" s="89"/>
      <c r="F539" s="35"/>
      <c r="G539" s="37"/>
      <c r="K539" s="37"/>
    </row>
    <row r="540">
      <c r="C540" s="87"/>
      <c r="D540" s="88"/>
      <c r="E540" s="89"/>
      <c r="F540" s="35"/>
      <c r="G540" s="37"/>
      <c r="K540" s="37"/>
    </row>
    <row r="541">
      <c r="C541" s="87"/>
      <c r="D541" s="88"/>
      <c r="E541" s="89"/>
      <c r="F541" s="35"/>
      <c r="G541" s="37"/>
      <c r="K541" s="37"/>
    </row>
    <row r="542">
      <c r="C542" s="87"/>
      <c r="D542" s="88"/>
      <c r="E542" s="89"/>
      <c r="F542" s="35"/>
      <c r="G542" s="37"/>
      <c r="K542" s="37"/>
    </row>
    <row r="543">
      <c r="C543" s="87"/>
      <c r="D543" s="88"/>
      <c r="E543" s="89"/>
      <c r="F543" s="35"/>
      <c r="G543" s="37"/>
      <c r="K543" s="37"/>
    </row>
    <row r="544">
      <c r="C544" s="87"/>
      <c r="D544" s="88"/>
      <c r="E544" s="89"/>
      <c r="F544" s="35"/>
      <c r="G544" s="37"/>
      <c r="K544" s="37"/>
    </row>
    <row r="545">
      <c r="C545" s="87"/>
      <c r="D545" s="88"/>
      <c r="E545" s="89"/>
      <c r="F545" s="35"/>
      <c r="G545" s="37"/>
      <c r="K545" s="37"/>
    </row>
    <row r="546">
      <c r="C546" s="87"/>
      <c r="D546" s="88"/>
      <c r="E546" s="89"/>
      <c r="F546" s="35"/>
      <c r="G546" s="37"/>
      <c r="K546" s="37"/>
    </row>
    <row r="547">
      <c r="C547" s="87"/>
      <c r="D547" s="88"/>
      <c r="E547" s="89"/>
      <c r="F547" s="35"/>
      <c r="G547" s="37"/>
      <c r="K547" s="37"/>
    </row>
    <row r="548">
      <c r="C548" s="87"/>
      <c r="D548" s="88"/>
      <c r="E548" s="89"/>
      <c r="F548" s="35"/>
      <c r="G548" s="37"/>
      <c r="K548" s="37"/>
    </row>
    <row r="549">
      <c r="C549" s="87"/>
      <c r="D549" s="88"/>
      <c r="E549" s="89"/>
      <c r="F549" s="35"/>
      <c r="G549" s="37"/>
      <c r="K549" s="37"/>
    </row>
    <row r="550">
      <c r="C550" s="87"/>
      <c r="D550" s="88"/>
      <c r="E550" s="89"/>
      <c r="F550" s="35"/>
      <c r="G550" s="37"/>
      <c r="K550" s="37"/>
    </row>
    <row r="551">
      <c r="C551" s="87"/>
      <c r="D551" s="88"/>
      <c r="E551" s="89"/>
      <c r="F551" s="35"/>
      <c r="G551" s="37"/>
      <c r="K551" s="37"/>
    </row>
    <row r="552">
      <c r="C552" s="87"/>
      <c r="D552" s="88"/>
      <c r="E552" s="89"/>
      <c r="F552" s="35"/>
      <c r="G552" s="37"/>
      <c r="K552" s="37"/>
    </row>
    <row r="553">
      <c r="C553" s="87"/>
      <c r="D553" s="88"/>
      <c r="E553" s="89"/>
      <c r="F553" s="35"/>
      <c r="G553" s="37"/>
      <c r="K553" s="37"/>
    </row>
    <row r="554">
      <c r="C554" s="87"/>
      <c r="D554" s="88"/>
      <c r="E554" s="89"/>
      <c r="F554" s="35"/>
      <c r="G554" s="37"/>
      <c r="K554" s="37"/>
    </row>
    <row r="555">
      <c r="C555" s="87"/>
      <c r="D555" s="88"/>
      <c r="E555" s="89"/>
      <c r="F555" s="35"/>
      <c r="G555" s="37"/>
      <c r="K555" s="37"/>
    </row>
    <row r="556">
      <c r="C556" s="87"/>
      <c r="D556" s="88"/>
      <c r="E556" s="89"/>
      <c r="F556" s="35"/>
      <c r="G556" s="37"/>
      <c r="K556" s="37"/>
    </row>
    <row r="557">
      <c r="C557" s="87"/>
      <c r="D557" s="88"/>
      <c r="E557" s="89"/>
      <c r="F557" s="35"/>
      <c r="G557" s="37"/>
      <c r="K557" s="37"/>
    </row>
    <row r="558">
      <c r="C558" s="87"/>
      <c r="D558" s="88"/>
      <c r="E558" s="89"/>
      <c r="F558" s="35"/>
      <c r="G558" s="37"/>
      <c r="K558" s="37"/>
    </row>
    <row r="559">
      <c r="C559" s="87"/>
      <c r="D559" s="88"/>
      <c r="E559" s="89"/>
      <c r="F559" s="35"/>
      <c r="G559" s="37"/>
      <c r="K559" s="37"/>
    </row>
    <row r="560">
      <c r="C560" s="87"/>
      <c r="D560" s="88"/>
      <c r="E560" s="89"/>
      <c r="F560" s="35"/>
      <c r="G560" s="37"/>
      <c r="K560" s="37"/>
    </row>
    <row r="561">
      <c r="C561" s="87"/>
      <c r="D561" s="88"/>
      <c r="E561" s="89"/>
      <c r="F561" s="35"/>
      <c r="G561" s="37"/>
      <c r="K561" s="37"/>
    </row>
    <row r="562">
      <c r="C562" s="87"/>
      <c r="D562" s="88"/>
      <c r="E562" s="89"/>
      <c r="F562" s="35"/>
      <c r="G562" s="37"/>
      <c r="K562" s="37"/>
    </row>
    <row r="563">
      <c r="C563" s="87"/>
      <c r="D563" s="88"/>
      <c r="E563" s="89"/>
      <c r="F563" s="35"/>
      <c r="G563" s="37"/>
      <c r="K563" s="37"/>
    </row>
    <row r="564">
      <c r="C564" s="87"/>
      <c r="D564" s="88"/>
      <c r="E564" s="89"/>
      <c r="F564" s="35"/>
      <c r="G564" s="37"/>
      <c r="K564" s="37"/>
    </row>
    <row r="565">
      <c r="C565" s="87"/>
      <c r="D565" s="88"/>
      <c r="E565" s="89"/>
      <c r="F565" s="35"/>
      <c r="G565" s="37"/>
      <c r="K565" s="37"/>
    </row>
    <row r="566">
      <c r="C566" s="87"/>
      <c r="D566" s="88"/>
      <c r="E566" s="89"/>
      <c r="F566" s="35"/>
      <c r="G566" s="37"/>
      <c r="K566" s="37"/>
    </row>
    <row r="567">
      <c r="C567" s="87"/>
      <c r="D567" s="88"/>
      <c r="E567" s="89"/>
      <c r="F567" s="35"/>
      <c r="G567" s="37"/>
      <c r="K567" s="37"/>
    </row>
    <row r="568">
      <c r="C568" s="87"/>
      <c r="D568" s="88"/>
      <c r="E568" s="89"/>
      <c r="F568" s="35"/>
      <c r="G568" s="37"/>
      <c r="K568" s="37"/>
    </row>
    <row r="569">
      <c r="C569" s="87"/>
      <c r="D569" s="88"/>
      <c r="E569" s="89"/>
      <c r="F569" s="35"/>
      <c r="G569" s="37"/>
      <c r="K569" s="37"/>
    </row>
    <row r="570">
      <c r="C570" s="87"/>
      <c r="D570" s="88"/>
      <c r="E570" s="89"/>
      <c r="F570" s="35"/>
      <c r="G570" s="37"/>
      <c r="K570" s="37"/>
    </row>
    <row r="571">
      <c r="C571" s="87"/>
      <c r="D571" s="88"/>
      <c r="E571" s="89"/>
      <c r="F571" s="35"/>
      <c r="G571" s="37"/>
      <c r="K571" s="37"/>
    </row>
    <row r="572">
      <c r="C572" s="87"/>
      <c r="D572" s="88"/>
      <c r="E572" s="89"/>
      <c r="F572" s="35"/>
      <c r="G572" s="37"/>
      <c r="K572" s="37"/>
    </row>
    <row r="573">
      <c r="C573" s="87"/>
      <c r="D573" s="88"/>
      <c r="E573" s="89"/>
      <c r="F573" s="35"/>
      <c r="G573" s="37"/>
      <c r="K573" s="37"/>
    </row>
    <row r="574">
      <c r="C574" s="87"/>
      <c r="D574" s="88"/>
      <c r="E574" s="89"/>
      <c r="F574" s="35"/>
      <c r="G574" s="37"/>
      <c r="K574" s="37"/>
    </row>
    <row r="575">
      <c r="C575" s="87"/>
      <c r="D575" s="88"/>
      <c r="E575" s="89"/>
      <c r="F575" s="35"/>
      <c r="G575" s="37"/>
      <c r="K575" s="37"/>
    </row>
    <row r="576">
      <c r="C576" s="87"/>
      <c r="D576" s="88"/>
      <c r="E576" s="89"/>
      <c r="F576" s="35"/>
      <c r="G576" s="37"/>
      <c r="K576" s="37"/>
    </row>
    <row r="577">
      <c r="C577" s="87"/>
      <c r="D577" s="88"/>
      <c r="E577" s="89"/>
      <c r="F577" s="35"/>
      <c r="G577" s="37"/>
      <c r="K577" s="37"/>
    </row>
    <row r="578">
      <c r="C578" s="87"/>
      <c r="D578" s="88"/>
      <c r="E578" s="89"/>
      <c r="F578" s="35"/>
      <c r="G578" s="37"/>
      <c r="K578" s="37"/>
    </row>
    <row r="579">
      <c r="C579" s="87"/>
      <c r="D579" s="88"/>
      <c r="E579" s="89"/>
      <c r="F579" s="35"/>
      <c r="G579" s="37"/>
      <c r="K579" s="37"/>
    </row>
    <row r="580">
      <c r="C580" s="87"/>
      <c r="D580" s="88"/>
      <c r="E580" s="89"/>
      <c r="F580" s="35"/>
      <c r="G580" s="37"/>
      <c r="K580" s="37"/>
    </row>
    <row r="581">
      <c r="C581" s="87"/>
      <c r="D581" s="88"/>
      <c r="E581" s="89"/>
      <c r="F581" s="35"/>
      <c r="G581" s="37"/>
      <c r="K581" s="37"/>
    </row>
    <row r="582">
      <c r="C582" s="87"/>
      <c r="D582" s="88"/>
      <c r="E582" s="89"/>
      <c r="F582" s="35"/>
      <c r="G582" s="37"/>
      <c r="K582" s="37"/>
    </row>
    <row r="583">
      <c r="C583" s="87"/>
      <c r="D583" s="88"/>
      <c r="E583" s="89"/>
      <c r="F583" s="35"/>
      <c r="G583" s="37"/>
      <c r="K583" s="37"/>
    </row>
    <row r="584">
      <c r="C584" s="87"/>
      <c r="D584" s="88"/>
      <c r="E584" s="89"/>
      <c r="F584" s="35"/>
      <c r="G584" s="37"/>
      <c r="K584" s="37"/>
    </row>
    <row r="585">
      <c r="C585" s="87"/>
      <c r="D585" s="88"/>
      <c r="E585" s="89"/>
      <c r="F585" s="35"/>
      <c r="G585" s="37"/>
      <c r="K585" s="37"/>
    </row>
    <row r="586">
      <c r="C586" s="87"/>
      <c r="D586" s="88"/>
      <c r="E586" s="89"/>
      <c r="F586" s="35"/>
      <c r="G586" s="37"/>
      <c r="K586" s="37"/>
    </row>
    <row r="587">
      <c r="C587" s="87"/>
      <c r="D587" s="88"/>
      <c r="E587" s="89"/>
      <c r="F587" s="35"/>
      <c r="G587" s="37"/>
      <c r="K587" s="37"/>
    </row>
    <row r="588">
      <c r="C588" s="87"/>
      <c r="D588" s="88"/>
      <c r="E588" s="89"/>
      <c r="F588" s="35"/>
      <c r="G588" s="37"/>
      <c r="K588" s="37"/>
    </row>
    <row r="589">
      <c r="C589" s="87"/>
      <c r="D589" s="88"/>
      <c r="E589" s="89"/>
      <c r="F589" s="35"/>
      <c r="G589" s="37"/>
      <c r="K589" s="37"/>
    </row>
    <row r="590">
      <c r="C590" s="87"/>
      <c r="D590" s="88"/>
      <c r="E590" s="89"/>
      <c r="F590" s="35"/>
      <c r="G590" s="37"/>
      <c r="K590" s="37"/>
    </row>
    <row r="591">
      <c r="C591" s="87"/>
      <c r="D591" s="88"/>
      <c r="E591" s="89"/>
      <c r="F591" s="35"/>
      <c r="G591" s="37"/>
      <c r="K591" s="37"/>
    </row>
    <row r="592">
      <c r="C592" s="87"/>
      <c r="D592" s="88"/>
      <c r="E592" s="89"/>
      <c r="F592" s="35"/>
      <c r="G592" s="37"/>
      <c r="K592" s="37"/>
    </row>
    <row r="593">
      <c r="C593" s="87"/>
      <c r="D593" s="88"/>
      <c r="E593" s="89"/>
      <c r="F593" s="35"/>
      <c r="G593" s="37"/>
      <c r="K593" s="37"/>
    </row>
    <row r="594">
      <c r="C594" s="87"/>
      <c r="D594" s="88"/>
      <c r="E594" s="89"/>
      <c r="F594" s="35"/>
      <c r="G594" s="37"/>
      <c r="K594" s="37"/>
    </row>
    <row r="595">
      <c r="C595" s="87"/>
      <c r="D595" s="88"/>
      <c r="E595" s="89"/>
      <c r="F595" s="35"/>
      <c r="G595" s="37"/>
      <c r="K595" s="37"/>
    </row>
    <row r="596">
      <c r="C596" s="87"/>
      <c r="D596" s="88"/>
      <c r="E596" s="89"/>
      <c r="F596" s="35"/>
      <c r="G596" s="37"/>
      <c r="K596" s="37"/>
    </row>
    <row r="597">
      <c r="C597" s="87"/>
      <c r="D597" s="88"/>
      <c r="E597" s="89"/>
      <c r="F597" s="35"/>
      <c r="G597" s="37"/>
      <c r="K597" s="37"/>
    </row>
    <row r="598">
      <c r="C598" s="87"/>
      <c r="D598" s="88"/>
      <c r="E598" s="89"/>
      <c r="F598" s="35"/>
      <c r="G598" s="37"/>
      <c r="K598" s="37"/>
    </row>
    <row r="599">
      <c r="C599" s="87"/>
      <c r="D599" s="88"/>
      <c r="E599" s="89"/>
      <c r="F599" s="35"/>
      <c r="G599" s="37"/>
      <c r="K599" s="37"/>
    </row>
    <row r="600">
      <c r="C600" s="87"/>
      <c r="D600" s="88"/>
      <c r="E600" s="89"/>
      <c r="F600" s="35"/>
      <c r="G600" s="37"/>
      <c r="K600" s="37"/>
    </row>
    <row r="601">
      <c r="C601" s="87"/>
      <c r="D601" s="88"/>
      <c r="E601" s="89"/>
      <c r="F601" s="35"/>
      <c r="G601" s="37"/>
      <c r="K601" s="37"/>
    </row>
    <row r="602">
      <c r="C602" s="87"/>
      <c r="D602" s="88"/>
      <c r="E602" s="89"/>
      <c r="F602" s="35"/>
      <c r="G602" s="37"/>
      <c r="K602" s="37"/>
    </row>
    <row r="603">
      <c r="C603" s="87"/>
      <c r="D603" s="88"/>
      <c r="E603" s="89"/>
      <c r="F603" s="35"/>
      <c r="G603" s="37"/>
      <c r="K603" s="37"/>
    </row>
    <row r="604">
      <c r="C604" s="87"/>
      <c r="D604" s="88"/>
      <c r="E604" s="89"/>
      <c r="F604" s="35"/>
      <c r="G604" s="37"/>
      <c r="K604" s="37"/>
    </row>
    <row r="605">
      <c r="C605" s="87"/>
      <c r="D605" s="88"/>
      <c r="E605" s="89"/>
      <c r="F605" s="35"/>
      <c r="G605" s="37"/>
      <c r="K605" s="37"/>
    </row>
    <row r="606">
      <c r="C606" s="87"/>
      <c r="D606" s="88"/>
      <c r="E606" s="89"/>
      <c r="F606" s="35"/>
      <c r="G606" s="37"/>
      <c r="K606" s="37"/>
    </row>
    <row r="607">
      <c r="C607" s="87"/>
      <c r="D607" s="88"/>
      <c r="E607" s="89"/>
      <c r="F607" s="35"/>
      <c r="G607" s="37"/>
      <c r="K607" s="37"/>
    </row>
    <row r="608">
      <c r="C608" s="87"/>
      <c r="D608" s="88"/>
      <c r="E608" s="89"/>
      <c r="F608" s="35"/>
      <c r="G608" s="37"/>
      <c r="K608" s="37"/>
    </row>
    <row r="609">
      <c r="C609" s="87"/>
      <c r="D609" s="88"/>
      <c r="E609" s="89"/>
      <c r="F609" s="35"/>
      <c r="G609" s="37"/>
      <c r="K609" s="37"/>
    </row>
    <row r="610">
      <c r="C610" s="87"/>
      <c r="D610" s="88"/>
      <c r="E610" s="89"/>
      <c r="F610" s="35"/>
      <c r="G610" s="37"/>
      <c r="K610" s="37"/>
    </row>
    <row r="611">
      <c r="C611" s="87"/>
      <c r="D611" s="88"/>
      <c r="E611" s="89"/>
      <c r="F611" s="35"/>
      <c r="G611" s="37"/>
      <c r="K611" s="37"/>
    </row>
    <row r="612">
      <c r="C612" s="87"/>
      <c r="D612" s="88"/>
      <c r="E612" s="89"/>
      <c r="F612" s="35"/>
      <c r="G612" s="37"/>
      <c r="K612" s="37"/>
    </row>
    <row r="613">
      <c r="C613" s="87"/>
      <c r="D613" s="88"/>
      <c r="E613" s="89"/>
      <c r="F613" s="35"/>
      <c r="G613" s="37"/>
      <c r="K613" s="37"/>
    </row>
    <row r="614">
      <c r="C614" s="87"/>
      <c r="D614" s="88"/>
      <c r="E614" s="89"/>
      <c r="F614" s="35"/>
      <c r="G614" s="37"/>
      <c r="K614" s="37"/>
    </row>
    <row r="615">
      <c r="C615" s="87"/>
      <c r="D615" s="88"/>
      <c r="E615" s="89"/>
      <c r="F615" s="35"/>
      <c r="G615" s="37"/>
      <c r="K615" s="37"/>
    </row>
    <row r="616">
      <c r="C616" s="87"/>
      <c r="D616" s="88"/>
      <c r="E616" s="89"/>
      <c r="F616" s="35"/>
      <c r="G616" s="37"/>
      <c r="K616" s="37"/>
    </row>
    <row r="617">
      <c r="C617" s="87"/>
      <c r="D617" s="88"/>
      <c r="E617" s="89"/>
      <c r="F617" s="35"/>
      <c r="G617" s="37"/>
      <c r="K617" s="37"/>
    </row>
    <row r="618">
      <c r="C618" s="87"/>
      <c r="D618" s="88"/>
      <c r="E618" s="89"/>
      <c r="F618" s="35"/>
      <c r="G618" s="37"/>
      <c r="K618" s="37"/>
    </row>
    <row r="619">
      <c r="C619" s="87"/>
      <c r="D619" s="88"/>
      <c r="E619" s="89"/>
      <c r="F619" s="35"/>
      <c r="G619" s="37"/>
      <c r="K619" s="37"/>
    </row>
    <row r="620">
      <c r="C620" s="87"/>
      <c r="D620" s="88"/>
      <c r="E620" s="89"/>
      <c r="F620" s="35"/>
      <c r="G620" s="37"/>
      <c r="K620" s="37"/>
    </row>
    <row r="621">
      <c r="C621" s="87"/>
      <c r="D621" s="88"/>
      <c r="E621" s="89"/>
      <c r="F621" s="35"/>
      <c r="G621" s="37"/>
      <c r="K621" s="37"/>
    </row>
    <row r="622">
      <c r="C622" s="87"/>
      <c r="D622" s="88"/>
      <c r="E622" s="89"/>
      <c r="F622" s="35"/>
      <c r="G622" s="37"/>
      <c r="K622" s="37"/>
    </row>
    <row r="623">
      <c r="C623" s="87"/>
      <c r="D623" s="88"/>
      <c r="E623" s="89"/>
      <c r="F623" s="35"/>
      <c r="G623" s="37"/>
      <c r="K623" s="37"/>
    </row>
    <row r="624">
      <c r="C624" s="87"/>
      <c r="D624" s="88"/>
      <c r="E624" s="89"/>
      <c r="F624" s="35"/>
      <c r="G624" s="37"/>
      <c r="K624" s="37"/>
    </row>
    <row r="625">
      <c r="C625" s="87"/>
      <c r="D625" s="88"/>
      <c r="E625" s="89"/>
      <c r="F625" s="35"/>
      <c r="G625" s="37"/>
      <c r="K625" s="37"/>
    </row>
    <row r="626">
      <c r="C626" s="87"/>
      <c r="D626" s="88"/>
      <c r="E626" s="89"/>
      <c r="F626" s="35"/>
      <c r="G626" s="37"/>
      <c r="K626" s="37"/>
    </row>
    <row r="627">
      <c r="C627" s="87"/>
      <c r="D627" s="88"/>
      <c r="E627" s="89"/>
      <c r="F627" s="35"/>
      <c r="G627" s="37"/>
      <c r="K627" s="37"/>
    </row>
    <row r="628">
      <c r="C628" s="87"/>
      <c r="D628" s="88"/>
      <c r="E628" s="89"/>
      <c r="F628" s="35"/>
      <c r="G628" s="37"/>
      <c r="K628" s="37"/>
    </row>
    <row r="629">
      <c r="C629" s="87"/>
      <c r="D629" s="88"/>
      <c r="E629" s="89"/>
      <c r="F629" s="35"/>
      <c r="G629" s="37"/>
      <c r="K629" s="37"/>
    </row>
    <row r="630">
      <c r="C630" s="87"/>
      <c r="D630" s="88"/>
      <c r="E630" s="89"/>
      <c r="F630" s="35"/>
      <c r="G630" s="37"/>
      <c r="K630" s="37"/>
    </row>
    <row r="631">
      <c r="C631" s="87"/>
      <c r="D631" s="88"/>
      <c r="E631" s="89"/>
      <c r="F631" s="35"/>
      <c r="G631" s="37"/>
      <c r="K631" s="37"/>
    </row>
    <row r="632">
      <c r="C632" s="87"/>
      <c r="D632" s="88"/>
      <c r="E632" s="89"/>
      <c r="F632" s="35"/>
      <c r="G632" s="37"/>
      <c r="K632" s="37"/>
    </row>
    <row r="633">
      <c r="C633" s="87"/>
      <c r="D633" s="88"/>
      <c r="E633" s="89"/>
      <c r="F633" s="35"/>
      <c r="G633" s="37"/>
      <c r="K633" s="37"/>
    </row>
    <row r="634">
      <c r="C634" s="87"/>
      <c r="D634" s="88"/>
      <c r="E634" s="89"/>
      <c r="F634" s="35"/>
      <c r="G634" s="37"/>
      <c r="K634" s="37"/>
    </row>
    <row r="635">
      <c r="C635" s="87"/>
      <c r="D635" s="88"/>
      <c r="E635" s="89"/>
      <c r="F635" s="35"/>
      <c r="G635" s="37"/>
      <c r="K635" s="37"/>
    </row>
    <row r="636">
      <c r="C636" s="87"/>
      <c r="D636" s="88"/>
      <c r="E636" s="89"/>
      <c r="F636" s="35"/>
      <c r="G636" s="37"/>
      <c r="K636" s="37"/>
    </row>
    <row r="637">
      <c r="C637" s="87"/>
      <c r="D637" s="88"/>
      <c r="E637" s="89"/>
      <c r="F637" s="35"/>
      <c r="G637" s="37"/>
      <c r="K637" s="37"/>
    </row>
    <row r="638">
      <c r="C638" s="87"/>
      <c r="D638" s="88"/>
      <c r="E638" s="89"/>
      <c r="F638" s="35"/>
      <c r="G638" s="37"/>
      <c r="K638" s="37"/>
    </row>
    <row r="639">
      <c r="C639" s="87"/>
      <c r="D639" s="88"/>
      <c r="E639" s="89"/>
      <c r="F639" s="35"/>
      <c r="G639" s="37"/>
      <c r="K639" s="37"/>
    </row>
    <row r="640">
      <c r="C640" s="87"/>
      <c r="D640" s="88"/>
      <c r="E640" s="89"/>
      <c r="F640" s="35"/>
      <c r="G640" s="37"/>
      <c r="K640" s="37"/>
    </row>
    <row r="641">
      <c r="C641" s="87"/>
      <c r="D641" s="88"/>
      <c r="E641" s="89"/>
      <c r="F641" s="35"/>
      <c r="G641" s="37"/>
      <c r="K641" s="37"/>
    </row>
    <row r="642">
      <c r="C642" s="87"/>
      <c r="D642" s="88"/>
      <c r="E642" s="89"/>
      <c r="F642" s="35"/>
      <c r="G642" s="37"/>
      <c r="K642" s="37"/>
    </row>
    <row r="643">
      <c r="C643" s="87"/>
      <c r="D643" s="88"/>
      <c r="E643" s="89"/>
      <c r="F643" s="35"/>
      <c r="G643" s="37"/>
      <c r="K643" s="37"/>
    </row>
    <row r="644">
      <c r="C644" s="87"/>
      <c r="D644" s="88"/>
      <c r="E644" s="89"/>
      <c r="F644" s="35"/>
      <c r="G644" s="37"/>
      <c r="K644" s="37"/>
    </row>
    <row r="645">
      <c r="C645" s="87"/>
      <c r="D645" s="88"/>
      <c r="E645" s="89"/>
      <c r="F645" s="35"/>
      <c r="G645" s="37"/>
      <c r="K645" s="37"/>
    </row>
    <row r="646">
      <c r="C646" s="87"/>
      <c r="D646" s="88"/>
      <c r="E646" s="89"/>
      <c r="F646" s="35"/>
      <c r="G646" s="37"/>
      <c r="K646" s="37"/>
    </row>
    <row r="647">
      <c r="C647" s="87"/>
      <c r="D647" s="88"/>
      <c r="E647" s="89"/>
      <c r="F647" s="35"/>
      <c r="G647" s="37"/>
      <c r="K647" s="37"/>
    </row>
    <row r="648">
      <c r="C648" s="87"/>
      <c r="D648" s="88"/>
      <c r="E648" s="89"/>
      <c r="F648" s="35"/>
      <c r="G648" s="37"/>
      <c r="K648" s="37"/>
    </row>
    <row r="649">
      <c r="C649" s="87"/>
      <c r="D649" s="88"/>
      <c r="E649" s="89"/>
      <c r="F649" s="35"/>
      <c r="G649" s="37"/>
      <c r="K649" s="37"/>
    </row>
    <row r="650">
      <c r="C650" s="87"/>
      <c r="D650" s="88"/>
      <c r="E650" s="89"/>
      <c r="F650" s="35"/>
      <c r="G650" s="37"/>
      <c r="K650" s="37"/>
    </row>
    <row r="651">
      <c r="C651" s="87"/>
      <c r="D651" s="88"/>
      <c r="E651" s="89"/>
      <c r="F651" s="35"/>
      <c r="G651" s="37"/>
      <c r="K651" s="37"/>
    </row>
    <row r="652">
      <c r="C652" s="87"/>
      <c r="D652" s="88"/>
      <c r="E652" s="89"/>
      <c r="F652" s="35"/>
      <c r="G652" s="37"/>
      <c r="K652" s="37"/>
    </row>
    <row r="653">
      <c r="C653" s="87"/>
      <c r="D653" s="88"/>
      <c r="E653" s="89"/>
      <c r="F653" s="35"/>
      <c r="G653" s="37"/>
      <c r="K653" s="37"/>
    </row>
    <row r="654">
      <c r="C654" s="87"/>
      <c r="D654" s="88"/>
      <c r="E654" s="89"/>
      <c r="F654" s="35"/>
      <c r="G654" s="37"/>
      <c r="K654" s="37"/>
    </row>
    <row r="655">
      <c r="C655" s="87"/>
      <c r="D655" s="88"/>
      <c r="E655" s="89"/>
      <c r="F655" s="35"/>
      <c r="G655" s="37"/>
      <c r="K655" s="37"/>
    </row>
    <row r="656">
      <c r="C656" s="87"/>
      <c r="D656" s="88"/>
      <c r="E656" s="89"/>
      <c r="F656" s="35"/>
      <c r="G656" s="37"/>
      <c r="K656" s="37"/>
    </row>
    <row r="657">
      <c r="C657" s="87"/>
      <c r="D657" s="88"/>
      <c r="E657" s="89"/>
      <c r="F657" s="35"/>
      <c r="G657" s="37"/>
      <c r="K657" s="37"/>
    </row>
    <row r="658">
      <c r="C658" s="87"/>
      <c r="D658" s="88"/>
      <c r="E658" s="89"/>
      <c r="F658" s="35"/>
      <c r="G658" s="37"/>
      <c r="K658" s="37"/>
    </row>
    <row r="659">
      <c r="C659" s="87"/>
      <c r="D659" s="88"/>
      <c r="E659" s="89"/>
      <c r="F659" s="35"/>
      <c r="G659" s="37"/>
      <c r="K659" s="37"/>
    </row>
    <row r="660">
      <c r="C660" s="87"/>
      <c r="D660" s="88"/>
      <c r="E660" s="89"/>
      <c r="F660" s="35"/>
      <c r="G660" s="37"/>
      <c r="K660" s="37"/>
    </row>
    <row r="661">
      <c r="C661" s="87"/>
      <c r="D661" s="88"/>
      <c r="E661" s="89"/>
      <c r="F661" s="35"/>
      <c r="G661" s="37"/>
      <c r="K661" s="37"/>
    </row>
    <row r="662">
      <c r="C662" s="87"/>
      <c r="D662" s="88"/>
      <c r="E662" s="89"/>
      <c r="F662" s="35"/>
      <c r="G662" s="37"/>
      <c r="K662" s="37"/>
    </row>
    <row r="663">
      <c r="C663" s="87"/>
      <c r="D663" s="88"/>
      <c r="E663" s="89"/>
      <c r="F663" s="35"/>
      <c r="G663" s="37"/>
      <c r="K663" s="37"/>
    </row>
    <row r="664">
      <c r="C664" s="87"/>
      <c r="D664" s="88"/>
      <c r="E664" s="89"/>
      <c r="F664" s="35"/>
      <c r="G664" s="37"/>
      <c r="K664" s="37"/>
    </row>
    <row r="665">
      <c r="C665" s="87"/>
      <c r="D665" s="88"/>
      <c r="E665" s="89"/>
      <c r="F665" s="35"/>
      <c r="G665" s="37"/>
      <c r="K665" s="37"/>
    </row>
    <row r="666">
      <c r="C666" s="87"/>
      <c r="D666" s="88"/>
      <c r="E666" s="89"/>
      <c r="F666" s="35"/>
      <c r="G666" s="37"/>
      <c r="K666" s="37"/>
    </row>
    <row r="667">
      <c r="C667" s="87"/>
      <c r="D667" s="88"/>
      <c r="E667" s="89"/>
      <c r="F667" s="35"/>
      <c r="G667" s="37"/>
      <c r="K667" s="37"/>
    </row>
    <row r="668">
      <c r="C668" s="87"/>
      <c r="D668" s="88"/>
      <c r="E668" s="89"/>
      <c r="F668" s="35"/>
      <c r="G668" s="37"/>
      <c r="K668" s="37"/>
    </row>
    <row r="669">
      <c r="C669" s="87"/>
      <c r="D669" s="88"/>
      <c r="E669" s="89"/>
      <c r="F669" s="35"/>
      <c r="G669" s="37"/>
      <c r="K669" s="37"/>
    </row>
    <row r="670">
      <c r="C670" s="87"/>
      <c r="D670" s="88"/>
      <c r="E670" s="89"/>
      <c r="F670" s="35"/>
      <c r="G670" s="37"/>
      <c r="K670" s="37"/>
    </row>
    <row r="671">
      <c r="C671" s="87"/>
      <c r="D671" s="88"/>
      <c r="E671" s="89"/>
      <c r="F671" s="35"/>
      <c r="G671" s="37"/>
      <c r="K671" s="37"/>
    </row>
    <row r="672">
      <c r="C672" s="87"/>
      <c r="D672" s="88"/>
      <c r="E672" s="89"/>
      <c r="F672" s="35"/>
      <c r="G672" s="37"/>
      <c r="K672" s="37"/>
    </row>
    <row r="673">
      <c r="C673" s="87"/>
      <c r="D673" s="88"/>
      <c r="E673" s="89"/>
      <c r="F673" s="35"/>
      <c r="G673" s="37"/>
      <c r="K673" s="37"/>
    </row>
    <row r="674">
      <c r="C674" s="87"/>
      <c r="D674" s="88"/>
      <c r="E674" s="89"/>
      <c r="F674" s="35"/>
      <c r="G674" s="37"/>
      <c r="K674" s="37"/>
    </row>
    <row r="675">
      <c r="C675" s="87"/>
      <c r="D675" s="88"/>
      <c r="E675" s="89"/>
      <c r="F675" s="35"/>
      <c r="G675" s="37"/>
      <c r="K675" s="37"/>
    </row>
    <row r="676">
      <c r="C676" s="87"/>
      <c r="D676" s="88"/>
      <c r="E676" s="89"/>
      <c r="F676" s="35"/>
      <c r="G676" s="37"/>
      <c r="K676" s="37"/>
    </row>
    <row r="677">
      <c r="C677" s="87"/>
      <c r="D677" s="88"/>
      <c r="E677" s="89"/>
      <c r="F677" s="35"/>
      <c r="G677" s="37"/>
      <c r="K677" s="37"/>
    </row>
    <row r="678">
      <c r="C678" s="87"/>
      <c r="D678" s="88"/>
      <c r="E678" s="89"/>
      <c r="F678" s="35"/>
      <c r="G678" s="37"/>
      <c r="K678" s="37"/>
    </row>
    <row r="679">
      <c r="C679" s="87"/>
      <c r="D679" s="88"/>
      <c r="E679" s="89"/>
      <c r="F679" s="35"/>
      <c r="G679" s="37"/>
      <c r="K679" s="37"/>
    </row>
    <row r="680">
      <c r="C680" s="87"/>
      <c r="D680" s="88"/>
      <c r="E680" s="89"/>
      <c r="F680" s="35"/>
      <c r="G680" s="37"/>
      <c r="K680" s="37"/>
    </row>
    <row r="681">
      <c r="C681" s="87"/>
      <c r="D681" s="88"/>
      <c r="E681" s="89"/>
      <c r="F681" s="35"/>
      <c r="G681" s="37"/>
      <c r="K681" s="37"/>
    </row>
    <row r="682">
      <c r="C682" s="87"/>
      <c r="D682" s="88"/>
      <c r="E682" s="89"/>
      <c r="F682" s="35"/>
      <c r="G682" s="37"/>
      <c r="K682" s="37"/>
    </row>
    <row r="683">
      <c r="C683" s="87"/>
      <c r="D683" s="88"/>
      <c r="E683" s="89"/>
      <c r="F683" s="35"/>
      <c r="G683" s="37"/>
      <c r="K683" s="37"/>
    </row>
    <row r="684">
      <c r="C684" s="87"/>
      <c r="D684" s="88"/>
      <c r="E684" s="89"/>
      <c r="F684" s="35"/>
      <c r="G684" s="37"/>
      <c r="K684" s="37"/>
    </row>
    <row r="685">
      <c r="C685" s="87"/>
      <c r="D685" s="88"/>
      <c r="E685" s="89"/>
      <c r="F685" s="35"/>
      <c r="G685" s="37"/>
      <c r="K685" s="37"/>
    </row>
    <row r="686">
      <c r="C686" s="87"/>
      <c r="D686" s="88"/>
      <c r="E686" s="89"/>
      <c r="F686" s="35"/>
      <c r="G686" s="37"/>
      <c r="K686" s="37"/>
    </row>
    <row r="687">
      <c r="C687" s="87"/>
      <c r="D687" s="88"/>
      <c r="E687" s="89"/>
      <c r="F687" s="35"/>
      <c r="G687" s="37"/>
      <c r="K687" s="37"/>
    </row>
    <row r="688">
      <c r="C688" s="87"/>
      <c r="D688" s="88"/>
      <c r="E688" s="89"/>
      <c r="F688" s="35"/>
      <c r="G688" s="37"/>
      <c r="K688" s="37"/>
    </row>
    <row r="689">
      <c r="C689" s="87"/>
      <c r="D689" s="88"/>
      <c r="E689" s="89"/>
      <c r="F689" s="35"/>
      <c r="G689" s="37"/>
      <c r="K689" s="37"/>
    </row>
    <row r="690">
      <c r="C690" s="87"/>
      <c r="D690" s="88"/>
      <c r="E690" s="89"/>
      <c r="F690" s="35"/>
      <c r="G690" s="37"/>
      <c r="K690" s="37"/>
    </row>
    <row r="691">
      <c r="C691" s="87"/>
      <c r="D691" s="88"/>
      <c r="E691" s="89"/>
      <c r="F691" s="35"/>
      <c r="G691" s="37"/>
      <c r="K691" s="37"/>
    </row>
    <row r="692">
      <c r="C692" s="87"/>
      <c r="D692" s="88"/>
      <c r="E692" s="89"/>
      <c r="F692" s="35"/>
      <c r="G692" s="37"/>
      <c r="K692" s="37"/>
    </row>
    <row r="693">
      <c r="C693" s="87"/>
      <c r="D693" s="88"/>
      <c r="E693" s="89"/>
      <c r="F693" s="35"/>
      <c r="G693" s="37"/>
      <c r="K693" s="37"/>
    </row>
    <row r="694">
      <c r="C694" s="87"/>
      <c r="D694" s="88"/>
      <c r="E694" s="89"/>
      <c r="F694" s="35"/>
      <c r="G694" s="37"/>
      <c r="K694" s="37"/>
    </row>
    <row r="695">
      <c r="C695" s="87"/>
      <c r="D695" s="88"/>
      <c r="E695" s="89"/>
      <c r="F695" s="35"/>
      <c r="G695" s="37"/>
      <c r="K695" s="37"/>
    </row>
    <row r="696">
      <c r="C696" s="87"/>
      <c r="D696" s="88"/>
      <c r="E696" s="89"/>
      <c r="F696" s="35"/>
      <c r="G696" s="37"/>
      <c r="K696" s="37"/>
    </row>
    <row r="697">
      <c r="C697" s="87"/>
      <c r="D697" s="88"/>
      <c r="E697" s="89"/>
      <c r="F697" s="35"/>
      <c r="G697" s="37"/>
      <c r="K697" s="37"/>
    </row>
    <row r="698">
      <c r="C698" s="87"/>
      <c r="D698" s="88"/>
      <c r="E698" s="89"/>
      <c r="F698" s="35"/>
      <c r="G698" s="37"/>
      <c r="K698" s="37"/>
    </row>
    <row r="699">
      <c r="C699" s="87"/>
      <c r="D699" s="88"/>
      <c r="E699" s="89"/>
      <c r="F699" s="35"/>
      <c r="G699" s="37"/>
      <c r="K699" s="37"/>
    </row>
    <row r="700">
      <c r="C700" s="87"/>
      <c r="D700" s="88"/>
      <c r="E700" s="89"/>
      <c r="F700" s="35"/>
      <c r="G700" s="37"/>
      <c r="K700" s="37"/>
    </row>
    <row r="701">
      <c r="C701" s="87"/>
      <c r="D701" s="88"/>
      <c r="E701" s="89"/>
      <c r="F701" s="35"/>
      <c r="G701" s="37"/>
      <c r="K701" s="37"/>
    </row>
    <row r="702">
      <c r="C702" s="87"/>
      <c r="D702" s="88"/>
      <c r="E702" s="89"/>
      <c r="F702" s="35"/>
      <c r="G702" s="37"/>
      <c r="K702" s="37"/>
    </row>
    <row r="703">
      <c r="C703" s="87"/>
      <c r="D703" s="88"/>
      <c r="E703" s="89"/>
      <c r="F703" s="35"/>
      <c r="G703" s="37"/>
      <c r="K703" s="37"/>
    </row>
    <row r="704">
      <c r="C704" s="87"/>
      <c r="D704" s="88"/>
      <c r="E704" s="89"/>
      <c r="F704" s="35"/>
      <c r="G704" s="37"/>
      <c r="K704" s="37"/>
    </row>
    <row r="705">
      <c r="C705" s="87"/>
      <c r="D705" s="88"/>
      <c r="E705" s="89"/>
      <c r="F705" s="35"/>
      <c r="G705" s="37"/>
      <c r="K705" s="37"/>
    </row>
    <row r="706">
      <c r="C706" s="87"/>
      <c r="D706" s="88"/>
      <c r="E706" s="89"/>
      <c r="F706" s="35"/>
      <c r="G706" s="37"/>
      <c r="K706" s="37"/>
    </row>
    <row r="707">
      <c r="C707" s="87"/>
      <c r="D707" s="88"/>
      <c r="E707" s="89"/>
      <c r="F707" s="35"/>
      <c r="G707" s="37"/>
      <c r="K707" s="37"/>
    </row>
    <row r="708">
      <c r="C708" s="87"/>
      <c r="D708" s="88"/>
      <c r="E708" s="89"/>
      <c r="F708" s="35"/>
      <c r="G708" s="37"/>
      <c r="K708" s="37"/>
    </row>
    <row r="709">
      <c r="C709" s="87"/>
      <c r="D709" s="88"/>
      <c r="E709" s="89"/>
      <c r="F709" s="35"/>
      <c r="G709" s="37"/>
      <c r="K709" s="37"/>
    </row>
    <row r="710">
      <c r="C710" s="87"/>
      <c r="D710" s="88"/>
      <c r="E710" s="89"/>
      <c r="F710" s="35"/>
      <c r="G710" s="37"/>
      <c r="K710" s="37"/>
    </row>
    <row r="711">
      <c r="C711" s="87"/>
      <c r="D711" s="88"/>
      <c r="E711" s="89"/>
      <c r="F711" s="35"/>
      <c r="G711" s="37"/>
      <c r="K711" s="37"/>
    </row>
    <row r="712">
      <c r="C712" s="87"/>
      <c r="D712" s="88"/>
      <c r="E712" s="89"/>
      <c r="F712" s="35"/>
      <c r="G712" s="37"/>
      <c r="K712" s="37"/>
    </row>
    <row r="713">
      <c r="C713" s="87"/>
      <c r="D713" s="88"/>
      <c r="E713" s="89"/>
      <c r="F713" s="35"/>
      <c r="G713" s="37"/>
      <c r="K713" s="37"/>
    </row>
    <row r="714">
      <c r="C714" s="87"/>
      <c r="D714" s="88"/>
      <c r="E714" s="89"/>
      <c r="F714" s="35"/>
      <c r="G714" s="37"/>
      <c r="K714" s="37"/>
    </row>
    <row r="715">
      <c r="C715" s="87"/>
      <c r="D715" s="88"/>
      <c r="E715" s="89"/>
      <c r="F715" s="35"/>
      <c r="G715" s="37"/>
      <c r="K715" s="37"/>
    </row>
    <row r="716">
      <c r="C716" s="87"/>
      <c r="D716" s="88"/>
      <c r="E716" s="89"/>
      <c r="F716" s="35"/>
      <c r="G716" s="37"/>
      <c r="K716" s="37"/>
    </row>
    <row r="717">
      <c r="C717" s="87"/>
      <c r="D717" s="88"/>
      <c r="E717" s="89"/>
      <c r="F717" s="35"/>
      <c r="G717" s="37"/>
      <c r="K717" s="37"/>
    </row>
    <row r="718">
      <c r="C718" s="87"/>
      <c r="D718" s="88"/>
      <c r="E718" s="89"/>
      <c r="F718" s="35"/>
      <c r="G718" s="37"/>
      <c r="K718" s="37"/>
    </row>
    <row r="719">
      <c r="C719" s="87"/>
      <c r="D719" s="88"/>
      <c r="E719" s="89"/>
      <c r="F719" s="35"/>
      <c r="G719" s="37"/>
      <c r="K719" s="37"/>
    </row>
    <row r="720">
      <c r="C720" s="87"/>
      <c r="D720" s="88"/>
      <c r="E720" s="89"/>
      <c r="F720" s="35"/>
      <c r="G720" s="37"/>
      <c r="K720" s="37"/>
    </row>
    <row r="721">
      <c r="C721" s="87"/>
      <c r="D721" s="88"/>
      <c r="E721" s="89"/>
      <c r="F721" s="35"/>
      <c r="G721" s="37"/>
      <c r="K721" s="37"/>
    </row>
    <row r="722">
      <c r="C722" s="87"/>
      <c r="D722" s="88"/>
      <c r="E722" s="89"/>
      <c r="F722" s="35"/>
      <c r="G722" s="37"/>
      <c r="K722" s="37"/>
    </row>
    <row r="723">
      <c r="C723" s="87"/>
      <c r="D723" s="88"/>
      <c r="E723" s="89"/>
      <c r="F723" s="35"/>
      <c r="G723" s="37"/>
      <c r="K723" s="37"/>
    </row>
    <row r="724">
      <c r="C724" s="87"/>
      <c r="D724" s="88"/>
      <c r="E724" s="89"/>
      <c r="F724" s="35"/>
      <c r="G724" s="37"/>
      <c r="K724" s="37"/>
    </row>
    <row r="725">
      <c r="C725" s="87"/>
      <c r="D725" s="88"/>
      <c r="E725" s="89"/>
      <c r="F725" s="35"/>
      <c r="G725" s="37"/>
      <c r="K725" s="37"/>
    </row>
    <row r="726">
      <c r="C726" s="87"/>
      <c r="D726" s="88"/>
      <c r="E726" s="89"/>
      <c r="F726" s="35"/>
      <c r="G726" s="37"/>
      <c r="K726" s="37"/>
    </row>
    <row r="727">
      <c r="C727" s="87"/>
      <c r="D727" s="88"/>
      <c r="E727" s="89"/>
      <c r="F727" s="35"/>
      <c r="G727" s="37"/>
      <c r="K727" s="37"/>
    </row>
    <row r="728">
      <c r="C728" s="87"/>
      <c r="D728" s="88"/>
      <c r="E728" s="89"/>
      <c r="F728" s="35"/>
      <c r="G728" s="37"/>
      <c r="K728" s="37"/>
    </row>
    <row r="729">
      <c r="C729" s="87"/>
      <c r="D729" s="88"/>
      <c r="E729" s="89"/>
      <c r="F729" s="35"/>
      <c r="G729" s="37"/>
      <c r="K729" s="37"/>
    </row>
    <row r="730">
      <c r="C730" s="87"/>
      <c r="D730" s="88"/>
      <c r="E730" s="89"/>
      <c r="F730" s="35"/>
      <c r="G730" s="37"/>
      <c r="K730" s="37"/>
    </row>
    <row r="731">
      <c r="C731" s="87"/>
      <c r="D731" s="88"/>
      <c r="E731" s="89"/>
      <c r="F731" s="35"/>
      <c r="G731" s="37"/>
      <c r="K731" s="37"/>
    </row>
    <row r="732">
      <c r="C732" s="87"/>
      <c r="D732" s="88"/>
      <c r="E732" s="89"/>
      <c r="F732" s="35"/>
      <c r="G732" s="37"/>
      <c r="K732" s="37"/>
    </row>
    <row r="733">
      <c r="C733" s="87"/>
      <c r="D733" s="88"/>
      <c r="E733" s="89"/>
      <c r="F733" s="35"/>
      <c r="G733" s="37"/>
      <c r="K733" s="37"/>
    </row>
    <row r="734">
      <c r="C734" s="87"/>
      <c r="D734" s="88"/>
      <c r="E734" s="89"/>
      <c r="F734" s="35"/>
      <c r="G734" s="37"/>
      <c r="K734" s="37"/>
    </row>
    <row r="735">
      <c r="C735" s="87"/>
      <c r="D735" s="88"/>
      <c r="E735" s="89"/>
      <c r="F735" s="35"/>
      <c r="G735" s="37"/>
      <c r="K735" s="37"/>
    </row>
    <row r="736">
      <c r="C736" s="87"/>
      <c r="D736" s="88"/>
      <c r="E736" s="89"/>
      <c r="F736" s="35"/>
      <c r="G736" s="37"/>
      <c r="K736" s="37"/>
    </row>
    <row r="737">
      <c r="C737" s="87"/>
      <c r="D737" s="88"/>
      <c r="E737" s="89"/>
      <c r="F737" s="35"/>
      <c r="G737" s="37"/>
      <c r="K737" s="37"/>
    </row>
    <row r="738">
      <c r="C738" s="87"/>
      <c r="D738" s="88"/>
      <c r="E738" s="89"/>
      <c r="F738" s="35"/>
      <c r="G738" s="37"/>
      <c r="K738" s="37"/>
    </row>
    <row r="739">
      <c r="C739" s="87"/>
      <c r="D739" s="88"/>
      <c r="E739" s="89"/>
      <c r="F739" s="35"/>
      <c r="G739" s="37"/>
      <c r="K739" s="37"/>
    </row>
    <row r="740">
      <c r="C740" s="87"/>
      <c r="D740" s="88"/>
      <c r="E740" s="89"/>
      <c r="F740" s="35"/>
      <c r="G740" s="37"/>
      <c r="K740" s="37"/>
    </row>
    <row r="741">
      <c r="C741" s="87"/>
      <c r="D741" s="88"/>
      <c r="E741" s="89"/>
      <c r="F741" s="35"/>
      <c r="G741" s="37"/>
      <c r="K741" s="37"/>
    </row>
    <row r="742">
      <c r="C742" s="87"/>
      <c r="D742" s="88"/>
      <c r="E742" s="89"/>
      <c r="F742" s="35"/>
      <c r="G742" s="37"/>
      <c r="K742" s="37"/>
    </row>
    <row r="743">
      <c r="C743" s="87"/>
      <c r="D743" s="88"/>
      <c r="E743" s="89"/>
      <c r="F743" s="35"/>
      <c r="G743" s="37"/>
      <c r="K743" s="37"/>
    </row>
    <row r="744">
      <c r="C744" s="87"/>
      <c r="D744" s="88"/>
      <c r="E744" s="89"/>
      <c r="F744" s="35"/>
      <c r="G744" s="37"/>
      <c r="K744" s="37"/>
    </row>
    <row r="745">
      <c r="C745" s="87"/>
      <c r="D745" s="88"/>
      <c r="E745" s="89"/>
      <c r="F745" s="35"/>
      <c r="G745" s="37"/>
      <c r="K745" s="37"/>
    </row>
    <row r="746">
      <c r="C746" s="87"/>
      <c r="D746" s="88"/>
      <c r="E746" s="89"/>
      <c r="F746" s="35"/>
      <c r="G746" s="37"/>
      <c r="K746" s="37"/>
    </row>
    <row r="747">
      <c r="C747" s="87"/>
      <c r="D747" s="88"/>
      <c r="E747" s="89"/>
      <c r="F747" s="35"/>
      <c r="G747" s="37"/>
      <c r="K747" s="37"/>
    </row>
    <row r="748">
      <c r="C748" s="87"/>
      <c r="D748" s="88"/>
      <c r="E748" s="89"/>
      <c r="F748" s="35"/>
      <c r="G748" s="37"/>
      <c r="K748" s="37"/>
    </row>
    <row r="749">
      <c r="C749" s="87"/>
      <c r="D749" s="88"/>
      <c r="E749" s="89"/>
      <c r="F749" s="35"/>
      <c r="G749" s="37"/>
      <c r="K749" s="37"/>
    </row>
    <row r="750">
      <c r="C750" s="87"/>
      <c r="D750" s="88"/>
      <c r="E750" s="89"/>
      <c r="F750" s="35"/>
      <c r="G750" s="37"/>
      <c r="K750" s="37"/>
    </row>
    <row r="751">
      <c r="C751" s="87"/>
      <c r="D751" s="88"/>
      <c r="E751" s="89"/>
      <c r="F751" s="35"/>
      <c r="G751" s="37"/>
      <c r="K751" s="37"/>
    </row>
    <row r="752">
      <c r="C752" s="87"/>
      <c r="D752" s="88"/>
      <c r="E752" s="89"/>
      <c r="F752" s="35"/>
      <c r="G752" s="37"/>
      <c r="K752" s="37"/>
    </row>
    <row r="753">
      <c r="C753" s="87"/>
      <c r="D753" s="88"/>
      <c r="E753" s="89"/>
      <c r="F753" s="35"/>
      <c r="G753" s="37"/>
      <c r="K753" s="37"/>
    </row>
    <row r="754">
      <c r="C754" s="87"/>
      <c r="D754" s="88"/>
      <c r="E754" s="89"/>
      <c r="F754" s="35"/>
      <c r="G754" s="37"/>
      <c r="K754" s="37"/>
    </row>
    <row r="755">
      <c r="C755" s="87"/>
      <c r="D755" s="88"/>
      <c r="E755" s="89"/>
      <c r="F755" s="35"/>
      <c r="G755" s="37"/>
      <c r="K755" s="37"/>
    </row>
    <row r="756">
      <c r="C756" s="87"/>
      <c r="D756" s="88"/>
      <c r="E756" s="89"/>
      <c r="F756" s="35"/>
      <c r="G756" s="37"/>
      <c r="K756" s="37"/>
    </row>
    <row r="757">
      <c r="C757" s="87"/>
      <c r="D757" s="88"/>
      <c r="E757" s="89"/>
      <c r="F757" s="35"/>
      <c r="G757" s="37"/>
      <c r="K757" s="37"/>
    </row>
    <row r="758">
      <c r="C758" s="87"/>
      <c r="D758" s="88"/>
      <c r="E758" s="89"/>
      <c r="F758" s="35"/>
      <c r="G758" s="37"/>
      <c r="K758" s="37"/>
    </row>
    <row r="759">
      <c r="C759" s="87"/>
      <c r="D759" s="88"/>
      <c r="E759" s="89"/>
      <c r="F759" s="35"/>
      <c r="G759" s="37"/>
      <c r="K759" s="37"/>
    </row>
    <row r="760">
      <c r="C760" s="87"/>
      <c r="D760" s="88"/>
      <c r="E760" s="89"/>
      <c r="F760" s="35"/>
      <c r="G760" s="37"/>
      <c r="K760" s="37"/>
    </row>
    <row r="761">
      <c r="C761" s="87"/>
      <c r="D761" s="88"/>
      <c r="E761" s="89"/>
      <c r="F761" s="35"/>
      <c r="G761" s="37"/>
      <c r="K761" s="37"/>
    </row>
    <row r="762">
      <c r="C762" s="87"/>
      <c r="D762" s="88"/>
      <c r="E762" s="89"/>
      <c r="F762" s="35"/>
      <c r="G762" s="37"/>
      <c r="K762" s="37"/>
    </row>
    <row r="763">
      <c r="C763" s="87"/>
      <c r="D763" s="88"/>
      <c r="E763" s="89"/>
      <c r="F763" s="35"/>
      <c r="G763" s="37"/>
      <c r="K763" s="37"/>
    </row>
    <row r="764">
      <c r="C764" s="87"/>
      <c r="D764" s="88"/>
      <c r="E764" s="89"/>
      <c r="F764" s="35"/>
      <c r="G764" s="37"/>
      <c r="K764" s="37"/>
    </row>
    <row r="765">
      <c r="C765" s="87"/>
      <c r="D765" s="88"/>
      <c r="E765" s="89"/>
      <c r="F765" s="35"/>
      <c r="G765" s="37"/>
      <c r="K765" s="37"/>
    </row>
    <row r="766">
      <c r="C766" s="87"/>
      <c r="D766" s="88"/>
      <c r="E766" s="89"/>
      <c r="F766" s="35"/>
      <c r="G766" s="37"/>
      <c r="K766" s="37"/>
    </row>
    <row r="767">
      <c r="C767" s="87"/>
      <c r="D767" s="88"/>
      <c r="E767" s="89"/>
      <c r="F767" s="35"/>
      <c r="G767" s="37"/>
      <c r="K767" s="37"/>
    </row>
    <row r="768">
      <c r="C768" s="87"/>
      <c r="D768" s="88"/>
      <c r="E768" s="89"/>
      <c r="F768" s="35"/>
      <c r="G768" s="37"/>
      <c r="K768" s="37"/>
    </row>
    <row r="769">
      <c r="C769" s="87"/>
      <c r="D769" s="88"/>
      <c r="E769" s="89"/>
      <c r="F769" s="35"/>
      <c r="G769" s="37"/>
      <c r="K769" s="37"/>
    </row>
    <row r="770">
      <c r="C770" s="87"/>
      <c r="D770" s="88"/>
      <c r="E770" s="89"/>
      <c r="F770" s="35"/>
      <c r="G770" s="37"/>
      <c r="K770" s="37"/>
    </row>
    <row r="771">
      <c r="C771" s="87"/>
      <c r="D771" s="88"/>
      <c r="E771" s="89"/>
      <c r="F771" s="35"/>
      <c r="G771" s="37"/>
      <c r="K771" s="37"/>
    </row>
    <row r="772">
      <c r="C772" s="87"/>
      <c r="D772" s="88"/>
      <c r="E772" s="89"/>
      <c r="F772" s="35"/>
      <c r="G772" s="37"/>
      <c r="K772" s="37"/>
    </row>
    <row r="773">
      <c r="C773" s="87"/>
      <c r="D773" s="88"/>
      <c r="E773" s="89"/>
      <c r="F773" s="35"/>
      <c r="G773" s="37"/>
      <c r="K773" s="37"/>
    </row>
    <row r="774">
      <c r="C774" s="87"/>
      <c r="D774" s="88"/>
      <c r="E774" s="89"/>
      <c r="F774" s="35"/>
      <c r="G774" s="37"/>
      <c r="K774" s="37"/>
    </row>
    <row r="775">
      <c r="C775" s="87"/>
      <c r="D775" s="88"/>
      <c r="E775" s="89"/>
      <c r="F775" s="35"/>
      <c r="G775" s="37"/>
      <c r="K775" s="37"/>
    </row>
    <row r="776">
      <c r="C776" s="87"/>
      <c r="D776" s="88"/>
      <c r="E776" s="89"/>
      <c r="F776" s="35"/>
      <c r="G776" s="37"/>
      <c r="K776" s="37"/>
    </row>
    <row r="777">
      <c r="C777" s="87"/>
      <c r="D777" s="88"/>
      <c r="E777" s="89"/>
      <c r="F777" s="35"/>
      <c r="G777" s="37"/>
      <c r="K777" s="37"/>
    </row>
    <row r="778">
      <c r="C778" s="87"/>
      <c r="D778" s="88"/>
      <c r="E778" s="89"/>
      <c r="F778" s="35"/>
      <c r="G778" s="37"/>
      <c r="K778" s="37"/>
    </row>
    <row r="779">
      <c r="C779" s="87"/>
      <c r="D779" s="88"/>
      <c r="E779" s="89"/>
      <c r="F779" s="35"/>
      <c r="G779" s="37"/>
      <c r="K779" s="37"/>
    </row>
    <row r="780">
      <c r="C780" s="87"/>
      <c r="D780" s="88"/>
      <c r="E780" s="89"/>
      <c r="F780" s="35"/>
      <c r="G780" s="37"/>
      <c r="K780" s="37"/>
    </row>
    <row r="781">
      <c r="C781" s="87"/>
      <c r="D781" s="88"/>
      <c r="E781" s="89"/>
      <c r="F781" s="35"/>
      <c r="G781" s="37"/>
      <c r="K781" s="37"/>
    </row>
    <row r="782">
      <c r="C782" s="87"/>
      <c r="D782" s="88"/>
      <c r="E782" s="89"/>
      <c r="F782" s="35"/>
      <c r="G782" s="37"/>
      <c r="K782" s="37"/>
    </row>
    <row r="783">
      <c r="C783" s="87"/>
      <c r="D783" s="88"/>
      <c r="E783" s="89"/>
      <c r="F783" s="35"/>
      <c r="G783" s="37"/>
      <c r="K783" s="37"/>
    </row>
    <row r="784">
      <c r="C784" s="87"/>
      <c r="D784" s="88"/>
      <c r="E784" s="89"/>
      <c r="F784" s="35"/>
      <c r="G784" s="37"/>
      <c r="K784" s="37"/>
    </row>
    <row r="785">
      <c r="C785" s="87"/>
      <c r="D785" s="88"/>
      <c r="E785" s="89"/>
      <c r="F785" s="35"/>
      <c r="G785" s="37"/>
      <c r="K785" s="37"/>
    </row>
    <row r="786">
      <c r="C786" s="87"/>
      <c r="D786" s="88"/>
      <c r="E786" s="89"/>
      <c r="F786" s="35"/>
      <c r="G786" s="37"/>
      <c r="K786" s="37"/>
    </row>
    <row r="787">
      <c r="C787" s="87"/>
      <c r="D787" s="88"/>
      <c r="E787" s="89"/>
      <c r="F787" s="35"/>
      <c r="G787" s="37"/>
      <c r="K787" s="37"/>
    </row>
    <row r="788">
      <c r="C788" s="87"/>
      <c r="D788" s="88"/>
      <c r="E788" s="89"/>
      <c r="F788" s="35"/>
      <c r="G788" s="37"/>
      <c r="K788" s="37"/>
    </row>
    <row r="789">
      <c r="C789" s="87"/>
      <c r="D789" s="88"/>
      <c r="E789" s="89"/>
      <c r="F789" s="35"/>
      <c r="G789" s="37"/>
      <c r="K789" s="37"/>
    </row>
    <row r="790">
      <c r="C790" s="87"/>
      <c r="D790" s="88"/>
      <c r="E790" s="89"/>
      <c r="F790" s="35"/>
      <c r="G790" s="37"/>
      <c r="K790" s="37"/>
    </row>
    <row r="791">
      <c r="C791" s="87"/>
      <c r="D791" s="88"/>
      <c r="E791" s="89"/>
      <c r="F791" s="35"/>
      <c r="G791" s="37"/>
      <c r="K791" s="37"/>
    </row>
    <row r="792">
      <c r="C792" s="87"/>
      <c r="D792" s="88"/>
      <c r="E792" s="89"/>
      <c r="F792" s="35"/>
      <c r="G792" s="37"/>
      <c r="K792" s="37"/>
    </row>
    <row r="793">
      <c r="C793" s="87"/>
      <c r="D793" s="88"/>
      <c r="E793" s="89"/>
      <c r="F793" s="35"/>
      <c r="G793" s="37"/>
      <c r="K793" s="37"/>
    </row>
    <row r="794">
      <c r="C794" s="87"/>
      <c r="D794" s="88"/>
      <c r="E794" s="89"/>
      <c r="F794" s="35"/>
      <c r="G794" s="37"/>
      <c r="K794" s="37"/>
    </row>
    <row r="795">
      <c r="C795" s="87"/>
      <c r="D795" s="88"/>
      <c r="E795" s="89"/>
      <c r="F795" s="35"/>
      <c r="G795" s="37"/>
      <c r="K795" s="37"/>
    </row>
    <row r="796">
      <c r="C796" s="87"/>
      <c r="D796" s="88"/>
      <c r="E796" s="89"/>
      <c r="F796" s="35"/>
      <c r="G796" s="37"/>
      <c r="K796" s="37"/>
    </row>
    <row r="797">
      <c r="C797" s="87"/>
      <c r="D797" s="88"/>
      <c r="E797" s="89"/>
      <c r="F797" s="35"/>
      <c r="G797" s="37"/>
      <c r="K797" s="37"/>
    </row>
    <row r="798">
      <c r="C798" s="87"/>
      <c r="D798" s="88"/>
      <c r="E798" s="89"/>
      <c r="F798" s="35"/>
      <c r="G798" s="37"/>
      <c r="K798" s="37"/>
    </row>
    <row r="799">
      <c r="C799" s="87"/>
      <c r="D799" s="88"/>
      <c r="E799" s="89"/>
      <c r="F799" s="35"/>
      <c r="G799" s="37"/>
      <c r="K799" s="37"/>
    </row>
    <row r="800">
      <c r="C800" s="87"/>
      <c r="D800" s="88"/>
      <c r="E800" s="89"/>
      <c r="F800" s="35"/>
      <c r="G800" s="37"/>
      <c r="K800" s="37"/>
    </row>
    <row r="801">
      <c r="C801" s="87"/>
      <c r="D801" s="88"/>
      <c r="E801" s="89"/>
      <c r="F801" s="35"/>
      <c r="G801" s="37"/>
      <c r="K801" s="37"/>
    </row>
    <row r="802">
      <c r="C802" s="87"/>
      <c r="D802" s="88"/>
      <c r="E802" s="89"/>
      <c r="F802" s="35"/>
      <c r="G802" s="37"/>
      <c r="K802" s="37"/>
    </row>
    <row r="803">
      <c r="C803" s="87"/>
      <c r="D803" s="88"/>
      <c r="E803" s="89"/>
      <c r="F803" s="35"/>
      <c r="G803" s="37"/>
      <c r="K803" s="37"/>
    </row>
    <row r="804">
      <c r="C804" s="87"/>
      <c r="D804" s="88"/>
      <c r="E804" s="89"/>
      <c r="F804" s="35"/>
      <c r="G804" s="37"/>
      <c r="K804" s="37"/>
    </row>
    <row r="805">
      <c r="C805" s="87"/>
      <c r="D805" s="88"/>
      <c r="E805" s="89"/>
      <c r="F805" s="35"/>
      <c r="G805" s="37"/>
      <c r="K805" s="37"/>
    </row>
    <row r="806">
      <c r="C806" s="87"/>
      <c r="D806" s="88"/>
      <c r="E806" s="89"/>
      <c r="F806" s="35"/>
      <c r="G806" s="37"/>
      <c r="K806" s="37"/>
    </row>
    <row r="807">
      <c r="C807" s="87"/>
      <c r="D807" s="88"/>
      <c r="E807" s="89"/>
      <c r="F807" s="35"/>
      <c r="G807" s="37"/>
      <c r="K807" s="37"/>
    </row>
    <row r="808">
      <c r="C808" s="87"/>
      <c r="D808" s="88"/>
      <c r="E808" s="89"/>
      <c r="F808" s="35"/>
      <c r="G808" s="37"/>
      <c r="K808" s="37"/>
    </row>
    <row r="809">
      <c r="C809" s="87"/>
      <c r="D809" s="88"/>
      <c r="E809" s="89"/>
      <c r="F809" s="35"/>
      <c r="G809" s="37"/>
      <c r="K809" s="37"/>
    </row>
    <row r="810">
      <c r="C810" s="87"/>
      <c r="D810" s="88"/>
      <c r="E810" s="89"/>
      <c r="F810" s="35"/>
      <c r="G810" s="37"/>
      <c r="K810" s="37"/>
    </row>
    <row r="811">
      <c r="C811" s="87"/>
      <c r="D811" s="88"/>
      <c r="E811" s="89"/>
      <c r="F811" s="35"/>
      <c r="G811" s="37"/>
      <c r="K811" s="37"/>
    </row>
    <row r="812">
      <c r="C812" s="87"/>
      <c r="D812" s="88"/>
      <c r="E812" s="89"/>
      <c r="F812" s="35"/>
      <c r="G812" s="37"/>
      <c r="K812" s="37"/>
    </row>
    <row r="813">
      <c r="C813" s="87"/>
      <c r="D813" s="88"/>
      <c r="E813" s="89"/>
      <c r="F813" s="35"/>
      <c r="G813" s="37"/>
      <c r="K813" s="37"/>
    </row>
    <row r="814">
      <c r="C814" s="87"/>
      <c r="D814" s="88"/>
      <c r="E814" s="89"/>
      <c r="F814" s="35"/>
      <c r="G814" s="37"/>
      <c r="K814" s="37"/>
    </row>
    <row r="815">
      <c r="C815" s="87"/>
      <c r="D815" s="88"/>
      <c r="E815" s="89"/>
      <c r="F815" s="35"/>
      <c r="G815" s="37"/>
      <c r="K815" s="37"/>
    </row>
    <row r="816">
      <c r="C816" s="87"/>
      <c r="D816" s="88"/>
      <c r="E816" s="89"/>
      <c r="F816" s="35"/>
      <c r="G816" s="37"/>
      <c r="K816" s="37"/>
    </row>
    <row r="817">
      <c r="C817" s="87"/>
      <c r="D817" s="88"/>
      <c r="E817" s="89"/>
      <c r="F817" s="35"/>
      <c r="G817" s="37"/>
      <c r="K817" s="37"/>
    </row>
    <row r="818">
      <c r="C818" s="87"/>
      <c r="D818" s="88"/>
      <c r="E818" s="89"/>
      <c r="F818" s="35"/>
      <c r="G818" s="37"/>
      <c r="K818" s="37"/>
    </row>
    <row r="819">
      <c r="C819" s="87"/>
      <c r="D819" s="88"/>
      <c r="E819" s="89"/>
      <c r="F819" s="35"/>
      <c r="G819" s="37"/>
      <c r="K819" s="37"/>
    </row>
    <row r="820">
      <c r="C820" s="87"/>
      <c r="D820" s="88"/>
      <c r="E820" s="89"/>
      <c r="F820" s="35"/>
      <c r="G820" s="37"/>
      <c r="K820" s="37"/>
    </row>
    <row r="821">
      <c r="C821" s="87"/>
      <c r="D821" s="88"/>
      <c r="E821" s="89"/>
      <c r="F821" s="35"/>
      <c r="G821" s="37"/>
      <c r="K821" s="37"/>
    </row>
    <row r="822">
      <c r="C822" s="87"/>
      <c r="D822" s="88"/>
      <c r="E822" s="89"/>
      <c r="F822" s="35"/>
      <c r="G822" s="37"/>
      <c r="K822" s="37"/>
    </row>
    <row r="823">
      <c r="C823" s="87"/>
      <c r="D823" s="88"/>
      <c r="E823" s="89"/>
      <c r="F823" s="35"/>
      <c r="G823" s="37"/>
      <c r="K823" s="37"/>
    </row>
    <row r="824">
      <c r="C824" s="87"/>
      <c r="D824" s="88"/>
      <c r="E824" s="89"/>
      <c r="F824" s="35"/>
      <c r="G824" s="37"/>
      <c r="K824" s="37"/>
    </row>
    <row r="825">
      <c r="C825" s="87"/>
      <c r="D825" s="88"/>
      <c r="E825" s="89"/>
      <c r="F825" s="35"/>
      <c r="G825" s="37"/>
      <c r="K825" s="37"/>
    </row>
    <row r="826">
      <c r="C826" s="87"/>
      <c r="D826" s="88"/>
      <c r="E826" s="89"/>
      <c r="F826" s="35"/>
      <c r="G826" s="37"/>
      <c r="K826" s="37"/>
    </row>
    <row r="827">
      <c r="C827" s="87"/>
      <c r="D827" s="88"/>
      <c r="E827" s="89"/>
      <c r="F827" s="35"/>
      <c r="G827" s="37"/>
      <c r="K827" s="37"/>
    </row>
    <row r="828">
      <c r="C828" s="87"/>
      <c r="D828" s="88"/>
      <c r="E828" s="89"/>
      <c r="F828" s="35"/>
      <c r="G828" s="37"/>
      <c r="K828" s="37"/>
    </row>
    <row r="829">
      <c r="C829" s="87"/>
      <c r="D829" s="88"/>
      <c r="E829" s="89"/>
      <c r="F829" s="35"/>
      <c r="G829" s="37"/>
      <c r="K829" s="37"/>
    </row>
    <row r="830">
      <c r="C830" s="87"/>
      <c r="D830" s="88"/>
      <c r="E830" s="89"/>
      <c r="F830" s="35"/>
      <c r="G830" s="37"/>
      <c r="K830" s="37"/>
    </row>
    <row r="831">
      <c r="C831" s="87"/>
      <c r="D831" s="88"/>
      <c r="E831" s="89"/>
      <c r="F831" s="35"/>
      <c r="G831" s="37"/>
      <c r="K831" s="37"/>
    </row>
    <row r="832">
      <c r="C832" s="87"/>
      <c r="D832" s="88"/>
      <c r="E832" s="89"/>
      <c r="F832" s="35"/>
      <c r="G832" s="37"/>
      <c r="K832" s="37"/>
    </row>
    <row r="833">
      <c r="C833" s="87"/>
      <c r="D833" s="88"/>
      <c r="E833" s="89"/>
      <c r="F833" s="35"/>
      <c r="G833" s="37"/>
      <c r="K833" s="37"/>
    </row>
    <row r="834">
      <c r="C834" s="87"/>
      <c r="D834" s="88"/>
      <c r="E834" s="89"/>
      <c r="F834" s="35"/>
      <c r="G834" s="37"/>
      <c r="K834" s="37"/>
    </row>
    <row r="835">
      <c r="C835" s="87"/>
      <c r="D835" s="88"/>
      <c r="E835" s="89"/>
      <c r="F835" s="35"/>
      <c r="G835" s="37"/>
      <c r="K835" s="37"/>
    </row>
    <row r="836">
      <c r="C836" s="87"/>
      <c r="D836" s="88"/>
      <c r="E836" s="89"/>
      <c r="F836" s="35"/>
      <c r="G836" s="37"/>
      <c r="K836" s="37"/>
    </row>
    <row r="837">
      <c r="C837" s="87"/>
      <c r="D837" s="88"/>
      <c r="E837" s="89"/>
      <c r="F837" s="35"/>
      <c r="G837" s="37"/>
      <c r="K837" s="37"/>
    </row>
    <row r="838">
      <c r="C838" s="87"/>
      <c r="D838" s="88"/>
      <c r="E838" s="89"/>
      <c r="F838" s="35"/>
      <c r="G838" s="37"/>
      <c r="K838" s="37"/>
    </row>
    <row r="839">
      <c r="C839" s="87"/>
      <c r="D839" s="88"/>
      <c r="E839" s="89"/>
      <c r="F839" s="35"/>
      <c r="G839" s="37"/>
      <c r="K839" s="37"/>
    </row>
    <row r="840">
      <c r="C840" s="87"/>
      <c r="D840" s="88"/>
      <c r="E840" s="89"/>
      <c r="F840" s="35"/>
      <c r="G840" s="37"/>
      <c r="K840" s="37"/>
    </row>
    <row r="841">
      <c r="C841" s="87"/>
      <c r="D841" s="88"/>
      <c r="E841" s="89"/>
      <c r="F841" s="35"/>
      <c r="G841" s="37"/>
      <c r="K841" s="37"/>
    </row>
    <row r="842">
      <c r="C842" s="87"/>
      <c r="D842" s="88"/>
      <c r="E842" s="89"/>
      <c r="F842" s="35"/>
      <c r="G842" s="37"/>
      <c r="K842" s="37"/>
    </row>
    <row r="843">
      <c r="C843" s="87"/>
      <c r="D843" s="88"/>
      <c r="E843" s="89"/>
      <c r="F843" s="35"/>
      <c r="G843" s="37"/>
      <c r="K843" s="37"/>
    </row>
    <row r="844">
      <c r="C844" s="87"/>
      <c r="D844" s="88"/>
      <c r="E844" s="89"/>
      <c r="F844" s="35"/>
      <c r="G844" s="37"/>
      <c r="K844" s="37"/>
    </row>
    <row r="845">
      <c r="C845" s="87"/>
      <c r="D845" s="88"/>
      <c r="E845" s="89"/>
      <c r="F845" s="35"/>
      <c r="G845" s="37"/>
      <c r="K845" s="37"/>
    </row>
    <row r="846">
      <c r="C846" s="87"/>
      <c r="D846" s="88"/>
      <c r="E846" s="89"/>
      <c r="F846" s="35"/>
      <c r="G846" s="37"/>
      <c r="K846" s="37"/>
    </row>
    <row r="847">
      <c r="C847" s="87"/>
      <c r="D847" s="88"/>
      <c r="E847" s="89"/>
      <c r="F847" s="35"/>
      <c r="G847" s="37"/>
      <c r="K847" s="37"/>
    </row>
    <row r="848">
      <c r="C848" s="87"/>
      <c r="D848" s="88"/>
      <c r="E848" s="89"/>
      <c r="F848" s="35"/>
      <c r="G848" s="37"/>
      <c r="K848" s="37"/>
    </row>
    <row r="849">
      <c r="C849" s="87"/>
      <c r="D849" s="88"/>
      <c r="E849" s="89"/>
      <c r="F849" s="35"/>
      <c r="G849" s="37"/>
      <c r="K849" s="37"/>
    </row>
    <row r="850">
      <c r="C850" s="87"/>
      <c r="D850" s="88"/>
      <c r="E850" s="89"/>
      <c r="F850" s="35"/>
      <c r="G850" s="37"/>
      <c r="K850" s="37"/>
    </row>
    <row r="851">
      <c r="C851" s="87"/>
      <c r="D851" s="88"/>
      <c r="E851" s="89"/>
      <c r="F851" s="35"/>
      <c r="G851" s="37"/>
      <c r="K851" s="37"/>
    </row>
    <row r="852">
      <c r="C852" s="87"/>
      <c r="D852" s="88"/>
      <c r="E852" s="89"/>
      <c r="F852" s="35"/>
      <c r="G852" s="37"/>
      <c r="K852" s="37"/>
    </row>
    <row r="853">
      <c r="C853" s="87"/>
      <c r="D853" s="88"/>
      <c r="E853" s="89"/>
      <c r="F853" s="35"/>
      <c r="G853" s="37"/>
      <c r="K853" s="37"/>
    </row>
    <row r="854">
      <c r="C854" s="87"/>
      <c r="D854" s="88"/>
      <c r="E854" s="89"/>
      <c r="F854" s="35"/>
      <c r="G854" s="37"/>
      <c r="K854" s="37"/>
    </row>
    <row r="855">
      <c r="C855" s="87"/>
      <c r="D855" s="88"/>
      <c r="E855" s="89"/>
      <c r="F855" s="35"/>
      <c r="G855" s="37"/>
      <c r="K855" s="37"/>
    </row>
    <row r="856">
      <c r="C856" s="87"/>
      <c r="D856" s="88"/>
      <c r="E856" s="89"/>
      <c r="F856" s="35"/>
      <c r="G856" s="37"/>
      <c r="K856" s="37"/>
    </row>
    <row r="857">
      <c r="C857" s="87"/>
      <c r="D857" s="88"/>
      <c r="E857" s="89"/>
      <c r="F857" s="35"/>
      <c r="G857" s="37"/>
      <c r="K857" s="37"/>
    </row>
    <row r="858">
      <c r="C858" s="87"/>
      <c r="D858" s="88"/>
      <c r="E858" s="89"/>
      <c r="F858" s="35"/>
      <c r="G858" s="37"/>
      <c r="K858" s="37"/>
    </row>
    <row r="859">
      <c r="C859" s="87"/>
      <c r="D859" s="88"/>
      <c r="E859" s="89"/>
      <c r="F859" s="35"/>
      <c r="G859" s="37"/>
      <c r="K859" s="37"/>
    </row>
    <row r="860">
      <c r="C860" s="87"/>
      <c r="D860" s="88"/>
      <c r="E860" s="89"/>
      <c r="F860" s="35"/>
      <c r="G860" s="37"/>
      <c r="K860" s="37"/>
    </row>
    <row r="861">
      <c r="C861" s="87"/>
      <c r="D861" s="88"/>
      <c r="E861" s="89"/>
      <c r="F861" s="35"/>
      <c r="G861" s="37"/>
      <c r="K861" s="37"/>
    </row>
    <row r="862">
      <c r="C862" s="87"/>
      <c r="D862" s="88"/>
      <c r="E862" s="89"/>
      <c r="F862" s="35"/>
      <c r="G862" s="37"/>
      <c r="K862" s="37"/>
    </row>
    <row r="863">
      <c r="C863" s="87"/>
      <c r="D863" s="88"/>
      <c r="E863" s="89"/>
      <c r="F863" s="35"/>
      <c r="G863" s="37"/>
      <c r="K863" s="37"/>
    </row>
    <row r="864">
      <c r="C864" s="87"/>
      <c r="D864" s="88"/>
      <c r="E864" s="89"/>
      <c r="F864" s="35"/>
      <c r="G864" s="37"/>
      <c r="K864" s="37"/>
    </row>
    <row r="865">
      <c r="C865" s="87"/>
      <c r="D865" s="88"/>
      <c r="E865" s="89"/>
      <c r="F865" s="35"/>
      <c r="G865" s="37"/>
      <c r="K865" s="37"/>
    </row>
    <row r="866">
      <c r="C866" s="87"/>
      <c r="D866" s="88"/>
      <c r="E866" s="89"/>
      <c r="F866" s="35"/>
      <c r="G866" s="37"/>
      <c r="K866" s="37"/>
    </row>
    <row r="867">
      <c r="C867" s="87"/>
      <c r="D867" s="88"/>
      <c r="E867" s="89"/>
      <c r="F867" s="35"/>
      <c r="G867" s="37"/>
      <c r="K867" s="37"/>
    </row>
    <row r="868">
      <c r="C868" s="87"/>
      <c r="D868" s="88"/>
      <c r="E868" s="89"/>
      <c r="F868" s="35"/>
      <c r="G868" s="37"/>
      <c r="K868" s="37"/>
    </row>
    <row r="869">
      <c r="C869" s="87"/>
      <c r="D869" s="88"/>
      <c r="E869" s="89"/>
      <c r="F869" s="35"/>
      <c r="G869" s="37"/>
      <c r="K869" s="37"/>
    </row>
    <row r="870">
      <c r="C870" s="87"/>
      <c r="D870" s="88"/>
      <c r="E870" s="89"/>
      <c r="F870" s="35"/>
      <c r="G870" s="37"/>
      <c r="K870" s="37"/>
    </row>
    <row r="871">
      <c r="C871" s="87"/>
      <c r="D871" s="88"/>
      <c r="E871" s="89"/>
      <c r="F871" s="35"/>
      <c r="G871" s="37"/>
      <c r="K871" s="37"/>
    </row>
    <row r="872">
      <c r="C872" s="87"/>
      <c r="D872" s="88"/>
      <c r="E872" s="89"/>
      <c r="F872" s="35"/>
      <c r="G872" s="37"/>
      <c r="K872" s="37"/>
    </row>
    <row r="873">
      <c r="C873" s="87"/>
      <c r="D873" s="88"/>
      <c r="E873" s="89"/>
      <c r="F873" s="35"/>
      <c r="G873" s="37"/>
      <c r="K873" s="37"/>
    </row>
    <row r="874">
      <c r="C874" s="87"/>
      <c r="D874" s="88"/>
      <c r="E874" s="89"/>
      <c r="F874" s="35"/>
      <c r="G874" s="37"/>
      <c r="K874" s="37"/>
    </row>
    <row r="875">
      <c r="C875" s="87"/>
      <c r="D875" s="88"/>
      <c r="E875" s="89"/>
      <c r="F875" s="35"/>
      <c r="G875" s="37"/>
      <c r="K875" s="37"/>
    </row>
    <row r="876">
      <c r="C876" s="87"/>
      <c r="D876" s="88"/>
      <c r="E876" s="89"/>
      <c r="F876" s="35"/>
      <c r="G876" s="37"/>
      <c r="K876" s="37"/>
    </row>
    <row r="877">
      <c r="C877" s="87"/>
      <c r="D877" s="88"/>
      <c r="E877" s="89"/>
      <c r="F877" s="35"/>
      <c r="G877" s="37"/>
      <c r="K877" s="37"/>
    </row>
    <row r="878">
      <c r="C878" s="87"/>
      <c r="D878" s="88"/>
      <c r="E878" s="89"/>
      <c r="F878" s="35"/>
      <c r="G878" s="37"/>
      <c r="K878" s="37"/>
    </row>
    <row r="879">
      <c r="C879" s="87"/>
      <c r="D879" s="88"/>
      <c r="E879" s="89"/>
      <c r="F879" s="35"/>
      <c r="G879" s="37"/>
      <c r="K879" s="37"/>
    </row>
    <row r="880">
      <c r="C880" s="87"/>
      <c r="D880" s="88"/>
      <c r="E880" s="89"/>
      <c r="F880" s="35"/>
      <c r="G880" s="37"/>
      <c r="K880" s="37"/>
    </row>
    <row r="881">
      <c r="C881" s="87"/>
      <c r="D881" s="88"/>
      <c r="E881" s="89"/>
      <c r="F881" s="35"/>
      <c r="G881" s="37"/>
      <c r="K881" s="37"/>
    </row>
    <row r="882">
      <c r="C882" s="87"/>
      <c r="D882" s="88"/>
      <c r="E882" s="89"/>
      <c r="F882" s="35"/>
      <c r="G882" s="37"/>
      <c r="K882" s="37"/>
    </row>
    <row r="883">
      <c r="C883" s="87"/>
      <c r="D883" s="88"/>
      <c r="E883" s="89"/>
      <c r="F883" s="35"/>
      <c r="G883" s="37"/>
      <c r="K883" s="37"/>
    </row>
    <row r="884">
      <c r="C884" s="87"/>
      <c r="D884" s="88"/>
      <c r="E884" s="89"/>
      <c r="F884" s="35"/>
      <c r="G884" s="37"/>
      <c r="K884" s="37"/>
    </row>
    <row r="885">
      <c r="C885" s="87"/>
      <c r="D885" s="88"/>
      <c r="E885" s="89"/>
      <c r="F885" s="35"/>
      <c r="G885" s="37"/>
      <c r="K885" s="37"/>
    </row>
    <row r="886">
      <c r="C886" s="87"/>
      <c r="D886" s="88"/>
      <c r="E886" s="89"/>
      <c r="F886" s="35"/>
      <c r="G886" s="37"/>
      <c r="K886" s="37"/>
    </row>
    <row r="887">
      <c r="C887" s="87"/>
      <c r="D887" s="88"/>
      <c r="E887" s="89"/>
      <c r="F887" s="35"/>
      <c r="G887" s="37"/>
      <c r="K887" s="37"/>
    </row>
    <row r="888">
      <c r="C888" s="87"/>
      <c r="D888" s="88"/>
      <c r="E888" s="89"/>
      <c r="F888" s="35"/>
      <c r="G888" s="37"/>
      <c r="K888" s="37"/>
    </row>
    <row r="889">
      <c r="C889" s="87"/>
      <c r="D889" s="88"/>
      <c r="E889" s="89"/>
      <c r="F889" s="35"/>
      <c r="G889" s="37"/>
      <c r="K889" s="37"/>
    </row>
    <row r="890">
      <c r="C890" s="87"/>
      <c r="D890" s="88"/>
      <c r="E890" s="89"/>
      <c r="F890" s="35"/>
      <c r="G890" s="37"/>
      <c r="K890" s="37"/>
    </row>
    <row r="891">
      <c r="C891" s="87"/>
      <c r="D891" s="88"/>
      <c r="E891" s="89"/>
      <c r="F891" s="35"/>
      <c r="G891" s="37"/>
      <c r="K891" s="37"/>
    </row>
    <row r="892">
      <c r="C892" s="87"/>
      <c r="D892" s="88"/>
      <c r="E892" s="89"/>
      <c r="F892" s="35"/>
      <c r="G892" s="37"/>
      <c r="K892" s="37"/>
    </row>
    <row r="893">
      <c r="C893" s="87"/>
      <c r="D893" s="88"/>
      <c r="E893" s="89"/>
      <c r="F893" s="35"/>
      <c r="G893" s="37"/>
      <c r="K893" s="37"/>
    </row>
    <row r="894">
      <c r="C894" s="87"/>
      <c r="D894" s="88"/>
      <c r="E894" s="89"/>
      <c r="F894" s="35"/>
      <c r="G894" s="37"/>
      <c r="K894" s="37"/>
    </row>
    <row r="895">
      <c r="C895" s="87"/>
      <c r="D895" s="88"/>
      <c r="E895" s="89"/>
      <c r="F895" s="35"/>
      <c r="G895" s="37"/>
      <c r="K895" s="37"/>
    </row>
    <row r="896">
      <c r="C896" s="87"/>
      <c r="D896" s="88"/>
      <c r="E896" s="89"/>
      <c r="F896" s="35"/>
      <c r="G896" s="37"/>
      <c r="K896" s="37"/>
    </row>
    <row r="897">
      <c r="C897" s="87"/>
      <c r="D897" s="88"/>
      <c r="E897" s="89"/>
      <c r="F897" s="35"/>
      <c r="G897" s="37"/>
      <c r="K897" s="37"/>
    </row>
    <row r="898">
      <c r="C898" s="87"/>
      <c r="D898" s="88"/>
      <c r="E898" s="89"/>
      <c r="F898" s="35"/>
      <c r="G898" s="37"/>
      <c r="K898" s="37"/>
    </row>
    <row r="899">
      <c r="C899" s="87"/>
      <c r="D899" s="88"/>
      <c r="E899" s="89"/>
      <c r="F899" s="35"/>
      <c r="G899" s="37"/>
      <c r="K899" s="37"/>
    </row>
    <row r="900">
      <c r="C900" s="87"/>
      <c r="D900" s="88"/>
      <c r="E900" s="89"/>
      <c r="F900" s="35"/>
      <c r="G900" s="37"/>
      <c r="K900" s="37"/>
    </row>
    <row r="901">
      <c r="C901" s="87"/>
      <c r="D901" s="88"/>
      <c r="E901" s="89"/>
      <c r="F901" s="35"/>
      <c r="G901" s="37"/>
      <c r="K901" s="37"/>
    </row>
    <row r="902">
      <c r="C902" s="87"/>
      <c r="D902" s="88"/>
      <c r="E902" s="89"/>
      <c r="F902" s="35"/>
      <c r="G902" s="37"/>
      <c r="K902" s="37"/>
    </row>
    <row r="903">
      <c r="C903" s="87"/>
      <c r="D903" s="88"/>
      <c r="E903" s="89"/>
      <c r="F903" s="35"/>
      <c r="G903" s="37"/>
      <c r="K903" s="37"/>
    </row>
    <row r="904">
      <c r="C904" s="87"/>
      <c r="D904" s="88"/>
      <c r="E904" s="89"/>
      <c r="F904" s="35"/>
      <c r="G904" s="37"/>
      <c r="K904" s="37"/>
    </row>
    <row r="905">
      <c r="C905" s="87"/>
      <c r="D905" s="88"/>
      <c r="E905" s="89"/>
      <c r="F905" s="35"/>
      <c r="G905" s="37"/>
      <c r="K905" s="37"/>
    </row>
    <row r="906">
      <c r="C906" s="87"/>
      <c r="D906" s="88"/>
      <c r="E906" s="89"/>
      <c r="F906" s="35"/>
      <c r="G906" s="37"/>
      <c r="K906" s="37"/>
    </row>
    <row r="907">
      <c r="C907" s="87"/>
      <c r="D907" s="88"/>
      <c r="E907" s="89"/>
      <c r="F907" s="35"/>
      <c r="G907" s="37"/>
      <c r="K907" s="37"/>
    </row>
    <row r="908">
      <c r="C908" s="87"/>
      <c r="D908" s="88"/>
      <c r="E908" s="89"/>
      <c r="F908" s="35"/>
      <c r="G908" s="37"/>
      <c r="K908" s="37"/>
    </row>
    <row r="909">
      <c r="C909" s="87"/>
      <c r="D909" s="88"/>
      <c r="E909" s="89"/>
      <c r="F909" s="35"/>
      <c r="G909" s="37"/>
      <c r="K909" s="37"/>
    </row>
    <row r="910">
      <c r="C910" s="87"/>
      <c r="D910" s="88"/>
      <c r="E910" s="89"/>
      <c r="F910" s="35"/>
      <c r="G910" s="37"/>
      <c r="K910" s="37"/>
    </row>
    <row r="911">
      <c r="C911" s="87"/>
      <c r="D911" s="88"/>
      <c r="E911" s="89"/>
      <c r="F911" s="35"/>
      <c r="G911" s="37"/>
      <c r="K911" s="37"/>
    </row>
    <row r="912">
      <c r="C912" s="87"/>
      <c r="D912" s="88"/>
      <c r="E912" s="89"/>
      <c r="F912" s="35"/>
      <c r="G912" s="37"/>
      <c r="K912" s="37"/>
    </row>
    <row r="913">
      <c r="C913" s="87"/>
      <c r="D913" s="88"/>
      <c r="E913" s="89"/>
      <c r="F913" s="35"/>
      <c r="G913" s="37"/>
      <c r="K913" s="37"/>
    </row>
    <row r="914">
      <c r="C914" s="87"/>
      <c r="D914" s="88"/>
      <c r="E914" s="89"/>
      <c r="F914" s="35"/>
      <c r="G914" s="37"/>
      <c r="K914" s="37"/>
    </row>
    <row r="915">
      <c r="C915" s="87"/>
      <c r="D915" s="88"/>
      <c r="E915" s="89"/>
      <c r="F915" s="35"/>
      <c r="G915" s="37"/>
      <c r="K915" s="37"/>
    </row>
    <row r="916">
      <c r="C916" s="87"/>
      <c r="D916" s="88"/>
      <c r="E916" s="89"/>
      <c r="F916" s="35"/>
      <c r="G916" s="37"/>
      <c r="K916" s="37"/>
    </row>
    <row r="917">
      <c r="C917" s="87"/>
      <c r="D917" s="88"/>
      <c r="E917" s="89"/>
      <c r="F917" s="35"/>
      <c r="G917" s="37"/>
      <c r="K917" s="37"/>
    </row>
    <row r="918">
      <c r="C918" s="87"/>
      <c r="D918" s="88"/>
      <c r="E918" s="89"/>
      <c r="F918" s="35"/>
      <c r="G918" s="37"/>
      <c r="K918" s="37"/>
    </row>
    <row r="919">
      <c r="C919" s="87"/>
      <c r="D919" s="88"/>
      <c r="E919" s="89"/>
      <c r="F919" s="35"/>
      <c r="G919" s="37"/>
      <c r="K919" s="37"/>
    </row>
    <row r="920">
      <c r="C920" s="87"/>
      <c r="D920" s="88"/>
      <c r="E920" s="89"/>
      <c r="F920" s="35"/>
      <c r="G920" s="37"/>
      <c r="K920" s="37"/>
    </row>
    <row r="921">
      <c r="C921" s="87"/>
      <c r="D921" s="88"/>
      <c r="E921" s="89"/>
      <c r="F921" s="35"/>
      <c r="G921" s="37"/>
      <c r="K921" s="37"/>
    </row>
    <row r="922">
      <c r="C922" s="87"/>
      <c r="D922" s="88"/>
      <c r="E922" s="89"/>
      <c r="F922" s="35"/>
      <c r="G922" s="37"/>
      <c r="K922" s="37"/>
    </row>
    <row r="923">
      <c r="C923" s="87"/>
      <c r="D923" s="88"/>
      <c r="E923" s="89"/>
      <c r="F923" s="35"/>
      <c r="G923" s="37"/>
      <c r="K923" s="37"/>
    </row>
    <row r="924">
      <c r="C924" s="87"/>
      <c r="D924" s="88"/>
      <c r="E924" s="89"/>
      <c r="F924" s="35"/>
      <c r="G924" s="37"/>
      <c r="K924" s="37"/>
    </row>
    <row r="925">
      <c r="C925" s="87"/>
      <c r="D925" s="88"/>
      <c r="E925" s="89"/>
      <c r="F925" s="35"/>
      <c r="G925" s="37"/>
      <c r="K925" s="37"/>
    </row>
    <row r="926">
      <c r="C926" s="87"/>
      <c r="D926" s="88"/>
      <c r="E926" s="89"/>
      <c r="F926" s="35"/>
      <c r="G926" s="37"/>
      <c r="K926" s="37"/>
    </row>
    <row r="927">
      <c r="C927" s="87"/>
      <c r="D927" s="88"/>
      <c r="E927" s="89"/>
      <c r="F927" s="35"/>
      <c r="G927" s="37"/>
      <c r="K927" s="37"/>
    </row>
    <row r="928">
      <c r="C928" s="87"/>
      <c r="D928" s="88"/>
      <c r="E928" s="89"/>
      <c r="F928" s="35"/>
      <c r="G928" s="37"/>
      <c r="K928" s="37"/>
    </row>
    <row r="929">
      <c r="C929" s="87"/>
      <c r="D929" s="88"/>
      <c r="E929" s="89"/>
      <c r="F929" s="35"/>
      <c r="G929" s="37"/>
      <c r="K929" s="37"/>
    </row>
    <row r="930">
      <c r="C930" s="87"/>
      <c r="D930" s="88"/>
      <c r="E930" s="89"/>
      <c r="F930" s="35"/>
      <c r="G930" s="37"/>
      <c r="K930" s="37"/>
    </row>
    <row r="931">
      <c r="C931" s="87"/>
      <c r="D931" s="88"/>
      <c r="E931" s="89"/>
      <c r="F931" s="35"/>
      <c r="G931" s="37"/>
      <c r="K931" s="37"/>
    </row>
    <row r="932">
      <c r="C932" s="87"/>
      <c r="D932" s="88"/>
      <c r="E932" s="89"/>
      <c r="F932" s="35"/>
      <c r="G932" s="37"/>
      <c r="K932" s="37"/>
    </row>
    <row r="933">
      <c r="C933" s="87"/>
      <c r="D933" s="88"/>
      <c r="E933" s="89"/>
      <c r="F933" s="35"/>
      <c r="G933" s="37"/>
      <c r="K933" s="37"/>
    </row>
    <row r="934">
      <c r="C934" s="87"/>
      <c r="D934" s="88"/>
      <c r="E934" s="89"/>
      <c r="F934" s="35"/>
      <c r="G934" s="37"/>
      <c r="K934" s="37"/>
    </row>
    <row r="935">
      <c r="C935" s="87"/>
      <c r="D935" s="88"/>
      <c r="E935" s="89"/>
      <c r="F935" s="35"/>
      <c r="G935" s="37"/>
      <c r="K935" s="37"/>
    </row>
    <row r="936">
      <c r="C936" s="87"/>
      <c r="D936" s="88"/>
      <c r="E936" s="89"/>
      <c r="F936" s="35"/>
      <c r="G936" s="37"/>
      <c r="K936" s="37"/>
    </row>
    <row r="937">
      <c r="C937" s="87"/>
      <c r="D937" s="88"/>
      <c r="E937" s="89"/>
      <c r="F937" s="35"/>
      <c r="G937" s="37"/>
      <c r="K937" s="37"/>
    </row>
    <row r="938">
      <c r="C938" s="87"/>
      <c r="D938" s="88"/>
      <c r="E938" s="89"/>
      <c r="F938" s="35"/>
      <c r="G938" s="37"/>
      <c r="K938" s="37"/>
    </row>
    <row r="939">
      <c r="C939" s="87"/>
      <c r="D939" s="88"/>
      <c r="E939" s="89"/>
      <c r="F939" s="35"/>
      <c r="G939" s="37"/>
      <c r="K939" s="37"/>
    </row>
    <row r="940">
      <c r="C940" s="87"/>
      <c r="D940" s="88"/>
      <c r="E940" s="89"/>
      <c r="F940" s="35"/>
      <c r="G940" s="37"/>
      <c r="K940" s="37"/>
    </row>
    <row r="941">
      <c r="C941" s="87"/>
      <c r="D941" s="88"/>
      <c r="E941" s="89"/>
      <c r="F941" s="35"/>
      <c r="G941" s="37"/>
      <c r="K941" s="37"/>
    </row>
    <row r="942">
      <c r="C942" s="87"/>
      <c r="D942" s="88"/>
      <c r="E942" s="89"/>
      <c r="F942" s="35"/>
      <c r="G942" s="37"/>
      <c r="K942" s="37"/>
    </row>
    <row r="943">
      <c r="C943" s="87"/>
      <c r="D943" s="88"/>
      <c r="E943" s="89"/>
      <c r="F943" s="35"/>
      <c r="G943" s="37"/>
      <c r="K943" s="37"/>
    </row>
    <row r="944">
      <c r="C944" s="87"/>
      <c r="D944" s="88"/>
      <c r="E944" s="89"/>
      <c r="F944" s="35"/>
      <c r="G944" s="37"/>
      <c r="K944" s="37"/>
    </row>
    <row r="945">
      <c r="C945" s="87"/>
      <c r="D945" s="88"/>
      <c r="E945" s="89"/>
      <c r="F945" s="35"/>
      <c r="G945" s="37"/>
      <c r="K945" s="37"/>
    </row>
    <row r="946">
      <c r="C946" s="87"/>
      <c r="D946" s="88"/>
      <c r="E946" s="89"/>
      <c r="F946" s="35"/>
      <c r="G946" s="37"/>
      <c r="K946" s="37"/>
    </row>
    <row r="947">
      <c r="C947" s="87"/>
      <c r="D947" s="88"/>
      <c r="E947" s="89"/>
      <c r="F947" s="35"/>
      <c r="G947" s="37"/>
      <c r="K947" s="37"/>
    </row>
    <row r="948">
      <c r="C948" s="87"/>
      <c r="D948" s="88"/>
      <c r="E948" s="89"/>
      <c r="F948" s="35"/>
      <c r="G948" s="37"/>
      <c r="K948" s="37"/>
    </row>
    <row r="949">
      <c r="C949" s="87"/>
      <c r="D949" s="88"/>
      <c r="E949" s="89"/>
      <c r="F949" s="35"/>
      <c r="G949" s="37"/>
      <c r="K949" s="37"/>
    </row>
    <row r="950">
      <c r="C950" s="87"/>
      <c r="D950" s="88"/>
      <c r="E950" s="89"/>
      <c r="F950" s="35"/>
      <c r="G950" s="37"/>
      <c r="K950" s="37"/>
    </row>
    <row r="951">
      <c r="C951" s="87"/>
      <c r="D951" s="88"/>
      <c r="E951" s="89"/>
      <c r="F951" s="35"/>
      <c r="G951" s="37"/>
      <c r="K951" s="37"/>
    </row>
    <row r="952">
      <c r="C952" s="87"/>
      <c r="D952" s="88"/>
      <c r="E952" s="89"/>
      <c r="F952" s="35"/>
      <c r="G952" s="37"/>
      <c r="K952" s="37"/>
    </row>
    <row r="953">
      <c r="C953" s="87"/>
      <c r="D953" s="88"/>
      <c r="E953" s="89"/>
      <c r="F953" s="35"/>
      <c r="G953" s="37"/>
      <c r="K953" s="37"/>
    </row>
    <row r="954">
      <c r="C954" s="87"/>
      <c r="D954" s="88"/>
      <c r="E954" s="89"/>
      <c r="F954" s="35"/>
      <c r="G954" s="37"/>
      <c r="K954" s="37"/>
    </row>
    <row r="955">
      <c r="C955" s="87"/>
      <c r="D955" s="88"/>
      <c r="E955" s="89"/>
      <c r="F955" s="35"/>
      <c r="G955" s="37"/>
      <c r="K955" s="37"/>
    </row>
    <row r="956">
      <c r="C956" s="87"/>
      <c r="D956" s="88"/>
      <c r="E956" s="89"/>
      <c r="F956" s="35"/>
      <c r="G956" s="37"/>
      <c r="K956" s="37"/>
    </row>
    <row r="957">
      <c r="C957" s="87"/>
      <c r="D957" s="88"/>
      <c r="E957" s="89"/>
      <c r="F957" s="35"/>
      <c r="G957" s="37"/>
      <c r="K957" s="37"/>
    </row>
    <row r="958">
      <c r="C958" s="87"/>
      <c r="D958" s="88"/>
      <c r="E958" s="89"/>
      <c r="F958" s="35"/>
      <c r="G958" s="37"/>
      <c r="K958" s="37"/>
    </row>
    <row r="959">
      <c r="C959" s="87"/>
      <c r="D959" s="88"/>
      <c r="E959" s="89"/>
      <c r="F959" s="35"/>
      <c r="G959" s="37"/>
      <c r="K959" s="37"/>
    </row>
    <row r="960">
      <c r="C960" s="87"/>
      <c r="D960" s="88"/>
      <c r="E960" s="89"/>
      <c r="F960" s="35"/>
      <c r="G960" s="37"/>
      <c r="K960" s="37"/>
    </row>
    <row r="961">
      <c r="C961" s="87"/>
      <c r="D961" s="88"/>
      <c r="E961" s="89"/>
      <c r="F961" s="35"/>
      <c r="G961" s="37"/>
      <c r="K961" s="37"/>
    </row>
    <row r="962">
      <c r="C962" s="87"/>
      <c r="D962" s="88"/>
      <c r="E962" s="89"/>
      <c r="F962" s="35"/>
      <c r="G962" s="37"/>
      <c r="K962" s="37"/>
    </row>
    <row r="963">
      <c r="C963" s="87"/>
      <c r="D963" s="88"/>
      <c r="E963" s="89"/>
      <c r="F963" s="35"/>
      <c r="G963" s="37"/>
      <c r="K963" s="37"/>
    </row>
    <row r="964">
      <c r="C964" s="87"/>
      <c r="D964" s="88"/>
      <c r="E964" s="89"/>
      <c r="F964" s="35"/>
      <c r="G964" s="37"/>
      <c r="K964" s="37"/>
    </row>
    <row r="965">
      <c r="C965" s="87"/>
      <c r="D965" s="88"/>
      <c r="E965" s="89"/>
      <c r="F965" s="35"/>
      <c r="G965" s="37"/>
      <c r="K965" s="37"/>
    </row>
    <row r="966">
      <c r="C966" s="87"/>
      <c r="D966" s="88"/>
      <c r="E966" s="89"/>
      <c r="F966" s="35"/>
      <c r="G966" s="37"/>
      <c r="K966" s="37"/>
    </row>
    <row r="967">
      <c r="C967" s="87"/>
      <c r="D967" s="88"/>
      <c r="E967" s="89"/>
      <c r="F967" s="35"/>
      <c r="G967" s="37"/>
      <c r="K967" s="37"/>
    </row>
    <row r="968">
      <c r="C968" s="87"/>
      <c r="D968" s="88"/>
      <c r="E968" s="89"/>
      <c r="F968" s="35"/>
      <c r="G968" s="37"/>
      <c r="K968" s="37"/>
    </row>
    <row r="969">
      <c r="C969" s="87"/>
      <c r="D969" s="88"/>
      <c r="E969" s="89"/>
      <c r="F969" s="35"/>
      <c r="G969" s="37"/>
      <c r="K969" s="37"/>
    </row>
    <row r="970">
      <c r="C970" s="87"/>
      <c r="D970" s="88"/>
      <c r="E970" s="89"/>
      <c r="F970" s="35"/>
      <c r="G970" s="37"/>
      <c r="K970" s="37"/>
    </row>
    <row r="971">
      <c r="C971" s="87"/>
      <c r="D971" s="88"/>
      <c r="E971" s="89"/>
      <c r="F971" s="35"/>
      <c r="G971" s="37"/>
      <c r="K971" s="37"/>
    </row>
    <row r="972">
      <c r="C972" s="87"/>
      <c r="D972" s="88"/>
      <c r="E972" s="89"/>
      <c r="F972" s="35"/>
      <c r="G972" s="37"/>
      <c r="K972" s="37"/>
    </row>
    <row r="973">
      <c r="C973" s="87"/>
      <c r="D973" s="88"/>
      <c r="E973" s="89"/>
      <c r="F973" s="35"/>
      <c r="G973" s="37"/>
      <c r="K973" s="37"/>
    </row>
    <row r="974">
      <c r="C974" s="87"/>
      <c r="D974" s="88"/>
      <c r="E974" s="89"/>
      <c r="F974" s="35"/>
      <c r="G974" s="37"/>
      <c r="K974" s="37"/>
    </row>
    <row r="975">
      <c r="C975" s="87"/>
      <c r="D975" s="88"/>
      <c r="E975" s="89"/>
      <c r="F975" s="35"/>
      <c r="G975" s="37"/>
      <c r="K975" s="37"/>
    </row>
    <row r="976">
      <c r="C976" s="87"/>
      <c r="D976" s="88"/>
      <c r="E976" s="89"/>
      <c r="F976" s="35"/>
      <c r="G976" s="37"/>
      <c r="K976" s="37"/>
    </row>
    <row r="977">
      <c r="C977" s="87"/>
      <c r="D977" s="88"/>
      <c r="E977" s="89"/>
      <c r="F977" s="35"/>
      <c r="G977" s="37"/>
      <c r="K977" s="37"/>
    </row>
    <row r="978">
      <c r="C978" s="87"/>
      <c r="D978" s="88"/>
      <c r="E978" s="89"/>
      <c r="F978" s="35"/>
      <c r="G978" s="37"/>
      <c r="K978" s="37"/>
    </row>
    <row r="979">
      <c r="C979" s="87"/>
      <c r="D979" s="88"/>
      <c r="E979" s="89"/>
      <c r="F979" s="35"/>
      <c r="G979" s="37"/>
      <c r="K979" s="37"/>
    </row>
    <row r="980">
      <c r="C980" s="87"/>
      <c r="D980" s="88"/>
      <c r="E980" s="89"/>
      <c r="F980" s="35"/>
      <c r="G980" s="37"/>
      <c r="K980" s="37"/>
    </row>
    <row r="981">
      <c r="C981" s="87"/>
      <c r="D981" s="88"/>
      <c r="E981" s="89"/>
      <c r="F981" s="35"/>
      <c r="G981" s="37"/>
      <c r="K981" s="37"/>
    </row>
    <row r="982">
      <c r="C982" s="87"/>
      <c r="D982" s="88"/>
      <c r="E982" s="89"/>
      <c r="F982" s="35"/>
      <c r="G982" s="37"/>
      <c r="K982" s="37"/>
    </row>
    <row r="983">
      <c r="C983" s="87"/>
      <c r="D983" s="88"/>
      <c r="E983" s="89"/>
      <c r="F983" s="35"/>
      <c r="G983" s="37"/>
      <c r="K983" s="37"/>
    </row>
    <row r="984">
      <c r="C984" s="87"/>
      <c r="D984" s="88"/>
      <c r="E984" s="89"/>
      <c r="F984" s="35"/>
      <c r="G984" s="37"/>
      <c r="K984" s="37"/>
    </row>
    <row r="985">
      <c r="C985" s="87"/>
      <c r="D985" s="88"/>
      <c r="E985" s="89"/>
      <c r="F985" s="35"/>
      <c r="G985" s="37"/>
      <c r="K985" s="37"/>
    </row>
    <row r="986">
      <c r="C986" s="87"/>
      <c r="D986" s="88"/>
      <c r="E986" s="89"/>
      <c r="F986" s="35"/>
      <c r="G986" s="37"/>
      <c r="K986" s="37"/>
    </row>
    <row r="987">
      <c r="C987" s="87"/>
      <c r="D987" s="88"/>
      <c r="E987" s="89"/>
      <c r="F987" s="35"/>
      <c r="G987" s="37"/>
      <c r="K987" s="37"/>
    </row>
    <row r="988">
      <c r="C988" s="87"/>
      <c r="D988" s="88"/>
      <c r="E988" s="89"/>
      <c r="F988" s="35"/>
      <c r="G988" s="37"/>
      <c r="K988" s="37"/>
    </row>
    <row r="989">
      <c r="C989" s="87"/>
      <c r="D989" s="88"/>
      <c r="E989" s="89"/>
      <c r="F989" s="35"/>
      <c r="G989" s="37"/>
      <c r="K989" s="37"/>
    </row>
    <row r="990">
      <c r="C990" s="87"/>
      <c r="D990" s="88"/>
      <c r="E990" s="89"/>
      <c r="F990" s="35"/>
      <c r="G990" s="37"/>
      <c r="K990" s="37"/>
    </row>
    <row r="991">
      <c r="C991" s="87"/>
      <c r="D991" s="88"/>
      <c r="E991" s="89"/>
      <c r="F991" s="35"/>
      <c r="G991" s="37"/>
      <c r="K991" s="37"/>
    </row>
    <row r="992">
      <c r="C992" s="87"/>
      <c r="D992" s="88"/>
      <c r="E992" s="89"/>
      <c r="F992" s="35"/>
      <c r="G992" s="37"/>
      <c r="K992" s="37"/>
    </row>
    <row r="993">
      <c r="C993" s="87"/>
      <c r="D993" s="88"/>
      <c r="E993" s="89"/>
      <c r="F993" s="35"/>
      <c r="G993" s="37"/>
      <c r="K993" s="37"/>
    </row>
    <row r="994">
      <c r="C994" s="87"/>
      <c r="D994" s="88"/>
      <c r="E994" s="89"/>
      <c r="F994" s="35"/>
      <c r="G994" s="37"/>
      <c r="K994" s="37"/>
    </row>
    <row r="995">
      <c r="C995" s="87"/>
      <c r="D995" s="88"/>
      <c r="E995" s="89"/>
      <c r="F995" s="35"/>
      <c r="G995" s="37"/>
      <c r="K995" s="37"/>
    </row>
    <row r="996">
      <c r="C996" s="87"/>
      <c r="D996" s="88"/>
      <c r="E996" s="89"/>
      <c r="F996" s="35"/>
      <c r="G996" s="37"/>
      <c r="K996" s="37"/>
    </row>
    <row r="997">
      <c r="C997" s="87"/>
      <c r="D997" s="88"/>
      <c r="E997" s="89"/>
      <c r="F997" s="35"/>
      <c r="G997" s="37"/>
      <c r="K997" s="37"/>
    </row>
    <row r="998">
      <c r="C998" s="87"/>
      <c r="D998" s="88"/>
      <c r="E998" s="89"/>
      <c r="F998" s="35"/>
      <c r="G998" s="37"/>
      <c r="K998" s="37"/>
    </row>
    <row r="999">
      <c r="C999" s="87"/>
      <c r="D999" s="88"/>
      <c r="E999" s="89"/>
      <c r="F999" s="35"/>
      <c r="G999" s="37"/>
      <c r="K999" s="37"/>
    </row>
    <row r="1000">
      <c r="C1000" s="87"/>
      <c r="D1000" s="88"/>
      <c r="E1000" s="89"/>
      <c r="F1000" s="35"/>
      <c r="G1000" s="37"/>
      <c r="K1000" s="37"/>
    </row>
    <row r="1001">
      <c r="C1001" s="87"/>
      <c r="D1001" s="88"/>
      <c r="E1001" s="89"/>
      <c r="F1001" s="35"/>
      <c r="G1001" s="37"/>
      <c r="K1001" s="37"/>
    </row>
    <row r="1002">
      <c r="C1002" s="87"/>
      <c r="D1002" s="88"/>
      <c r="E1002" s="89"/>
      <c r="F1002" s="35"/>
      <c r="G1002" s="37"/>
      <c r="K1002" s="37"/>
    </row>
    <row r="1003">
      <c r="C1003" s="87"/>
      <c r="D1003" s="88"/>
      <c r="E1003" s="89"/>
      <c r="F1003" s="35"/>
      <c r="G1003" s="37"/>
      <c r="K1003" s="37"/>
    </row>
  </sheetData>
  <mergeCells count="4">
    <mergeCell ref="D1:E1"/>
    <mergeCell ref="M198:M210"/>
    <mergeCell ref="H203:H206"/>
    <mergeCell ref="H207:H210"/>
  </mergeCells>
  <dataValidations>
    <dataValidation type="list" allowBlank="1" showErrorMessage="1" sqref="F3 F5:F28 F30:F41 F43:F76 F78:F135 F137:F1003">
      <formula1>"Completed,Ongoing,Cancelled"</formula1>
    </dataValidation>
  </dataValidations>
  <hyperlinks>
    <hyperlink r:id="rId1" ref="M5"/>
    <hyperlink r:id="rId2" ref="M6"/>
    <hyperlink r:id="rId3" ref="M7"/>
    <hyperlink r:id="rId4" ref="M8"/>
    <hyperlink r:id="rId5" ref="M9"/>
    <hyperlink r:id="rId6" ref="M10"/>
    <hyperlink r:id="rId7" ref="M11"/>
    <hyperlink r:id="rId8" ref="M12"/>
    <hyperlink r:id="rId9" ref="M13"/>
    <hyperlink r:id="rId10" ref="M14"/>
    <hyperlink r:id="rId11" ref="M15"/>
    <hyperlink r:id="rId12" ref="M16"/>
    <hyperlink r:id="rId13" ref="M17"/>
    <hyperlink r:id="rId14" ref="M18"/>
    <hyperlink r:id="rId15" ref="M19"/>
    <hyperlink r:id="rId16" ref="M20"/>
    <hyperlink r:id="rId17" ref="M21"/>
    <hyperlink r:id="rId18" ref="M22"/>
    <hyperlink r:id="rId19" ref="M23"/>
    <hyperlink r:id="rId20" ref="M24"/>
    <hyperlink r:id="rId21" ref="M25"/>
    <hyperlink r:id="rId22" ref="M27"/>
    <hyperlink r:id="rId23" ref="M28"/>
    <hyperlink r:id="rId24" ref="M30"/>
    <hyperlink r:id="rId25" ref="M31"/>
    <hyperlink r:id="rId26" ref="M32"/>
    <hyperlink r:id="rId27" ref="M33"/>
    <hyperlink r:id="rId28" ref="M34"/>
    <hyperlink r:id="rId29" ref="M35"/>
    <hyperlink r:id="rId30" ref="M36"/>
    <hyperlink r:id="rId31" ref="M37"/>
    <hyperlink r:id="rId32" ref="M38"/>
    <hyperlink r:id="rId33" ref="M39"/>
    <hyperlink r:id="rId34" ref="M40"/>
    <hyperlink r:id="rId35" ref="M41"/>
    <hyperlink r:id="rId36" ref="M43"/>
    <hyperlink r:id="rId37" ref="M44"/>
    <hyperlink r:id="rId38" ref="M45"/>
    <hyperlink r:id="rId39" ref="M46"/>
    <hyperlink r:id="rId40" ref="N46"/>
    <hyperlink r:id="rId41" ref="M47"/>
    <hyperlink r:id="rId42" ref="M48"/>
    <hyperlink r:id="rId43" ref="M49"/>
    <hyperlink r:id="rId44" ref="M50"/>
    <hyperlink r:id="rId45" ref="M51"/>
  </hyperlinks>
  <printOptions/>
  <pageMargins bottom="0.75" footer="0.0" header="0.0" left="0.25" right="0.25" top="0.75"/>
  <pageSetup paperSize="9" orientation="landscape"/>
  <drawing r:id="rId4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7.0"/>
    <col customWidth="1" min="2" max="4" width="45.5"/>
  </cols>
  <sheetData>
    <row r="1" ht="22.5" customHeight="1">
      <c r="A1" s="90" t="s">
        <v>806</v>
      </c>
      <c r="B1" s="90" t="s">
        <v>807</v>
      </c>
      <c r="C1" s="91" t="s">
        <v>808</v>
      </c>
      <c r="D1" s="91" t="s">
        <v>809</v>
      </c>
      <c r="E1" s="92"/>
      <c r="F1" s="92"/>
      <c r="G1" s="92"/>
      <c r="H1" s="92"/>
      <c r="I1" s="92"/>
      <c r="J1" s="92"/>
      <c r="K1" s="92"/>
      <c r="L1" s="92"/>
      <c r="M1" s="92"/>
      <c r="N1" s="92"/>
      <c r="O1" s="92"/>
      <c r="P1" s="92"/>
      <c r="Q1" s="92"/>
      <c r="R1" s="92"/>
      <c r="S1" s="92"/>
      <c r="T1" s="92"/>
      <c r="U1" s="92"/>
      <c r="V1" s="92"/>
      <c r="W1" s="92"/>
      <c r="X1" s="92"/>
    </row>
    <row r="2" ht="22.5" customHeight="1">
      <c r="A2" s="93" t="s">
        <v>810</v>
      </c>
      <c r="B2" s="93" t="s">
        <v>811</v>
      </c>
      <c r="C2" s="94" t="s">
        <v>812</v>
      </c>
      <c r="D2" s="94" t="s">
        <v>813</v>
      </c>
    </row>
    <row r="3" ht="22.5" customHeight="1">
      <c r="A3" s="93" t="s">
        <v>814</v>
      </c>
      <c r="B3" s="93" t="s">
        <v>815</v>
      </c>
      <c r="C3" s="94" t="s">
        <v>816</v>
      </c>
      <c r="D3" s="94" t="s">
        <v>817</v>
      </c>
    </row>
    <row r="4" ht="22.5" customHeight="1">
      <c r="A4" s="93" t="s">
        <v>818</v>
      </c>
      <c r="B4" s="93" t="s">
        <v>819</v>
      </c>
      <c r="C4" s="94" t="s">
        <v>820</v>
      </c>
      <c r="D4" s="94" t="s">
        <v>821</v>
      </c>
    </row>
    <row r="5" ht="22.5" customHeight="1">
      <c r="A5" s="93"/>
      <c r="B5" s="93" t="s">
        <v>822</v>
      </c>
      <c r="C5" s="94" t="s">
        <v>823</v>
      </c>
      <c r="D5" s="95" t="s">
        <v>824</v>
      </c>
    </row>
    <row r="6" ht="22.5" customHeight="1">
      <c r="A6" s="93"/>
      <c r="B6" s="93" t="s">
        <v>825</v>
      </c>
      <c r="C6" s="96"/>
      <c r="D6" s="95" t="s">
        <v>826</v>
      </c>
    </row>
    <row r="7" ht="22.5" customHeight="1">
      <c r="A7" s="97"/>
      <c r="B7" s="97"/>
      <c r="C7" s="96"/>
      <c r="D7" s="94" t="s">
        <v>827</v>
      </c>
    </row>
    <row r="8" ht="22.5" customHeight="1">
      <c r="A8" s="97"/>
      <c r="B8" s="97"/>
      <c r="C8" s="96"/>
      <c r="D8" s="94" t="s">
        <v>828</v>
      </c>
    </row>
    <row r="9" ht="22.5" customHeight="1">
      <c r="A9" s="97"/>
      <c r="B9" s="97"/>
      <c r="C9" s="96"/>
      <c r="D9" s="96"/>
    </row>
    <row r="10" ht="22.5" customHeight="1">
      <c r="A10" s="97"/>
      <c r="B10" s="97"/>
      <c r="C10" s="96"/>
      <c r="D10" s="96"/>
    </row>
    <row r="11" ht="22.5" customHeight="1">
      <c r="A11" s="97"/>
      <c r="B11" s="97"/>
      <c r="C11" s="96"/>
      <c r="D11" s="96"/>
    </row>
    <row r="12" ht="22.5" customHeight="1">
      <c r="A12" s="97"/>
      <c r="B12" s="97"/>
      <c r="C12" s="96"/>
      <c r="D12" s="96"/>
    </row>
    <row r="13" ht="22.5" customHeight="1">
      <c r="A13" s="97"/>
      <c r="B13" s="97"/>
      <c r="C13" s="96"/>
      <c r="D13" s="96"/>
    </row>
    <row r="14" ht="22.5" customHeight="1">
      <c r="A14" s="97"/>
      <c r="B14" s="97"/>
      <c r="C14" s="96"/>
      <c r="D14" s="96"/>
    </row>
    <row r="15" ht="22.5" customHeight="1">
      <c r="A15" s="97"/>
      <c r="B15" s="97"/>
      <c r="C15" s="96"/>
      <c r="D15" s="96"/>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5"/>
    <col customWidth="1" min="2" max="2" width="20.88"/>
    <col customWidth="1" min="3" max="3" width="32.75"/>
    <col customWidth="1" min="4" max="4" width="20.88"/>
    <col customWidth="1" min="5" max="5" width="26.25"/>
    <col customWidth="1" min="6" max="6" width="23.63"/>
    <col customWidth="1" min="7" max="7" width="17.13"/>
    <col customWidth="1" min="8" max="8" width="17.75"/>
    <col customWidth="1" min="9" max="9" width="16.25"/>
    <col customWidth="1" min="10" max="10" width="13.75"/>
    <col customWidth="1" min="11" max="11" width="14.88"/>
    <col customWidth="1" min="12" max="12" width="16.38"/>
    <col customWidth="1" min="13" max="13" width="14.88"/>
  </cols>
  <sheetData>
    <row r="1" ht="39.0" customHeight="1">
      <c r="A1" s="98"/>
      <c r="D1" s="44" t="s">
        <v>829</v>
      </c>
      <c r="F1" s="99"/>
      <c r="G1" s="100"/>
      <c r="H1" s="100"/>
      <c r="I1" s="100"/>
      <c r="J1" s="100"/>
      <c r="K1" s="100"/>
      <c r="L1" s="100"/>
      <c r="M1" s="100"/>
      <c r="N1" s="100"/>
      <c r="O1" s="100"/>
      <c r="P1" s="100"/>
      <c r="Q1" s="100"/>
      <c r="R1" s="100"/>
      <c r="S1" s="100"/>
      <c r="T1" s="100"/>
      <c r="U1" s="100"/>
      <c r="V1" s="100"/>
      <c r="W1" s="100"/>
      <c r="X1" s="100"/>
      <c r="Y1" s="100"/>
      <c r="Z1" s="100"/>
      <c r="AA1" s="100"/>
      <c r="AB1" s="100"/>
      <c r="AC1" s="100"/>
      <c r="AD1" s="100"/>
    </row>
    <row r="2" ht="25.5" customHeight="1">
      <c r="B2" s="101" t="s">
        <v>830</v>
      </c>
      <c r="C2" s="102"/>
      <c r="D2" s="102"/>
      <c r="E2" s="102"/>
      <c r="F2" s="99"/>
      <c r="G2" s="100"/>
      <c r="H2" s="100"/>
      <c r="I2" s="100"/>
      <c r="J2" s="100"/>
      <c r="K2" s="100"/>
      <c r="L2" s="100"/>
      <c r="M2" s="100"/>
      <c r="N2" s="100"/>
      <c r="O2" s="100"/>
      <c r="P2" s="100"/>
      <c r="Q2" s="100"/>
      <c r="R2" s="100"/>
      <c r="S2" s="100"/>
      <c r="T2" s="100"/>
      <c r="U2" s="100"/>
      <c r="V2" s="100"/>
      <c r="W2" s="100"/>
      <c r="X2" s="100"/>
      <c r="Y2" s="100"/>
      <c r="Z2" s="100"/>
      <c r="AA2" s="100"/>
      <c r="AB2" s="100"/>
      <c r="AC2" s="100"/>
      <c r="AD2" s="100"/>
    </row>
    <row r="3" ht="39.0" customHeight="1">
      <c r="B3" s="103" t="s">
        <v>831</v>
      </c>
      <c r="C3" s="104"/>
      <c r="D3" s="104"/>
      <c r="E3" s="104"/>
      <c r="F3" s="99"/>
      <c r="G3" s="100"/>
      <c r="H3" s="100"/>
      <c r="I3" s="100"/>
      <c r="J3" s="100"/>
      <c r="K3" s="100"/>
      <c r="L3" s="100"/>
      <c r="M3" s="100"/>
      <c r="N3" s="100"/>
      <c r="O3" s="100"/>
      <c r="P3" s="100"/>
      <c r="Q3" s="100"/>
      <c r="R3" s="100"/>
      <c r="S3" s="100"/>
      <c r="T3" s="100"/>
      <c r="U3" s="100"/>
      <c r="V3" s="100"/>
      <c r="W3" s="100"/>
      <c r="X3" s="100"/>
      <c r="Y3" s="100"/>
      <c r="Z3" s="100"/>
      <c r="AA3" s="100"/>
      <c r="AB3" s="100"/>
      <c r="AC3" s="100"/>
      <c r="AD3" s="100"/>
    </row>
    <row r="4" ht="39.0" customHeight="1">
      <c r="A4" s="98"/>
      <c r="B4" s="105"/>
      <c r="C4" s="105"/>
      <c r="D4" s="98"/>
      <c r="E4" s="98"/>
      <c r="F4" s="99"/>
      <c r="G4" s="100"/>
      <c r="H4" s="100"/>
      <c r="I4" s="100"/>
      <c r="J4" s="100"/>
      <c r="K4" s="100"/>
      <c r="L4" s="100"/>
      <c r="M4" s="100"/>
      <c r="N4" s="100"/>
      <c r="O4" s="100"/>
      <c r="P4" s="100"/>
      <c r="Q4" s="100"/>
      <c r="R4" s="100"/>
      <c r="S4" s="100"/>
      <c r="T4" s="100"/>
      <c r="U4" s="100"/>
      <c r="V4" s="100"/>
      <c r="W4" s="100"/>
      <c r="X4" s="100"/>
      <c r="Y4" s="100"/>
      <c r="Z4" s="100"/>
      <c r="AA4" s="100"/>
      <c r="AB4" s="100"/>
      <c r="AC4" s="100"/>
      <c r="AD4" s="100"/>
    </row>
    <row r="5" ht="22.5" customHeight="1">
      <c r="A5" s="106" t="s">
        <v>1</v>
      </c>
      <c r="B5" s="107" t="s">
        <v>3</v>
      </c>
      <c r="C5" s="108" t="s">
        <v>832</v>
      </c>
      <c r="D5" s="109" t="s">
        <v>833</v>
      </c>
      <c r="E5" s="110" t="s">
        <v>5</v>
      </c>
      <c r="F5" s="111" t="s">
        <v>11</v>
      </c>
      <c r="G5" s="111" t="s">
        <v>9</v>
      </c>
      <c r="H5" s="112"/>
      <c r="I5" s="112"/>
      <c r="J5" s="112"/>
      <c r="K5" s="112"/>
      <c r="L5" s="112"/>
      <c r="M5" s="112"/>
      <c r="N5" s="112"/>
      <c r="O5" s="112"/>
      <c r="P5" s="112"/>
      <c r="Q5" s="100"/>
      <c r="R5" s="100"/>
      <c r="S5" s="100"/>
      <c r="T5" s="100"/>
      <c r="U5" s="100"/>
      <c r="V5" s="100"/>
      <c r="W5" s="100"/>
      <c r="X5" s="100"/>
      <c r="Y5" s="100"/>
      <c r="Z5" s="100"/>
      <c r="AA5" s="100"/>
      <c r="AB5" s="100"/>
      <c r="AC5" s="100"/>
      <c r="AD5" s="100"/>
    </row>
    <row r="6" ht="77.25" customHeight="1">
      <c r="A6" s="113" t="str">
        <f>IFERROR(__xludf.DUMMYFUNCTION("FILTER('Client ID Records_v2'!D:J, SEARCH(B3,'Client ID Records_v2'!D:D))"),"Aye Mee Bartocillo")</f>
        <v>Aye Mee Bartocillo</v>
      </c>
      <c r="B6" s="114" t="str">
        <f>IFERROR(__xludf.DUMMYFUNCTION("""COMPUTED_VALUE"""),"CL-2025-297")</f>
        <v>CL-2025-297</v>
      </c>
      <c r="C6" s="113" t="str">
        <f>IFERROR(__xludf.DUMMYFUNCTION("""COMPUTED_VALUE"""),"Biology Department, Siliman University, Dumaguete City Negros Oriental")</f>
        <v>Biology Department, Siliman University, Dumaguete City Negros Oriental</v>
      </c>
      <c r="D6" s="113" t="str">
        <f>IFERROR(__xludf.DUMMYFUNCTION("""COMPUTED_VALUE"""),"F")</f>
        <v>F</v>
      </c>
      <c r="E6" s="114" t="str">
        <f>IFERROR(__xludf.DUMMYFUNCTION("""COMPUTED_VALUE"""),"Balik Scientist")</f>
        <v>Balik Scientist</v>
      </c>
      <c r="F6" s="113" t="str">
        <f>IFERROR(__xludf.DUMMYFUNCTION("""COMPUTED_VALUE"""),"ayefbartocillo@su.edu.ph")</f>
        <v>ayefbartocillo@su.edu.ph</v>
      </c>
      <c r="G6" s="115">
        <f>IFERROR(__xludf.DUMMYFUNCTION("""COMPUTED_VALUE"""),9.274310611E9)</f>
        <v>9274310611</v>
      </c>
      <c r="H6" s="116"/>
      <c r="I6" s="116"/>
      <c r="J6" s="116"/>
      <c r="K6" s="116"/>
      <c r="L6" s="116"/>
      <c r="M6" s="116"/>
      <c r="N6" s="116"/>
      <c r="O6" s="116"/>
      <c r="P6" s="116"/>
      <c r="Q6" s="116"/>
      <c r="R6" s="116"/>
      <c r="S6" s="116"/>
      <c r="T6" s="116"/>
      <c r="U6" s="116"/>
      <c r="V6" s="116"/>
      <c r="W6" s="116"/>
      <c r="X6" s="116"/>
      <c r="Y6" s="116"/>
      <c r="Z6" s="116"/>
      <c r="AA6" s="116"/>
      <c r="AB6" s="116"/>
      <c r="AC6" s="116"/>
      <c r="AD6" s="116"/>
    </row>
    <row r="7">
      <c r="A7" s="113"/>
      <c r="B7" s="113"/>
      <c r="C7" s="113"/>
      <c r="D7" s="113"/>
      <c r="E7" s="113"/>
      <c r="F7" s="113"/>
      <c r="G7" s="100"/>
      <c r="H7" s="100"/>
      <c r="I7" s="100"/>
      <c r="J7" s="100"/>
      <c r="K7" s="100"/>
      <c r="L7" s="100"/>
      <c r="M7" s="100"/>
      <c r="N7" s="100"/>
      <c r="O7" s="100"/>
      <c r="P7" s="100"/>
      <c r="Q7" s="100"/>
      <c r="R7" s="100"/>
      <c r="S7" s="100"/>
      <c r="T7" s="100"/>
      <c r="U7" s="100"/>
      <c r="V7" s="100"/>
      <c r="W7" s="100"/>
      <c r="X7" s="100"/>
      <c r="Y7" s="100"/>
      <c r="Z7" s="100"/>
      <c r="AA7" s="100"/>
      <c r="AB7" s="100"/>
      <c r="AC7" s="100"/>
      <c r="AD7" s="100"/>
    </row>
    <row r="8">
      <c r="A8" s="113"/>
      <c r="B8" s="113"/>
      <c r="C8" s="113"/>
      <c r="D8" s="105"/>
      <c r="E8" s="105"/>
      <c r="F8" s="113"/>
      <c r="G8" s="100"/>
      <c r="H8" s="100"/>
      <c r="I8" s="100"/>
      <c r="J8" s="100"/>
      <c r="K8" s="100"/>
      <c r="L8" s="100"/>
      <c r="M8" s="100"/>
      <c r="N8" s="100"/>
      <c r="O8" s="100"/>
      <c r="P8" s="100"/>
      <c r="Q8" s="100"/>
      <c r="R8" s="100"/>
      <c r="S8" s="100"/>
      <c r="T8" s="100"/>
      <c r="U8" s="100"/>
      <c r="V8" s="100"/>
      <c r="W8" s="100"/>
      <c r="X8" s="100"/>
      <c r="Y8" s="100"/>
      <c r="Z8" s="100"/>
      <c r="AA8" s="100"/>
      <c r="AB8" s="100"/>
      <c r="AC8" s="100"/>
      <c r="AD8" s="100"/>
    </row>
    <row r="9">
      <c r="A9" s="113"/>
      <c r="B9" s="113"/>
      <c r="C9" s="113"/>
      <c r="D9" s="117"/>
      <c r="E9" s="117"/>
      <c r="F9" s="113"/>
      <c r="G9" s="100"/>
      <c r="H9" s="100"/>
      <c r="I9" s="100"/>
      <c r="J9" s="100"/>
      <c r="K9" s="100"/>
      <c r="L9" s="100"/>
      <c r="M9" s="100"/>
      <c r="N9" s="100"/>
      <c r="O9" s="100"/>
      <c r="P9" s="100"/>
      <c r="Q9" s="100"/>
      <c r="R9" s="100"/>
      <c r="S9" s="100"/>
      <c r="T9" s="100"/>
      <c r="U9" s="100"/>
      <c r="V9" s="100"/>
      <c r="W9" s="100"/>
      <c r="X9" s="100"/>
      <c r="Y9" s="100"/>
      <c r="Z9" s="100"/>
      <c r="AA9" s="100"/>
      <c r="AB9" s="100"/>
      <c r="AC9" s="100"/>
      <c r="AD9" s="100"/>
    </row>
    <row r="10">
      <c r="A10" s="113"/>
      <c r="B10" s="113"/>
      <c r="C10" s="113"/>
      <c r="D10" s="113"/>
      <c r="E10" s="113"/>
      <c r="F10" s="113"/>
      <c r="G10" s="100"/>
      <c r="H10" s="100"/>
      <c r="I10" s="100"/>
      <c r="J10" s="100"/>
      <c r="K10" s="100"/>
      <c r="L10" s="100"/>
      <c r="M10" s="100"/>
      <c r="N10" s="100"/>
      <c r="O10" s="100"/>
      <c r="P10" s="100"/>
      <c r="Q10" s="100"/>
      <c r="R10" s="100"/>
      <c r="S10" s="100"/>
      <c r="T10" s="100"/>
      <c r="U10" s="100"/>
      <c r="V10" s="100"/>
      <c r="W10" s="100"/>
      <c r="X10" s="100"/>
      <c r="Y10" s="100"/>
      <c r="Z10" s="100"/>
      <c r="AA10" s="100"/>
      <c r="AB10" s="100"/>
      <c r="AC10" s="100"/>
      <c r="AD10" s="100"/>
    </row>
    <row r="11">
      <c r="A11" s="118"/>
      <c r="B11" s="118"/>
      <c r="C11" s="118"/>
      <c r="D11" s="119"/>
      <c r="E11" s="119"/>
      <c r="F11" s="119"/>
      <c r="G11" s="100"/>
      <c r="H11" s="100"/>
      <c r="I11" s="100"/>
      <c r="J11" s="100"/>
      <c r="K11" s="100"/>
      <c r="L11" s="100"/>
      <c r="M11" s="100"/>
      <c r="N11" s="100"/>
      <c r="O11" s="100"/>
      <c r="P11" s="100"/>
      <c r="Q11" s="100"/>
      <c r="R11" s="100"/>
      <c r="S11" s="100"/>
      <c r="T11" s="100"/>
      <c r="U11" s="100"/>
      <c r="V11" s="100"/>
      <c r="W11" s="100"/>
      <c r="X11" s="100"/>
      <c r="Y11" s="100"/>
      <c r="Z11" s="100"/>
      <c r="AA11" s="100"/>
      <c r="AB11" s="100"/>
      <c r="AC11" s="100"/>
      <c r="AD11" s="100"/>
    </row>
    <row r="12" ht="22.5" customHeight="1">
      <c r="A12" s="120" t="s">
        <v>834</v>
      </c>
      <c r="B12" s="120" t="s">
        <v>835</v>
      </c>
      <c r="C12" s="121" t="s">
        <v>836</v>
      </c>
      <c r="D12" s="122" t="s">
        <v>837</v>
      </c>
      <c r="E12" s="120" t="s">
        <v>4</v>
      </c>
      <c r="F12" s="119"/>
      <c r="G12" s="100"/>
      <c r="H12" s="100"/>
      <c r="I12" s="100"/>
      <c r="J12" s="100"/>
      <c r="K12" s="100"/>
      <c r="L12" s="100"/>
      <c r="M12" s="100"/>
      <c r="N12" s="100"/>
      <c r="O12" s="100"/>
      <c r="P12" s="100"/>
      <c r="Q12" s="100"/>
      <c r="R12" s="100"/>
      <c r="S12" s="100"/>
      <c r="T12" s="100"/>
      <c r="U12" s="100"/>
      <c r="V12" s="100"/>
      <c r="W12" s="100"/>
      <c r="X12" s="100"/>
      <c r="Y12" s="100"/>
      <c r="Z12" s="100"/>
      <c r="AA12" s="100"/>
      <c r="AB12" s="100"/>
      <c r="AC12" s="100"/>
      <c r="AD12" s="100"/>
    </row>
    <row r="13" ht="22.5" customHeight="1">
      <c r="A13" s="123" t="str">
        <f>IFERROR(__xludf.DUMMYFUNCTION("FILTER('Project Records_v2'!E:I, SEARCH(B3,'Project Records_v2'!E:E))"),"#N/A")</f>
        <v>#N/A</v>
      </c>
      <c r="B13" s="124"/>
      <c r="C13" s="125"/>
      <c r="D13" s="126"/>
      <c r="E13" s="127"/>
      <c r="F13" s="119"/>
      <c r="G13" s="100"/>
      <c r="H13" s="100"/>
      <c r="I13" s="100"/>
      <c r="J13" s="100"/>
      <c r="K13" s="100"/>
      <c r="L13" s="100"/>
      <c r="M13" s="100"/>
      <c r="N13" s="100"/>
      <c r="O13" s="100"/>
      <c r="P13" s="100"/>
      <c r="Q13" s="100"/>
      <c r="R13" s="100"/>
      <c r="S13" s="100"/>
      <c r="T13" s="100"/>
      <c r="U13" s="100"/>
      <c r="V13" s="100"/>
      <c r="W13" s="100"/>
      <c r="X13" s="100"/>
      <c r="Y13" s="100"/>
      <c r="Z13" s="100"/>
      <c r="AA13" s="100"/>
      <c r="AB13" s="100"/>
      <c r="AC13" s="100"/>
      <c r="AD13" s="100"/>
    </row>
    <row r="14">
      <c r="A14" s="118"/>
      <c r="B14" s="118"/>
      <c r="C14" s="118"/>
      <c r="D14" s="119"/>
      <c r="E14" s="119"/>
      <c r="F14" s="119"/>
      <c r="G14" s="100"/>
      <c r="H14" s="100"/>
      <c r="I14" s="100"/>
      <c r="J14" s="100"/>
      <c r="K14" s="100"/>
      <c r="L14" s="100"/>
      <c r="M14" s="100"/>
      <c r="N14" s="100"/>
      <c r="O14" s="100"/>
      <c r="P14" s="100"/>
      <c r="Q14" s="100"/>
      <c r="R14" s="100"/>
      <c r="S14" s="100"/>
      <c r="T14" s="100"/>
      <c r="U14" s="100"/>
      <c r="V14" s="100"/>
      <c r="W14" s="100"/>
      <c r="X14" s="100"/>
      <c r="Y14" s="100"/>
      <c r="Z14" s="100"/>
      <c r="AA14" s="100"/>
      <c r="AB14" s="100"/>
      <c r="AC14" s="100"/>
      <c r="AD14" s="100"/>
    </row>
    <row r="15">
      <c r="A15" s="118"/>
      <c r="B15" s="118"/>
      <c r="C15" s="118"/>
      <c r="D15" s="119"/>
      <c r="E15" s="119"/>
      <c r="F15" s="119"/>
      <c r="G15" s="100"/>
      <c r="H15" s="100"/>
      <c r="I15" s="100"/>
      <c r="J15" s="100"/>
      <c r="K15" s="100"/>
      <c r="L15" s="100"/>
      <c r="M15" s="100"/>
      <c r="N15" s="100"/>
      <c r="O15" s="100"/>
      <c r="P15" s="100"/>
      <c r="Q15" s="100"/>
      <c r="R15" s="100"/>
      <c r="S15" s="100"/>
      <c r="T15" s="100"/>
      <c r="U15" s="100"/>
      <c r="V15" s="100"/>
      <c r="W15" s="100"/>
      <c r="X15" s="100"/>
      <c r="Y15" s="100"/>
      <c r="Z15" s="100"/>
      <c r="AA15" s="100"/>
      <c r="AB15" s="100"/>
      <c r="AC15" s="100"/>
      <c r="AD15" s="100"/>
    </row>
    <row r="16">
      <c r="A16" s="118"/>
      <c r="B16" s="118"/>
      <c r="C16" s="118"/>
      <c r="D16" s="119"/>
      <c r="E16" s="119"/>
      <c r="F16" s="119"/>
      <c r="G16" s="100"/>
      <c r="H16" s="100"/>
      <c r="I16" s="100"/>
      <c r="J16" s="100"/>
      <c r="K16" s="100"/>
      <c r="L16" s="100"/>
      <c r="M16" s="100"/>
      <c r="N16" s="100"/>
      <c r="O16" s="100"/>
      <c r="P16" s="100"/>
      <c r="Q16" s="100"/>
      <c r="R16" s="100"/>
      <c r="S16" s="100"/>
      <c r="T16" s="100"/>
      <c r="U16" s="100"/>
      <c r="V16" s="100"/>
      <c r="W16" s="100"/>
      <c r="X16" s="100"/>
      <c r="Y16" s="100"/>
      <c r="Z16" s="100"/>
      <c r="AA16" s="100"/>
      <c r="AB16" s="100"/>
      <c r="AC16" s="100"/>
      <c r="AD16" s="100"/>
    </row>
    <row r="17">
      <c r="A17" s="118"/>
      <c r="B17" s="118"/>
      <c r="C17" s="118"/>
      <c r="D17" s="119"/>
      <c r="E17" s="119"/>
      <c r="F17" s="119"/>
      <c r="G17" s="100"/>
      <c r="H17" s="100"/>
      <c r="I17" s="100"/>
      <c r="J17" s="100"/>
      <c r="K17" s="100"/>
      <c r="L17" s="100"/>
      <c r="M17" s="100"/>
      <c r="N17" s="100"/>
      <c r="O17" s="100"/>
      <c r="P17" s="100"/>
      <c r="Q17" s="100"/>
      <c r="R17" s="100"/>
      <c r="S17" s="100"/>
      <c r="T17" s="100"/>
      <c r="U17" s="100"/>
      <c r="V17" s="100"/>
      <c r="W17" s="100"/>
      <c r="X17" s="100"/>
      <c r="Y17" s="100"/>
      <c r="Z17" s="100"/>
      <c r="AA17" s="100"/>
      <c r="AB17" s="100"/>
      <c r="AC17" s="100"/>
      <c r="AD17" s="100"/>
    </row>
    <row r="18" ht="22.5" customHeight="1">
      <c r="A18" s="128" t="s">
        <v>838</v>
      </c>
      <c r="B18" s="129" t="s">
        <v>1</v>
      </c>
      <c r="C18" s="130" t="s">
        <v>839</v>
      </c>
      <c r="D18" s="128" t="s">
        <v>4</v>
      </c>
      <c r="E18" s="100"/>
      <c r="F18" s="100"/>
      <c r="G18" s="100"/>
      <c r="H18" s="100"/>
      <c r="I18" s="100"/>
      <c r="J18" s="100"/>
      <c r="K18" s="100"/>
      <c r="L18" s="100"/>
      <c r="M18" s="100"/>
      <c r="N18" s="100"/>
      <c r="O18" s="100"/>
      <c r="P18" s="100"/>
      <c r="Q18" s="100"/>
      <c r="R18" s="100"/>
      <c r="S18" s="100"/>
      <c r="T18" s="100"/>
    </row>
    <row r="19" ht="22.5" customHeight="1">
      <c r="A19" s="131" t="str">
        <f>IFERROR(__xludf.DUMMYFUNCTION("FILTER('Charge SlipBilling'!C:F, SEARCH(B3,'Charge SlipBilling'!D:D))"),"CS-2025-046")</f>
        <v>CS-2025-046</v>
      </c>
      <c r="B19" s="124" t="str">
        <f>IFERROR(__xludf.DUMMYFUNCTION("""COMPUTED_VALUE"""),"Aye Mee Bartocillo")</f>
        <v>Aye Mee Bartocillo</v>
      </c>
      <c r="C19" s="132">
        <f>IFERROR(__xludf.DUMMYFUNCTION("""COMPUTED_VALUE"""),28863.03)</f>
        <v>28863.03</v>
      </c>
      <c r="D19" s="133" t="str">
        <f>IFERROR(__xludf.DUMMYFUNCTION("""COMPUTED_VALUE"""),"PAID")</f>
        <v>PAID</v>
      </c>
      <c r="E19" s="100"/>
      <c r="F19" s="100"/>
      <c r="G19" s="100"/>
      <c r="H19" s="100"/>
      <c r="I19" s="100"/>
      <c r="J19" s="100"/>
      <c r="K19" s="100"/>
      <c r="L19" s="100"/>
      <c r="M19" s="100"/>
      <c r="N19" s="100"/>
      <c r="O19" s="100"/>
      <c r="P19" s="100"/>
      <c r="Q19" s="100"/>
      <c r="R19" s="100"/>
      <c r="S19" s="100"/>
      <c r="T19" s="100"/>
    </row>
    <row r="20">
      <c r="A20" s="118"/>
      <c r="B20" s="118"/>
      <c r="C20" s="118"/>
      <c r="D20" s="119"/>
      <c r="E20" s="119"/>
      <c r="F20" s="119"/>
      <c r="G20" s="100"/>
      <c r="H20" s="100"/>
      <c r="I20" s="100"/>
      <c r="J20" s="100"/>
      <c r="K20" s="100"/>
      <c r="L20" s="100"/>
      <c r="M20" s="100"/>
      <c r="N20" s="100"/>
      <c r="O20" s="100"/>
      <c r="P20" s="100"/>
      <c r="Q20" s="100"/>
      <c r="R20" s="100"/>
      <c r="S20" s="100"/>
      <c r="T20" s="100"/>
      <c r="U20" s="100"/>
      <c r="V20" s="100"/>
      <c r="W20" s="100"/>
      <c r="X20" s="100"/>
      <c r="Y20" s="100"/>
      <c r="Z20" s="100"/>
      <c r="AA20" s="100"/>
      <c r="AB20" s="100"/>
      <c r="AC20" s="100"/>
      <c r="AD20" s="100"/>
    </row>
    <row r="21">
      <c r="A21" s="118"/>
      <c r="B21" s="118"/>
      <c r="C21" s="118"/>
      <c r="D21" s="119"/>
      <c r="E21" s="119"/>
      <c r="F21" s="119"/>
      <c r="G21" s="100"/>
      <c r="H21" s="100"/>
      <c r="I21" s="100"/>
      <c r="J21" s="100"/>
      <c r="K21" s="100"/>
      <c r="L21" s="100"/>
      <c r="M21" s="100"/>
      <c r="N21" s="100"/>
      <c r="O21" s="100"/>
      <c r="P21" s="100"/>
      <c r="Q21" s="100"/>
      <c r="R21" s="100"/>
      <c r="S21" s="100"/>
      <c r="T21" s="100"/>
      <c r="U21" s="100"/>
      <c r="V21" s="100"/>
      <c r="W21" s="100"/>
      <c r="X21" s="100"/>
      <c r="Y21" s="100"/>
      <c r="Z21" s="100"/>
      <c r="AA21" s="100"/>
      <c r="AB21" s="100"/>
      <c r="AC21" s="100"/>
      <c r="AD21" s="100"/>
    </row>
    <row r="22">
      <c r="A22" s="118"/>
      <c r="B22" s="118"/>
      <c r="C22" s="118"/>
      <c r="D22" s="119"/>
      <c r="E22" s="119"/>
      <c r="F22" s="119"/>
      <c r="G22" s="100"/>
      <c r="H22" s="100"/>
      <c r="I22" s="100"/>
      <c r="J22" s="100"/>
      <c r="K22" s="100"/>
      <c r="L22" s="100"/>
      <c r="M22" s="100"/>
      <c r="N22" s="100"/>
      <c r="O22" s="100"/>
      <c r="P22" s="100"/>
      <c r="Q22" s="100"/>
      <c r="R22" s="100"/>
      <c r="S22" s="100"/>
      <c r="T22" s="100"/>
      <c r="U22" s="100"/>
      <c r="V22" s="100"/>
      <c r="W22" s="100"/>
      <c r="X22" s="100"/>
      <c r="Y22" s="100"/>
      <c r="Z22" s="100"/>
      <c r="AA22" s="100"/>
      <c r="AB22" s="100"/>
      <c r="AC22" s="100"/>
      <c r="AD22" s="100"/>
    </row>
    <row r="23">
      <c r="A23" s="118"/>
      <c r="B23" s="118"/>
      <c r="C23" s="118"/>
      <c r="D23" s="119"/>
      <c r="E23" s="119"/>
      <c r="F23" s="119"/>
      <c r="G23" s="100"/>
      <c r="H23" s="100"/>
      <c r="I23" s="100"/>
      <c r="J23" s="100"/>
      <c r="K23" s="100"/>
      <c r="L23" s="100"/>
      <c r="M23" s="100"/>
      <c r="N23" s="100"/>
      <c r="O23" s="100"/>
      <c r="P23" s="100"/>
      <c r="Q23" s="100"/>
      <c r="R23" s="100"/>
      <c r="S23" s="100"/>
      <c r="T23" s="100"/>
      <c r="U23" s="100"/>
      <c r="V23" s="100"/>
      <c r="W23" s="100"/>
      <c r="X23" s="100"/>
      <c r="Y23" s="100"/>
      <c r="Z23" s="100"/>
      <c r="AA23" s="100"/>
      <c r="AB23" s="100"/>
      <c r="AC23" s="100"/>
      <c r="AD23" s="100"/>
    </row>
    <row r="24">
      <c r="A24" s="118"/>
      <c r="B24" s="118"/>
      <c r="C24" s="118"/>
      <c r="D24" s="119"/>
      <c r="E24" s="119"/>
      <c r="F24" s="119"/>
      <c r="G24" s="100"/>
      <c r="H24" s="100"/>
      <c r="I24" s="100"/>
      <c r="J24" s="100"/>
      <c r="K24" s="100"/>
      <c r="L24" s="100"/>
      <c r="M24" s="100"/>
      <c r="N24" s="100"/>
      <c r="O24" s="100"/>
      <c r="P24" s="100"/>
      <c r="Q24" s="100"/>
      <c r="R24" s="100"/>
      <c r="S24" s="100"/>
      <c r="T24" s="100"/>
      <c r="U24" s="100"/>
      <c r="V24" s="100"/>
      <c r="W24" s="100"/>
      <c r="X24" s="100"/>
      <c r="Y24" s="100"/>
      <c r="Z24" s="100"/>
      <c r="AA24" s="100"/>
      <c r="AB24" s="100"/>
      <c r="AC24" s="100"/>
      <c r="AD24" s="100"/>
    </row>
    <row r="25">
      <c r="A25" s="118"/>
      <c r="B25" s="118"/>
      <c r="C25" s="118"/>
      <c r="D25" s="119"/>
      <c r="E25" s="119"/>
      <c r="F25" s="119"/>
      <c r="G25" s="100"/>
      <c r="H25" s="100"/>
      <c r="I25" s="100"/>
      <c r="J25" s="100"/>
      <c r="K25" s="100"/>
      <c r="L25" s="100"/>
      <c r="M25" s="100"/>
      <c r="N25" s="100"/>
      <c r="O25" s="100"/>
      <c r="P25" s="100"/>
      <c r="Q25" s="100"/>
      <c r="R25" s="100"/>
      <c r="S25" s="100"/>
      <c r="T25" s="100"/>
      <c r="U25" s="100"/>
      <c r="V25" s="100"/>
      <c r="W25" s="100"/>
      <c r="X25" s="100"/>
      <c r="Y25" s="100"/>
      <c r="Z25" s="100"/>
      <c r="AA25" s="100"/>
      <c r="AB25" s="100"/>
      <c r="AC25" s="100"/>
      <c r="AD25" s="100"/>
    </row>
    <row r="26">
      <c r="A26" s="118"/>
      <c r="B26" s="118"/>
      <c r="C26" s="118"/>
      <c r="D26" s="119"/>
      <c r="E26" s="119"/>
      <c r="F26" s="119"/>
      <c r="G26" s="100"/>
      <c r="H26" s="100"/>
      <c r="I26" s="100"/>
      <c r="J26" s="100"/>
      <c r="K26" s="100"/>
      <c r="L26" s="100"/>
      <c r="M26" s="100"/>
      <c r="N26" s="100"/>
      <c r="O26" s="100"/>
      <c r="P26" s="100"/>
      <c r="Q26" s="100"/>
      <c r="R26" s="100"/>
      <c r="S26" s="100"/>
      <c r="T26" s="100"/>
      <c r="U26" s="100"/>
      <c r="V26" s="100"/>
      <c r="W26" s="100"/>
      <c r="X26" s="100"/>
      <c r="Y26" s="100"/>
      <c r="Z26" s="100"/>
      <c r="AA26" s="100"/>
      <c r="AB26" s="100"/>
      <c r="AC26" s="100"/>
      <c r="AD26" s="100"/>
    </row>
    <row r="27">
      <c r="A27" s="118"/>
      <c r="B27" s="118"/>
      <c r="C27" s="118"/>
      <c r="D27" s="119"/>
      <c r="E27" s="119"/>
      <c r="F27" s="119"/>
      <c r="G27" s="100"/>
      <c r="H27" s="100"/>
      <c r="I27" s="100"/>
      <c r="J27" s="100"/>
      <c r="K27" s="100"/>
      <c r="L27" s="100"/>
      <c r="M27" s="100"/>
      <c r="N27" s="100"/>
      <c r="O27" s="100"/>
      <c r="P27" s="100"/>
      <c r="Q27" s="100"/>
      <c r="R27" s="100"/>
      <c r="S27" s="100"/>
      <c r="T27" s="100"/>
      <c r="U27" s="100"/>
      <c r="V27" s="100"/>
      <c r="W27" s="100"/>
      <c r="X27" s="100"/>
      <c r="Y27" s="100"/>
      <c r="Z27" s="100"/>
      <c r="AA27" s="100"/>
      <c r="AB27" s="100"/>
      <c r="AC27" s="100"/>
      <c r="AD27" s="100"/>
    </row>
    <row r="28">
      <c r="A28" s="118"/>
      <c r="B28" s="118"/>
      <c r="C28" s="118"/>
      <c r="D28" s="119"/>
      <c r="E28" s="119"/>
      <c r="F28" s="119"/>
      <c r="G28" s="100"/>
      <c r="H28" s="100"/>
      <c r="I28" s="100"/>
      <c r="J28" s="100"/>
      <c r="K28" s="100"/>
      <c r="L28" s="100"/>
      <c r="M28" s="100"/>
      <c r="N28" s="100"/>
      <c r="O28" s="100"/>
      <c r="P28" s="100"/>
      <c r="Q28" s="100"/>
      <c r="R28" s="100"/>
      <c r="S28" s="100"/>
      <c r="T28" s="100"/>
      <c r="U28" s="100"/>
      <c r="V28" s="100"/>
      <c r="W28" s="100"/>
      <c r="X28" s="100"/>
      <c r="Y28" s="100"/>
      <c r="Z28" s="100"/>
      <c r="AA28" s="100"/>
      <c r="AB28" s="100"/>
      <c r="AC28" s="100"/>
      <c r="AD28" s="100"/>
    </row>
    <row r="29">
      <c r="A29" s="118"/>
      <c r="B29" s="118"/>
      <c r="C29" s="118"/>
      <c r="D29" s="119"/>
      <c r="E29" s="119"/>
      <c r="F29" s="119"/>
      <c r="G29" s="100"/>
      <c r="H29" s="100"/>
      <c r="I29" s="100"/>
      <c r="J29" s="100"/>
      <c r="K29" s="100"/>
      <c r="L29" s="100"/>
      <c r="M29" s="100"/>
      <c r="N29" s="100"/>
      <c r="O29" s="100"/>
      <c r="P29" s="100"/>
      <c r="Q29" s="100"/>
      <c r="R29" s="100"/>
      <c r="S29" s="100"/>
      <c r="T29" s="100"/>
      <c r="U29" s="100"/>
      <c r="V29" s="100"/>
      <c r="W29" s="100"/>
      <c r="X29" s="100"/>
      <c r="Y29" s="100"/>
      <c r="Z29" s="100"/>
      <c r="AA29" s="100"/>
      <c r="AB29" s="100"/>
      <c r="AC29" s="100"/>
      <c r="AD29" s="100"/>
    </row>
    <row r="30">
      <c r="A30" s="118"/>
      <c r="B30" s="118"/>
      <c r="C30" s="118"/>
      <c r="D30" s="119"/>
      <c r="E30" s="119"/>
      <c r="F30" s="119"/>
      <c r="G30" s="100"/>
      <c r="H30" s="100"/>
      <c r="I30" s="100"/>
      <c r="J30" s="100"/>
      <c r="K30" s="100"/>
      <c r="L30" s="100"/>
      <c r="M30" s="100"/>
      <c r="N30" s="100"/>
      <c r="O30" s="100"/>
      <c r="P30" s="100"/>
      <c r="Q30" s="100"/>
      <c r="R30" s="100"/>
      <c r="S30" s="100"/>
      <c r="T30" s="100"/>
      <c r="U30" s="100"/>
      <c r="V30" s="100"/>
      <c r="W30" s="100"/>
      <c r="X30" s="100"/>
      <c r="Y30" s="100"/>
      <c r="Z30" s="100"/>
      <c r="AA30" s="100"/>
      <c r="AB30" s="100"/>
      <c r="AC30" s="100"/>
      <c r="AD30" s="100"/>
    </row>
    <row r="31">
      <c r="A31" s="118"/>
      <c r="B31" s="118"/>
      <c r="C31" s="118"/>
      <c r="D31" s="119"/>
      <c r="E31" s="119"/>
      <c r="F31" s="119"/>
      <c r="G31" s="100"/>
      <c r="H31" s="100"/>
      <c r="I31" s="100"/>
      <c r="J31" s="100"/>
      <c r="K31" s="100"/>
      <c r="L31" s="100"/>
      <c r="M31" s="100"/>
      <c r="N31" s="100"/>
      <c r="O31" s="100"/>
      <c r="P31" s="100"/>
      <c r="Q31" s="100"/>
      <c r="R31" s="100"/>
      <c r="S31" s="100"/>
      <c r="T31" s="100"/>
      <c r="U31" s="100"/>
      <c r="V31" s="100"/>
      <c r="W31" s="100"/>
      <c r="X31" s="100"/>
      <c r="Y31" s="100"/>
      <c r="Z31" s="100"/>
      <c r="AA31" s="100"/>
      <c r="AB31" s="100"/>
      <c r="AC31" s="100"/>
      <c r="AD31" s="100"/>
    </row>
    <row r="32">
      <c r="A32" s="118"/>
      <c r="B32" s="118"/>
      <c r="C32" s="118"/>
      <c r="D32" s="119"/>
      <c r="E32" s="119"/>
      <c r="F32" s="119"/>
      <c r="G32" s="100"/>
      <c r="H32" s="100"/>
      <c r="I32" s="100"/>
      <c r="J32" s="100"/>
      <c r="K32" s="100"/>
      <c r="L32" s="100"/>
      <c r="M32" s="100"/>
      <c r="N32" s="100"/>
      <c r="O32" s="100"/>
      <c r="P32" s="100"/>
      <c r="Q32" s="100"/>
      <c r="R32" s="100"/>
      <c r="S32" s="100"/>
      <c r="T32" s="100"/>
      <c r="U32" s="100"/>
      <c r="V32" s="100"/>
      <c r="W32" s="100"/>
      <c r="X32" s="100"/>
      <c r="Y32" s="100"/>
      <c r="Z32" s="100"/>
      <c r="AA32" s="100"/>
      <c r="AB32" s="100"/>
      <c r="AC32" s="100"/>
      <c r="AD32" s="100"/>
    </row>
    <row r="33">
      <c r="A33" s="118"/>
      <c r="B33" s="118"/>
      <c r="C33" s="118"/>
      <c r="D33" s="119"/>
      <c r="E33" s="119"/>
      <c r="F33" s="119"/>
      <c r="G33" s="100"/>
      <c r="H33" s="100"/>
      <c r="I33" s="100"/>
      <c r="J33" s="100"/>
      <c r="K33" s="100"/>
      <c r="L33" s="100"/>
      <c r="M33" s="100"/>
      <c r="N33" s="100"/>
      <c r="O33" s="100"/>
      <c r="P33" s="100"/>
      <c r="Q33" s="100"/>
      <c r="R33" s="100"/>
      <c r="S33" s="100"/>
      <c r="T33" s="100"/>
      <c r="U33" s="100"/>
      <c r="V33" s="100"/>
      <c r="W33" s="100"/>
      <c r="X33" s="100"/>
      <c r="Y33" s="100"/>
      <c r="Z33" s="100"/>
      <c r="AA33" s="100"/>
      <c r="AB33" s="100"/>
      <c r="AC33" s="100"/>
      <c r="AD33" s="100"/>
    </row>
    <row r="34">
      <c r="A34" s="118"/>
      <c r="B34" s="118"/>
      <c r="C34" s="118"/>
      <c r="D34" s="119"/>
      <c r="E34" s="119"/>
      <c r="F34" s="119"/>
      <c r="G34" s="100"/>
      <c r="H34" s="100"/>
      <c r="I34" s="100"/>
      <c r="J34" s="100"/>
      <c r="K34" s="100"/>
      <c r="L34" s="100"/>
      <c r="M34" s="100"/>
      <c r="N34" s="100"/>
      <c r="O34" s="100"/>
      <c r="P34" s="100"/>
      <c r="Q34" s="100"/>
      <c r="R34" s="100"/>
      <c r="S34" s="100"/>
      <c r="T34" s="100"/>
      <c r="U34" s="100"/>
      <c r="V34" s="100"/>
      <c r="W34" s="100"/>
      <c r="X34" s="100"/>
      <c r="Y34" s="100"/>
      <c r="Z34" s="100"/>
      <c r="AA34" s="100"/>
      <c r="AB34" s="100"/>
      <c r="AC34" s="100"/>
      <c r="AD34" s="100"/>
    </row>
    <row r="35">
      <c r="A35" s="118"/>
      <c r="B35" s="118"/>
      <c r="C35" s="118"/>
      <c r="D35" s="119"/>
      <c r="E35" s="119"/>
      <c r="F35" s="119"/>
      <c r="G35" s="100"/>
      <c r="H35" s="100"/>
      <c r="I35" s="100"/>
      <c r="J35" s="100"/>
      <c r="K35" s="100"/>
      <c r="L35" s="100"/>
      <c r="M35" s="100"/>
      <c r="N35" s="100"/>
      <c r="O35" s="100"/>
      <c r="P35" s="100"/>
      <c r="Q35" s="100"/>
      <c r="R35" s="100"/>
      <c r="S35" s="100"/>
      <c r="T35" s="100"/>
      <c r="U35" s="100"/>
      <c r="V35" s="100"/>
      <c r="W35" s="100"/>
      <c r="X35" s="100"/>
      <c r="Y35" s="100"/>
      <c r="Z35" s="100"/>
      <c r="AA35" s="100"/>
      <c r="AB35" s="100"/>
      <c r="AC35" s="100"/>
      <c r="AD35" s="100"/>
    </row>
    <row r="36">
      <c r="A36" s="118"/>
      <c r="B36" s="118"/>
      <c r="C36" s="118"/>
      <c r="D36" s="119"/>
      <c r="E36" s="119"/>
      <c r="F36" s="119"/>
      <c r="G36" s="100"/>
      <c r="H36" s="100"/>
      <c r="I36" s="100"/>
      <c r="J36" s="100"/>
      <c r="K36" s="100"/>
      <c r="L36" s="100"/>
      <c r="M36" s="100"/>
      <c r="N36" s="100"/>
      <c r="O36" s="100"/>
      <c r="P36" s="100"/>
      <c r="Q36" s="100"/>
      <c r="R36" s="100"/>
      <c r="S36" s="100"/>
      <c r="T36" s="100"/>
      <c r="U36" s="100"/>
      <c r="V36" s="100"/>
      <c r="W36" s="100"/>
      <c r="X36" s="100"/>
      <c r="Y36" s="100"/>
      <c r="Z36" s="100"/>
      <c r="AA36" s="100"/>
      <c r="AB36" s="100"/>
      <c r="AC36" s="100"/>
      <c r="AD36" s="100"/>
    </row>
    <row r="37">
      <c r="A37" s="118"/>
      <c r="B37" s="118"/>
      <c r="C37" s="118"/>
      <c r="D37" s="119"/>
      <c r="E37" s="119"/>
      <c r="F37" s="119"/>
      <c r="G37" s="100"/>
      <c r="H37" s="100"/>
      <c r="I37" s="100"/>
      <c r="J37" s="100"/>
      <c r="K37" s="100"/>
      <c r="L37" s="100"/>
      <c r="M37" s="100"/>
      <c r="N37" s="100"/>
      <c r="O37" s="100"/>
      <c r="P37" s="100"/>
      <c r="Q37" s="100"/>
      <c r="R37" s="100"/>
      <c r="S37" s="100"/>
      <c r="T37" s="100"/>
      <c r="U37" s="100"/>
      <c r="V37" s="100"/>
      <c r="W37" s="100"/>
      <c r="X37" s="100"/>
      <c r="Y37" s="100"/>
      <c r="Z37" s="100"/>
      <c r="AA37" s="100"/>
      <c r="AB37" s="100"/>
      <c r="AC37" s="100"/>
      <c r="AD37" s="100"/>
    </row>
    <row r="38">
      <c r="A38" s="118"/>
      <c r="B38" s="118"/>
      <c r="C38" s="118"/>
      <c r="D38" s="119"/>
      <c r="E38" s="119"/>
      <c r="F38" s="119"/>
      <c r="G38" s="100"/>
      <c r="H38" s="100"/>
      <c r="I38" s="100"/>
      <c r="J38" s="100"/>
      <c r="K38" s="100"/>
      <c r="L38" s="100"/>
      <c r="M38" s="100"/>
      <c r="N38" s="100"/>
      <c r="O38" s="100"/>
      <c r="P38" s="100"/>
      <c r="Q38" s="100"/>
      <c r="R38" s="100"/>
      <c r="S38" s="100"/>
      <c r="T38" s="100"/>
      <c r="U38" s="100"/>
      <c r="V38" s="100"/>
      <c r="W38" s="100"/>
      <c r="X38" s="100"/>
      <c r="Y38" s="100"/>
      <c r="Z38" s="100"/>
      <c r="AA38" s="100"/>
      <c r="AB38" s="100"/>
      <c r="AC38" s="100"/>
      <c r="AD38" s="100"/>
    </row>
    <row r="39">
      <c r="A39" s="118"/>
      <c r="B39" s="118"/>
      <c r="C39" s="118"/>
      <c r="D39" s="119"/>
      <c r="E39" s="119"/>
      <c r="F39" s="119"/>
      <c r="G39" s="100"/>
      <c r="H39" s="100"/>
      <c r="I39" s="100"/>
      <c r="J39" s="100"/>
      <c r="K39" s="100"/>
      <c r="L39" s="100"/>
      <c r="M39" s="100"/>
      <c r="N39" s="100"/>
      <c r="O39" s="100"/>
      <c r="P39" s="100"/>
      <c r="Q39" s="100"/>
      <c r="R39" s="100"/>
      <c r="S39" s="100"/>
      <c r="T39" s="100"/>
      <c r="U39" s="100"/>
      <c r="V39" s="100"/>
      <c r="W39" s="100"/>
      <c r="X39" s="100"/>
      <c r="Y39" s="100"/>
      <c r="Z39" s="100"/>
      <c r="AA39" s="100"/>
      <c r="AB39" s="100"/>
      <c r="AC39" s="100"/>
      <c r="AD39" s="100"/>
    </row>
    <row r="40">
      <c r="A40" s="118"/>
      <c r="B40" s="118"/>
      <c r="C40" s="118"/>
      <c r="D40" s="119"/>
      <c r="E40" s="119"/>
      <c r="F40" s="119"/>
      <c r="G40" s="100"/>
      <c r="H40" s="100"/>
      <c r="I40" s="100"/>
      <c r="J40" s="100"/>
      <c r="K40" s="100"/>
      <c r="L40" s="100"/>
      <c r="M40" s="100"/>
      <c r="N40" s="100"/>
      <c r="O40" s="100"/>
      <c r="P40" s="100"/>
      <c r="Q40" s="100"/>
      <c r="R40" s="100"/>
      <c r="S40" s="100"/>
      <c r="T40" s="100"/>
      <c r="U40" s="100"/>
      <c r="V40" s="100"/>
      <c r="W40" s="100"/>
      <c r="X40" s="100"/>
      <c r="Y40" s="100"/>
      <c r="Z40" s="100"/>
      <c r="AA40" s="100"/>
      <c r="AB40" s="100"/>
      <c r="AC40" s="100"/>
      <c r="AD40" s="100"/>
    </row>
    <row r="41">
      <c r="A41" s="118"/>
      <c r="B41" s="118"/>
      <c r="C41" s="118"/>
      <c r="D41" s="119"/>
      <c r="E41" s="119"/>
      <c r="F41" s="119"/>
      <c r="G41" s="100"/>
      <c r="H41" s="100"/>
      <c r="I41" s="100"/>
      <c r="J41" s="100"/>
      <c r="K41" s="100"/>
      <c r="L41" s="100"/>
      <c r="M41" s="100"/>
      <c r="N41" s="100"/>
      <c r="O41" s="100"/>
      <c r="P41" s="100"/>
      <c r="Q41" s="100"/>
      <c r="R41" s="100"/>
      <c r="S41" s="100"/>
      <c r="T41" s="100"/>
      <c r="U41" s="100"/>
      <c r="V41" s="100"/>
      <c r="W41" s="100"/>
      <c r="X41" s="100"/>
      <c r="Y41" s="100"/>
      <c r="Z41" s="100"/>
      <c r="AA41" s="100"/>
      <c r="AB41" s="100"/>
      <c r="AC41" s="100"/>
      <c r="AD41" s="100"/>
    </row>
    <row r="42">
      <c r="A42" s="118"/>
      <c r="B42" s="118"/>
      <c r="C42" s="118"/>
      <c r="D42" s="119"/>
      <c r="E42" s="119"/>
      <c r="F42" s="119"/>
      <c r="G42" s="100"/>
      <c r="H42" s="100"/>
      <c r="I42" s="100"/>
      <c r="J42" s="100"/>
      <c r="K42" s="100"/>
      <c r="L42" s="100"/>
      <c r="M42" s="100"/>
      <c r="N42" s="100"/>
      <c r="O42" s="100"/>
      <c r="P42" s="100"/>
      <c r="Q42" s="100"/>
      <c r="R42" s="100"/>
      <c r="S42" s="100"/>
      <c r="T42" s="100"/>
      <c r="U42" s="100"/>
      <c r="V42" s="100"/>
      <c r="W42" s="100"/>
      <c r="X42" s="100"/>
      <c r="Y42" s="100"/>
      <c r="Z42" s="100"/>
      <c r="AA42" s="100"/>
      <c r="AB42" s="100"/>
      <c r="AC42" s="100"/>
      <c r="AD42" s="100"/>
    </row>
    <row r="43">
      <c r="A43" s="118"/>
      <c r="B43" s="118"/>
      <c r="C43" s="118"/>
      <c r="D43" s="119"/>
      <c r="E43" s="119"/>
      <c r="F43" s="119"/>
      <c r="G43" s="100"/>
      <c r="H43" s="100"/>
      <c r="I43" s="100"/>
      <c r="J43" s="100"/>
      <c r="K43" s="100"/>
      <c r="L43" s="100"/>
      <c r="M43" s="100"/>
      <c r="N43" s="100"/>
      <c r="O43" s="100"/>
      <c r="P43" s="100"/>
      <c r="Q43" s="100"/>
      <c r="R43" s="100"/>
      <c r="S43" s="100"/>
      <c r="T43" s="100"/>
      <c r="U43" s="100"/>
      <c r="V43" s="100"/>
      <c r="W43" s="100"/>
      <c r="X43" s="100"/>
      <c r="Y43" s="100"/>
      <c r="Z43" s="100"/>
      <c r="AA43" s="100"/>
      <c r="AB43" s="100"/>
      <c r="AC43" s="100"/>
      <c r="AD43" s="100"/>
    </row>
    <row r="44">
      <c r="A44" s="118"/>
      <c r="B44" s="118"/>
      <c r="C44" s="118"/>
      <c r="D44" s="119"/>
      <c r="E44" s="119"/>
      <c r="F44" s="119"/>
      <c r="G44" s="100"/>
      <c r="H44" s="100"/>
      <c r="I44" s="100"/>
      <c r="J44" s="100"/>
      <c r="K44" s="100"/>
      <c r="L44" s="100"/>
      <c r="M44" s="100"/>
      <c r="N44" s="100"/>
      <c r="O44" s="100"/>
      <c r="P44" s="100"/>
      <c r="Q44" s="100"/>
      <c r="R44" s="100"/>
      <c r="S44" s="100"/>
      <c r="T44" s="100"/>
      <c r="U44" s="100"/>
      <c r="V44" s="100"/>
      <c r="W44" s="100"/>
      <c r="X44" s="100"/>
      <c r="Y44" s="100"/>
      <c r="Z44" s="100"/>
      <c r="AA44" s="100"/>
      <c r="AB44" s="100"/>
      <c r="AC44" s="100"/>
      <c r="AD44" s="100"/>
    </row>
    <row r="45">
      <c r="A45" s="118"/>
      <c r="B45" s="118"/>
      <c r="C45" s="118"/>
      <c r="D45" s="119"/>
      <c r="E45" s="119"/>
      <c r="F45" s="119"/>
      <c r="G45" s="100"/>
      <c r="H45" s="100"/>
      <c r="I45" s="100"/>
      <c r="J45" s="100"/>
      <c r="K45" s="100"/>
      <c r="L45" s="100"/>
      <c r="M45" s="100"/>
      <c r="N45" s="100"/>
      <c r="O45" s="100"/>
      <c r="P45" s="100"/>
      <c r="Q45" s="100"/>
      <c r="R45" s="100"/>
      <c r="S45" s="100"/>
      <c r="T45" s="100"/>
      <c r="U45" s="100"/>
      <c r="V45" s="100"/>
      <c r="W45" s="100"/>
      <c r="X45" s="100"/>
      <c r="Y45" s="100"/>
      <c r="Z45" s="100"/>
      <c r="AA45" s="100"/>
      <c r="AB45" s="100"/>
      <c r="AC45" s="100"/>
      <c r="AD45" s="100"/>
    </row>
    <row r="46">
      <c r="A46" s="118"/>
      <c r="B46" s="118"/>
      <c r="C46" s="118"/>
      <c r="D46" s="119"/>
      <c r="E46" s="119"/>
      <c r="F46" s="119"/>
      <c r="G46" s="100"/>
      <c r="H46" s="100"/>
      <c r="I46" s="100"/>
      <c r="J46" s="100"/>
      <c r="K46" s="100"/>
      <c r="L46" s="100"/>
      <c r="M46" s="100"/>
      <c r="N46" s="100"/>
      <c r="O46" s="100"/>
      <c r="P46" s="100"/>
      <c r="Q46" s="100"/>
      <c r="R46" s="100"/>
      <c r="S46" s="100"/>
      <c r="T46" s="100"/>
      <c r="U46" s="100"/>
      <c r="V46" s="100"/>
      <c r="W46" s="100"/>
      <c r="X46" s="100"/>
      <c r="Y46" s="100"/>
      <c r="Z46" s="100"/>
      <c r="AA46" s="100"/>
      <c r="AB46" s="100"/>
      <c r="AC46" s="100"/>
      <c r="AD46" s="100"/>
    </row>
    <row r="47">
      <c r="A47" s="118"/>
      <c r="B47" s="118"/>
      <c r="C47" s="118"/>
      <c r="D47" s="119"/>
      <c r="E47" s="119"/>
      <c r="F47" s="119"/>
      <c r="G47" s="100"/>
      <c r="H47" s="100"/>
      <c r="I47" s="100"/>
      <c r="J47" s="100"/>
      <c r="K47" s="100"/>
      <c r="L47" s="100"/>
      <c r="M47" s="100"/>
      <c r="N47" s="100"/>
      <c r="O47" s="100"/>
      <c r="P47" s="100"/>
      <c r="Q47" s="100"/>
      <c r="R47" s="100"/>
      <c r="S47" s="100"/>
      <c r="T47" s="100"/>
      <c r="U47" s="100"/>
      <c r="V47" s="100"/>
      <c r="W47" s="100"/>
      <c r="X47" s="100"/>
      <c r="Y47" s="100"/>
      <c r="Z47" s="100"/>
      <c r="AA47" s="100"/>
      <c r="AB47" s="100"/>
      <c r="AC47" s="100"/>
      <c r="AD47" s="100"/>
    </row>
    <row r="48">
      <c r="A48" s="118"/>
      <c r="B48" s="118"/>
      <c r="C48" s="118"/>
      <c r="D48" s="119"/>
      <c r="E48" s="119"/>
      <c r="F48" s="119"/>
      <c r="G48" s="100"/>
      <c r="H48" s="100"/>
      <c r="I48" s="100"/>
      <c r="J48" s="100"/>
      <c r="K48" s="100"/>
      <c r="L48" s="100"/>
      <c r="M48" s="100"/>
      <c r="N48" s="100"/>
      <c r="O48" s="100"/>
      <c r="P48" s="100"/>
      <c r="Q48" s="100"/>
      <c r="R48" s="100"/>
      <c r="S48" s="100"/>
      <c r="T48" s="100"/>
      <c r="U48" s="100"/>
      <c r="V48" s="100"/>
      <c r="W48" s="100"/>
      <c r="X48" s="100"/>
      <c r="Y48" s="100"/>
      <c r="Z48" s="100"/>
      <c r="AA48" s="100"/>
      <c r="AB48" s="100"/>
      <c r="AC48" s="100"/>
      <c r="AD48" s="100"/>
    </row>
    <row r="49">
      <c r="A49" s="118"/>
      <c r="B49" s="118"/>
      <c r="C49" s="118"/>
      <c r="D49" s="119"/>
      <c r="E49" s="119"/>
      <c r="F49" s="119"/>
      <c r="G49" s="100"/>
      <c r="H49" s="100"/>
      <c r="I49" s="100"/>
      <c r="J49" s="100"/>
      <c r="K49" s="100"/>
      <c r="L49" s="100"/>
      <c r="M49" s="100"/>
      <c r="N49" s="100"/>
      <c r="O49" s="100"/>
      <c r="P49" s="100"/>
      <c r="Q49" s="100"/>
      <c r="R49" s="100"/>
      <c r="S49" s="100"/>
      <c r="T49" s="100"/>
      <c r="U49" s="100"/>
      <c r="V49" s="100"/>
      <c r="W49" s="100"/>
      <c r="X49" s="100"/>
      <c r="Y49" s="100"/>
      <c r="Z49" s="100"/>
      <c r="AA49" s="100"/>
      <c r="AB49" s="100"/>
      <c r="AC49" s="100"/>
      <c r="AD49" s="100"/>
    </row>
    <row r="50">
      <c r="A50" s="118"/>
      <c r="B50" s="118"/>
      <c r="C50" s="118"/>
      <c r="D50" s="119"/>
      <c r="E50" s="119"/>
      <c r="F50" s="119"/>
      <c r="G50" s="100"/>
      <c r="H50" s="100"/>
      <c r="I50" s="100"/>
      <c r="J50" s="100"/>
      <c r="K50" s="100"/>
      <c r="L50" s="100"/>
      <c r="M50" s="100"/>
      <c r="N50" s="100"/>
      <c r="O50" s="100"/>
      <c r="P50" s="100"/>
      <c r="Q50" s="100"/>
      <c r="R50" s="100"/>
      <c r="S50" s="100"/>
      <c r="T50" s="100"/>
      <c r="U50" s="100"/>
      <c r="V50" s="100"/>
      <c r="W50" s="100"/>
      <c r="X50" s="100"/>
      <c r="Y50" s="100"/>
      <c r="Z50" s="100"/>
      <c r="AA50" s="100"/>
      <c r="AB50" s="100"/>
      <c r="AC50" s="100"/>
      <c r="AD50" s="100"/>
    </row>
    <row r="51">
      <c r="A51" s="118"/>
      <c r="B51" s="118"/>
      <c r="C51" s="118"/>
      <c r="D51" s="119"/>
      <c r="E51" s="119"/>
      <c r="F51" s="119"/>
      <c r="G51" s="100"/>
      <c r="H51" s="100"/>
      <c r="I51" s="100"/>
      <c r="J51" s="100"/>
      <c r="K51" s="100"/>
      <c r="L51" s="100"/>
      <c r="M51" s="100"/>
      <c r="N51" s="100"/>
      <c r="O51" s="100"/>
      <c r="P51" s="100"/>
      <c r="Q51" s="100"/>
      <c r="R51" s="100"/>
      <c r="S51" s="100"/>
      <c r="T51" s="100"/>
      <c r="U51" s="100"/>
      <c r="V51" s="100"/>
      <c r="W51" s="100"/>
      <c r="X51" s="100"/>
      <c r="Y51" s="100"/>
      <c r="Z51" s="100"/>
      <c r="AA51" s="100"/>
      <c r="AB51" s="100"/>
      <c r="AC51" s="100"/>
      <c r="AD51" s="100"/>
    </row>
    <row r="52">
      <c r="A52" s="118"/>
      <c r="B52" s="118"/>
      <c r="C52" s="118"/>
      <c r="D52" s="119"/>
      <c r="E52" s="119"/>
      <c r="F52" s="119"/>
      <c r="G52" s="100"/>
      <c r="H52" s="100"/>
      <c r="I52" s="100"/>
      <c r="J52" s="100"/>
      <c r="K52" s="100"/>
      <c r="L52" s="100"/>
      <c r="M52" s="100"/>
      <c r="N52" s="100"/>
      <c r="O52" s="100"/>
      <c r="P52" s="100"/>
      <c r="Q52" s="100"/>
      <c r="R52" s="100"/>
      <c r="S52" s="100"/>
      <c r="T52" s="100"/>
      <c r="U52" s="100"/>
      <c r="V52" s="100"/>
      <c r="W52" s="100"/>
      <c r="X52" s="100"/>
      <c r="Y52" s="100"/>
      <c r="Z52" s="100"/>
      <c r="AA52" s="100"/>
      <c r="AB52" s="100"/>
      <c r="AC52" s="100"/>
      <c r="AD52" s="100"/>
    </row>
    <row r="53">
      <c r="A53" s="118"/>
      <c r="B53" s="118"/>
      <c r="C53" s="118"/>
      <c r="D53" s="119"/>
      <c r="E53" s="119"/>
      <c r="F53" s="119"/>
      <c r="G53" s="100"/>
      <c r="H53" s="100"/>
      <c r="I53" s="100"/>
      <c r="J53" s="100"/>
      <c r="K53" s="100"/>
      <c r="L53" s="100"/>
      <c r="M53" s="100"/>
      <c r="N53" s="100"/>
      <c r="O53" s="100"/>
      <c r="P53" s="100"/>
      <c r="Q53" s="100"/>
      <c r="R53" s="100"/>
      <c r="S53" s="100"/>
      <c r="T53" s="100"/>
      <c r="U53" s="100"/>
      <c r="V53" s="100"/>
      <c r="W53" s="100"/>
      <c r="X53" s="100"/>
      <c r="Y53" s="100"/>
      <c r="Z53" s="100"/>
      <c r="AA53" s="100"/>
      <c r="AB53" s="100"/>
      <c r="AC53" s="100"/>
      <c r="AD53" s="100"/>
    </row>
    <row r="54">
      <c r="A54" s="118"/>
      <c r="B54" s="118"/>
      <c r="C54" s="118"/>
      <c r="D54" s="119"/>
      <c r="E54" s="119"/>
      <c r="F54" s="119"/>
      <c r="G54" s="100"/>
      <c r="H54" s="100"/>
      <c r="I54" s="100"/>
      <c r="J54" s="100"/>
      <c r="K54" s="100"/>
      <c r="L54" s="100"/>
      <c r="M54" s="100"/>
      <c r="N54" s="100"/>
      <c r="O54" s="100"/>
      <c r="P54" s="100"/>
      <c r="Q54" s="100"/>
      <c r="R54" s="100"/>
      <c r="S54" s="100"/>
      <c r="T54" s="100"/>
      <c r="U54" s="100"/>
      <c r="V54" s="100"/>
      <c r="W54" s="100"/>
      <c r="X54" s="100"/>
      <c r="Y54" s="100"/>
      <c r="Z54" s="100"/>
      <c r="AA54" s="100"/>
      <c r="AB54" s="100"/>
      <c r="AC54" s="100"/>
      <c r="AD54" s="100"/>
    </row>
    <row r="55">
      <c r="A55" s="118"/>
      <c r="B55" s="118"/>
      <c r="C55" s="118"/>
      <c r="D55" s="119"/>
      <c r="E55" s="119"/>
      <c r="F55" s="119"/>
      <c r="G55" s="100"/>
      <c r="H55" s="100"/>
      <c r="I55" s="100"/>
      <c r="J55" s="100"/>
      <c r="K55" s="100"/>
      <c r="L55" s="100"/>
      <c r="M55" s="100"/>
      <c r="N55" s="100"/>
      <c r="O55" s="100"/>
      <c r="P55" s="100"/>
      <c r="Q55" s="100"/>
      <c r="R55" s="100"/>
      <c r="S55" s="100"/>
      <c r="T55" s="100"/>
      <c r="U55" s="100"/>
      <c r="V55" s="100"/>
      <c r="W55" s="100"/>
      <c r="X55" s="100"/>
      <c r="Y55" s="100"/>
      <c r="Z55" s="100"/>
      <c r="AA55" s="100"/>
      <c r="AB55" s="100"/>
      <c r="AC55" s="100"/>
      <c r="AD55" s="100"/>
    </row>
    <row r="56">
      <c r="A56" s="118"/>
      <c r="B56" s="118"/>
      <c r="C56" s="118"/>
      <c r="D56" s="119"/>
      <c r="E56" s="119"/>
      <c r="F56" s="119"/>
      <c r="G56" s="100"/>
      <c r="H56" s="100"/>
      <c r="I56" s="100"/>
      <c r="J56" s="100"/>
      <c r="K56" s="100"/>
      <c r="L56" s="100"/>
      <c r="M56" s="100"/>
      <c r="N56" s="100"/>
      <c r="O56" s="100"/>
      <c r="P56" s="100"/>
      <c r="Q56" s="100"/>
      <c r="R56" s="100"/>
      <c r="S56" s="100"/>
      <c r="T56" s="100"/>
      <c r="U56" s="100"/>
      <c r="V56" s="100"/>
      <c r="W56" s="100"/>
      <c r="X56" s="100"/>
      <c r="Y56" s="100"/>
      <c r="Z56" s="100"/>
      <c r="AA56" s="100"/>
      <c r="AB56" s="100"/>
      <c r="AC56" s="100"/>
      <c r="AD56" s="100"/>
    </row>
    <row r="57">
      <c r="A57" s="118"/>
      <c r="B57" s="118"/>
      <c r="C57" s="118"/>
      <c r="D57" s="119"/>
      <c r="E57" s="119"/>
      <c r="F57" s="119"/>
      <c r="G57" s="100"/>
      <c r="H57" s="100"/>
      <c r="I57" s="100"/>
      <c r="J57" s="100"/>
      <c r="K57" s="100"/>
      <c r="L57" s="100"/>
      <c r="M57" s="100"/>
      <c r="N57" s="100"/>
      <c r="O57" s="100"/>
      <c r="P57" s="100"/>
      <c r="Q57" s="100"/>
      <c r="R57" s="100"/>
      <c r="S57" s="100"/>
      <c r="T57" s="100"/>
      <c r="U57" s="100"/>
      <c r="V57" s="100"/>
      <c r="W57" s="100"/>
      <c r="X57" s="100"/>
      <c r="Y57" s="100"/>
      <c r="Z57" s="100"/>
      <c r="AA57" s="100"/>
      <c r="AB57" s="100"/>
      <c r="AC57" s="100"/>
      <c r="AD57" s="100"/>
    </row>
    <row r="58">
      <c r="A58" s="118"/>
      <c r="B58" s="118"/>
      <c r="C58" s="118"/>
      <c r="D58" s="119"/>
      <c r="E58" s="119"/>
      <c r="F58" s="119"/>
      <c r="G58" s="100"/>
      <c r="H58" s="100"/>
      <c r="I58" s="100"/>
      <c r="J58" s="100"/>
      <c r="K58" s="100"/>
      <c r="L58" s="100"/>
      <c r="M58" s="100"/>
      <c r="N58" s="100"/>
      <c r="O58" s="100"/>
      <c r="P58" s="100"/>
      <c r="Q58" s="100"/>
      <c r="R58" s="100"/>
      <c r="S58" s="100"/>
      <c r="T58" s="100"/>
      <c r="U58" s="100"/>
      <c r="V58" s="100"/>
      <c r="W58" s="100"/>
      <c r="X58" s="100"/>
      <c r="Y58" s="100"/>
      <c r="Z58" s="100"/>
      <c r="AA58" s="100"/>
      <c r="AB58" s="100"/>
      <c r="AC58" s="100"/>
      <c r="AD58" s="100"/>
    </row>
    <row r="59">
      <c r="A59" s="118"/>
      <c r="B59" s="118"/>
      <c r="C59" s="118"/>
      <c r="D59" s="119"/>
      <c r="E59" s="119"/>
      <c r="F59" s="119"/>
      <c r="G59" s="100"/>
      <c r="H59" s="100"/>
      <c r="I59" s="100"/>
      <c r="J59" s="100"/>
      <c r="K59" s="100"/>
      <c r="L59" s="100"/>
      <c r="M59" s="100"/>
      <c r="N59" s="100"/>
      <c r="O59" s="100"/>
      <c r="P59" s="100"/>
      <c r="Q59" s="100"/>
      <c r="R59" s="100"/>
      <c r="S59" s="100"/>
      <c r="T59" s="100"/>
      <c r="U59" s="100"/>
      <c r="V59" s="100"/>
      <c r="W59" s="100"/>
      <c r="X59" s="100"/>
      <c r="Y59" s="100"/>
      <c r="Z59" s="100"/>
      <c r="AA59" s="100"/>
      <c r="AB59" s="100"/>
      <c r="AC59" s="100"/>
      <c r="AD59" s="100"/>
    </row>
    <row r="60">
      <c r="A60" s="118"/>
      <c r="B60" s="118"/>
      <c r="C60" s="118"/>
      <c r="D60" s="119"/>
      <c r="E60" s="119"/>
      <c r="F60" s="119"/>
      <c r="G60" s="100"/>
      <c r="H60" s="100"/>
      <c r="I60" s="100"/>
      <c r="J60" s="100"/>
      <c r="K60" s="100"/>
      <c r="L60" s="100"/>
      <c r="M60" s="100"/>
      <c r="N60" s="100"/>
      <c r="O60" s="100"/>
      <c r="P60" s="100"/>
      <c r="Q60" s="100"/>
      <c r="R60" s="100"/>
      <c r="S60" s="100"/>
      <c r="T60" s="100"/>
      <c r="U60" s="100"/>
      <c r="V60" s="100"/>
      <c r="W60" s="100"/>
      <c r="X60" s="100"/>
      <c r="Y60" s="100"/>
      <c r="Z60" s="100"/>
      <c r="AA60" s="100"/>
      <c r="AB60" s="100"/>
      <c r="AC60" s="100"/>
      <c r="AD60" s="100"/>
    </row>
    <row r="61">
      <c r="A61" s="118"/>
      <c r="B61" s="118"/>
      <c r="C61" s="118"/>
      <c r="D61" s="119"/>
      <c r="E61" s="119"/>
      <c r="F61" s="119"/>
      <c r="G61" s="100"/>
      <c r="H61" s="100"/>
      <c r="I61" s="100"/>
      <c r="J61" s="100"/>
      <c r="K61" s="100"/>
      <c r="L61" s="100"/>
      <c r="M61" s="100"/>
      <c r="N61" s="100"/>
      <c r="O61" s="100"/>
      <c r="P61" s="100"/>
      <c r="Q61" s="100"/>
      <c r="R61" s="100"/>
      <c r="S61" s="100"/>
      <c r="T61" s="100"/>
      <c r="U61" s="100"/>
      <c r="V61" s="100"/>
      <c r="W61" s="100"/>
      <c r="X61" s="100"/>
      <c r="Y61" s="100"/>
      <c r="Z61" s="100"/>
      <c r="AA61" s="100"/>
      <c r="AB61" s="100"/>
      <c r="AC61" s="100"/>
      <c r="AD61" s="100"/>
    </row>
    <row r="62">
      <c r="A62" s="118"/>
      <c r="B62" s="118"/>
      <c r="C62" s="118"/>
      <c r="D62" s="119"/>
      <c r="E62" s="119"/>
      <c r="F62" s="119"/>
      <c r="G62" s="100"/>
      <c r="H62" s="100"/>
      <c r="I62" s="100"/>
      <c r="J62" s="100"/>
      <c r="K62" s="100"/>
      <c r="L62" s="100"/>
      <c r="M62" s="100"/>
      <c r="N62" s="100"/>
      <c r="O62" s="100"/>
      <c r="P62" s="100"/>
      <c r="Q62" s="100"/>
      <c r="R62" s="100"/>
      <c r="S62" s="100"/>
      <c r="T62" s="100"/>
      <c r="U62" s="100"/>
      <c r="V62" s="100"/>
      <c r="W62" s="100"/>
      <c r="X62" s="100"/>
      <c r="Y62" s="100"/>
      <c r="Z62" s="100"/>
      <c r="AA62" s="100"/>
      <c r="AB62" s="100"/>
      <c r="AC62" s="100"/>
      <c r="AD62" s="100"/>
    </row>
    <row r="63">
      <c r="A63" s="118"/>
      <c r="B63" s="118"/>
      <c r="C63" s="118"/>
      <c r="D63" s="119"/>
      <c r="E63" s="119"/>
      <c r="F63" s="119"/>
      <c r="G63" s="100"/>
      <c r="H63" s="100"/>
      <c r="I63" s="100"/>
      <c r="J63" s="100"/>
      <c r="K63" s="100"/>
      <c r="L63" s="100"/>
      <c r="M63" s="100"/>
      <c r="N63" s="100"/>
      <c r="O63" s="100"/>
      <c r="P63" s="100"/>
      <c r="Q63" s="100"/>
      <c r="R63" s="100"/>
      <c r="S63" s="100"/>
      <c r="T63" s="100"/>
      <c r="U63" s="100"/>
      <c r="V63" s="100"/>
      <c r="W63" s="100"/>
      <c r="X63" s="100"/>
      <c r="Y63" s="100"/>
      <c r="Z63" s="100"/>
      <c r="AA63" s="100"/>
      <c r="AB63" s="100"/>
      <c r="AC63" s="100"/>
      <c r="AD63" s="100"/>
    </row>
    <row r="64">
      <c r="A64" s="118"/>
      <c r="B64" s="118"/>
      <c r="C64" s="118"/>
      <c r="D64" s="119"/>
      <c r="E64" s="119"/>
      <c r="F64" s="119"/>
      <c r="G64" s="100"/>
      <c r="H64" s="100"/>
      <c r="I64" s="100"/>
      <c r="J64" s="100"/>
      <c r="K64" s="100"/>
      <c r="L64" s="100"/>
      <c r="M64" s="100"/>
      <c r="N64" s="100"/>
      <c r="O64" s="100"/>
      <c r="P64" s="100"/>
      <c r="Q64" s="100"/>
      <c r="R64" s="100"/>
      <c r="S64" s="100"/>
      <c r="T64" s="100"/>
      <c r="U64" s="100"/>
      <c r="V64" s="100"/>
      <c r="W64" s="100"/>
      <c r="X64" s="100"/>
      <c r="Y64" s="100"/>
      <c r="Z64" s="100"/>
      <c r="AA64" s="100"/>
      <c r="AB64" s="100"/>
      <c r="AC64" s="100"/>
      <c r="AD64" s="100"/>
    </row>
    <row r="65">
      <c r="A65" s="118"/>
      <c r="B65" s="118"/>
      <c r="C65" s="118"/>
      <c r="D65" s="119"/>
      <c r="E65" s="119"/>
      <c r="F65" s="119"/>
      <c r="G65" s="100"/>
      <c r="H65" s="100"/>
      <c r="I65" s="100"/>
      <c r="J65" s="100"/>
      <c r="K65" s="100"/>
      <c r="L65" s="100"/>
      <c r="M65" s="100"/>
      <c r="N65" s="100"/>
      <c r="O65" s="100"/>
      <c r="P65" s="100"/>
      <c r="Q65" s="100"/>
      <c r="R65" s="100"/>
      <c r="S65" s="100"/>
      <c r="T65" s="100"/>
      <c r="U65" s="100"/>
      <c r="V65" s="100"/>
      <c r="W65" s="100"/>
      <c r="X65" s="100"/>
      <c r="Y65" s="100"/>
      <c r="Z65" s="100"/>
      <c r="AA65" s="100"/>
      <c r="AB65" s="100"/>
      <c r="AC65" s="100"/>
      <c r="AD65" s="100"/>
    </row>
    <row r="66">
      <c r="A66" s="118"/>
      <c r="B66" s="118"/>
      <c r="C66" s="118"/>
      <c r="D66" s="119"/>
      <c r="E66" s="119"/>
      <c r="F66" s="119"/>
      <c r="G66" s="100"/>
      <c r="H66" s="100"/>
      <c r="I66" s="100"/>
      <c r="J66" s="100"/>
      <c r="K66" s="100"/>
      <c r="L66" s="100"/>
      <c r="M66" s="100"/>
      <c r="N66" s="100"/>
      <c r="O66" s="100"/>
      <c r="P66" s="100"/>
      <c r="Q66" s="100"/>
      <c r="R66" s="100"/>
      <c r="S66" s="100"/>
      <c r="T66" s="100"/>
      <c r="U66" s="100"/>
      <c r="V66" s="100"/>
      <c r="W66" s="100"/>
      <c r="X66" s="100"/>
      <c r="Y66" s="100"/>
      <c r="Z66" s="100"/>
      <c r="AA66" s="100"/>
      <c r="AB66" s="100"/>
      <c r="AC66" s="100"/>
      <c r="AD66" s="100"/>
    </row>
    <row r="67">
      <c r="A67" s="118"/>
      <c r="B67" s="118"/>
      <c r="C67" s="118"/>
      <c r="D67" s="119"/>
      <c r="E67" s="119"/>
      <c r="F67" s="119"/>
      <c r="G67" s="100"/>
      <c r="H67" s="100"/>
      <c r="I67" s="100"/>
      <c r="J67" s="100"/>
      <c r="K67" s="100"/>
      <c r="L67" s="100"/>
      <c r="M67" s="100"/>
      <c r="N67" s="100"/>
      <c r="O67" s="100"/>
      <c r="P67" s="100"/>
      <c r="Q67" s="100"/>
      <c r="R67" s="100"/>
      <c r="S67" s="100"/>
      <c r="T67" s="100"/>
      <c r="U67" s="100"/>
      <c r="V67" s="100"/>
      <c r="W67" s="100"/>
      <c r="X67" s="100"/>
      <c r="Y67" s="100"/>
      <c r="Z67" s="100"/>
      <c r="AA67" s="100"/>
      <c r="AB67" s="100"/>
      <c r="AC67" s="100"/>
      <c r="AD67" s="100"/>
    </row>
    <row r="68">
      <c r="A68" s="118"/>
      <c r="B68" s="118"/>
      <c r="C68" s="118"/>
      <c r="D68" s="119"/>
      <c r="E68" s="119"/>
      <c r="F68" s="119"/>
      <c r="G68" s="100"/>
      <c r="H68" s="100"/>
      <c r="I68" s="100"/>
      <c r="J68" s="100"/>
      <c r="K68" s="100"/>
      <c r="L68" s="100"/>
      <c r="M68" s="100"/>
      <c r="N68" s="100"/>
      <c r="O68" s="100"/>
      <c r="P68" s="100"/>
      <c r="Q68" s="100"/>
      <c r="R68" s="100"/>
      <c r="S68" s="100"/>
      <c r="T68" s="100"/>
      <c r="U68" s="100"/>
      <c r="V68" s="100"/>
      <c r="W68" s="100"/>
      <c r="X68" s="100"/>
      <c r="Y68" s="100"/>
      <c r="Z68" s="100"/>
      <c r="AA68" s="100"/>
      <c r="AB68" s="100"/>
      <c r="AC68" s="100"/>
      <c r="AD68" s="100"/>
    </row>
    <row r="69">
      <c r="A69" s="118"/>
      <c r="B69" s="118"/>
      <c r="C69" s="118"/>
      <c r="D69" s="119"/>
      <c r="E69" s="119"/>
      <c r="F69" s="119"/>
      <c r="G69" s="100"/>
      <c r="H69" s="100"/>
      <c r="I69" s="100"/>
      <c r="J69" s="100"/>
      <c r="K69" s="100"/>
      <c r="L69" s="100"/>
      <c r="M69" s="100"/>
      <c r="N69" s="100"/>
      <c r="O69" s="100"/>
      <c r="P69" s="100"/>
      <c r="Q69" s="100"/>
      <c r="R69" s="100"/>
      <c r="S69" s="100"/>
      <c r="T69" s="100"/>
      <c r="U69" s="100"/>
      <c r="V69" s="100"/>
      <c r="W69" s="100"/>
      <c r="X69" s="100"/>
      <c r="Y69" s="100"/>
      <c r="Z69" s="100"/>
      <c r="AA69" s="100"/>
      <c r="AB69" s="100"/>
      <c r="AC69" s="100"/>
      <c r="AD69" s="100"/>
    </row>
    <row r="70">
      <c r="A70" s="118"/>
      <c r="B70" s="118"/>
      <c r="C70" s="118"/>
      <c r="D70" s="119"/>
      <c r="E70" s="119"/>
      <c r="F70" s="119"/>
      <c r="G70" s="100"/>
      <c r="H70" s="100"/>
      <c r="I70" s="100"/>
      <c r="J70" s="100"/>
      <c r="K70" s="100"/>
      <c r="L70" s="100"/>
      <c r="M70" s="100"/>
      <c r="N70" s="100"/>
      <c r="O70" s="100"/>
      <c r="P70" s="100"/>
      <c r="Q70" s="100"/>
      <c r="R70" s="100"/>
      <c r="S70" s="100"/>
      <c r="T70" s="100"/>
      <c r="U70" s="100"/>
      <c r="V70" s="100"/>
      <c r="W70" s="100"/>
      <c r="X70" s="100"/>
      <c r="Y70" s="100"/>
      <c r="Z70" s="100"/>
      <c r="AA70" s="100"/>
      <c r="AB70" s="100"/>
      <c r="AC70" s="100"/>
      <c r="AD70" s="100"/>
    </row>
    <row r="71">
      <c r="A71" s="118"/>
      <c r="B71" s="118"/>
      <c r="C71" s="118"/>
      <c r="D71" s="119"/>
      <c r="E71" s="119"/>
      <c r="F71" s="119"/>
      <c r="G71" s="100"/>
      <c r="H71" s="100"/>
      <c r="I71" s="100"/>
      <c r="J71" s="100"/>
      <c r="K71" s="100"/>
      <c r="L71" s="100"/>
      <c r="M71" s="100"/>
      <c r="N71" s="100"/>
      <c r="O71" s="100"/>
      <c r="P71" s="100"/>
      <c r="Q71" s="100"/>
      <c r="R71" s="100"/>
      <c r="S71" s="100"/>
      <c r="T71" s="100"/>
      <c r="U71" s="100"/>
      <c r="V71" s="100"/>
      <c r="W71" s="100"/>
      <c r="X71" s="100"/>
      <c r="Y71" s="100"/>
      <c r="Z71" s="100"/>
      <c r="AA71" s="100"/>
      <c r="AB71" s="100"/>
      <c r="AC71" s="100"/>
      <c r="AD71" s="100"/>
    </row>
    <row r="72">
      <c r="A72" s="118"/>
      <c r="B72" s="118"/>
      <c r="C72" s="118"/>
      <c r="D72" s="119"/>
      <c r="E72" s="119"/>
      <c r="F72" s="119"/>
      <c r="G72" s="100"/>
      <c r="H72" s="100"/>
      <c r="I72" s="100"/>
      <c r="J72" s="100"/>
      <c r="K72" s="100"/>
      <c r="L72" s="100"/>
      <c r="M72" s="100"/>
      <c r="N72" s="100"/>
      <c r="O72" s="100"/>
      <c r="P72" s="100"/>
      <c r="Q72" s="100"/>
      <c r="R72" s="100"/>
      <c r="S72" s="100"/>
      <c r="T72" s="100"/>
      <c r="U72" s="100"/>
      <c r="V72" s="100"/>
      <c r="W72" s="100"/>
      <c r="X72" s="100"/>
      <c r="Y72" s="100"/>
      <c r="Z72" s="100"/>
      <c r="AA72" s="100"/>
      <c r="AB72" s="100"/>
      <c r="AC72" s="100"/>
      <c r="AD72" s="100"/>
    </row>
    <row r="73">
      <c r="A73" s="118"/>
      <c r="B73" s="118"/>
      <c r="C73" s="118"/>
      <c r="D73" s="119"/>
      <c r="E73" s="119"/>
      <c r="F73" s="119"/>
      <c r="G73" s="100"/>
      <c r="H73" s="100"/>
      <c r="I73" s="100"/>
      <c r="J73" s="100"/>
      <c r="K73" s="100"/>
      <c r="L73" s="100"/>
      <c r="M73" s="100"/>
      <c r="N73" s="100"/>
      <c r="O73" s="100"/>
      <c r="P73" s="100"/>
      <c r="Q73" s="100"/>
      <c r="R73" s="100"/>
      <c r="S73" s="100"/>
      <c r="T73" s="100"/>
      <c r="U73" s="100"/>
      <c r="V73" s="100"/>
      <c r="W73" s="100"/>
      <c r="X73" s="100"/>
      <c r="Y73" s="100"/>
      <c r="Z73" s="100"/>
      <c r="AA73" s="100"/>
      <c r="AB73" s="100"/>
      <c r="AC73" s="100"/>
      <c r="AD73" s="100"/>
    </row>
    <row r="74">
      <c r="A74" s="118"/>
      <c r="B74" s="118"/>
      <c r="C74" s="118"/>
      <c r="D74" s="119"/>
      <c r="E74" s="119"/>
      <c r="F74" s="119"/>
      <c r="G74" s="100"/>
      <c r="H74" s="100"/>
      <c r="I74" s="100"/>
      <c r="J74" s="100"/>
      <c r="K74" s="100"/>
      <c r="L74" s="100"/>
      <c r="M74" s="100"/>
      <c r="N74" s="100"/>
      <c r="O74" s="100"/>
      <c r="P74" s="100"/>
      <c r="Q74" s="100"/>
      <c r="R74" s="100"/>
      <c r="S74" s="100"/>
      <c r="T74" s="100"/>
      <c r="U74" s="100"/>
      <c r="V74" s="100"/>
      <c r="W74" s="100"/>
      <c r="X74" s="100"/>
      <c r="Y74" s="100"/>
      <c r="Z74" s="100"/>
      <c r="AA74" s="100"/>
      <c r="AB74" s="100"/>
      <c r="AC74" s="100"/>
      <c r="AD74" s="100"/>
    </row>
    <row r="75">
      <c r="A75" s="118"/>
      <c r="B75" s="118"/>
      <c r="C75" s="118"/>
      <c r="D75" s="119"/>
      <c r="E75" s="119"/>
      <c r="F75" s="119"/>
      <c r="G75" s="100"/>
      <c r="H75" s="100"/>
      <c r="I75" s="100"/>
      <c r="J75" s="100"/>
      <c r="K75" s="100"/>
      <c r="L75" s="100"/>
      <c r="M75" s="100"/>
      <c r="N75" s="100"/>
      <c r="O75" s="100"/>
      <c r="P75" s="100"/>
      <c r="Q75" s="100"/>
      <c r="R75" s="100"/>
      <c r="S75" s="100"/>
      <c r="T75" s="100"/>
      <c r="U75" s="100"/>
      <c r="V75" s="100"/>
      <c r="W75" s="100"/>
      <c r="X75" s="100"/>
      <c r="Y75" s="100"/>
      <c r="Z75" s="100"/>
      <c r="AA75" s="100"/>
      <c r="AB75" s="100"/>
      <c r="AC75" s="100"/>
      <c r="AD75" s="100"/>
    </row>
    <row r="76">
      <c r="A76" s="118"/>
      <c r="B76" s="118"/>
      <c r="C76" s="118"/>
      <c r="D76" s="119"/>
      <c r="E76" s="119"/>
      <c r="F76" s="119"/>
      <c r="G76" s="100"/>
      <c r="H76" s="100"/>
      <c r="I76" s="100"/>
      <c r="J76" s="100"/>
      <c r="K76" s="100"/>
      <c r="L76" s="100"/>
      <c r="M76" s="100"/>
      <c r="N76" s="100"/>
      <c r="O76" s="100"/>
      <c r="P76" s="100"/>
      <c r="Q76" s="100"/>
      <c r="R76" s="100"/>
      <c r="S76" s="100"/>
      <c r="T76" s="100"/>
      <c r="U76" s="100"/>
      <c r="V76" s="100"/>
      <c r="W76" s="100"/>
      <c r="X76" s="100"/>
      <c r="Y76" s="100"/>
      <c r="Z76" s="100"/>
      <c r="AA76" s="100"/>
      <c r="AB76" s="100"/>
      <c r="AC76" s="100"/>
      <c r="AD76" s="100"/>
    </row>
    <row r="77">
      <c r="A77" s="118"/>
      <c r="B77" s="118"/>
      <c r="C77" s="118"/>
      <c r="D77" s="119"/>
      <c r="E77" s="119"/>
      <c r="F77" s="119"/>
      <c r="G77" s="100"/>
      <c r="H77" s="100"/>
      <c r="I77" s="100"/>
      <c r="J77" s="100"/>
      <c r="K77" s="100"/>
      <c r="L77" s="100"/>
      <c r="M77" s="100"/>
      <c r="N77" s="100"/>
      <c r="O77" s="100"/>
      <c r="P77" s="100"/>
      <c r="Q77" s="100"/>
      <c r="R77" s="100"/>
      <c r="S77" s="100"/>
      <c r="T77" s="100"/>
      <c r="U77" s="100"/>
      <c r="V77" s="100"/>
      <c r="W77" s="100"/>
      <c r="X77" s="100"/>
      <c r="Y77" s="100"/>
      <c r="Z77" s="100"/>
      <c r="AA77" s="100"/>
      <c r="AB77" s="100"/>
      <c r="AC77" s="100"/>
      <c r="AD77" s="100"/>
    </row>
    <row r="78">
      <c r="A78" s="118"/>
      <c r="B78" s="118"/>
      <c r="C78" s="118"/>
      <c r="D78" s="119"/>
      <c r="E78" s="119"/>
      <c r="F78" s="119"/>
      <c r="G78" s="100"/>
      <c r="H78" s="100"/>
      <c r="I78" s="100"/>
      <c r="J78" s="100"/>
      <c r="K78" s="100"/>
      <c r="L78" s="100"/>
      <c r="M78" s="100"/>
      <c r="N78" s="100"/>
      <c r="O78" s="100"/>
      <c r="P78" s="100"/>
      <c r="Q78" s="100"/>
      <c r="R78" s="100"/>
      <c r="S78" s="100"/>
      <c r="T78" s="100"/>
      <c r="U78" s="100"/>
      <c r="V78" s="100"/>
      <c r="W78" s="100"/>
      <c r="X78" s="100"/>
      <c r="Y78" s="100"/>
      <c r="Z78" s="100"/>
      <c r="AA78" s="100"/>
      <c r="AB78" s="100"/>
      <c r="AC78" s="100"/>
      <c r="AD78" s="100"/>
    </row>
    <row r="79">
      <c r="A79" s="118"/>
      <c r="B79" s="118"/>
      <c r="C79" s="118"/>
      <c r="D79" s="119"/>
      <c r="E79" s="119"/>
      <c r="F79" s="119"/>
      <c r="G79" s="100"/>
      <c r="H79" s="100"/>
      <c r="I79" s="100"/>
      <c r="J79" s="100"/>
      <c r="K79" s="100"/>
      <c r="L79" s="100"/>
      <c r="M79" s="100"/>
      <c r="N79" s="100"/>
      <c r="O79" s="100"/>
      <c r="P79" s="100"/>
      <c r="Q79" s="100"/>
      <c r="R79" s="100"/>
      <c r="S79" s="100"/>
      <c r="T79" s="100"/>
      <c r="U79" s="100"/>
      <c r="V79" s="100"/>
      <c r="W79" s="100"/>
      <c r="X79" s="100"/>
      <c r="Y79" s="100"/>
      <c r="Z79" s="100"/>
      <c r="AA79" s="100"/>
      <c r="AB79" s="100"/>
      <c r="AC79" s="100"/>
      <c r="AD79" s="100"/>
    </row>
    <row r="80">
      <c r="A80" s="118"/>
      <c r="B80" s="118"/>
      <c r="C80" s="118"/>
      <c r="D80" s="119"/>
      <c r="E80" s="119"/>
      <c r="F80" s="119"/>
      <c r="G80" s="100"/>
      <c r="H80" s="100"/>
      <c r="I80" s="100"/>
      <c r="J80" s="100"/>
      <c r="K80" s="100"/>
      <c r="L80" s="100"/>
      <c r="M80" s="100"/>
      <c r="N80" s="100"/>
      <c r="O80" s="100"/>
      <c r="P80" s="100"/>
      <c r="Q80" s="100"/>
      <c r="R80" s="100"/>
      <c r="S80" s="100"/>
      <c r="T80" s="100"/>
      <c r="U80" s="100"/>
      <c r="V80" s="100"/>
      <c r="W80" s="100"/>
      <c r="X80" s="100"/>
      <c r="Y80" s="100"/>
      <c r="Z80" s="100"/>
      <c r="AA80" s="100"/>
      <c r="AB80" s="100"/>
      <c r="AC80" s="100"/>
      <c r="AD80" s="100"/>
    </row>
    <row r="81">
      <c r="A81" s="118"/>
      <c r="B81" s="118"/>
      <c r="C81" s="118"/>
      <c r="D81" s="119"/>
      <c r="E81" s="119"/>
      <c r="F81" s="119"/>
      <c r="G81" s="100"/>
      <c r="H81" s="100"/>
      <c r="I81" s="100"/>
      <c r="J81" s="100"/>
      <c r="K81" s="100"/>
      <c r="L81" s="100"/>
      <c r="M81" s="100"/>
      <c r="N81" s="100"/>
      <c r="O81" s="100"/>
      <c r="P81" s="100"/>
      <c r="Q81" s="100"/>
      <c r="R81" s="100"/>
      <c r="S81" s="100"/>
      <c r="T81" s="100"/>
      <c r="U81" s="100"/>
      <c r="V81" s="100"/>
      <c r="W81" s="100"/>
      <c r="X81" s="100"/>
      <c r="Y81" s="100"/>
      <c r="Z81" s="100"/>
      <c r="AA81" s="100"/>
      <c r="AB81" s="100"/>
      <c r="AC81" s="100"/>
      <c r="AD81" s="100"/>
    </row>
    <row r="82">
      <c r="A82" s="118"/>
      <c r="B82" s="118"/>
      <c r="C82" s="118"/>
      <c r="D82" s="119"/>
      <c r="E82" s="119"/>
      <c r="F82" s="119"/>
      <c r="G82" s="100"/>
      <c r="H82" s="100"/>
      <c r="I82" s="100"/>
      <c r="J82" s="100"/>
      <c r="K82" s="100"/>
      <c r="L82" s="100"/>
      <c r="M82" s="100"/>
      <c r="N82" s="100"/>
      <c r="O82" s="100"/>
      <c r="P82" s="100"/>
      <c r="Q82" s="100"/>
      <c r="R82" s="100"/>
      <c r="S82" s="100"/>
      <c r="T82" s="100"/>
      <c r="U82" s="100"/>
      <c r="V82" s="100"/>
      <c r="W82" s="100"/>
      <c r="X82" s="100"/>
      <c r="Y82" s="100"/>
      <c r="Z82" s="100"/>
      <c r="AA82" s="100"/>
      <c r="AB82" s="100"/>
      <c r="AC82" s="100"/>
      <c r="AD82" s="100"/>
    </row>
    <row r="83">
      <c r="A83" s="118"/>
      <c r="B83" s="118"/>
      <c r="C83" s="118"/>
      <c r="D83" s="119"/>
      <c r="E83" s="119"/>
      <c r="F83" s="119"/>
      <c r="G83" s="100"/>
      <c r="H83" s="100"/>
      <c r="I83" s="100"/>
      <c r="J83" s="100"/>
      <c r="K83" s="100"/>
      <c r="L83" s="100"/>
      <c r="M83" s="100"/>
      <c r="N83" s="100"/>
      <c r="O83" s="100"/>
      <c r="P83" s="100"/>
      <c r="Q83" s="100"/>
      <c r="R83" s="100"/>
      <c r="S83" s="100"/>
      <c r="T83" s="100"/>
      <c r="U83" s="100"/>
      <c r="V83" s="100"/>
      <c r="W83" s="100"/>
      <c r="X83" s="100"/>
      <c r="Y83" s="100"/>
      <c r="Z83" s="100"/>
      <c r="AA83" s="100"/>
      <c r="AB83" s="100"/>
      <c r="AC83" s="100"/>
      <c r="AD83" s="100"/>
    </row>
    <row r="84">
      <c r="A84" s="118"/>
      <c r="B84" s="118"/>
      <c r="C84" s="118"/>
      <c r="D84" s="119"/>
      <c r="E84" s="119"/>
      <c r="F84" s="119"/>
      <c r="G84" s="100"/>
      <c r="H84" s="100"/>
      <c r="I84" s="100"/>
      <c r="J84" s="100"/>
      <c r="K84" s="100"/>
      <c r="L84" s="100"/>
      <c r="M84" s="100"/>
      <c r="N84" s="100"/>
      <c r="O84" s="100"/>
      <c r="P84" s="100"/>
      <c r="Q84" s="100"/>
      <c r="R84" s="100"/>
      <c r="S84" s="100"/>
      <c r="T84" s="100"/>
      <c r="U84" s="100"/>
      <c r="V84" s="100"/>
      <c r="W84" s="100"/>
      <c r="X84" s="100"/>
      <c r="Y84" s="100"/>
      <c r="Z84" s="100"/>
      <c r="AA84" s="100"/>
      <c r="AB84" s="100"/>
      <c r="AC84" s="100"/>
      <c r="AD84" s="100"/>
    </row>
    <row r="85">
      <c r="A85" s="118"/>
      <c r="B85" s="118"/>
      <c r="C85" s="118"/>
      <c r="D85" s="119"/>
      <c r="E85" s="119"/>
      <c r="F85" s="119"/>
      <c r="G85" s="100"/>
      <c r="H85" s="100"/>
      <c r="I85" s="100"/>
      <c r="J85" s="100"/>
      <c r="K85" s="100"/>
      <c r="L85" s="100"/>
      <c r="M85" s="100"/>
      <c r="N85" s="100"/>
      <c r="O85" s="100"/>
      <c r="P85" s="100"/>
      <c r="Q85" s="100"/>
      <c r="R85" s="100"/>
      <c r="S85" s="100"/>
      <c r="T85" s="100"/>
      <c r="U85" s="100"/>
      <c r="V85" s="100"/>
      <c r="W85" s="100"/>
      <c r="X85" s="100"/>
      <c r="Y85" s="100"/>
      <c r="Z85" s="100"/>
      <c r="AA85" s="100"/>
      <c r="AB85" s="100"/>
      <c r="AC85" s="100"/>
      <c r="AD85" s="100"/>
    </row>
    <row r="86">
      <c r="A86" s="118"/>
      <c r="B86" s="118"/>
      <c r="C86" s="118"/>
      <c r="D86" s="119"/>
      <c r="E86" s="119"/>
      <c r="F86" s="119"/>
      <c r="G86" s="100"/>
      <c r="H86" s="100"/>
      <c r="I86" s="100"/>
      <c r="J86" s="100"/>
      <c r="K86" s="100"/>
      <c r="L86" s="100"/>
      <c r="M86" s="100"/>
      <c r="N86" s="100"/>
      <c r="O86" s="100"/>
      <c r="P86" s="100"/>
      <c r="Q86" s="100"/>
      <c r="R86" s="100"/>
      <c r="S86" s="100"/>
      <c r="T86" s="100"/>
      <c r="U86" s="100"/>
      <c r="V86" s="100"/>
      <c r="W86" s="100"/>
      <c r="X86" s="100"/>
      <c r="Y86" s="100"/>
      <c r="Z86" s="100"/>
      <c r="AA86" s="100"/>
      <c r="AB86" s="100"/>
      <c r="AC86" s="100"/>
      <c r="AD86" s="100"/>
    </row>
    <row r="87">
      <c r="A87" s="118"/>
      <c r="B87" s="118"/>
      <c r="C87" s="118"/>
      <c r="D87" s="119"/>
      <c r="E87" s="119"/>
      <c r="F87" s="119"/>
      <c r="G87" s="100"/>
      <c r="H87" s="100"/>
      <c r="I87" s="100"/>
      <c r="J87" s="100"/>
      <c r="K87" s="100"/>
      <c r="L87" s="100"/>
      <c r="M87" s="100"/>
      <c r="N87" s="100"/>
      <c r="O87" s="100"/>
      <c r="P87" s="100"/>
      <c r="Q87" s="100"/>
      <c r="R87" s="100"/>
      <c r="S87" s="100"/>
      <c r="T87" s="100"/>
      <c r="U87" s="100"/>
      <c r="V87" s="100"/>
      <c r="W87" s="100"/>
      <c r="X87" s="100"/>
      <c r="Y87" s="100"/>
      <c r="Z87" s="100"/>
      <c r="AA87" s="100"/>
      <c r="AB87" s="100"/>
      <c r="AC87" s="100"/>
      <c r="AD87" s="100"/>
    </row>
    <row r="88">
      <c r="A88" s="118"/>
      <c r="B88" s="118"/>
      <c r="C88" s="118"/>
      <c r="D88" s="119"/>
      <c r="E88" s="119"/>
      <c r="F88" s="119"/>
      <c r="G88" s="100"/>
      <c r="H88" s="100"/>
      <c r="I88" s="100"/>
      <c r="J88" s="100"/>
      <c r="K88" s="100"/>
      <c r="L88" s="100"/>
      <c r="M88" s="100"/>
      <c r="N88" s="100"/>
      <c r="O88" s="100"/>
      <c r="P88" s="100"/>
      <c r="Q88" s="100"/>
      <c r="R88" s="100"/>
      <c r="S88" s="100"/>
      <c r="T88" s="100"/>
      <c r="U88" s="100"/>
      <c r="V88" s="100"/>
      <c r="W88" s="100"/>
      <c r="X88" s="100"/>
      <c r="Y88" s="100"/>
      <c r="Z88" s="100"/>
      <c r="AA88" s="100"/>
      <c r="AB88" s="100"/>
      <c r="AC88" s="100"/>
      <c r="AD88" s="100"/>
    </row>
    <row r="89">
      <c r="A89" s="118"/>
      <c r="B89" s="118"/>
      <c r="C89" s="118"/>
      <c r="D89" s="119"/>
      <c r="E89" s="119"/>
      <c r="F89" s="119"/>
      <c r="G89" s="100"/>
      <c r="H89" s="100"/>
      <c r="I89" s="100"/>
      <c r="J89" s="100"/>
      <c r="K89" s="100"/>
      <c r="L89" s="100"/>
      <c r="M89" s="100"/>
      <c r="N89" s="100"/>
      <c r="O89" s="100"/>
      <c r="P89" s="100"/>
      <c r="Q89" s="100"/>
      <c r="R89" s="100"/>
      <c r="S89" s="100"/>
      <c r="T89" s="100"/>
      <c r="U89" s="100"/>
      <c r="V89" s="100"/>
      <c r="W89" s="100"/>
      <c r="X89" s="100"/>
      <c r="Y89" s="100"/>
      <c r="Z89" s="100"/>
      <c r="AA89" s="100"/>
      <c r="AB89" s="100"/>
      <c r="AC89" s="100"/>
      <c r="AD89" s="100"/>
    </row>
    <row r="90">
      <c r="A90" s="118"/>
      <c r="B90" s="118"/>
      <c r="C90" s="118"/>
      <c r="D90" s="119"/>
      <c r="E90" s="119"/>
      <c r="F90" s="119"/>
      <c r="G90" s="100"/>
      <c r="H90" s="100"/>
      <c r="I90" s="100"/>
      <c r="J90" s="100"/>
      <c r="K90" s="100"/>
      <c r="L90" s="100"/>
      <c r="M90" s="100"/>
      <c r="N90" s="100"/>
      <c r="O90" s="100"/>
      <c r="P90" s="100"/>
      <c r="Q90" s="100"/>
      <c r="R90" s="100"/>
      <c r="S90" s="100"/>
      <c r="T90" s="100"/>
      <c r="U90" s="100"/>
      <c r="V90" s="100"/>
      <c r="W90" s="100"/>
      <c r="X90" s="100"/>
      <c r="Y90" s="100"/>
      <c r="Z90" s="100"/>
      <c r="AA90" s="100"/>
      <c r="AB90" s="100"/>
      <c r="AC90" s="100"/>
      <c r="AD90" s="100"/>
    </row>
    <row r="91">
      <c r="A91" s="118"/>
      <c r="B91" s="118"/>
      <c r="C91" s="118"/>
      <c r="D91" s="119"/>
      <c r="E91" s="119"/>
      <c r="F91" s="119"/>
      <c r="G91" s="100"/>
      <c r="H91" s="100"/>
      <c r="I91" s="100"/>
      <c r="J91" s="100"/>
      <c r="K91" s="100"/>
      <c r="L91" s="100"/>
      <c r="M91" s="100"/>
      <c r="N91" s="100"/>
      <c r="O91" s="100"/>
      <c r="P91" s="100"/>
      <c r="Q91" s="100"/>
      <c r="R91" s="100"/>
      <c r="S91" s="100"/>
      <c r="T91" s="100"/>
      <c r="U91" s="100"/>
      <c r="V91" s="100"/>
      <c r="W91" s="100"/>
      <c r="X91" s="100"/>
      <c r="Y91" s="100"/>
      <c r="Z91" s="100"/>
      <c r="AA91" s="100"/>
      <c r="AB91" s="100"/>
      <c r="AC91" s="100"/>
      <c r="AD91" s="100"/>
    </row>
    <row r="92">
      <c r="A92" s="118"/>
      <c r="B92" s="118"/>
      <c r="C92" s="118"/>
      <c r="D92" s="119"/>
      <c r="E92" s="119"/>
      <c r="F92" s="119"/>
      <c r="G92" s="100"/>
      <c r="H92" s="100"/>
      <c r="I92" s="100"/>
      <c r="J92" s="100"/>
      <c r="K92" s="100"/>
      <c r="L92" s="100"/>
      <c r="M92" s="100"/>
      <c r="N92" s="100"/>
      <c r="O92" s="100"/>
      <c r="P92" s="100"/>
      <c r="Q92" s="100"/>
      <c r="R92" s="100"/>
      <c r="S92" s="100"/>
      <c r="T92" s="100"/>
      <c r="U92" s="100"/>
      <c r="V92" s="100"/>
      <c r="W92" s="100"/>
      <c r="X92" s="100"/>
      <c r="Y92" s="100"/>
      <c r="Z92" s="100"/>
      <c r="AA92" s="100"/>
      <c r="AB92" s="100"/>
      <c r="AC92" s="100"/>
      <c r="AD92" s="100"/>
    </row>
    <row r="93">
      <c r="A93" s="118"/>
      <c r="B93" s="118"/>
      <c r="C93" s="118"/>
      <c r="D93" s="119"/>
      <c r="E93" s="119"/>
      <c r="F93" s="119"/>
      <c r="G93" s="100"/>
      <c r="H93" s="100"/>
      <c r="I93" s="100"/>
      <c r="J93" s="100"/>
      <c r="K93" s="100"/>
      <c r="L93" s="100"/>
      <c r="M93" s="100"/>
      <c r="N93" s="100"/>
      <c r="O93" s="100"/>
      <c r="P93" s="100"/>
      <c r="Q93" s="100"/>
      <c r="R93" s="100"/>
      <c r="S93" s="100"/>
      <c r="T93" s="100"/>
      <c r="U93" s="100"/>
      <c r="V93" s="100"/>
      <c r="W93" s="100"/>
      <c r="X93" s="100"/>
      <c r="Y93" s="100"/>
      <c r="Z93" s="100"/>
      <c r="AA93" s="100"/>
      <c r="AB93" s="100"/>
      <c r="AC93" s="100"/>
      <c r="AD93" s="100"/>
    </row>
    <row r="94">
      <c r="A94" s="118"/>
      <c r="B94" s="118"/>
      <c r="C94" s="118"/>
      <c r="D94" s="119"/>
      <c r="E94" s="119"/>
      <c r="F94" s="119"/>
      <c r="G94" s="100"/>
      <c r="H94" s="100"/>
      <c r="I94" s="100"/>
      <c r="J94" s="100"/>
      <c r="K94" s="100"/>
      <c r="L94" s="100"/>
      <c r="M94" s="100"/>
      <c r="N94" s="100"/>
      <c r="O94" s="100"/>
      <c r="P94" s="100"/>
      <c r="Q94" s="100"/>
      <c r="R94" s="100"/>
      <c r="S94" s="100"/>
      <c r="T94" s="100"/>
      <c r="U94" s="100"/>
      <c r="V94" s="100"/>
      <c r="W94" s="100"/>
      <c r="X94" s="100"/>
      <c r="Y94" s="100"/>
      <c r="Z94" s="100"/>
      <c r="AA94" s="100"/>
      <c r="AB94" s="100"/>
      <c r="AC94" s="100"/>
      <c r="AD94" s="100"/>
    </row>
    <row r="95">
      <c r="A95" s="118"/>
      <c r="B95" s="118"/>
      <c r="C95" s="118"/>
      <c r="D95" s="119"/>
      <c r="E95" s="119"/>
      <c r="F95" s="119"/>
      <c r="G95" s="100"/>
      <c r="H95" s="100"/>
      <c r="I95" s="100"/>
      <c r="J95" s="100"/>
      <c r="K95" s="100"/>
      <c r="L95" s="100"/>
      <c r="M95" s="100"/>
      <c r="N95" s="100"/>
      <c r="O95" s="100"/>
      <c r="P95" s="100"/>
      <c r="Q95" s="100"/>
      <c r="R95" s="100"/>
      <c r="S95" s="100"/>
      <c r="T95" s="100"/>
      <c r="U95" s="100"/>
      <c r="V95" s="100"/>
      <c r="W95" s="100"/>
      <c r="X95" s="100"/>
      <c r="Y95" s="100"/>
      <c r="Z95" s="100"/>
      <c r="AA95" s="100"/>
      <c r="AB95" s="100"/>
      <c r="AC95" s="100"/>
      <c r="AD95" s="100"/>
    </row>
    <row r="96">
      <c r="A96" s="118"/>
      <c r="B96" s="118"/>
      <c r="C96" s="118"/>
      <c r="D96" s="119"/>
      <c r="E96" s="119"/>
      <c r="F96" s="119"/>
      <c r="G96" s="100"/>
      <c r="H96" s="100"/>
      <c r="I96" s="100"/>
      <c r="J96" s="100"/>
      <c r="K96" s="100"/>
      <c r="L96" s="100"/>
      <c r="M96" s="100"/>
      <c r="N96" s="100"/>
      <c r="O96" s="100"/>
      <c r="P96" s="100"/>
      <c r="Q96" s="100"/>
      <c r="R96" s="100"/>
      <c r="S96" s="100"/>
      <c r="T96" s="100"/>
      <c r="U96" s="100"/>
      <c r="V96" s="100"/>
      <c r="W96" s="100"/>
      <c r="X96" s="100"/>
      <c r="Y96" s="100"/>
      <c r="Z96" s="100"/>
      <c r="AA96" s="100"/>
      <c r="AB96" s="100"/>
      <c r="AC96" s="100"/>
      <c r="AD96" s="100"/>
    </row>
    <row r="97">
      <c r="A97" s="118"/>
      <c r="B97" s="118"/>
      <c r="C97" s="118"/>
      <c r="D97" s="119"/>
      <c r="E97" s="119"/>
      <c r="F97" s="119"/>
      <c r="G97" s="100"/>
      <c r="H97" s="100"/>
      <c r="I97" s="100"/>
      <c r="J97" s="100"/>
      <c r="K97" s="100"/>
      <c r="L97" s="100"/>
      <c r="M97" s="100"/>
      <c r="N97" s="100"/>
      <c r="O97" s="100"/>
      <c r="P97" s="100"/>
      <c r="Q97" s="100"/>
      <c r="R97" s="100"/>
      <c r="S97" s="100"/>
      <c r="T97" s="100"/>
      <c r="U97" s="100"/>
      <c r="V97" s="100"/>
      <c r="W97" s="100"/>
      <c r="X97" s="100"/>
      <c r="Y97" s="100"/>
      <c r="Z97" s="100"/>
      <c r="AA97" s="100"/>
      <c r="AB97" s="100"/>
      <c r="AC97" s="100"/>
      <c r="AD97" s="100"/>
    </row>
    <row r="98">
      <c r="A98" s="118"/>
      <c r="B98" s="118"/>
      <c r="C98" s="118"/>
      <c r="D98" s="119"/>
      <c r="E98" s="119"/>
      <c r="F98" s="119"/>
      <c r="G98" s="100"/>
      <c r="H98" s="100"/>
      <c r="I98" s="100"/>
      <c r="J98" s="100"/>
      <c r="K98" s="100"/>
      <c r="L98" s="100"/>
      <c r="M98" s="100"/>
      <c r="N98" s="100"/>
      <c r="O98" s="100"/>
      <c r="P98" s="100"/>
      <c r="Q98" s="100"/>
      <c r="R98" s="100"/>
      <c r="S98" s="100"/>
      <c r="T98" s="100"/>
      <c r="U98" s="100"/>
      <c r="V98" s="100"/>
      <c r="W98" s="100"/>
      <c r="X98" s="100"/>
      <c r="Y98" s="100"/>
      <c r="Z98" s="100"/>
      <c r="AA98" s="100"/>
      <c r="AB98" s="100"/>
      <c r="AC98" s="100"/>
      <c r="AD98" s="100"/>
    </row>
    <row r="99">
      <c r="A99" s="118"/>
      <c r="B99" s="118"/>
      <c r="C99" s="118"/>
      <c r="D99" s="119"/>
      <c r="E99" s="119"/>
      <c r="F99" s="119"/>
      <c r="G99" s="100"/>
      <c r="H99" s="100"/>
      <c r="I99" s="100"/>
      <c r="J99" s="100"/>
      <c r="K99" s="100"/>
      <c r="L99" s="100"/>
      <c r="M99" s="100"/>
      <c r="N99" s="100"/>
      <c r="O99" s="100"/>
      <c r="P99" s="100"/>
      <c r="Q99" s="100"/>
      <c r="R99" s="100"/>
      <c r="S99" s="100"/>
      <c r="T99" s="100"/>
      <c r="U99" s="100"/>
      <c r="V99" s="100"/>
      <c r="W99" s="100"/>
      <c r="X99" s="100"/>
      <c r="Y99" s="100"/>
      <c r="Z99" s="100"/>
      <c r="AA99" s="100"/>
      <c r="AB99" s="100"/>
      <c r="AC99" s="100"/>
      <c r="AD99" s="100"/>
    </row>
    <row r="100">
      <c r="A100" s="118"/>
      <c r="B100" s="118"/>
      <c r="C100" s="118"/>
      <c r="D100" s="119"/>
      <c r="E100" s="119"/>
      <c r="F100" s="119"/>
      <c r="G100" s="100"/>
      <c r="H100" s="100"/>
      <c r="I100" s="100"/>
      <c r="J100" s="100"/>
      <c r="K100" s="100"/>
      <c r="L100" s="100"/>
      <c r="M100" s="100"/>
      <c r="N100" s="100"/>
      <c r="O100" s="100"/>
      <c r="P100" s="100"/>
      <c r="Q100" s="100"/>
      <c r="R100" s="100"/>
      <c r="S100" s="100"/>
      <c r="T100" s="100"/>
      <c r="U100" s="100"/>
      <c r="V100" s="100"/>
      <c r="W100" s="100"/>
      <c r="X100" s="100"/>
      <c r="Y100" s="100"/>
      <c r="Z100" s="100"/>
      <c r="AA100" s="100"/>
      <c r="AB100" s="100"/>
      <c r="AC100" s="100"/>
      <c r="AD100" s="100"/>
    </row>
    <row r="101">
      <c r="A101" s="118"/>
      <c r="B101" s="118"/>
      <c r="C101" s="118"/>
      <c r="D101" s="119"/>
      <c r="E101" s="119"/>
      <c r="F101" s="119"/>
      <c r="G101" s="100"/>
      <c r="H101" s="100"/>
      <c r="I101" s="100"/>
      <c r="J101" s="100"/>
      <c r="K101" s="100"/>
      <c r="L101" s="100"/>
      <c r="M101" s="100"/>
      <c r="N101" s="100"/>
      <c r="O101" s="100"/>
      <c r="P101" s="100"/>
      <c r="Q101" s="100"/>
      <c r="R101" s="100"/>
      <c r="S101" s="100"/>
      <c r="T101" s="100"/>
      <c r="U101" s="100"/>
      <c r="V101" s="100"/>
      <c r="W101" s="100"/>
      <c r="X101" s="100"/>
      <c r="Y101" s="100"/>
      <c r="Z101" s="100"/>
      <c r="AA101" s="100"/>
      <c r="AB101" s="100"/>
      <c r="AC101" s="100"/>
      <c r="AD101" s="100"/>
    </row>
    <row r="102">
      <c r="A102" s="118"/>
      <c r="B102" s="118"/>
      <c r="C102" s="118"/>
      <c r="D102" s="119"/>
      <c r="E102" s="119"/>
      <c r="F102" s="119"/>
      <c r="G102" s="100"/>
      <c r="H102" s="100"/>
      <c r="I102" s="100"/>
      <c r="J102" s="100"/>
      <c r="K102" s="100"/>
      <c r="L102" s="100"/>
      <c r="M102" s="100"/>
      <c r="N102" s="100"/>
      <c r="O102" s="100"/>
      <c r="P102" s="100"/>
      <c r="Q102" s="100"/>
      <c r="R102" s="100"/>
      <c r="S102" s="100"/>
      <c r="T102" s="100"/>
      <c r="U102" s="100"/>
      <c r="V102" s="100"/>
      <c r="W102" s="100"/>
      <c r="X102" s="100"/>
      <c r="Y102" s="100"/>
      <c r="Z102" s="100"/>
      <c r="AA102" s="100"/>
      <c r="AB102" s="100"/>
      <c r="AC102" s="100"/>
      <c r="AD102" s="100"/>
    </row>
    <row r="103">
      <c r="A103" s="118"/>
      <c r="B103" s="118"/>
      <c r="C103" s="118"/>
      <c r="D103" s="119"/>
      <c r="E103" s="119"/>
      <c r="F103" s="119"/>
      <c r="G103" s="100"/>
      <c r="H103" s="100"/>
      <c r="I103" s="100"/>
      <c r="J103" s="100"/>
      <c r="K103" s="100"/>
      <c r="L103" s="100"/>
      <c r="M103" s="100"/>
      <c r="N103" s="100"/>
      <c r="O103" s="100"/>
      <c r="P103" s="100"/>
      <c r="Q103" s="100"/>
      <c r="R103" s="100"/>
      <c r="S103" s="100"/>
      <c r="T103" s="100"/>
      <c r="U103" s="100"/>
      <c r="V103" s="100"/>
      <c r="W103" s="100"/>
      <c r="X103" s="100"/>
      <c r="Y103" s="100"/>
      <c r="Z103" s="100"/>
      <c r="AA103" s="100"/>
      <c r="AB103" s="100"/>
      <c r="AC103" s="100"/>
      <c r="AD103" s="100"/>
    </row>
    <row r="104">
      <c r="A104" s="118"/>
      <c r="B104" s="118"/>
      <c r="C104" s="118"/>
      <c r="D104" s="119"/>
      <c r="E104" s="119"/>
      <c r="F104" s="119"/>
      <c r="G104" s="100"/>
      <c r="H104" s="100"/>
      <c r="I104" s="100"/>
      <c r="J104" s="100"/>
      <c r="K104" s="100"/>
      <c r="L104" s="100"/>
      <c r="M104" s="100"/>
      <c r="N104" s="100"/>
      <c r="O104" s="100"/>
      <c r="P104" s="100"/>
      <c r="Q104" s="100"/>
      <c r="R104" s="100"/>
      <c r="S104" s="100"/>
      <c r="T104" s="100"/>
      <c r="U104" s="100"/>
      <c r="V104" s="100"/>
      <c r="W104" s="100"/>
      <c r="X104" s="100"/>
      <c r="Y104" s="100"/>
      <c r="Z104" s="100"/>
      <c r="AA104" s="100"/>
      <c r="AB104" s="100"/>
      <c r="AC104" s="100"/>
      <c r="AD104" s="100"/>
    </row>
    <row r="105">
      <c r="A105" s="118"/>
      <c r="B105" s="118"/>
      <c r="C105" s="118"/>
      <c r="D105" s="119"/>
      <c r="E105" s="119"/>
      <c r="F105" s="119"/>
      <c r="G105" s="100"/>
      <c r="H105" s="100"/>
      <c r="I105" s="100"/>
      <c r="J105" s="100"/>
      <c r="K105" s="100"/>
      <c r="L105" s="100"/>
      <c r="M105" s="100"/>
      <c r="N105" s="100"/>
      <c r="O105" s="100"/>
      <c r="P105" s="100"/>
      <c r="Q105" s="100"/>
      <c r="R105" s="100"/>
      <c r="S105" s="100"/>
      <c r="T105" s="100"/>
      <c r="U105" s="100"/>
      <c r="V105" s="100"/>
      <c r="W105" s="100"/>
      <c r="X105" s="100"/>
      <c r="Y105" s="100"/>
      <c r="Z105" s="100"/>
      <c r="AA105" s="100"/>
      <c r="AB105" s="100"/>
      <c r="AC105" s="100"/>
      <c r="AD105" s="100"/>
    </row>
    <row r="106">
      <c r="A106" s="118"/>
      <c r="B106" s="118"/>
      <c r="C106" s="118"/>
      <c r="D106" s="119"/>
      <c r="E106" s="119"/>
      <c r="F106" s="119"/>
      <c r="G106" s="100"/>
      <c r="H106" s="100"/>
      <c r="I106" s="100"/>
      <c r="J106" s="100"/>
      <c r="K106" s="100"/>
      <c r="L106" s="100"/>
      <c r="M106" s="100"/>
      <c r="N106" s="100"/>
      <c r="O106" s="100"/>
      <c r="P106" s="100"/>
      <c r="Q106" s="100"/>
      <c r="R106" s="100"/>
      <c r="S106" s="100"/>
      <c r="T106" s="100"/>
      <c r="U106" s="100"/>
      <c r="V106" s="100"/>
      <c r="W106" s="100"/>
      <c r="X106" s="100"/>
      <c r="Y106" s="100"/>
      <c r="Z106" s="100"/>
      <c r="AA106" s="100"/>
      <c r="AB106" s="100"/>
      <c r="AC106" s="100"/>
      <c r="AD106" s="100"/>
    </row>
    <row r="107">
      <c r="A107" s="118"/>
      <c r="B107" s="118"/>
      <c r="C107" s="118"/>
      <c r="D107" s="119"/>
      <c r="E107" s="119"/>
      <c r="F107" s="119"/>
      <c r="G107" s="100"/>
      <c r="H107" s="100"/>
      <c r="I107" s="100"/>
      <c r="J107" s="100"/>
      <c r="K107" s="100"/>
      <c r="L107" s="100"/>
      <c r="M107" s="100"/>
      <c r="N107" s="100"/>
      <c r="O107" s="100"/>
      <c r="P107" s="100"/>
      <c r="Q107" s="100"/>
      <c r="R107" s="100"/>
      <c r="S107" s="100"/>
      <c r="T107" s="100"/>
      <c r="U107" s="100"/>
      <c r="V107" s="100"/>
      <c r="W107" s="100"/>
      <c r="X107" s="100"/>
      <c r="Y107" s="100"/>
      <c r="Z107" s="100"/>
      <c r="AA107" s="100"/>
      <c r="AB107" s="100"/>
      <c r="AC107" s="100"/>
      <c r="AD107" s="100"/>
    </row>
    <row r="108">
      <c r="A108" s="118"/>
      <c r="B108" s="118"/>
      <c r="C108" s="118"/>
      <c r="D108" s="119"/>
      <c r="E108" s="119"/>
      <c r="F108" s="119"/>
      <c r="G108" s="100"/>
      <c r="H108" s="100"/>
      <c r="I108" s="100"/>
      <c r="J108" s="100"/>
      <c r="K108" s="100"/>
      <c r="L108" s="100"/>
      <c r="M108" s="100"/>
      <c r="N108" s="100"/>
      <c r="O108" s="100"/>
      <c r="P108" s="100"/>
      <c r="Q108" s="100"/>
      <c r="R108" s="100"/>
      <c r="S108" s="100"/>
      <c r="T108" s="100"/>
      <c r="U108" s="100"/>
      <c r="V108" s="100"/>
      <c r="W108" s="100"/>
      <c r="X108" s="100"/>
      <c r="Y108" s="100"/>
      <c r="Z108" s="100"/>
      <c r="AA108" s="100"/>
      <c r="AB108" s="100"/>
      <c r="AC108" s="100"/>
      <c r="AD108" s="100"/>
    </row>
    <row r="109">
      <c r="A109" s="118"/>
      <c r="B109" s="118"/>
      <c r="C109" s="118"/>
      <c r="D109" s="119"/>
      <c r="E109" s="119"/>
      <c r="F109" s="119"/>
      <c r="G109" s="100"/>
      <c r="H109" s="100"/>
      <c r="I109" s="100"/>
      <c r="J109" s="100"/>
      <c r="K109" s="100"/>
      <c r="L109" s="100"/>
      <c r="M109" s="100"/>
      <c r="N109" s="100"/>
      <c r="O109" s="100"/>
      <c r="P109" s="100"/>
      <c r="Q109" s="100"/>
      <c r="R109" s="100"/>
      <c r="S109" s="100"/>
      <c r="T109" s="100"/>
      <c r="U109" s="100"/>
      <c r="V109" s="100"/>
      <c r="W109" s="100"/>
      <c r="X109" s="100"/>
      <c r="Y109" s="100"/>
      <c r="Z109" s="100"/>
      <c r="AA109" s="100"/>
      <c r="AB109" s="100"/>
      <c r="AC109" s="100"/>
      <c r="AD109" s="100"/>
    </row>
    <row r="110">
      <c r="A110" s="118"/>
      <c r="B110" s="118"/>
      <c r="C110" s="118"/>
      <c r="D110" s="119"/>
      <c r="E110" s="119"/>
      <c r="F110" s="119"/>
      <c r="G110" s="100"/>
      <c r="H110" s="100"/>
      <c r="I110" s="100"/>
      <c r="J110" s="100"/>
      <c r="K110" s="100"/>
      <c r="L110" s="100"/>
      <c r="M110" s="100"/>
      <c r="N110" s="100"/>
      <c r="O110" s="100"/>
      <c r="P110" s="100"/>
      <c r="Q110" s="100"/>
      <c r="R110" s="100"/>
      <c r="S110" s="100"/>
      <c r="T110" s="100"/>
      <c r="U110" s="100"/>
      <c r="V110" s="100"/>
      <c r="W110" s="100"/>
      <c r="X110" s="100"/>
      <c r="Y110" s="100"/>
      <c r="Z110" s="100"/>
      <c r="AA110" s="100"/>
      <c r="AB110" s="100"/>
      <c r="AC110" s="100"/>
      <c r="AD110" s="100"/>
    </row>
    <row r="111">
      <c r="A111" s="118"/>
      <c r="B111" s="118"/>
      <c r="C111" s="118"/>
      <c r="D111" s="119"/>
      <c r="E111" s="119"/>
      <c r="F111" s="119"/>
      <c r="G111" s="100"/>
      <c r="H111" s="100"/>
      <c r="I111" s="100"/>
      <c r="J111" s="100"/>
      <c r="K111" s="100"/>
      <c r="L111" s="100"/>
      <c r="M111" s="100"/>
      <c r="N111" s="100"/>
      <c r="O111" s="100"/>
      <c r="P111" s="100"/>
      <c r="Q111" s="100"/>
      <c r="R111" s="100"/>
      <c r="S111" s="100"/>
      <c r="T111" s="100"/>
      <c r="U111" s="100"/>
      <c r="V111" s="100"/>
      <c r="W111" s="100"/>
      <c r="X111" s="100"/>
      <c r="Y111" s="100"/>
      <c r="Z111" s="100"/>
      <c r="AA111" s="100"/>
      <c r="AB111" s="100"/>
      <c r="AC111" s="100"/>
      <c r="AD111" s="100"/>
    </row>
    <row r="112">
      <c r="A112" s="118"/>
      <c r="B112" s="118"/>
      <c r="C112" s="118"/>
      <c r="D112" s="119"/>
      <c r="E112" s="119"/>
      <c r="F112" s="119"/>
      <c r="G112" s="100"/>
      <c r="H112" s="100"/>
      <c r="I112" s="100"/>
      <c r="J112" s="100"/>
      <c r="K112" s="100"/>
      <c r="L112" s="100"/>
      <c r="M112" s="100"/>
      <c r="N112" s="100"/>
      <c r="O112" s="100"/>
      <c r="P112" s="100"/>
      <c r="Q112" s="100"/>
      <c r="R112" s="100"/>
      <c r="S112" s="100"/>
      <c r="T112" s="100"/>
      <c r="U112" s="100"/>
      <c r="V112" s="100"/>
      <c r="W112" s="100"/>
      <c r="X112" s="100"/>
      <c r="Y112" s="100"/>
      <c r="Z112" s="100"/>
      <c r="AA112" s="100"/>
      <c r="AB112" s="100"/>
      <c r="AC112" s="100"/>
      <c r="AD112" s="100"/>
    </row>
    <row r="113">
      <c r="A113" s="118"/>
      <c r="B113" s="118"/>
      <c r="C113" s="118"/>
      <c r="D113" s="119"/>
      <c r="E113" s="119"/>
      <c r="F113" s="119"/>
      <c r="G113" s="100"/>
      <c r="H113" s="100"/>
      <c r="I113" s="100"/>
      <c r="J113" s="100"/>
      <c r="K113" s="100"/>
      <c r="L113" s="100"/>
      <c r="M113" s="100"/>
      <c r="N113" s="100"/>
      <c r="O113" s="100"/>
      <c r="P113" s="100"/>
      <c r="Q113" s="100"/>
      <c r="R113" s="100"/>
      <c r="S113" s="100"/>
      <c r="T113" s="100"/>
      <c r="U113" s="100"/>
      <c r="V113" s="100"/>
      <c r="W113" s="100"/>
      <c r="X113" s="100"/>
      <c r="Y113" s="100"/>
      <c r="Z113" s="100"/>
      <c r="AA113" s="100"/>
      <c r="AB113" s="100"/>
      <c r="AC113" s="100"/>
      <c r="AD113" s="100"/>
    </row>
    <row r="114">
      <c r="A114" s="118"/>
      <c r="B114" s="118"/>
      <c r="C114" s="118"/>
      <c r="D114" s="119"/>
      <c r="E114" s="119"/>
      <c r="F114" s="119"/>
      <c r="G114" s="100"/>
      <c r="H114" s="100"/>
      <c r="I114" s="100"/>
      <c r="J114" s="100"/>
      <c r="K114" s="100"/>
      <c r="L114" s="100"/>
      <c r="M114" s="100"/>
      <c r="N114" s="100"/>
      <c r="O114" s="100"/>
      <c r="P114" s="100"/>
      <c r="Q114" s="100"/>
      <c r="R114" s="100"/>
      <c r="S114" s="100"/>
      <c r="T114" s="100"/>
      <c r="U114" s="100"/>
      <c r="V114" s="100"/>
      <c r="W114" s="100"/>
      <c r="X114" s="100"/>
      <c r="Y114" s="100"/>
      <c r="Z114" s="100"/>
      <c r="AA114" s="100"/>
      <c r="AB114" s="100"/>
      <c r="AC114" s="100"/>
      <c r="AD114" s="100"/>
    </row>
    <row r="115">
      <c r="A115" s="118"/>
      <c r="B115" s="118"/>
      <c r="C115" s="118"/>
      <c r="D115" s="119"/>
      <c r="E115" s="119"/>
      <c r="F115" s="119"/>
      <c r="G115" s="100"/>
      <c r="H115" s="100"/>
      <c r="I115" s="100"/>
      <c r="J115" s="100"/>
      <c r="K115" s="100"/>
      <c r="L115" s="100"/>
      <c r="M115" s="100"/>
      <c r="N115" s="100"/>
      <c r="O115" s="100"/>
      <c r="P115" s="100"/>
      <c r="Q115" s="100"/>
      <c r="R115" s="100"/>
      <c r="S115" s="100"/>
      <c r="T115" s="100"/>
      <c r="U115" s="100"/>
      <c r="V115" s="100"/>
      <c r="W115" s="100"/>
      <c r="X115" s="100"/>
      <c r="Y115" s="100"/>
      <c r="Z115" s="100"/>
      <c r="AA115" s="100"/>
      <c r="AB115" s="100"/>
      <c r="AC115" s="100"/>
      <c r="AD115" s="100"/>
    </row>
    <row r="116">
      <c r="A116" s="118"/>
      <c r="B116" s="118"/>
      <c r="C116" s="118"/>
      <c r="D116" s="119"/>
      <c r="E116" s="119"/>
      <c r="F116" s="119"/>
      <c r="G116" s="100"/>
      <c r="H116" s="100"/>
      <c r="I116" s="100"/>
      <c r="J116" s="100"/>
      <c r="K116" s="100"/>
      <c r="L116" s="100"/>
      <c r="M116" s="100"/>
      <c r="N116" s="100"/>
      <c r="O116" s="100"/>
      <c r="P116" s="100"/>
      <c r="Q116" s="100"/>
      <c r="R116" s="100"/>
      <c r="S116" s="100"/>
      <c r="T116" s="100"/>
      <c r="U116" s="100"/>
      <c r="V116" s="100"/>
      <c r="W116" s="100"/>
      <c r="X116" s="100"/>
      <c r="Y116" s="100"/>
      <c r="Z116" s="100"/>
      <c r="AA116" s="100"/>
      <c r="AB116" s="100"/>
      <c r="AC116" s="100"/>
      <c r="AD116" s="100"/>
    </row>
    <row r="117">
      <c r="A117" s="118"/>
      <c r="B117" s="118"/>
      <c r="C117" s="118"/>
      <c r="D117" s="119"/>
      <c r="E117" s="119"/>
      <c r="F117" s="119"/>
      <c r="G117" s="100"/>
      <c r="H117" s="100"/>
      <c r="I117" s="100"/>
      <c r="J117" s="100"/>
      <c r="K117" s="100"/>
      <c r="L117" s="100"/>
      <c r="M117" s="100"/>
      <c r="N117" s="100"/>
      <c r="O117" s="100"/>
      <c r="P117" s="100"/>
      <c r="Q117" s="100"/>
      <c r="R117" s="100"/>
      <c r="S117" s="100"/>
      <c r="T117" s="100"/>
      <c r="U117" s="100"/>
      <c r="V117" s="100"/>
      <c r="W117" s="100"/>
      <c r="X117" s="100"/>
      <c r="Y117" s="100"/>
      <c r="Z117" s="100"/>
      <c r="AA117" s="100"/>
      <c r="AB117" s="100"/>
      <c r="AC117" s="100"/>
      <c r="AD117" s="100"/>
    </row>
    <row r="118">
      <c r="A118" s="118"/>
      <c r="B118" s="118"/>
      <c r="C118" s="118"/>
      <c r="D118" s="119"/>
      <c r="E118" s="119"/>
      <c r="F118" s="119"/>
      <c r="G118" s="100"/>
      <c r="H118" s="100"/>
      <c r="I118" s="100"/>
      <c r="J118" s="100"/>
      <c r="K118" s="100"/>
      <c r="L118" s="100"/>
      <c r="M118" s="100"/>
      <c r="N118" s="100"/>
      <c r="O118" s="100"/>
      <c r="P118" s="100"/>
      <c r="Q118" s="100"/>
      <c r="R118" s="100"/>
      <c r="S118" s="100"/>
      <c r="T118" s="100"/>
      <c r="U118" s="100"/>
      <c r="V118" s="100"/>
      <c r="W118" s="100"/>
      <c r="X118" s="100"/>
      <c r="Y118" s="100"/>
      <c r="Z118" s="100"/>
      <c r="AA118" s="100"/>
      <c r="AB118" s="100"/>
      <c r="AC118" s="100"/>
      <c r="AD118" s="100"/>
    </row>
    <row r="119">
      <c r="A119" s="118"/>
      <c r="B119" s="118"/>
      <c r="C119" s="118"/>
      <c r="D119" s="119"/>
      <c r="E119" s="119"/>
      <c r="F119" s="119"/>
      <c r="G119" s="100"/>
      <c r="H119" s="100"/>
      <c r="I119" s="100"/>
      <c r="J119" s="100"/>
      <c r="K119" s="100"/>
      <c r="L119" s="100"/>
      <c r="M119" s="100"/>
      <c r="N119" s="100"/>
      <c r="O119" s="100"/>
      <c r="P119" s="100"/>
      <c r="Q119" s="100"/>
      <c r="R119" s="100"/>
      <c r="S119" s="100"/>
      <c r="T119" s="100"/>
      <c r="U119" s="100"/>
      <c r="V119" s="100"/>
      <c r="W119" s="100"/>
      <c r="X119" s="100"/>
      <c r="Y119" s="100"/>
      <c r="Z119" s="100"/>
      <c r="AA119" s="100"/>
      <c r="AB119" s="100"/>
      <c r="AC119" s="100"/>
      <c r="AD119" s="100"/>
    </row>
    <row r="120">
      <c r="A120" s="118"/>
      <c r="B120" s="118"/>
      <c r="C120" s="118"/>
      <c r="D120" s="119"/>
      <c r="E120" s="119"/>
      <c r="F120" s="119"/>
      <c r="G120" s="100"/>
      <c r="H120" s="100"/>
      <c r="I120" s="100"/>
      <c r="J120" s="100"/>
      <c r="K120" s="100"/>
      <c r="L120" s="100"/>
      <c r="M120" s="100"/>
      <c r="N120" s="100"/>
      <c r="O120" s="100"/>
      <c r="P120" s="100"/>
      <c r="Q120" s="100"/>
      <c r="R120" s="100"/>
      <c r="S120" s="100"/>
      <c r="T120" s="100"/>
      <c r="U120" s="100"/>
      <c r="V120" s="100"/>
      <c r="W120" s="100"/>
      <c r="X120" s="100"/>
      <c r="Y120" s="100"/>
      <c r="Z120" s="100"/>
      <c r="AA120" s="100"/>
      <c r="AB120" s="100"/>
      <c r="AC120" s="100"/>
      <c r="AD120" s="100"/>
    </row>
    <row r="121">
      <c r="A121" s="118"/>
      <c r="B121" s="118"/>
      <c r="C121" s="118"/>
      <c r="D121" s="119"/>
      <c r="E121" s="119"/>
      <c r="F121" s="119"/>
      <c r="G121" s="100"/>
      <c r="H121" s="100"/>
      <c r="I121" s="100"/>
      <c r="J121" s="100"/>
      <c r="K121" s="100"/>
      <c r="L121" s="100"/>
      <c r="M121" s="100"/>
      <c r="N121" s="100"/>
      <c r="O121" s="100"/>
      <c r="P121" s="100"/>
      <c r="Q121" s="100"/>
      <c r="R121" s="100"/>
      <c r="S121" s="100"/>
      <c r="T121" s="100"/>
      <c r="U121" s="100"/>
      <c r="V121" s="100"/>
      <c r="W121" s="100"/>
      <c r="X121" s="100"/>
      <c r="Y121" s="100"/>
      <c r="Z121" s="100"/>
      <c r="AA121" s="100"/>
      <c r="AB121" s="100"/>
      <c r="AC121" s="100"/>
      <c r="AD121" s="100"/>
    </row>
    <row r="122">
      <c r="A122" s="118"/>
      <c r="B122" s="118"/>
      <c r="C122" s="118"/>
      <c r="D122" s="119"/>
      <c r="E122" s="119"/>
      <c r="F122" s="119"/>
      <c r="G122" s="100"/>
      <c r="H122" s="100"/>
      <c r="I122" s="100"/>
      <c r="J122" s="100"/>
      <c r="K122" s="100"/>
      <c r="L122" s="100"/>
      <c r="M122" s="100"/>
      <c r="N122" s="100"/>
      <c r="O122" s="100"/>
      <c r="P122" s="100"/>
      <c r="Q122" s="100"/>
      <c r="R122" s="100"/>
      <c r="S122" s="100"/>
      <c r="T122" s="100"/>
      <c r="U122" s="100"/>
      <c r="V122" s="100"/>
      <c r="W122" s="100"/>
      <c r="X122" s="100"/>
      <c r="Y122" s="100"/>
      <c r="Z122" s="100"/>
      <c r="AA122" s="100"/>
      <c r="AB122" s="100"/>
      <c r="AC122" s="100"/>
      <c r="AD122" s="100"/>
    </row>
    <row r="123">
      <c r="A123" s="118"/>
      <c r="B123" s="118"/>
      <c r="C123" s="118"/>
      <c r="D123" s="119"/>
      <c r="E123" s="119"/>
      <c r="F123" s="119"/>
      <c r="G123" s="100"/>
      <c r="H123" s="100"/>
      <c r="I123" s="100"/>
      <c r="J123" s="100"/>
      <c r="K123" s="100"/>
      <c r="L123" s="100"/>
      <c r="M123" s="100"/>
      <c r="N123" s="100"/>
      <c r="O123" s="100"/>
      <c r="P123" s="100"/>
      <c r="Q123" s="100"/>
      <c r="R123" s="100"/>
      <c r="S123" s="100"/>
      <c r="T123" s="100"/>
      <c r="U123" s="100"/>
      <c r="V123" s="100"/>
      <c r="W123" s="100"/>
      <c r="X123" s="100"/>
      <c r="Y123" s="100"/>
      <c r="Z123" s="100"/>
      <c r="AA123" s="100"/>
      <c r="AB123" s="100"/>
      <c r="AC123" s="100"/>
      <c r="AD123" s="100"/>
    </row>
    <row r="124">
      <c r="A124" s="118"/>
      <c r="B124" s="118"/>
      <c r="C124" s="118"/>
      <c r="D124" s="119"/>
      <c r="E124" s="119"/>
      <c r="F124" s="119"/>
      <c r="G124" s="100"/>
      <c r="H124" s="100"/>
      <c r="I124" s="100"/>
      <c r="J124" s="100"/>
      <c r="K124" s="100"/>
      <c r="L124" s="100"/>
      <c r="M124" s="100"/>
      <c r="N124" s="100"/>
      <c r="O124" s="100"/>
      <c r="P124" s="100"/>
      <c r="Q124" s="100"/>
      <c r="R124" s="100"/>
      <c r="S124" s="100"/>
      <c r="T124" s="100"/>
      <c r="U124" s="100"/>
      <c r="V124" s="100"/>
      <c r="W124" s="100"/>
      <c r="X124" s="100"/>
      <c r="Y124" s="100"/>
      <c r="Z124" s="100"/>
      <c r="AA124" s="100"/>
      <c r="AB124" s="100"/>
      <c r="AC124" s="100"/>
      <c r="AD124" s="100"/>
    </row>
    <row r="125">
      <c r="A125" s="118"/>
      <c r="B125" s="118"/>
      <c r="C125" s="118"/>
      <c r="D125" s="119"/>
      <c r="E125" s="119"/>
      <c r="F125" s="119"/>
      <c r="G125" s="100"/>
      <c r="H125" s="100"/>
      <c r="I125" s="100"/>
      <c r="J125" s="100"/>
      <c r="K125" s="100"/>
      <c r="L125" s="100"/>
      <c r="M125" s="100"/>
      <c r="N125" s="100"/>
      <c r="O125" s="100"/>
      <c r="P125" s="100"/>
      <c r="Q125" s="100"/>
      <c r="R125" s="100"/>
      <c r="S125" s="100"/>
      <c r="T125" s="100"/>
      <c r="U125" s="100"/>
      <c r="V125" s="100"/>
      <c r="W125" s="100"/>
      <c r="X125" s="100"/>
      <c r="Y125" s="100"/>
      <c r="Z125" s="100"/>
      <c r="AA125" s="100"/>
      <c r="AB125" s="100"/>
      <c r="AC125" s="100"/>
      <c r="AD125" s="100"/>
    </row>
    <row r="126">
      <c r="A126" s="118"/>
      <c r="B126" s="118"/>
      <c r="C126" s="118"/>
      <c r="D126" s="119"/>
      <c r="E126" s="119"/>
      <c r="F126" s="119"/>
      <c r="G126" s="100"/>
      <c r="H126" s="100"/>
      <c r="I126" s="100"/>
      <c r="J126" s="100"/>
      <c r="K126" s="100"/>
      <c r="L126" s="100"/>
      <c r="M126" s="100"/>
      <c r="N126" s="100"/>
      <c r="O126" s="100"/>
      <c r="P126" s="100"/>
      <c r="Q126" s="100"/>
      <c r="R126" s="100"/>
      <c r="S126" s="100"/>
      <c r="T126" s="100"/>
      <c r="U126" s="100"/>
      <c r="V126" s="100"/>
      <c r="W126" s="100"/>
      <c r="X126" s="100"/>
      <c r="Y126" s="100"/>
      <c r="Z126" s="100"/>
      <c r="AA126" s="100"/>
      <c r="AB126" s="100"/>
      <c r="AC126" s="100"/>
      <c r="AD126" s="100"/>
    </row>
    <row r="127">
      <c r="A127" s="118"/>
      <c r="B127" s="118"/>
      <c r="C127" s="118"/>
      <c r="D127" s="119"/>
      <c r="E127" s="119"/>
      <c r="F127" s="119"/>
      <c r="G127" s="100"/>
      <c r="H127" s="100"/>
      <c r="I127" s="100"/>
      <c r="J127" s="100"/>
      <c r="K127" s="100"/>
      <c r="L127" s="100"/>
      <c r="M127" s="100"/>
      <c r="N127" s="100"/>
      <c r="O127" s="100"/>
      <c r="P127" s="100"/>
      <c r="Q127" s="100"/>
      <c r="R127" s="100"/>
      <c r="S127" s="100"/>
      <c r="T127" s="100"/>
      <c r="U127" s="100"/>
      <c r="V127" s="100"/>
      <c r="W127" s="100"/>
      <c r="X127" s="100"/>
      <c r="Y127" s="100"/>
      <c r="Z127" s="100"/>
      <c r="AA127" s="100"/>
      <c r="AB127" s="100"/>
      <c r="AC127" s="100"/>
      <c r="AD127" s="100"/>
    </row>
    <row r="128">
      <c r="A128" s="118"/>
      <c r="B128" s="118"/>
      <c r="C128" s="118"/>
      <c r="D128" s="119"/>
      <c r="E128" s="119"/>
      <c r="F128" s="119"/>
      <c r="G128" s="100"/>
      <c r="H128" s="100"/>
      <c r="I128" s="100"/>
      <c r="J128" s="100"/>
      <c r="K128" s="100"/>
      <c r="L128" s="100"/>
      <c r="M128" s="100"/>
      <c r="N128" s="100"/>
      <c r="O128" s="100"/>
      <c r="P128" s="100"/>
      <c r="Q128" s="100"/>
      <c r="R128" s="100"/>
      <c r="S128" s="100"/>
      <c r="T128" s="100"/>
      <c r="U128" s="100"/>
      <c r="V128" s="100"/>
      <c r="W128" s="100"/>
      <c r="X128" s="100"/>
      <c r="Y128" s="100"/>
      <c r="Z128" s="100"/>
      <c r="AA128" s="100"/>
      <c r="AB128" s="100"/>
      <c r="AC128" s="100"/>
      <c r="AD128" s="100"/>
    </row>
    <row r="129">
      <c r="A129" s="118"/>
      <c r="B129" s="118"/>
      <c r="C129" s="118"/>
      <c r="D129" s="119"/>
      <c r="E129" s="119"/>
      <c r="F129" s="119"/>
      <c r="G129" s="100"/>
      <c r="H129" s="100"/>
      <c r="I129" s="100"/>
      <c r="J129" s="100"/>
      <c r="K129" s="100"/>
      <c r="L129" s="100"/>
      <c r="M129" s="100"/>
      <c r="N129" s="100"/>
      <c r="O129" s="100"/>
      <c r="P129" s="100"/>
      <c r="Q129" s="100"/>
      <c r="R129" s="100"/>
      <c r="S129" s="100"/>
      <c r="T129" s="100"/>
      <c r="U129" s="100"/>
      <c r="V129" s="100"/>
      <c r="W129" s="100"/>
      <c r="X129" s="100"/>
      <c r="Y129" s="100"/>
      <c r="Z129" s="100"/>
      <c r="AA129" s="100"/>
      <c r="AB129" s="100"/>
      <c r="AC129" s="100"/>
      <c r="AD129" s="100"/>
    </row>
    <row r="130">
      <c r="A130" s="118"/>
      <c r="B130" s="118"/>
      <c r="C130" s="118"/>
      <c r="D130" s="119"/>
      <c r="E130" s="119"/>
      <c r="F130" s="119"/>
      <c r="G130" s="100"/>
      <c r="H130" s="100"/>
      <c r="I130" s="100"/>
      <c r="J130" s="100"/>
      <c r="K130" s="100"/>
      <c r="L130" s="100"/>
      <c r="M130" s="100"/>
      <c r="N130" s="100"/>
      <c r="O130" s="100"/>
      <c r="P130" s="100"/>
      <c r="Q130" s="100"/>
      <c r="R130" s="100"/>
      <c r="S130" s="100"/>
      <c r="T130" s="100"/>
      <c r="U130" s="100"/>
      <c r="V130" s="100"/>
      <c r="W130" s="100"/>
      <c r="X130" s="100"/>
      <c r="Y130" s="100"/>
      <c r="Z130" s="100"/>
      <c r="AA130" s="100"/>
      <c r="AB130" s="100"/>
      <c r="AC130" s="100"/>
      <c r="AD130" s="100"/>
    </row>
    <row r="131">
      <c r="A131" s="118"/>
      <c r="B131" s="118"/>
      <c r="C131" s="118"/>
      <c r="D131" s="119"/>
      <c r="E131" s="119"/>
      <c r="F131" s="119"/>
      <c r="G131" s="100"/>
      <c r="H131" s="100"/>
      <c r="I131" s="100"/>
      <c r="J131" s="100"/>
      <c r="K131" s="100"/>
      <c r="L131" s="100"/>
      <c r="M131" s="100"/>
      <c r="N131" s="100"/>
      <c r="O131" s="100"/>
      <c r="P131" s="100"/>
      <c r="Q131" s="100"/>
      <c r="R131" s="100"/>
      <c r="S131" s="100"/>
      <c r="T131" s="100"/>
      <c r="U131" s="100"/>
      <c r="V131" s="100"/>
      <c r="W131" s="100"/>
      <c r="X131" s="100"/>
      <c r="Y131" s="100"/>
      <c r="Z131" s="100"/>
      <c r="AA131" s="100"/>
      <c r="AB131" s="100"/>
      <c r="AC131" s="100"/>
      <c r="AD131" s="100"/>
    </row>
    <row r="132">
      <c r="A132" s="118"/>
      <c r="B132" s="118"/>
      <c r="C132" s="118"/>
      <c r="D132" s="119"/>
      <c r="E132" s="119"/>
      <c r="F132" s="119"/>
      <c r="G132" s="100"/>
      <c r="H132" s="100"/>
      <c r="I132" s="100"/>
      <c r="J132" s="100"/>
      <c r="K132" s="100"/>
      <c r="L132" s="100"/>
      <c r="M132" s="100"/>
      <c r="N132" s="100"/>
      <c r="O132" s="100"/>
      <c r="P132" s="100"/>
      <c r="Q132" s="100"/>
      <c r="R132" s="100"/>
      <c r="S132" s="100"/>
      <c r="T132" s="100"/>
      <c r="U132" s="100"/>
      <c r="V132" s="100"/>
      <c r="W132" s="100"/>
      <c r="X132" s="100"/>
      <c r="Y132" s="100"/>
      <c r="Z132" s="100"/>
      <c r="AA132" s="100"/>
      <c r="AB132" s="100"/>
      <c r="AC132" s="100"/>
      <c r="AD132" s="100"/>
    </row>
    <row r="133">
      <c r="A133" s="118"/>
      <c r="B133" s="118"/>
      <c r="C133" s="118"/>
      <c r="D133" s="119"/>
      <c r="E133" s="119"/>
      <c r="F133" s="119"/>
      <c r="G133" s="100"/>
      <c r="H133" s="100"/>
      <c r="I133" s="100"/>
      <c r="J133" s="100"/>
      <c r="K133" s="100"/>
      <c r="L133" s="100"/>
      <c r="M133" s="100"/>
      <c r="N133" s="100"/>
      <c r="O133" s="100"/>
      <c r="P133" s="100"/>
      <c r="Q133" s="100"/>
      <c r="R133" s="100"/>
      <c r="S133" s="100"/>
      <c r="T133" s="100"/>
      <c r="U133" s="100"/>
      <c r="V133" s="100"/>
      <c r="W133" s="100"/>
      <c r="X133" s="100"/>
      <c r="Y133" s="100"/>
      <c r="Z133" s="100"/>
      <c r="AA133" s="100"/>
      <c r="AB133" s="100"/>
      <c r="AC133" s="100"/>
      <c r="AD133" s="100"/>
    </row>
    <row r="134">
      <c r="A134" s="118"/>
      <c r="B134" s="118"/>
      <c r="C134" s="118"/>
      <c r="D134" s="119"/>
      <c r="E134" s="119"/>
      <c r="F134" s="119"/>
      <c r="G134" s="100"/>
      <c r="H134" s="100"/>
      <c r="I134" s="100"/>
      <c r="J134" s="100"/>
      <c r="K134" s="100"/>
      <c r="L134" s="100"/>
      <c r="M134" s="100"/>
      <c r="N134" s="100"/>
      <c r="O134" s="100"/>
      <c r="P134" s="100"/>
      <c r="Q134" s="100"/>
      <c r="R134" s="100"/>
      <c r="S134" s="100"/>
      <c r="T134" s="100"/>
      <c r="U134" s="100"/>
      <c r="V134" s="100"/>
      <c r="W134" s="100"/>
      <c r="X134" s="100"/>
      <c r="Y134" s="100"/>
      <c r="Z134" s="100"/>
      <c r="AA134" s="100"/>
      <c r="AB134" s="100"/>
      <c r="AC134" s="100"/>
      <c r="AD134" s="100"/>
    </row>
    <row r="135">
      <c r="A135" s="118"/>
      <c r="B135" s="118"/>
      <c r="C135" s="118"/>
      <c r="D135" s="119"/>
      <c r="E135" s="119"/>
      <c r="F135" s="119"/>
      <c r="G135" s="100"/>
      <c r="H135" s="100"/>
      <c r="I135" s="100"/>
      <c r="J135" s="100"/>
      <c r="K135" s="100"/>
      <c r="L135" s="100"/>
      <c r="M135" s="100"/>
      <c r="N135" s="100"/>
      <c r="O135" s="100"/>
      <c r="P135" s="100"/>
      <c r="Q135" s="100"/>
      <c r="R135" s="100"/>
      <c r="S135" s="100"/>
      <c r="T135" s="100"/>
      <c r="U135" s="100"/>
      <c r="V135" s="100"/>
      <c r="W135" s="100"/>
      <c r="X135" s="100"/>
      <c r="Y135" s="100"/>
      <c r="Z135" s="100"/>
      <c r="AA135" s="100"/>
      <c r="AB135" s="100"/>
      <c r="AC135" s="100"/>
      <c r="AD135" s="100"/>
    </row>
    <row r="136">
      <c r="A136" s="118"/>
      <c r="B136" s="118"/>
      <c r="C136" s="118"/>
      <c r="D136" s="119"/>
      <c r="E136" s="119"/>
      <c r="F136" s="119"/>
      <c r="G136" s="100"/>
      <c r="H136" s="100"/>
      <c r="I136" s="100"/>
      <c r="J136" s="100"/>
      <c r="K136" s="100"/>
      <c r="L136" s="100"/>
      <c r="M136" s="100"/>
      <c r="N136" s="100"/>
      <c r="O136" s="100"/>
      <c r="P136" s="100"/>
      <c r="Q136" s="100"/>
      <c r="R136" s="100"/>
      <c r="S136" s="100"/>
      <c r="T136" s="100"/>
      <c r="U136" s="100"/>
      <c r="V136" s="100"/>
      <c r="W136" s="100"/>
      <c r="X136" s="100"/>
      <c r="Y136" s="100"/>
      <c r="Z136" s="100"/>
      <c r="AA136" s="100"/>
      <c r="AB136" s="100"/>
      <c r="AC136" s="100"/>
      <c r="AD136" s="100"/>
    </row>
    <row r="137">
      <c r="A137" s="118"/>
      <c r="B137" s="118"/>
      <c r="C137" s="118"/>
      <c r="D137" s="119"/>
      <c r="E137" s="119"/>
      <c r="F137" s="119"/>
      <c r="G137" s="100"/>
      <c r="H137" s="100"/>
      <c r="I137" s="100"/>
      <c r="J137" s="100"/>
      <c r="K137" s="100"/>
      <c r="L137" s="100"/>
      <c r="M137" s="100"/>
      <c r="N137" s="100"/>
      <c r="O137" s="100"/>
      <c r="P137" s="100"/>
      <c r="Q137" s="100"/>
      <c r="R137" s="100"/>
      <c r="S137" s="100"/>
      <c r="T137" s="100"/>
      <c r="U137" s="100"/>
      <c r="V137" s="100"/>
      <c r="W137" s="100"/>
      <c r="X137" s="100"/>
      <c r="Y137" s="100"/>
      <c r="Z137" s="100"/>
      <c r="AA137" s="100"/>
      <c r="AB137" s="100"/>
      <c r="AC137" s="100"/>
      <c r="AD137" s="100"/>
    </row>
    <row r="138">
      <c r="A138" s="118"/>
      <c r="B138" s="118"/>
      <c r="C138" s="118"/>
      <c r="D138" s="119"/>
      <c r="E138" s="119"/>
      <c r="F138" s="119"/>
      <c r="G138" s="100"/>
      <c r="H138" s="100"/>
      <c r="I138" s="100"/>
      <c r="J138" s="100"/>
      <c r="K138" s="100"/>
      <c r="L138" s="100"/>
      <c r="M138" s="100"/>
      <c r="N138" s="100"/>
      <c r="O138" s="100"/>
      <c r="P138" s="100"/>
      <c r="Q138" s="100"/>
      <c r="R138" s="100"/>
      <c r="S138" s="100"/>
      <c r="T138" s="100"/>
      <c r="U138" s="100"/>
      <c r="V138" s="100"/>
      <c r="W138" s="100"/>
      <c r="X138" s="100"/>
      <c r="Y138" s="100"/>
      <c r="Z138" s="100"/>
      <c r="AA138" s="100"/>
      <c r="AB138" s="100"/>
      <c r="AC138" s="100"/>
      <c r="AD138" s="100"/>
    </row>
    <row r="139">
      <c r="A139" s="118"/>
      <c r="B139" s="118"/>
      <c r="C139" s="118"/>
      <c r="D139" s="119"/>
      <c r="E139" s="119"/>
      <c r="F139" s="119"/>
      <c r="G139" s="100"/>
      <c r="H139" s="100"/>
      <c r="I139" s="100"/>
      <c r="J139" s="100"/>
      <c r="K139" s="100"/>
      <c r="L139" s="100"/>
      <c r="M139" s="100"/>
      <c r="N139" s="100"/>
      <c r="O139" s="100"/>
      <c r="P139" s="100"/>
      <c r="Q139" s="100"/>
      <c r="R139" s="100"/>
      <c r="S139" s="100"/>
      <c r="T139" s="100"/>
      <c r="U139" s="100"/>
      <c r="V139" s="100"/>
      <c r="W139" s="100"/>
      <c r="X139" s="100"/>
      <c r="Y139" s="100"/>
      <c r="Z139" s="100"/>
      <c r="AA139" s="100"/>
      <c r="AB139" s="100"/>
      <c r="AC139" s="100"/>
      <c r="AD139" s="100"/>
    </row>
    <row r="140">
      <c r="A140" s="118"/>
      <c r="B140" s="118"/>
      <c r="C140" s="118"/>
      <c r="D140" s="119"/>
      <c r="E140" s="119"/>
      <c r="F140" s="119"/>
      <c r="G140" s="100"/>
      <c r="H140" s="100"/>
      <c r="I140" s="100"/>
      <c r="J140" s="100"/>
      <c r="K140" s="100"/>
      <c r="L140" s="100"/>
      <c r="M140" s="100"/>
      <c r="N140" s="100"/>
      <c r="O140" s="100"/>
      <c r="P140" s="100"/>
      <c r="Q140" s="100"/>
      <c r="R140" s="100"/>
      <c r="S140" s="100"/>
      <c r="T140" s="100"/>
      <c r="U140" s="100"/>
      <c r="V140" s="100"/>
      <c r="W140" s="100"/>
      <c r="X140" s="100"/>
      <c r="Y140" s="100"/>
      <c r="Z140" s="100"/>
      <c r="AA140" s="100"/>
      <c r="AB140" s="100"/>
      <c r="AC140" s="100"/>
      <c r="AD140" s="100"/>
    </row>
    <row r="141">
      <c r="A141" s="118"/>
      <c r="B141" s="118"/>
      <c r="C141" s="118"/>
      <c r="D141" s="119"/>
      <c r="E141" s="119"/>
      <c r="F141" s="119"/>
      <c r="G141" s="100"/>
      <c r="H141" s="100"/>
      <c r="I141" s="100"/>
      <c r="J141" s="100"/>
      <c r="K141" s="100"/>
      <c r="L141" s="100"/>
      <c r="M141" s="100"/>
      <c r="N141" s="100"/>
      <c r="O141" s="100"/>
      <c r="P141" s="100"/>
      <c r="Q141" s="100"/>
      <c r="R141" s="100"/>
      <c r="S141" s="100"/>
      <c r="T141" s="100"/>
      <c r="U141" s="100"/>
      <c r="V141" s="100"/>
      <c r="W141" s="100"/>
      <c r="X141" s="100"/>
      <c r="Y141" s="100"/>
      <c r="Z141" s="100"/>
      <c r="AA141" s="100"/>
      <c r="AB141" s="100"/>
      <c r="AC141" s="100"/>
      <c r="AD141" s="100"/>
    </row>
    <row r="142">
      <c r="A142" s="118"/>
      <c r="B142" s="118"/>
      <c r="C142" s="118"/>
      <c r="D142" s="119"/>
      <c r="E142" s="119"/>
      <c r="F142" s="119"/>
      <c r="G142" s="100"/>
      <c r="H142" s="100"/>
      <c r="I142" s="100"/>
      <c r="J142" s="100"/>
      <c r="K142" s="100"/>
      <c r="L142" s="100"/>
      <c r="M142" s="100"/>
      <c r="N142" s="100"/>
      <c r="O142" s="100"/>
      <c r="P142" s="100"/>
      <c r="Q142" s="100"/>
      <c r="R142" s="100"/>
      <c r="S142" s="100"/>
      <c r="T142" s="100"/>
      <c r="U142" s="100"/>
      <c r="V142" s="100"/>
      <c r="W142" s="100"/>
      <c r="X142" s="100"/>
      <c r="Y142" s="100"/>
      <c r="Z142" s="100"/>
      <c r="AA142" s="100"/>
      <c r="AB142" s="100"/>
      <c r="AC142" s="100"/>
      <c r="AD142" s="100"/>
    </row>
    <row r="143">
      <c r="A143" s="118"/>
      <c r="B143" s="118"/>
      <c r="C143" s="118"/>
      <c r="D143" s="119"/>
      <c r="E143" s="119"/>
      <c r="F143" s="119"/>
      <c r="G143" s="100"/>
      <c r="H143" s="100"/>
      <c r="I143" s="100"/>
      <c r="J143" s="100"/>
      <c r="K143" s="100"/>
      <c r="L143" s="100"/>
      <c r="M143" s="100"/>
      <c r="N143" s="100"/>
      <c r="O143" s="100"/>
      <c r="P143" s="100"/>
      <c r="Q143" s="100"/>
      <c r="R143" s="100"/>
      <c r="S143" s="100"/>
      <c r="T143" s="100"/>
      <c r="U143" s="100"/>
      <c r="V143" s="100"/>
      <c r="W143" s="100"/>
      <c r="X143" s="100"/>
      <c r="Y143" s="100"/>
      <c r="Z143" s="100"/>
      <c r="AA143" s="100"/>
      <c r="AB143" s="100"/>
      <c r="AC143" s="100"/>
      <c r="AD143" s="100"/>
    </row>
    <row r="144">
      <c r="A144" s="118"/>
      <c r="B144" s="118"/>
      <c r="C144" s="118"/>
      <c r="D144" s="119"/>
      <c r="E144" s="119"/>
      <c r="F144" s="119"/>
      <c r="G144" s="100"/>
      <c r="H144" s="100"/>
      <c r="I144" s="100"/>
      <c r="J144" s="100"/>
      <c r="K144" s="100"/>
      <c r="L144" s="100"/>
      <c r="M144" s="100"/>
      <c r="N144" s="100"/>
      <c r="O144" s="100"/>
      <c r="P144" s="100"/>
      <c r="Q144" s="100"/>
      <c r="R144" s="100"/>
      <c r="S144" s="100"/>
      <c r="T144" s="100"/>
      <c r="U144" s="100"/>
      <c r="V144" s="100"/>
      <c r="W144" s="100"/>
      <c r="X144" s="100"/>
      <c r="Y144" s="100"/>
      <c r="Z144" s="100"/>
      <c r="AA144" s="100"/>
      <c r="AB144" s="100"/>
      <c r="AC144" s="100"/>
      <c r="AD144" s="100"/>
    </row>
    <row r="145">
      <c r="A145" s="118"/>
      <c r="B145" s="118"/>
      <c r="C145" s="118"/>
      <c r="D145" s="119"/>
      <c r="E145" s="119"/>
      <c r="F145" s="119"/>
      <c r="G145" s="100"/>
      <c r="H145" s="100"/>
      <c r="I145" s="100"/>
      <c r="J145" s="100"/>
      <c r="K145" s="100"/>
      <c r="L145" s="100"/>
      <c r="M145" s="100"/>
      <c r="N145" s="100"/>
      <c r="O145" s="100"/>
      <c r="P145" s="100"/>
      <c r="Q145" s="100"/>
      <c r="R145" s="100"/>
      <c r="S145" s="100"/>
      <c r="T145" s="100"/>
      <c r="U145" s="100"/>
      <c r="V145" s="100"/>
      <c r="W145" s="100"/>
      <c r="X145" s="100"/>
      <c r="Y145" s="100"/>
      <c r="Z145" s="100"/>
      <c r="AA145" s="100"/>
      <c r="AB145" s="100"/>
      <c r="AC145" s="100"/>
      <c r="AD145" s="100"/>
    </row>
    <row r="146">
      <c r="A146" s="118"/>
      <c r="B146" s="118"/>
      <c r="C146" s="118"/>
      <c r="D146" s="119"/>
      <c r="E146" s="119"/>
      <c r="F146" s="119"/>
      <c r="G146" s="100"/>
      <c r="H146" s="100"/>
      <c r="I146" s="100"/>
      <c r="J146" s="100"/>
      <c r="K146" s="100"/>
      <c r="L146" s="100"/>
      <c r="M146" s="100"/>
      <c r="N146" s="100"/>
      <c r="O146" s="100"/>
      <c r="P146" s="100"/>
      <c r="Q146" s="100"/>
      <c r="R146" s="100"/>
      <c r="S146" s="100"/>
      <c r="T146" s="100"/>
      <c r="U146" s="100"/>
      <c r="V146" s="100"/>
      <c r="W146" s="100"/>
      <c r="X146" s="100"/>
      <c r="Y146" s="100"/>
      <c r="Z146" s="100"/>
      <c r="AA146" s="100"/>
      <c r="AB146" s="100"/>
      <c r="AC146" s="100"/>
      <c r="AD146" s="100"/>
    </row>
    <row r="147">
      <c r="A147" s="118"/>
      <c r="B147" s="118"/>
      <c r="C147" s="118"/>
      <c r="D147" s="119"/>
      <c r="E147" s="119"/>
      <c r="F147" s="119"/>
      <c r="G147" s="100"/>
      <c r="H147" s="100"/>
      <c r="I147" s="100"/>
      <c r="J147" s="100"/>
      <c r="K147" s="100"/>
      <c r="L147" s="100"/>
      <c r="M147" s="100"/>
      <c r="N147" s="100"/>
      <c r="O147" s="100"/>
      <c r="P147" s="100"/>
      <c r="Q147" s="100"/>
      <c r="R147" s="100"/>
      <c r="S147" s="100"/>
      <c r="T147" s="100"/>
      <c r="U147" s="100"/>
      <c r="V147" s="100"/>
      <c r="W147" s="100"/>
      <c r="X147" s="100"/>
      <c r="Y147" s="100"/>
      <c r="Z147" s="100"/>
      <c r="AA147" s="100"/>
      <c r="AB147" s="100"/>
      <c r="AC147" s="100"/>
      <c r="AD147" s="100"/>
    </row>
    <row r="148">
      <c r="A148" s="118"/>
      <c r="B148" s="118"/>
      <c r="C148" s="118"/>
      <c r="D148" s="119"/>
      <c r="E148" s="119"/>
      <c r="F148" s="119"/>
      <c r="G148" s="100"/>
      <c r="H148" s="100"/>
      <c r="I148" s="100"/>
      <c r="J148" s="100"/>
      <c r="K148" s="100"/>
      <c r="L148" s="100"/>
      <c r="M148" s="100"/>
      <c r="N148" s="100"/>
      <c r="O148" s="100"/>
      <c r="P148" s="100"/>
      <c r="Q148" s="100"/>
      <c r="R148" s="100"/>
      <c r="S148" s="100"/>
      <c r="T148" s="100"/>
      <c r="U148" s="100"/>
      <c r="V148" s="100"/>
      <c r="W148" s="100"/>
      <c r="X148" s="100"/>
      <c r="Y148" s="100"/>
      <c r="Z148" s="100"/>
      <c r="AA148" s="100"/>
      <c r="AB148" s="100"/>
      <c r="AC148" s="100"/>
      <c r="AD148" s="100"/>
    </row>
    <row r="149">
      <c r="A149" s="118"/>
      <c r="B149" s="118"/>
      <c r="C149" s="118"/>
      <c r="D149" s="119"/>
      <c r="E149" s="119"/>
      <c r="F149" s="119"/>
      <c r="G149" s="100"/>
      <c r="H149" s="100"/>
      <c r="I149" s="100"/>
      <c r="J149" s="100"/>
      <c r="K149" s="100"/>
      <c r="L149" s="100"/>
      <c r="M149" s="100"/>
      <c r="N149" s="100"/>
      <c r="O149" s="100"/>
      <c r="P149" s="100"/>
      <c r="Q149" s="100"/>
      <c r="R149" s="100"/>
      <c r="S149" s="100"/>
      <c r="T149" s="100"/>
      <c r="U149" s="100"/>
      <c r="V149" s="100"/>
      <c r="W149" s="100"/>
      <c r="X149" s="100"/>
      <c r="Y149" s="100"/>
      <c r="Z149" s="100"/>
      <c r="AA149" s="100"/>
      <c r="AB149" s="100"/>
      <c r="AC149" s="100"/>
      <c r="AD149" s="100"/>
    </row>
    <row r="150">
      <c r="A150" s="118"/>
      <c r="B150" s="118"/>
      <c r="C150" s="118"/>
      <c r="D150" s="119"/>
      <c r="E150" s="119"/>
      <c r="F150" s="119"/>
      <c r="G150" s="100"/>
      <c r="H150" s="100"/>
      <c r="I150" s="100"/>
      <c r="J150" s="100"/>
      <c r="K150" s="100"/>
      <c r="L150" s="100"/>
      <c r="M150" s="100"/>
      <c r="N150" s="100"/>
      <c r="O150" s="100"/>
      <c r="P150" s="100"/>
      <c r="Q150" s="100"/>
      <c r="R150" s="100"/>
      <c r="S150" s="100"/>
      <c r="T150" s="100"/>
      <c r="U150" s="100"/>
      <c r="V150" s="100"/>
      <c r="W150" s="100"/>
      <c r="X150" s="100"/>
      <c r="Y150" s="100"/>
      <c r="Z150" s="100"/>
      <c r="AA150" s="100"/>
      <c r="AB150" s="100"/>
      <c r="AC150" s="100"/>
      <c r="AD150" s="100"/>
    </row>
    <row r="151">
      <c r="A151" s="118"/>
      <c r="B151" s="118"/>
      <c r="C151" s="118"/>
      <c r="D151" s="119"/>
      <c r="E151" s="119"/>
      <c r="F151" s="119"/>
      <c r="G151" s="100"/>
      <c r="H151" s="100"/>
      <c r="I151" s="100"/>
      <c r="J151" s="100"/>
      <c r="K151" s="100"/>
      <c r="L151" s="100"/>
      <c r="M151" s="100"/>
      <c r="N151" s="100"/>
      <c r="O151" s="100"/>
      <c r="P151" s="100"/>
      <c r="Q151" s="100"/>
      <c r="R151" s="100"/>
      <c r="S151" s="100"/>
      <c r="T151" s="100"/>
      <c r="U151" s="100"/>
      <c r="V151" s="100"/>
      <c r="W151" s="100"/>
      <c r="X151" s="100"/>
      <c r="Y151" s="100"/>
      <c r="Z151" s="100"/>
      <c r="AA151" s="100"/>
      <c r="AB151" s="100"/>
      <c r="AC151" s="100"/>
      <c r="AD151" s="100"/>
    </row>
    <row r="152">
      <c r="A152" s="118"/>
      <c r="B152" s="118"/>
      <c r="C152" s="118"/>
      <c r="D152" s="119"/>
      <c r="E152" s="119"/>
      <c r="F152" s="119"/>
      <c r="G152" s="100"/>
      <c r="H152" s="100"/>
      <c r="I152" s="100"/>
      <c r="J152" s="100"/>
      <c r="K152" s="100"/>
      <c r="L152" s="100"/>
      <c r="M152" s="100"/>
      <c r="N152" s="100"/>
      <c r="O152" s="100"/>
      <c r="P152" s="100"/>
      <c r="Q152" s="100"/>
      <c r="R152" s="100"/>
      <c r="S152" s="100"/>
      <c r="T152" s="100"/>
      <c r="U152" s="100"/>
      <c r="V152" s="100"/>
      <c r="W152" s="100"/>
      <c r="X152" s="100"/>
      <c r="Y152" s="100"/>
      <c r="Z152" s="100"/>
      <c r="AA152" s="100"/>
      <c r="AB152" s="100"/>
      <c r="AC152" s="100"/>
      <c r="AD152" s="100"/>
    </row>
    <row r="153">
      <c r="A153" s="118"/>
      <c r="B153" s="118"/>
      <c r="C153" s="118"/>
      <c r="D153" s="119"/>
      <c r="E153" s="119"/>
      <c r="F153" s="119"/>
      <c r="G153" s="100"/>
      <c r="H153" s="100"/>
      <c r="I153" s="100"/>
      <c r="J153" s="100"/>
      <c r="K153" s="100"/>
      <c r="L153" s="100"/>
      <c r="M153" s="100"/>
      <c r="N153" s="100"/>
      <c r="O153" s="100"/>
      <c r="P153" s="100"/>
      <c r="Q153" s="100"/>
      <c r="R153" s="100"/>
      <c r="S153" s="100"/>
      <c r="T153" s="100"/>
      <c r="U153" s="100"/>
      <c r="V153" s="100"/>
      <c r="W153" s="100"/>
      <c r="X153" s="100"/>
      <c r="Y153" s="100"/>
      <c r="Z153" s="100"/>
      <c r="AA153" s="100"/>
      <c r="AB153" s="100"/>
      <c r="AC153" s="100"/>
      <c r="AD153" s="100"/>
    </row>
    <row r="154">
      <c r="A154" s="118"/>
      <c r="B154" s="118"/>
      <c r="C154" s="118"/>
      <c r="D154" s="119"/>
      <c r="E154" s="119"/>
      <c r="F154" s="119"/>
      <c r="G154" s="100"/>
      <c r="H154" s="100"/>
      <c r="I154" s="100"/>
      <c r="J154" s="100"/>
      <c r="K154" s="100"/>
      <c r="L154" s="100"/>
      <c r="M154" s="100"/>
      <c r="N154" s="100"/>
      <c r="O154" s="100"/>
      <c r="P154" s="100"/>
      <c r="Q154" s="100"/>
      <c r="R154" s="100"/>
      <c r="S154" s="100"/>
      <c r="T154" s="100"/>
      <c r="U154" s="100"/>
      <c r="V154" s="100"/>
      <c r="W154" s="100"/>
      <c r="X154" s="100"/>
      <c r="Y154" s="100"/>
      <c r="Z154" s="100"/>
      <c r="AA154" s="100"/>
      <c r="AB154" s="100"/>
      <c r="AC154" s="100"/>
      <c r="AD154" s="100"/>
    </row>
    <row r="155">
      <c r="A155" s="118"/>
      <c r="B155" s="118"/>
      <c r="C155" s="118"/>
      <c r="D155" s="119"/>
      <c r="E155" s="119"/>
      <c r="F155" s="119"/>
      <c r="G155" s="100"/>
      <c r="H155" s="100"/>
      <c r="I155" s="100"/>
      <c r="J155" s="100"/>
      <c r="K155" s="100"/>
      <c r="L155" s="100"/>
      <c r="M155" s="100"/>
      <c r="N155" s="100"/>
      <c r="O155" s="100"/>
      <c r="P155" s="100"/>
      <c r="Q155" s="100"/>
      <c r="R155" s="100"/>
      <c r="S155" s="100"/>
      <c r="T155" s="100"/>
      <c r="U155" s="100"/>
      <c r="V155" s="100"/>
      <c r="W155" s="100"/>
      <c r="X155" s="100"/>
      <c r="Y155" s="100"/>
      <c r="Z155" s="100"/>
      <c r="AA155" s="100"/>
      <c r="AB155" s="100"/>
      <c r="AC155" s="100"/>
      <c r="AD155" s="100"/>
    </row>
    <row r="156">
      <c r="A156" s="118"/>
      <c r="B156" s="118"/>
      <c r="C156" s="118"/>
      <c r="D156" s="119"/>
      <c r="E156" s="119"/>
      <c r="F156" s="119"/>
      <c r="G156" s="100"/>
      <c r="H156" s="100"/>
      <c r="I156" s="100"/>
      <c r="J156" s="100"/>
      <c r="K156" s="100"/>
      <c r="L156" s="100"/>
      <c r="M156" s="100"/>
      <c r="N156" s="100"/>
      <c r="O156" s="100"/>
      <c r="P156" s="100"/>
      <c r="Q156" s="100"/>
      <c r="R156" s="100"/>
      <c r="S156" s="100"/>
      <c r="T156" s="100"/>
      <c r="U156" s="100"/>
      <c r="V156" s="100"/>
      <c r="W156" s="100"/>
      <c r="X156" s="100"/>
      <c r="Y156" s="100"/>
      <c r="Z156" s="100"/>
      <c r="AA156" s="100"/>
      <c r="AB156" s="100"/>
      <c r="AC156" s="100"/>
      <c r="AD156" s="100"/>
    </row>
    <row r="157">
      <c r="A157" s="118"/>
      <c r="B157" s="118"/>
      <c r="C157" s="118"/>
      <c r="D157" s="119"/>
      <c r="E157" s="119"/>
      <c r="F157" s="119"/>
      <c r="G157" s="100"/>
      <c r="H157" s="100"/>
      <c r="I157" s="100"/>
      <c r="J157" s="100"/>
      <c r="K157" s="100"/>
      <c r="L157" s="100"/>
      <c r="M157" s="100"/>
      <c r="N157" s="100"/>
      <c r="O157" s="100"/>
      <c r="P157" s="100"/>
      <c r="Q157" s="100"/>
      <c r="R157" s="100"/>
      <c r="S157" s="100"/>
      <c r="T157" s="100"/>
      <c r="U157" s="100"/>
      <c r="V157" s="100"/>
      <c r="W157" s="100"/>
      <c r="X157" s="100"/>
      <c r="Y157" s="100"/>
      <c r="Z157" s="100"/>
      <c r="AA157" s="100"/>
      <c r="AB157" s="100"/>
      <c r="AC157" s="100"/>
      <c r="AD157" s="100"/>
    </row>
    <row r="158">
      <c r="A158" s="118"/>
      <c r="B158" s="118"/>
      <c r="C158" s="118"/>
      <c r="D158" s="119"/>
      <c r="E158" s="119"/>
      <c r="F158" s="119"/>
      <c r="G158" s="100"/>
      <c r="H158" s="100"/>
      <c r="I158" s="100"/>
      <c r="J158" s="100"/>
      <c r="K158" s="100"/>
      <c r="L158" s="100"/>
      <c r="M158" s="100"/>
      <c r="N158" s="100"/>
      <c r="O158" s="100"/>
      <c r="P158" s="100"/>
      <c r="Q158" s="100"/>
      <c r="R158" s="100"/>
      <c r="S158" s="100"/>
      <c r="T158" s="100"/>
      <c r="U158" s="100"/>
      <c r="V158" s="100"/>
      <c r="W158" s="100"/>
      <c r="X158" s="100"/>
      <c r="Y158" s="100"/>
      <c r="Z158" s="100"/>
      <c r="AA158" s="100"/>
      <c r="AB158" s="100"/>
      <c r="AC158" s="100"/>
      <c r="AD158" s="100"/>
    </row>
    <row r="159">
      <c r="A159" s="118"/>
      <c r="B159" s="118"/>
      <c r="C159" s="118"/>
      <c r="D159" s="119"/>
      <c r="E159" s="119"/>
      <c r="F159" s="119"/>
      <c r="G159" s="100"/>
      <c r="H159" s="100"/>
      <c r="I159" s="100"/>
      <c r="J159" s="100"/>
      <c r="K159" s="100"/>
      <c r="L159" s="100"/>
      <c r="M159" s="100"/>
      <c r="N159" s="100"/>
      <c r="O159" s="100"/>
      <c r="P159" s="100"/>
      <c r="Q159" s="100"/>
      <c r="R159" s="100"/>
      <c r="S159" s="100"/>
      <c r="T159" s="100"/>
      <c r="U159" s="100"/>
      <c r="V159" s="100"/>
      <c r="W159" s="100"/>
      <c r="X159" s="100"/>
      <c r="Y159" s="100"/>
      <c r="Z159" s="100"/>
      <c r="AA159" s="100"/>
      <c r="AB159" s="100"/>
      <c r="AC159" s="100"/>
      <c r="AD159" s="100"/>
    </row>
    <row r="160">
      <c r="A160" s="118"/>
      <c r="B160" s="118"/>
      <c r="C160" s="118"/>
      <c r="D160" s="119"/>
      <c r="E160" s="119"/>
      <c r="F160" s="119"/>
      <c r="G160" s="100"/>
      <c r="H160" s="100"/>
      <c r="I160" s="100"/>
      <c r="J160" s="100"/>
      <c r="K160" s="100"/>
      <c r="L160" s="100"/>
      <c r="M160" s="100"/>
      <c r="N160" s="100"/>
      <c r="O160" s="100"/>
      <c r="P160" s="100"/>
      <c r="Q160" s="100"/>
      <c r="R160" s="100"/>
      <c r="S160" s="100"/>
      <c r="T160" s="100"/>
      <c r="U160" s="100"/>
      <c r="V160" s="100"/>
      <c r="W160" s="100"/>
      <c r="X160" s="100"/>
      <c r="Y160" s="100"/>
      <c r="Z160" s="100"/>
      <c r="AA160" s="100"/>
      <c r="AB160" s="100"/>
      <c r="AC160" s="100"/>
      <c r="AD160" s="100"/>
    </row>
    <row r="161">
      <c r="A161" s="118"/>
      <c r="B161" s="118"/>
      <c r="C161" s="118"/>
      <c r="D161" s="119"/>
      <c r="E161" s="119"/>
      <c r="F161" s="119"/>
      <c r="G161" s="100"/>
      <c r="H161" s="100"/>
      <c r="I161" s="100"/>
      <c r="J161" s="100"/>
      <c r="K161" s="100"/>
      <c r="L161" s="100"/>
      <c r="M161" s="100"/>
      <c r="N161" s="100"/>
      <c r="O161" s="100"/>
      <c r="P161" s="100"/>
      <c r="Q161" s="100"/>
      <c r="R161" s="100"/>
      <c r="S161" s="100"/>
      <c r="T161" s="100"/>
      <c r="U161" s="100"/>
      <c r="V161" s="100"/>
      <c r="W161" s="100"/>
      <c r="X161" s="100"/>
      <c r="Y161" s="100"/>
      <c r="Z161" s="100"/>
      <c r="AA161" s="100"/>
      <c r="AB161" s="100"/>
      <c r="AC161" s="100"/>
      <c r="AD161" s="100"/>
    </row>
    <row r="162">
      <c r="A162" s="118"/>
      <c r="B162" s="118"/>
      <c r="C162" s="118"/>
      <c r="D162" s="119"/>
      <c r="E162" s="119"/>
      <c r="F162" s="119"/>
      <c r="G162" s="100"/>
      <c r="H162" s="100"/>
      <c r="I162" s="100"/>
      <c r="J162" s="100"/>
      <c r="K162" s="100"/>
      <c r="L162" s="100"/>
      <c r="M162" s="100"/>
      <c r="N162" s="100"/>
      <c r="O162" s="100"/>
      <c r="P162" s="100"/>
      <c r="Q162" s="100"/>
      <c r="R162" s="100"/>
      <c r="S162" s="100"/>
      <c r="T162" s="100"/>
      <c r="U162" s="100"/>
      <c r="V162" s="100"/>
      <c r="W162" s="100"/>
      <c r="X162" s="100"/>
      <c r="Y162" s="100"/>
      <c r="Z162" s="100"/>
      <c r="AA162" s="100"/>
      <c r="AB162" s="100"/>
      <c r="AC162" s="100"/>
      <c r="AD162" s="100"/>
    </row>
    <row r="163">
      <c r="A163" s="118"/>
      <c r="B163" s="118"/>
      <c r="C163" s="118"/>
      <c r="D163" s="119"/>
      <c r="E163" s="119"/>
      <c r="F163" s="119"/>
      <c r="G163" s="100"/>
      <c r="H163" s="100"/>
      <c r="I163" s="100"/>
      <c r="J163" s="100"/>
      <c r="K163" s="100"/>
      <c r="L163" s="100"/>
      <c r="M163" s="100"/>
      <c r="N163" s="100"/>
      <c r="O163" s="100"/>
      <c r="P163" s="100"/>
      <c r="Q163" s="100"/>
      <c r="R163" s="100"/>
      <c r="S163" s="100"/>
      <c r="T163" s="100"/>
      <c r="U163" s="100"/>
      <c r="V163" s="100"/>
      <c r="W163" s="100"/>
      <c r="X163" s="100"/>
      <c r="Y163" s="100"/>
      <c r="Z163" s="100"/>
      <c r="AA163" s="100"/>
      <c r="AB163" s="100"/>
      <c r="AC163" s="100"/>
      <c r="AD163" s="100"/>
    </row>
    <row r="164">
      <c r="A164" s="118"/>
      <c r="B164" s="118"/>
      <c r="C164" s="118"/>
      <c r="D164" s="119"/>
      <c r="E164" s="119"/>
      <c r="F164" s="119"/>
      <c r="G164" s="100"/>
      <c r="H164" s="100"/>
      <c r="I164" s="100"/>
      <c r="J164" s="100"/>
      <c r="K164" s="100"/>
      <c r="L164" s="100"/>
      <c r="M164" s="100"/>
      <c r="N164" s="100"/>
      <c r="O164" s="100"/>
      <c r="P164" s="100"/>
      <c r="Q164" s="100"/>
      <c r="R164" s="100"/>
      <c r="S164" s="100"/>
      <c r="T164" s="100"/>
      <c r="U164" s="100"/>
      <c r="V164" s="100"/>
      <c r="W164" s="100"/>
      <c r="X164" s="100"/>
      <c r="Y164" s="100"/>
      <c r="Z164" s="100"/>
      <c r="AA164" s="100"/>
      <c r="AB164" s="100"/>
      <c r="AC164" s="100"/>
      <c r="AD164" s="100"/>
    </row>
    <row r="165">
      <c r="A165" s="118"/>
      <c r="B165" s="118"/>
      <c r="C165" s="118"/>
      <c r="D165" s="119"/>
      <c r="E165" s="119"/>
      <c r="F165" s="119"/>
      <c r="G165" s="100"/>
      <c r="H165" s="100"/>
      <c r="I165" s="100"/>
      <c r="J165" s="100"/>
      <c r="K165" s="100"/>
      <c r="L165" s="100"/>
      <c r="M165" s="100"/>
      <c r="N165" s="100"/>
      <c r="O165" s="100"/>
      <c r="P165" s="100"/>
      <c r="Q165" s="100"/>
      <c r="R165" s="100"/>
      <c r="S165" s="100"/>
      <c r="T165" s="100"/>
      <c r="U165" s="100"/>
      <c r="V165" s="100"/>
      <c r="W165" s="100"/>
      <c r="X165" s="100"/>
      <c r="Y165" s="100"/>
      <c r="Z165" s="100"/>
      <c r="AA165" s="100"/>
      <c r="AB165" s="100"/>
      <c r="AC165" s="100"/>
      <c r="AD165" s="100"/>
    </row>
    <row r="166">
      <c r="A166" s="118"/>
      <c r="B166" s="118"/>
      <c r="C166" s="118"/>
      <c r="D166" s="119"/>
      <c r="E166" s="119"/>
      <c r="F166" s="119"/>
      <c r="G166" s="100"/>
      <c r="H166" s="100"/>
      <c r="I166" s="100"/>
      <c r="J166" s="100"/>
      <c r="K166" s="100"/>
      <c r="L166" s="100"/>
      <c r="M166" s="100"/>
      <c r="N166" s="100"/>
      <c r="O166" s="100"/>
      <c r="P166" s="100"/>
      <c r="Q166" s="100"/>
      <c r="R166" s="100"/>
      <c r="S166" s="100"/>
      <c r="T166" s="100"/>
      <c r="U166" s="100"/>
      <c r="V166" s="100"/>
      <c r="W166" s="100"/>
      <c r="X166" s="100"/>
      <c r="Y166" s="100"/>
      <c r="Z166" s="100"/>
      <c r="AA166" s="100"/>
      <c r="AB166" s="100"/>
      <c r="AC166" s="100"/>
      <c r="AD166" s="100"/>
    </row>
    <row r="167">
      <c r="A167" s="118"/>
      <c r="B167" s="118"/>
      <c r="C167" s="118"/>
      <c r="D167" s="119"/>
      <c r="E167" s="119"/>
      <c r="F167" s="119"/>
      <c r="G167" s="100"/>
      <c r="H167" s="100"/>
      <c r="I167" s="100"/>
      <c r="J167" s="100"/>
      <c r="K167" s="100"/>
      <c r="L167" s="100"/>
      <c r="M167" s="100"/>
      <c r="N167" s="100"/>
      <c r="O167" s="100"/>
      <c r="P167" s="100"/>
      <c r="Q167" s="100"/>
      <c r="R167" s="100"/>
      <c r="S167" s="100"/>
      <c r="T167" s="100"/>
      <c r="U167" s="100"/>
      <c r="V167" s="100"/>
      <c r="W167" s="100"/>
      <c r="X167" s="100"/>
      <c r="Y167" s="100"/>
      <c r="Z167" s="100"/>
      <c r="AA167" s="100"/>
      <c r="AB167" s="100"/>
      <c r="AC167" s="100"/>
      <c r="AD167" s="100"/>
    </row>
    <row r="168">
      <c r="A168" s="118"/>
      <c r="B168" s="118"/>
      <c r="C168" s="118"/>
      <c r="D168" s="119"/>
      <c r="E168" s="119"/>
      <c r="F168" s="119"/>
      <c r="G168" s="100"/>
      <c r="H168" s="100"/>
      <c r="I168" s="100"/>
      <c r="J168" s="100"/>
      <c r="K168" s="100"/>
      <c r="L168" s="100"/>
      <c r="M168" s="100"/>
      <c r="N168" s="100"/>
      <c r="O168" s="100"/>
      <c r="P168" s="100"/>
      <c r="Q168" s="100"/>
      <c r="R168" s="100"/>
      <c r="S168" s="100"/>
      <c r="T168" s="100"/>
      <c r="U168" s="100"/>
      <c r="V168" s="100"/>
      <c r="W168" s="100"/>
      <c r="X168" s="100"/>
      <c r="Y168" s="100"/>
      <c r="Z168" s="100"/>
      <c r="AA168" s="100"/>
      <c r="AB168" s="100"/>
      <c r="AC168" s="100"/>
      <c r="AD168" s="100"/>
    </row>
    <row r="169">
      <c r="A169" s="118"/>
      <c r="B169" s="118"/>
      <c r="C169" s="118"/>
      <c r="D169" s="119"/>
      <c r="E169" s="119"/>
      <c r="F169" s="119"/>
      <c r="G169" s="100"/>
      <c r="H169" s="100"/>
      <c r="I169" s="100"/>
      <c r="J169" s="100"/>
      <c r="K169" s="100"/>
      <c r="L169" s="100"/>
      <c r="M169" s="100"/>
      <c r="N169" s="100"/>
      <c r="O169" s="100"/>
      <c r="P169" s="100"/>
      <c r="Q169" s="100"/>
      <c r="R169" s="100"/>
      <c r="S169" s="100"/>
      <c r="T169" s="100"/>
      <c r="U169" s="100"/>
      <c r="V169" s="100"/>
      <c r="W169" s="100"/>
      <c r="X169" s="100"/>
      <c r="Y169" s="100"/>
      <c r="Z169" s="100"/>
      <c r="AA169" s="100"/>
      <c r="AB169" s="100"/>
      <c r="AC169" s="100"/>
      <c r="AD169" s="100"/>
    </row>
    <row r="170">
      <c r="A170" s="118"/>
      <c r="B170" s="118"/>
      <c r="C170" s="118"/>
      <c r="D170" s="119"/>
      <c r="E170" s="119"/>
      <c r="F170" s="119"/>
      <c r="G170" s="100"/>
      <c r="H170" s="100"/>
      <c r="I170" s="100"/>
      <c r="J170" s="100"/>
      <c r="K170" s="100"/>
      <c r="L170" s="100"/>
      <c r="M170" s="100"/>
      <c r="N170" s="100"/>
      <c r="O170" s="100"/>
      <c r="P170" s="100"/>
      <c r="Q170" s="100"/>
      <c r="R170" s="100"/>
      <c r="S170" s="100"/>
      <c r="T170" s="100"/>
      <c r="U170" s="100"/>
      <c r="V170" s="100"/>
      <c r="W170" s="100"/>
      <c r="X170" s="100"/>
      <c r="Y170" s="100"/>
      <c r="Z170" s="100"/>
      <c r="AA170" s="100"/>
      <c r="AB170" s="100"/>
      <c r="AC170" s="100"/>
      <c r="AD170" s="100"/>
    </row>
    <row r="171">
      <c r="A171" s="118"/>
      <c r="B171" s="118"/>
      <c r="C171" s="118"/>
      <c r="D171" s="119"/>
      <c r="E171" s="119"/>
      <c r="F171" s="119"/>
      <c r="G171" s="100"/>
      <c r="H171" s="100"/>
      <c r="I171" s="100"/>
      <c r="J171" s="100"/>
      <c r="K171" s="100"/>
      <c r="L171" s="100"/>
      <c r="M171" s="100"/>
      <c r="N171" s="100"/>
      <c r="O171" s="100"/>
      <c r="P171" s="100"/>
      <c r="Q171" s="100"/>
      <c r="R171" s="100"/>
      <c r="S171" s="100"/>
      <c r="T171" s="100"/>
      <c r="U171" s="100"/>
      <c r="V171" s="100"/>
      <c r="W171" s="100"/>
      <c r="X171" s="100"/>
      <c r="Y171" s="100"/>
      <c r="Z171" s="100"/>
      <c r="AA171" s="100"/>
      <c r="AB171" s="100"/>
      <c r="AC171" s="100"/>
      <c r="AD171" s="100"/>
    </row>
    <row r="172">
      <c r="A172" s="118"/>
      <c r="B172" s="118"/>
      <c r="C172" s="118"/>
      <c r="D172" s="119"/>
      <c r="E172" s="119"/>
      <c r="F172" s="119"/>
      <c r="G172" s="100"/>
      <c r="H172" s="100"/>
      <c r="I172" s="100"/>
      <c r="J172" s="100"/>
      <c r="K172" s="100"/>
      <c r="L172" s="100"/>
      <c r="M172" s="100"/>
      <c r="N172" s="100"/>
      <c r="O172" s="100"/>
      <c r="P172" s="100"/>
      <c r="Q172" s="100"/>
      <c r="R172" s="100"/>
      <c r="S172" s="100"/>
      <c r="T172" s="100"/>
      <c r="U172" s="100"/>
      <c r="V172" s="100"/>
      <c r="W172" s="100"/>
      <c r="X172" s="100"/>
      <c r="Y172" s="100"/>
      <c r="Z172" s="100"/>
      <c r="AA172" s="100"/>
      <c r="AB172" s="100"/>
      <c r="AC172" s="100"/>
      <c r="AD172" s="100"/>
    </row>
    <row r="173">
      <c r="A173" s="118"/>
      <c r="B173" s="118"/>
      <c r="C173" s="118"/>
      <c r="D173" s="119"/>
      <c r="E173" s="119"/>
      <c r="F173" s="119"/>
      <c r="G173" s="100"/>
      <c r="H173" s="100"/>
      <c r="I173" s="100"/>
      <c r="J173" s="100"/>
      <c r="K173" s="100"/>
      <c r="L173" s="100"/>
      <c r="M173" s="100"/>
      <c r="N173" s="100"/>
      <c r="O173" s="100"/>
      <c r="P173" s="100"/>
      <c r="Q173" s="100"/>
      <c r="R173" s="100"/>
      <c r="S173" s="100"/>
      <c r="T173" s="100"/>
      <c r="U173" s="100"/>
      <c r="V173" s="100"/>
      <c r="W173" s="100"/>
      <c r="X173" s="100"/>
      <c r="Y173" s="100"/>
      <c r="Z173" s="100"/>
      <c r="AA173" s="100"/>
      <c r="AB173" s="100"/>
      <c r="AC173" s="100"/>
      <c r="AD173" s="100"/>
    </row>
    <row r="174">
      <c r="A174" s="118"/>
      <c r="B174" s="118"/>
      <c r="C174" s="118"/>
      <c r="D174" s="119"/>
      <c r="E174" s="119"/>
      <c r="F174" s="119"/>
      <c r="G174" s="100"/>
      <c r="H174" s="100"/>
      <c r="I174" s="100"/>
      <c r="J174" s="100"/>
      <c r="K174" s="100"/>
      <c r="L174" s="100"/>
      <c r="M174" s="100"/>
      <c r="N174" s="100"/>
      <c r="O174" s="100"/>
      <c r="P174" s="100"/>
      <c r="Q174" s="100"/>
      <c r="R174" s="100"/>
      <c r="S174" s="100"/>
      <c r="T174" s="100"/>
      <c r="U174" s="100"/>
      <c r="V174" s="100"/>
      <c r="W174" s="100"/>
      <c r="X174" s="100"/>
      <c r="Y174" s="100"/>
      <c r="Z174" s="100"/>
      <c r="AA174" s="100"/>
      <c r="AB174" s="100"/>
      <c r="AC174" s="100"/>
      <c r="AD174" s="100"/>
    </row>
    <row r="175">
      <c r="A175" s="118"/>
      <c r="B175" s="118"/>
      <c r="C175" s="118"/>
      <c r="D175" s="119"/>
      <c r="E175" s="119"/>
      <c r="F175" s="119"/>
      <c r="G175" s="100"/>
      <c r="H175" s="100"/>
      <c r="I175" s="100"/>
      <c r="J175" s="100"/>
      <c r="K175" s="100"/>
      <c r="L175" s="100"/>
      <c r="M175" s="100"/>
      <c r="N175" s="100"/>
      <c r="O175" s="100"/>
      <c r="P175" s="100"/>
      <c r="Q175" s="100"/>
      <c r="R175" s="100"/>
      <c r="S175" s="100"/>
      <c r="T175" s="100"/>
      <c r="U175" s="100"/>
      <c r="V175" s="100"/>
      <c r="W175" s="100"/>
      <c r="X175" s="100"/>
      <c r="Y175" s="100"/>
      <c r="Z175" s="100"/>
      <c r="AA175" s="100"/>
      <c r="AB175" s="100"/>
      <c r="AC175" s="100"/>
      <c r="AD175" s="100"/>
    </row>
    <row r="176">
      <c r="A176" s="118"/>
      <c r="B176" s="118"/>
      <c r="C176" s="118"/>
      <c r="D176" s="119"/>
      <c r="E176" s="119"/>
      <c r="F176" s="119"/>
      <c r="G176" s="100"/>
      <c r="H176" s="100"/>
      <c r="I176" s="100"/>
      <c r="J176" s="100"/>
      <c r="K176" s="100"/>
      <c r="L176" s="100"/>
      <c r="M176" s="100"/>
      <c r="N176" s="100"/>
      <c r="O176" s="100"/>
      <c r="P176" s="100"/>
      <c r="Q176" s="100"/>
      <c r="R176" s="100"/>
      <c r="S176" s="100"/>
      <c r="T176" s="100"/>
      <c r="U176" s="100"/>
      <c r="V176" s="100"/>
      <c r="W176" s="100"/>
      <c r="X176" s="100"/>
      <c r="Y176" s="100"/>
      <c r="Z176" s="100"/>
      <c r="AA176" s="100"/>
      <c r="AB176" s="100"/>
      <c r="AC176" s="100"/>
      <c r="AD176" s="100"/>
    </row>
    <row r="177">
      <c r="A177" s="118"/>
      <c r="B177" s="118"/>
      <c r="C177" s="118"/>
      <c r="D177" s="119"/>
      <c r="E177" s="119"/>
      <c r="F177" s="119"/>
      <c r="G177" s="100"/>
      <c r="H177" s="100"/>
      <c r="I177" s="100"/>
      <c r="J177" s="100"/>
      <c r="K177" s="100"/>
      <c r="L177" s="100"/>
      <c r="M177" s="100"/>
      <c r="N177" s="100"/>
      <c r="O177" s="100"/>
      <c r="P177" s="100"/>
      <c r="Q177" s="100"/>
      <c r="R177" s="100"/>
      <c r="S177" s="100"/>
      <c r="T177" s="100"/>
      <c r="U177" s="100"/>
      <c r="V177" s="100"/>
      <c r="W177" s="100"/>
      <c r="X177" s="100"/>
      <c r="Y177" s="100"/>
      <c r="Z177" s="100"/>
      <c r="AA177" s="100"/>
      <c r="AB177" s="100"/>
      <c r="AC177" s="100"/>
      <c r="AD177" s="100"/>
    </row>
    <row r="178">
      <c r="A178" s="118"/>
      <c r="B178" s="118"/>
      <c r="C178" s="118"/>
      <c r="D178" s="119"/>
      <c r="E178" s="119"/>
      <c r="F178" s="119"/>
      <c r="G178" s="100"/>
      <c r="H178" s="100"/>
      <c r="I178" s="100"/>
      <c r="J178" s="100"/>
      <c r="K178" s="100"/>
      <c r="L178" s="100"/>
      <c r="M178" s="100"/>
      <c r="N178" s="100"/>
      <c r="O178" s="100"/>
      <c r="P178" s="100"/>
      <c r="Q178" s="100"/>
      <c r="R178" s="100"/>
      <c r="S178" s="100"/>
      <c r="T178" s="100"/>
      <c r="U178" s="100"/>
      <c r="V178" s="100"/>
      <c r="W178" s="100"/>
      <c r="X178" s="100"/>
      <c r="Y178" s="100"/>
      <c r="Z178" s="100"/>
      <c r="AA178" s="100"/>
      <c r="AB178" s="100"/>
      <c r="AC178" s="100"/>
      <c r="AD178" s="100"/>
    </row>
    <row r="179">
      <c r="A179" s="118"/>
      <c r="B179" s="118"/>
      <c r="C179" s="118"/>
      <c r="D179" s="119"/>
      <c r="E179" s="119"/>
      <c r="F179" s="119"/>
      <c r="G179" s="100"/>
      <c r="H179" s="100"/>
      <c r="I179" s="100"/>
      <c r="J179" s="100"/>
      <c r="K179" s="100"/>
      <c r="L179" s="100"/>
      <c r="M179" s="100"/>
      <c r="N179" s="100"/>
      <c r="O179" s="100"/>
      <c r="P179" s="100"/>
      <c r="Q179" s="100"/>
      <c r="R179" s="100"/>
      <c r="S179" s="100"/>
      <c r="T179" s="100"/>
      <c r="U179" s="100"/>
      <c r="V179" s="100"/>
      <c r="W179" s="100"/>
      <c r="X179" s="100"/>
      <c r="Y179" s="100"/>
      <c r="Z179" s="100"/>
      <c r="AA179" s="100"/>
      <c r="AB179" s="100"/>
      <c r="AC179" s="100"/>
      <c r="AD179" s="100"/>
    </row>
    <row r="180">
      <c r="A180" s="118"/>
      <c r="B180" s="118"/>
      <c r="C180" s="118"/>
      <c r="D180" s="119"/>
      <c r="E180" s="119"/>
      <c r="F180" s="119"/>
      <c r="G180" s="100"/>
      <c r="H180" s="100"/>
      <c r="I180" s="100"/>
      <c r="J180" s="100"/>
      <c r="K180" s="100"/>
      <c r="L180" s="100"/>
      <c r="M180" s="100"/>
      <c r="N180" s="100"/>
      <c r="O180" s="100"/>
      <c r="P180" s="100"/>
      <c r="Q180" s="100"/>
      <c r="R180" s="100"/>
      <c r="S180" s="100"/>
      <c r="T180" s="100"/>
      <c r="U180" s="100"/>
      <c r="V180" s="100"/>
      <c r="W180" s="100"/>
      <c r="X180" s="100"/>
      <c r="Y180" s="100"/>
      <c r="Z180" s="100"/>
      <c r="AA180" s="100"/>
      <c r="AB180" s="100"/>
      <c r="AC180" s="100"/>
      <c r="AD180" s="100"/>
    </row>
    <row r="181">
      <c r="A181" s="118"/>
      <c r="B181" s="118"/>
      <c r="C181" s="118"/>
      <c r="D181" s="119"/>
      <c r="E181" s="119"/>
      <c r="F181" s="119"/>
      <c r="G181" s="100"/>
      <c r="H181" s="100"/>
      <c r="I181" s="100"/>
      <c r="J181" s="100"/>
      <c r="K181" s="100"/>
      <c r="L181" s="100"/>
      <c r="M181" s="100"/>
      <c r="N181" s="100"/>
      <c r="O181" s="100"/>
      <c r="P181" s="100"/>
      <c r="Q181" s="100"/>
      <c r="R181" s="100"/>
      <c r="S181" s="100"/>
      <c r="T181" s="100"/>
      <c r="U181" s="100"/>
      <c r="V181" s="100"/>
      <c r="W181" s="100"/>
      <c r="X181" s="100"/>
      <c r="Y181" s="100"/>
      <c r="Z181" s="100"/>
      <c r="AA181" s="100"/>
      <c r="AB181" s="100"/>
      <c r="AC181" s="100"/>
      <c r="AD181" s="100"/>
    </row>
    <row r="182">
      <c r="A182" s="118"/>
      <c r="B182" s="118"/>
      <c r="C182" s="118"/>
      <c r="D182" s="119"/>
      <c r="E182" s="119"/>
      <c r="F182" s="119"/>
      <c r="G182" s="100"/>
      <c r="H182" s="100"/>
      <c r="I182" s="100"/>
      <c r="J182" s="100"/>
      <c r="K182" s="100"/>
      <c r="L182" s="100"/>
      <c r="M182" s="100"/>
      <c r="N182" s="100"/>
      <c r="O182" s="100"/>
      <c r="P182" s="100"/>
      <c r="Q182" s="100"/>
      <c r="R182" s="100"/>
      <c r="S182" s="100"/>
      <c r="T182" s="100"/>
      <c r="U182" s="100"/>
      <c r="V182" s="100"/>
      <c r="W182" s="100"/>
      <c r="X182" s="100"/>
      <c r="Y182" s="100"/>
      <c r="Z182" s="100"/>
      <c r="AA182" s="100"/>
      <c r="AB182" s="100"/>
      <c r="AC182" s="100"/>
      <c r="AD182" s="100"/>
    </row>
    <row r="183">
      <c r="A183" s="118"/>
      <c r="B183" s="118"/>
      <c r="C183" s="118"/>
      <c r="D183" s="119"/>
      <c r="E183" s="119"/>
      <c r="F183" s="119"/>
      <c r="G183" s="100"/>
      <c r="H183" s="100"/>
      <c r="I183" s="100"/>
      <c r="J183" s="100"/>
      <c r="K183" s="100"/>
      <c r="L183" s="100"/>
      <c r="M183" s="100"/>
      <c r="N183" s="100"/>
      <c r="O183" s="100"/>
      <c r="P183" s="100"/>
      <c r="Q183" s="100"/>
      <c r="R183" s="100"/>
      <c r="S183" s="100"/>
      <c r="T183" s="100"/>
      <c r="U183" s="100"/>
      <c r="V183" s="100"/>
      <c r="W183" s="100"/>
      <c r="X183" s="100"/>
      <c r="Y183" s="100"/>
      <c r="Z183" s="100"/>
      <c r="AA183" s="100"/>
      <c r="AB183" s="100"/>
      <c r="AC183" s="100"/>
      <c r="AD183" s="100"/>
    </row>
    <row r="184">
      <c r="A184" s="118"/>
      <c r="B184" s="118"/>
      <c r="C184" s="118"/>
      <c r="D184" s="119"/>
      <c r="E184" s="119"/>
      <c r="F184" s="119"/>
      <c r="G184" s="100"/>
      <c r="H184" s="100"/>
      <c r="I184" s="100"/>
      <c r="J184" s="100"/>
      <c r="K184" s="100"/>
      <c r="L184" s="100"/>
      <c r="M184" s="100"/>
      <c r="N184" s="100"/>
      <c r="O184" s="100"/>
      <c r="P184" s="100"/>
      <c r="Q184" s="100"/>
      <c r="R184" s="100"/>
      <c r="S184" s="100"/>
      <c r="T184" s="100"/>
      <c r="U184" s="100"/>
      <c r="V184" s="100"/>
      <c r="W184" s="100"/>
      <c r="X184" s="100"/>
      <c r="Y184" s="100"/>
      <c r="Z184" s="100"/>
      <c r="AA184" s="100"/>
      <c r="AB184" s="100"/>
      <c r="AC184" s="100"/>
      <c r="AD184" s="100"/>
    </row>
    <row r="185">
      <c r="A185" s="118"/>
      <c r="B185" s="118"/>
      <c r="C185" s="118"/>
      <c r="D185" s="119"/>
      <c r="E185" s="119"/>
      <c r="F185" s="119"/>
      <c r="G185" s="100"/>
      <c r="H185" s="100"/>
      <c r="I185" s="100"/>
      <c r="J185" s="100"/>
      <c r="K185" s="100"/>
      <c r="L185" s="100"/>
      <c r="M185" s="100"/>
      <c r="N185" s="100"/>
      <c r="O185" s="100"/>
      <c r="P185" s="100"/>
      <c r="Q185" s="100"/>
      <c r="R185" s="100"/>
      <c r="S185" s="100"/>
      <c r="T185" s="100"/>
      <c r="U185" s="100"/>
      <c r="V185" s="100"/>
      <c r="W185" s="100"/>
      <c r="X185" s="100"/>
      <c r="Y185" s="100"/>
      <c r="Z185" s="100"/>
      <c r="AA185" s="100"/>
      <c r="AB185" s="100"/>
      <c r="AC185" s="100"/>
      <c r="AD185" s="100"/>
    </row>
    <row r="186">
      <c r="A186" s="118"/>
      <c r="B186" s="118"/>
      <c r="C186" s="118"/>
      <c r="D186" s="119"/>
      <c r="E186" s="119"/>
      <c r="F186" s="119"/>
      <c r="G186" s="100"/>
      <c r="H186" s="100"/>
      <c r="I186" s="100"/>
      <c r="J186" s="100"/>
      <c r="K186" s="100"/>
      <c r="L186" s="100"/>
      <c r="M186" s="100"/>
      <c r="N186" s="100"/>
      <c r="O186" s="100"/>
      <c r="P186" s="100"/>
      <c r="Q186" s="100"/>
      <c r="R186" s="100"/>
      <c r="S186" s="100"/>
      <c r="T186" s="100"/>
      <c r="U186" s="100"/>
      <c r="V186" s="100"/>
      <c r="W186" s="100"/>
      <c r="X186" s="100"/>
      <c r="Y186" s="100"/>
      <c r="Z186" s="100"/>
      <c r="AA186" s="100"/>
      <c r="AB186" s="100"/>
      <c r="AC186" s="100"/>
      <c r="AD186" s="100"/>
    </row>
    <row r="187">
      <c r="A187" s="118"/>
      <c r="B187" s="118"/>
      <c r="C187" s="118"/>
      <c r="D187" s="119"/>
      <c r="E187" s="119"/>
      <c r="F187" s="119"/>
      <c r="G187" s="100"/>
      <c r="H187" s="100"/>
      <c r="I187" s="100"/>
      <c r="J187" s="100"/>
      <c r="K187" s="100"/>
      <c r="L187" s="100"/>
      <c r="M187" s="100"/>
      <c r="N187" s="100"/>
      <c r="O187" s="100"/>
      <c r="P187" s="100"/>
      <c r="Q187" s="100"/>
      <c r="R187" s="100"/>
      <c r="S187" s="100"/>
      <c r="T187" s="100"/>
      <c r="U187" s="100"/>
      <c r="V187" s="100"/>
      <c r="W187" s="100"/>
      <c r="X187" s="100"/>
      <c r="Y187" s="100"/>
      <c r="Z187" s="100"/>
      <c r="AA187" s="100"/>
      <c r="AB187" s="100"/>
      <c r="AC187" s="100"/>
      <c r="AD187" s="100"/>
    </row>
    <row r="188">
      <c r="A188" s="118"/>
      <c r="B188" s="118"/>
      <c r="C188" s="118"/>
      <c r="D188" s="119"/>
      <c r="E188" s="119"/>
      <c r="F188" s="119"/>
      <c r="G188" s="100"/>
      <c r="H188" s="100"/>
      <c r="I188" s="100"/>
      <c r="J188" s="100"/>
      <c r="K188" s="100"/>
      <c r="L188" s="100"/>
      <c r="M188" s="100"/>
      <c r="N188" s="100"/>
      <c r="O188" s="100"/>
      <c r="P188" s="100"/>
      <c r="Q188" s="100"/>
      <c r="R188" s="100"/>
      <c r="S188" s="100"/>
      <c r="T188" s="100"/>
      <c r="U188" s="100"/>
      <c r="V188" s="100"/>
      <c r="W188" s="100"/>
      <c r="X188" s="100"/>
      <c r="Y188" s="100"/>
      <c r="Z188" s="100"/>
      <c r="AA188" s="100"/>
      <c r="AB188" s="100"/>
      <c r="AC188" s="100"/>
      <c r="AD188" s="100"/>
    </row>
    <row r="189">
      <c r="A189" s="118"/>
      <c r="B189" s="118"/>
      <c r="C189" s="118"/>
      <c r="D189" s="119"/>
      <c r="E189" s="119"/>
      <c r="F189" s="119"/>
      <c r="G189" s="100"/>
      <c r="H189" s="100"/>
      <c r="I189" s="100"/>
      <c r="J189" s="100"/>
      <c r="K189" s="100"/>
      <c r="L189" s="100"/>
      <c r="M189" s="100"/>
      <c r="N189" s="100"/>
      <c r="O189" s="100"/>
      <c r="P189" s="100"/>
      <c r="Q189" s="100"/>
      <c r="R189" s="100"/>
      <c r="S189" s="100"/>
      <c r="T189" s="100"/>
      <c r="U189" s="100"/>
      <c r="V189" s="100"/>
      <c r="W189" s="100"/>
      <c r="X189" s="100"/>
      <c r="Y189" s="100"/>
      <c r="Z189" s="100"/>
      <c r="AA189" s="100"/>
      <c r="AB189" s="100"/>
      <c r="AC189" s="100"/>
      <c r="AD189" s="100"/>
    </row>
    <row r="190">
      <c r="A190" s="118"/>
      <c r="B190" s="118"/>
      <c r="C190" s="118"/>
      <c r="D190" s="119"/>
      <c r="E190" s="119"/>
      <c r="F190" s="119"/>
      <c r="G190" s="100"/>
      <c r="H190" s="100"/>
      <c r="I190" s="100"/>
      <c r="J190" s="100"/>
      <c r="K190" s="100"/>
      <c r="L190" s="100"/>
      <c r="M190" s="100"/>
      <c r="N190" s="100"/>
      <c r="O190" s="100"/>
      <c r="P190" s="100"/>
      <c r="Q190" s="100"/>
      <c r="R190" s="100"/>
      <c r="S190" s="100"/>
      <c r="T190" s="100"/>
      <c r="U190" s="100"/>
      <c r="V190" s="100"/>
      <c r="W190" s="100"/>
      <c r="X190" s="100"/>
      <c r="Y190" s="100"/>
      <c r="Z190" s="100"/>
      <c r="AA190" s="100"/>
      <c r="AB190" s="100"/>
      <c r="AC190" s="100"/>
      <c r="AD190" s="100"/>
    </row>
    <row r="191">
      <c r="A191" s="118"/>
      <c r="B191" s="118"/>
      <c r="C191" s="118"/>
      <c r="D191" s="119"/>
      <c r="E191" s="119"/>
      <c r="F191" s="119"/>
      <c r="G191" s="100"/>
      <c r="H191" s="100"/>
      <c r="I191" s="100"/>
      <c r="J191" s="100"/>
      <c r="K191" s="100"/>
      <c r="L191" s="100"/>
      <c r="M191" s="100"/>
      <c r="N191" s="100"/>
      <c r="O191" s="100"/>
      <c r="P191" s="100"/>
      <c r="Q191" s="100"/>
      <c r="R191" s="100"/>
      <c r="S191" s="100"/>
      <c r="T191" s="100"/>
      <c r="U191" s="100"/>
      <c r="V191" s="100"/>
      <c r="W191" s="100"/>
      <c r="X191" s="100"/>
      <c r="Y191" s="100"/>
      <c r="Z191" s="100"/>
      <c r="AA191" s="100"/>
      <c r="AB191" s="100"/>
      <c r="AC191" s="100"/>
      <c r="AD191" s="100"/>
    </row>
    <row r="192">
      <c r="A192" s="118"/>
      <c r="B192" s="118"/>
      <c r="C192" s="118"/>
      <c r="D192" s="119"/>
      <c r="E192" s="119"/>
      <c r="F192" s="119"/>
      <c r="G192" s="100"/>
      <c r="H192" s="100"/>
      <c r="I192" s="100"/>
      <c r="J192" s="100"/>
      <c r="K192" s="100"/>
      <c r="L192" s="100"/>
      <c r="M192" s="100"/>
      <c r="N192" s="100"/>
      <c r="O192" s="100"/>
      <c r="P192" s="100"/>
      <c r="Q192" s="100"/>
      <c r="R192" s="100"/>
      <c r="S192" s="100"/>
      <c r="T192" s="100"/>
      <c r="U192" s="100"/>
      <c r="V192" s="100"/>
      <c r="W192" s="100"/>
      <c r="X192" s="100"/>
      <c r="Y192" s="100"/>
      <c r="Z192" s="100"/>
      <c r="AA192" s="100"/>
      <c r="AB192" s="100"/>
      <c r="AC192" s="100"/>
      <c r="AD192" s="100"/>
    </row>
    <row r="193">
      <c r="A193" s="118"/>
      <c r="B193" s="118"/>
      <c r="C193" s="118"/>
      <c r="D193" s="119"/>
      <c r="E193" s="119"/>
      <c r="F193" s="119"/>
      <c r="G193" s="100"/>
      <c r="H193" s="100"/>
      <c r="I193" s="100"/>
      <c r="J193" s="100"/>
      <c r="K193" s="100"/>
      <c r="L193" s="100"/>
      <c r="M193" s="100"/>
      <c r="N193" s="100"/>
      <c r="O193" s="100"/>
      <c r="P193" s="100"/>
      <c r="Q193" s="100"/>
      <c r="R193" s="100"/>
      <c r="S193" s="100"/>
      <c r="T193" s="100"/>
      <c r="U193" s="100"/>
      <c r="V193" s="100"/>
      <c r="W193" s="100"/>
      <c r="X193" s="100"/>
      <c r="Y193" s="100"/>
      <c r="Z193" s="100"/>
      <c r="AA193" s="100"/>
      <c r="AB193" s="100"/>
      <c r="AC193" s="100"/>
      <c r="AD193" s="100"/>
    </row>
    <row r="194">
      <c r="A194" s="118"/>
      <c r="B194" s="118"/>
      <c r="C194" s="118"/>
      <c r="D194" s="119"/>
      <c r="E194" s="119"/>
      <c r="F194" s="119"/>
      <c r="G194" s="100"/>
      <c r="H194" s="100"/>
      <c r="I194" s="100"/>
      <c r="J194" s="100"/>
      <c r="K194" s="100"/>
      <c r="L194" s="100"/>
      <c r="M194" s="100"/>
      <c r="N194" s="100"/>
      <c r="O194" s="100"/>
      <c r="P194" s="100"/>
      <c r="Q194" s="100"/>
      <c r="R194" s="100"/>
      <c r="S194" s="100"/>
      <c r="T194" s="100"/>
      <c r="U194" s="100"/>
      <c r="V194" s="100"/>
      <c r="W194" s="100"/>
      <c r="X194" s="100"/>
      <c r="Y194" s="100"/>
      <c r="Z194" s="100"/>
      <c r="AA194" s="100"/>
      <c r="AB194" s="100"/>
      <c r="AC194" s="100"/>
      <c r="AD194" s="100"/>
    </row>
    <row r="195">
      <c r="A195" s="118"/>
      <c r="B195" s="118"/>
      <c r="C195" s="118"/>
      <c r="D195" s="119"/>
      <c r="E195" s="119"/>
      <c r="F195" s="119"/>
      <c r="G195" s="100"/>
      <c r="H195" s="100"/>
      <c r="I195" s="100"/>
      <c r="J195" s="100"/>
      <c r="K195" s="100"/>
      <c r="L195" s="100"/>
      <c r="M195" s="100"/>
      <c r="N195" s="100"/>
      <c r="O195" s="100"/>
      <c r="P195" s="100"/>
      <c r="Q195" s="100"/>
      <c r="R195" s="100"/>
      <c r="S195" s="100"/>
      <c r="T195" s="100"/>
      <c r="U195" s="100"/>
      <c r="V195" s="100"/>
      <c r="W195" s="100"/>
      <c r="X195" s="100"/>
      <c r="Y195" s="100"/>
      <c r="Z195" s="100"/>
      <c r="AA195" s="100"/>
      <c r="AB195" s="100"/>
      <c r="AC195" s="100"/>
      <c r="AD195" s="100"/>
    </row>
    <row r="196">
      <c r="A196" s="118"/>
      <c r="B196" s="118"/>
      <c r="C196" s="118"/>
      <c r="D196" s="119"/>
      <c r="E196" s="119"/>
      <c r="F196" s="119"/>
      <c r="G196" s="100"/>
      <c r="H196" s="100"/>
      <c r="I196" s="100"/>
      <c r="J196" s="100"/>
      <c r="K196" s="100"/>
      <c r="L196" s="100"/>
      <c r="M196" s="100"/>
      <c r="N196" s="100"/>
      <c r="O196" s="100"/>
      <c r="P196" s="100"/>
      <c r="Q196" s="100"/>
      <c r="R196" s="100"/>
      <c r="S196" s="100"/>
      <c r="T196" s="100"/>
      <c r="U196" s="100"/>
      <c r="V196" s="100"/>
      <c r="W196" s="100"/>
      <c r="X196" s="100"/>
      <c r="Y196" s="100"/>
      <c r="Z196" s="100"/>
      <c r="AA196" s="100"/>
      <c r="AB196" s="100"/>
      <c r="AC196" s="100"/>
      <c r="AD196" s="100"/>
    </row>
    <row r="197">
      <c r="A197" s="118"/>
      <c r="B197" s="118"/>
      <c r="C197" s="118"/>
      <c r="D197" s="119"/>
      <c r="E197" s="119"/>
      <c r="F197" s="119"/>
      <c r="G197" s="100"/>
      <c r="H197" s="100"/>
      <c r="I197" s="100"/>
      <c r="J197" s="100"/>
      <c r="K197" s="100"/>
      <c r="L197" s="100"/>
      <c r="M197" s="100"/>
      <c r="N197" s="100"/>
      <c r="O197" s="100"/>
      <c r="P197" s="100"/>
      <c r="Q197" s="100"/>
      <c r="R197" s="100"/>
      <c r="S197" s="100"/>
      <c r="T197" s="100"/>
      <c r="U197" s="100"/>
      <c r="V197" s="100"/>
      <c r="W197" s="100"/>
      <c r="X197" s="100"/>
      <c r="Y197" s="100"/>
      <c r="Z197" s="100"/>
      <c r="AA197" s="100"/>
      <c r="AB197" s="100"/>
      <c r="AC197" s="100"/>
      <c r="AD197" s="100"/>
    </row>
    <row r="198">
      <c r="A198" s="118"/>
      <c r="B198" s="118"/>
      <c r="C198" s="118"/>
      <c r="D198" s="119"/>
      <c r="E198" s="119"/>
      <c r="F198" s="119"/>
      <c r="G198" s="100"/>
      <c r="H198" s="100"/>
      <c r="I198" s="100"/>
      <c r="J198" s="100"/>
      <c r="K198" s="100"/>
      <c r="L198" s="100"/>
      <c r="M198" s="100"/>
      <c r="N198" s="100"/>
      <c r="O198" s="100"/>
      <c r="P198" s="100"/>
      <c r="Q198" s="100"/>
      <c r="R198" s="100"/>
      <c r="S198" s="100"/>
      <c r="T198" s="100"/>
      <c r="U198" s="100"/>
      <c r="V198" s="100"/>
      <c r="W198" s="100"/>
      <c r="X198" s="100"/>
      <c r="Y198" s="100"/>
      <c r="Z198" s="100"/>
      <c r="AA198" s="100"/>
      <c r="AB198" s="100"/>
      <c r="AC198" s="100"/>
      <c r="AD198" s="100"/>
    </row>
    <row r="199">
      <c r="A199" s="118"/>
      <c r="B199" s="118"/>
      <c r="C199" s="118"/>
      <c r="D199" s="119"/>
      <c r="E199" s="119"/>
      <c r="F199" s="119"/>
      <c r="G199" s="100"/>
      <c r="H199" s="100"/>
      <c r="I199" s="100"/>
      <c r="J199" s="100"/>
      <c r="K199" s="100"/>
      <c r="L199" s="100"/>
      <c r="M199" s="100"/>
      <c r="N199" s="100"/>
      <c r="O199" s="100"/>
      <c r="P199" s="100"/>
      <c r="Q199" s="100"/>
      <c r="R199" s="100"/>
      <c r="S199" s="100"/>
      <c r="T199" s="100"/>
      <c r="U199" s="100"/>
      <c r="V199" s="100"/>
      <c r="W199" s="100"/>
      <c r="X199" s="100"/>
      <c r="Y199" s="100"/>
      <c r="Z199" s="100"/>
      <c r="AA199" s="100"/>
      <c r="AB199" s="100"/>
      <c r="AC199" s="100"/>
      <c r="AD199" s="100"/>
    </row>
    <row r="200">
      <c r="A200" s="118"/>
      <c r="B200" s="118"/>
      <c r="C200" s="118"/>
      <c r="D200" s="119"/>
      <c r="E200" s="119"/>
      <c r="F200" s="119"/>
      <c r="G200" s="100"/>
      <c r="H200" s="100"/>
      <c r="I200" s="100"/>
      <c r="J200" s="100"/>
      <c r="K200" s="100"/>
      <c r="L200" s="100"/>
      <c r="M200" s="100"/>
      <c r="N200" s="100"/>
      <c r="O200" s="100"/>
      <c r="P200" s="100"/>
      <c r="Q200" s="100"/>
      <c r="R200" s="100"/>
      <c r="S200" s="100"/>
      <c r="T200" s="100"/>
      <c r="U200" s="100"/>
      <c r="V200" s="100"/>
      <c r="W200" s="100"/>
      <c r="X200" s="100"/>
      <c r="Y200" s="100"/>
      <c r="Z200" s="100"/>
      <c r="AA200" s="100"/>
      <c r="AB200" s="100"/>
      <c r="AC200" s="100"/>
      <c r="AD200" s="100"/>
    </row>
    <row r="201">
      <c r="A201" s="118"/>
      <c r="B201" s="118"/>
      <c r="C201" s="118"/>
      <c r="D201" s="119"/>
      <c r="E201" s="119"/>
      <c r="F201" s="119"/>
      <c r="G201" s="100"/>
      <c r="H201" s="100"/>
      <c r="I201" s="100"/>
      <c r="J201" s="100"/>
      <c r="K201" s="100"/>
      <c r="L201" s="100"/>
      <c r="M201" s="100"/>
      <c r="N201" s="100"/>
      <c r="O201" s="100"/>
      <c r="P201" s="100"/>
      <c r="Q201" s="100"/>
      <c r="R201" s="100"/>
      <c r="S201" s="100"/>
      <c r="T201" s="100"/>
      <c r="U201" s="100"/>
      <c r="V201" s="100"/>
      <c r="W201" s="100"/>
      <c r="X201" s="100"/>
      <c r="Y201" s="100"/>
      <c r="Z201" s="100"/>
      <c r="AA201" s="100"/>
      <c r="AB201" s="100"/>
      <c r="AC201" s="100"/>
      <c r="AD201" s="100"/>
    </row>
    <row r="202">
      <c r="A202" s="118"/>
      <c r="B202" s="118"/>
      <c r="C202" s="118"/>
      <c r="D202" s="119"/>
      <c r="E202" s="119"/>
      <c r="F202" s="119"/>
      <c r="G202" s="100"/>
      <c r="H202" s="100"/>
      <c r="I202" s="100"/>
      <c r="J202" s="100"/>
      <c r="K202" s="100"/>
      <c r="L202" s="100"/>
      <c r="M202" s="100"/>
      <c r="N202" s="100"/>
      <c r="O202" s="100"/>
      <c r="P202" s="100"/>
      <c r="Q202" s="100"/>
      <c r="R202" s="100"/>
      <c r="S202" s="100"/>
      <c r="T202" s="100"/>
      <c r="U202" s="100"/>
      <c r="V202" s="100"/>
      <c r="W202" s="100"/>
      <c r="X202" s="100"/>
      <c r="Y202" s="100"/>
      <c r="Z202" s="100"/>
      <c r="AA202" s="100"/>
      <c r="AB202" s="100"/>
      <c r="AC202" s="100"/>
      <c r="AD202" s="100"/>
    </row>
    <row r="203">
      <c r="A203" s="118"/>
      <c r="B203" s="118"/>
      <c r="C203" s="118"/>
      <c r="D203" s="119"/>
      <c r="E203" s="119"/>
      <c r="F203" s="119"/>
      <c r="G203" s="100"/>
      <c r="H203" s="100"/>
      <c r="I203" s="100"/>
      <c r="J203" s="100"/>
      <c r="K203" s="100"/>
      <c r="L203" s="100"/>
      <c r="M203" s="100"/>
      <c r="N203" s="100"/>
      <c r="O203" s="100"/>
      <c r="P203" s="100"/>
      <c r="Q203" s="100"/>
      <c r="R203" s="100"/>
      <c r="S203" s="100"/>
      <c r="T203" s="100"/>
      <c r="U203" s="100"/>
      <c r="V203" s="100"/>
      <c r="W203" s="100"/>
      <c r="X203" s="100"/>
      <c r="Y203" s="100"/>
      <c r="Z203" s="100"/>
      <c r="AA203" s="100"/>
      <c r="AB203" s="100"/>
      <c r="AC203" s="100"/>
      <c r="AD203" s="100"/>
    </row>
    <row r="204">
      <c r="A204" s="118"/>
      <c r="B204" s="118"/>
      <c r="C204" s="118"/>
      <c r="D204" s="119"/>
      <c r="E204" s="119"/>
      <c r="F204" s="119"/>
      <c r="G204" s="100"/>
      <c r="H204" s="100"/>
      <c r="I204" s="100"/>
      <c r="J204" s="100"/>
      <c r="K204" s="100"/>
      <c r="L204" s="100"/>
      <c r="M204" s="100"/>
      <c r="N204" s="100"/>
      <c r="O204" s="100"/>
      <c r="P204" s="100"/>
      <c r="Q204" s="100"/>
      <c r="R204" s="100"/>
      <c r="S204" s="100"/>
      <c r="T204" s="100"/>
      <c r="U204" s="100"/>
      <c r="V204" s="100"/>
      <c r="W204" s="100"/>
      <c r="X204" s="100"/>
      <c r="Y204" s="100"/>
      <c r="Z204" s="100"/>
      <c r="AA204" s="100"/>
      <c r="AB204" s="100"/>
      <c r="AC204" s="100"/>
      <c r="AD204" s="100"/>
    </row>
    <row r="205">
      <c r="A205" s="118"/>
      <c r="B205" s="118"/>
      <c r="C205" s="118"/>
      <c r="D205" s="119"/>
      <c r="E205" s="119"/>
      <c r="F205" s="119"/>
      <c r="G205" s="100"/>
      <c r="H205" s="100"/>
      <c r="I205" s="100"/>
      <c r="J205" s="100"/>
      <c r="K205" s="100"/>
      <c r="L205" s="100"/>
      <c r="M205" s="100"/>
      <c r="N205" s="100"/>
      <c r="O205" s="100"/>
      <c r="P205" s="100"/>
      <c r="Q205" s="100"/>
      <c r="R205" s="100"/>
      <c r="S205" s="100"/>
      <c r="T205" s="100"/>
      <c r="U205" s="100"/>
      <c r="V205" s="100"/>
      <c r="W205" s="100"/>
      <c r="X205" s="100"/>
      <c r="Y205" s="100"/>
      <c r="Z205" s="100"/>
      <c r="AA205" s="100"/>
      <c r="AB205" s="100"/>
      <c r="AC205" s="100"/>
      <c r="AD205" s="100"/>
    </row>
    <row r="206">
      <c r="A206" s="118"/>
      <c r="B206" s="118"/>
      <c r="C206" s="118"/>
      <c r="D206" s="119"/>
      <c r="E206" s="119"/>
      <c r="F206" s="119"/>
      <c r="G206" s="100"/>
      <c r="H206" s="100"/>
      <c r="I206" s="100"/>
      <c r="J206" s="100"/>
      <c r="K206" s="100"/>
      <c r="L206" s="100"/>
      <c r="M206" s="100"/>
      <c r="N206" s="100"/>
      <c r="O206" s="100"/>
      <c r="P206" s="100"/>
      <c r="Q206" s="100"/>
      <c r="R206" s="100"/>
      <c r="S206" s="100"/>
      <c r="T206" s="100"/>
      <c r="U206" s="100"/>
      <c r="V206" s="100"/>
      <c r="W206" s="100"/>
      <c r="X206" s="100"/>
      <c r="Y206" s="100"/>
      <c r="Z206" s="100"/>
      <c r="AA206" s="100"/>
      <c r="AB206" s="100"/>
      <c r="AC206" s="100"/>
      <c r="AD206" s="100"/>
    </row>
    <row r="207">
      <c r="A207" s="118"/>
      <c r="B207" s="118"/>
      <c r="C207" s="118"/>
      <c r="D207" s="119"/>
      <c r="E207" s="119"/>
      <c r="F207" s="119"/>
      <c r="G207" s="100"/>
      <c r="H207" s="100"/>
      <c r="I207" s="100"/>
      <c r="J207" s="100"/>
      <c r="K207" s="100"/>
      <c r="L207" s="100"/>
      <c r="M207" s="100"/>
      <c r="N207" s="100"/>
      <c r="O207" s="100"/>
      <c r="P207" s="100"/>
      <c r="Q207" s="100"/>
      <c r="R207" s="100"/>
      <c r="S207" s="100"/>
      <c r="T207" s="100"/>
      <c r="U207" s="100"/>
      <c r="V207" s="100"/>
      <c r="W207" s="100"/>
      <c r="X207" s="100"/>
      <c r="Y207" s="100"/>
      <c r="Z207" s="100"/>
      <c r="AA207" s="100"/>
      <c r="AB207" s="100"/>
      <c r="AC207" s="100"/>
      <c r="AD207" s="100"/>
    </row>
    <row r="208">
      <c r="A208" s="118"/>
      <c r="B208" s="118"/>
      <c r="C208" s="118"/>
      <c r="D208" s="119"/>
      <c r="E208" s="119"/>
      <c r="F208" s="119"/>
      <c r="G208" s="100"/>
      <c r="H208" s="100"/>
      <c r="I208" s="100"/>
      <c r="J208" s="100"/>
      <c r="K208" s="100"/>
      <c r="L208" s="100"/>
      <c r="M208" s="100"/>
      <c r="N208" s="100"/>
      <c r="O208" s="100"/>
      <c r="P208" s="100"/>
      <c r="Q208" s="100"/>
      <c r="R208" s="100"/>
      <c r="S208" s="100"/>
      <c r="T208" s="100"/>
      <c r="U208" s="100"/>
      <c r="V208" s="100"/>
      <c r="W208" s="100"/>
      <c r="X208" s="100"/>
      <c r="Y208" s="100"/>
      <c r="Z208" s="100"/>
      <c r="AA208" s="100"/>
      <c r="AB208" s="100"/>
      <c r="AC208" s="100"/>
      <c r="AD208" s="100"/>
    </row>
    <row r="209">
      <c r="A209" s="118"/>
      <c r="B209" s="118"/>
      <c r="C209" s="118"/>
      <c r="D209" s="119"/>
      <c r="E209" s="119"/>
      <c r="F209" s="119"/>
      <c r="G209" s="100"/>
      <c r="H209" s="100"/>
      <c r="I209" s="100"/>
      <c r="J209" s="100"/>
      <c r="K209" s="100"/>
      <c r="L209" s="100"/>
      <c r="M209" s="100"/>
      <c r="N209" s="100"/>
      <c r="O209" s="100"/>
      <c r="P209" s="100"/>
      <c r="Q209" s="100"/>
      <c r="R209" s="100"/>
      <c r="S209" s="100"/>
      <c r="T209" s="100"/>
      <c r="U209" s="100"/>
      <c r="V209" s="100"/>
      <c r="W209" s="100"/>
      <c r="X209" s="100"/>
      <c r="Y209" s="100"/>
      <c r="Z209" s="100"/>
      <c r="AA209" s="100"/>
      <c r="AB209" s="100"/>
      <c r="AC209" s="100"/>
      <c r="AD209" s="100"/>
    </row>
    <row r="210">
      <c r="A210" s="118"/>
      <c r="B210" s="118"/>
      <c r="C210" s="118"/>
      <c r="D210" s="119"/>
      <c r="E210" s="119"/>
      <c r="F210" s="119"/>
      <c r="G210" s="100"/>
      <c r="H210" s="100"/>
      <c r="I210" s="100"/>
      <c r="J210" s="100"/>
      <c r="K210" s="100"/>
      <c r="L210" s="100"/>
      <c r="M210" s="100"/>
      <c r="N210" s="100"/>
      <c r="O210" s="100"/>
      <c r="P210" s="100"/>
      <c r="Q210" s="100"/>
      <c r="R210" s="100"/>
      <c r="S210" s="100"/>
      <c r="T210" s="100"/>
      <c r="U210" s="100"/>
      <c r="V210" s="100"/>
      <c r="W210" s="100"/>
      <c r="X210" s="100"/>
      <c r="Y210" s="100"/>
      <c r="Z210" s="100"/>
      <c r="AA210" s="100"/>
      <c r="AB210" s="100"/>
      <c r="AC210" s="100"/>
      <c r="AD210" s="100"/>
    </row>
    <row r="211">
      <c r="A211" s="118"/>
      <c r="B211" s="118"/>
      <c r="C211" s="118"/>
      <c r="D211" s="119"/>
      <c r="E211" s="119"/>
      <c r="F211" s="119"/>
      <c r="G211" s="100"/>
      <c r="H211" s="100"/>
      <c r="I211" s="100"/>
      <c r="J211" s="100"/>
      <c r="K211" s="100"/>
      <c r="L211" s="100"/>
      <c r="M211" s="100"/>
      <c r="N211" s="100"/>
      <c r="O211" s="100"/>
      <c r="P211" s="100"/>
      <c r="Q211" s="100"/>
      <c r="R211" s="100"/>
      <c r="S211" s="100"/>
      <c r="T211" s="100"/>
      <c r="U211" s="100"/>
      <c r="V211" s="100"/>
      <c r="W211" s="100"/>
      <c r="X211" s="100"/>
      <c r="Y211" s="100"/>
      <c r="Z211" s="100"/>
      <c r="AA211" s="100"/>
      <c r="AB211" s="100"/>
      <c r="AC211" s="100"/>
      <c r="AD211" s="100"/>
    </row>
    <row r="212">
      <c r="A212" s="118"/>
      <c r="B212" s="118"/>
      <c r="C212" s="118"/>
      <c r="D212" s="119"/>
      <c r="E212" s="119"/>
      <c r="F212" s="119"/>
      <c r="G212" s="100"/>
      <c r="H212" s="100"/>
      <c r="I212" s="100"/>
      <c r="J212" s="100"/>
      <c r="K212" s="100"/>
      <c r="L212" s="100"/>
      <c r="M212" s="100"/>
      <c r="N212" s="100"/>
      <c r="O212" s="100"/>
      <c r="P212" s="100"/>
      <c r="Q212" s="100"/>
      <c r="R212" s="100"/>
      <c r="S212" s="100"/>
      <c r="T212" s="100"/>
      <c r="U212" s="100"/>
      <c r="V212" s="100"/>
      <c r="W212" s="100"/>
      <c r="X212" s="100"/>
      <c r="Y212" s="100"/>
      <c r="Z212" s="100"/>
      <c r="AA212" s="100"/>
      <c r="AB212" s="100"/>
      <c r="AC212" s="100"/>
      <c r="AD212" s="100"/>
    </row>
    <row r="213">
      <c r="A213" s="118"/>
      <c r="B213" s="118"/>
      <c r="C213" s="118"/>
      <c r="D213" s="119"/>
      <c r="E213" s="119"/>
      <c r="F213" s="119"/>
      <c r="G213" s="100"/>
      <c r="H213" s="100"/>
      <c r="I213" s="100"/>
      <c r="J213" s="100"/>
      <c r="K213" s="100"/>
      <c r="L213" s="100"/>
      <c r="M213" s="100"/>
      <c r="N213" s="100"/>
      <c r="O213" s="100"/>
      <c r="P213" s="100"/>
      <c r="Q213" s="100"/>
      <c r="R213" s="100"/>
      <c r="S213" s="100"/>
      <c r="T213" s="100"/>
      <c r="U213" s="100"/>
      <c r="V213" s="100"/>
      <c r="W213" s="100"/>
      <c r="X213" s="100"/>
      <c r="Y213" s="100"/>
      <c r="Z213" s="100"/>
      <c r="AA213" s="100"/>
      <c r="AB213" s="100"/>
      <c r="AC213" s="100"/>
      <c r="AD213" s="100"/>
    </row>
    <row r="214">
      <c r="A214" s="118"/>
      <c r="B214" s="118"/>
      <c r="C214" s="118"/>
      <c r="D214" s="119"/>
      <c r="E214" s="119"/>
      <c r="F214" s="119"/>
      <c r="G214" s="100"/>
      <c r="H214" s="100"/>
      <c r="I214" s="100"/>
      <c r="J214" s="100"/>
      <c r="K214" s="100"/>
      <c r="L214" s="100"/>
      <c r="M214" s="100"/>
      <c r="N214" s="100"/>
      <c r="O214" s="100"/>
      <c r="P214" s="100"/>
      <c r="Q214" s="100"/>
      <c r="R214" s="100"/>
      <c r="S214" s="100"/>
      <c r="T214" s="100"/>
      <c r="U214" s="100"/>
      <c r="V214" s="100"/>
      <c r="W214" s="100"/>
      <c r="X214" s="100"/>
      <c r="Y214" s="100"/>
      <c r="Z214" s="100"/>
      <c r="AA214" s="100"/>
      <c r="AB214" s="100"/>
      <c r="AC214" s="100"/>
      <c r="AD214" s="100"/>
    </row>
    <row r="215">
      <c r="A215" s="118"/>
      <c r="B215" s="118"/>
      <c r="C215" s="118"/>
      <c r="D215" s="119"/>
      <c r="E215" s="119"/>
      <c r="F215" s="119"/>
      <c r="G215" s="100"/>
      <c r="H215" s="100"/>
      <c r="I215" s="100"/>
      <c r="J215" s="100"/>
      <c r="K215" s="100"/>
      <c r="L215" s="100"/>
      <c r="M215" s="100"/>
      <c r="N215" s="100"/>
      <c r="O215" s="100"/>
      <c r="P215" s="100"/>
      <c r="Q215" s="100"/>
      <c r="R215" s="100"/>
      <c r="S215" s="100"/>
      <c r="T215" s="100"/>
      <c r="U215" s="100"/>
      <c r="V215" s="100"/>
      <c r="W215" s="100"/>
      <c r="X215" s="100"/>
      <c r="Y215" s="100"/>
      <c r="Z215" s="100"/>
      <c r="AA215" s="100"/>
      <c r="AB215" s="100"/>
      <c r="AC215" s="100"/>
      <c r="AD215" s="100"/>
    </row>
    <row r="216">
      <c r="A216" s="118"/>
      <c r="B216" s="118"/>
      <c r="C216" s="118"/>
      <c r="D216" s="119"/>
      <c r="E216" s="119"/>
      <c r="F216" s="119"/>
      <c r="G216" s="100"/>
      <c r="H216" s="100"/>
      <c r="I216" s="100"/>
      <c r="J216" s="100"/>
      <c r="K216" s="100"/>
      <c r="L216" s="100"/>
      <c r="M216" s="100"/>
      <c r="N216" s="100"/>
      <c r="O216" s="100"/>
      <c r="P216" s="100"/>
      <c r="Q216" s="100"/>
      <c r="R216" s="100"/>
      <c r="S216" s="100"/>
      <c r="T216" s="100"/>
      <c r="U216" s="100"/>
      <c r="V216" s="100"/>
      <c r="W216" s="100"/>
      <c r="X216" s="100"/>
      <c r="Y216" s="100"/>
      <c r="Z216" s="100"/>
      <c r="AA216" s="100"/>
      <c r="AB216" s="100"/>
      <c r="AC216" s="100"/>
      <c r="AD216" s="100"/>
    </row>
    <row r="217">
      <c r="A217" s="118"/>
      <c r="B217" s="118"/>
      <c r="C217" s="118"/>
      <c r="D217" s="119"/>
      <c r="E217" s="119"/>
      <c r="F217" s="119"/>
      <c r="G217" s="100"/>
      <c r="H217" s="100"/>
      <c r="I217" s="100"/>
      <c r="J217" s="100"/>
      <c r="K217" s="100"/>
      <c r="L217" s="100"/>
      <c r="M217" s="100"/>
      <c r="N217" s="100"/>
      <c r="O217" s="100"/>
      <c r="P217" s="100"/>
      <c r="Q217" s="100"/>
      <c r="R217" s="100"/>
      <c r="S217" s="100"/>
      <c r="T217" s="100"/>
      <c r="U217" s="100"/>
      <c r="V217" s="100"/>
      <c r="W217" s="100"/>
      <c r="X217" s="100"/>
      <c r="Y217" s="100"/>
      <c r="Z217" s="100"/>
      <c r="AA217" s="100"/>
      <c r="AB217" s="100"/>
      <c r="AC217" s="100"/>
      <c r="AD217" s="100"/>
    </row>
    <row r="218">
      <c r="A218" s="118"/>
      <c r="B218" s="118"/>
      <c r="C218" s="118"/>
      <c r="D218" s="119"/>
      <c r="E218" s="119"/>
      <c r="F218" s="119"/>
      <c r="G218" s="100"/>
      <c r="H218" s="100"/>
      <c r="I218" s="100"/>
      <c r="J218" s="100"/>
      <c r="K218" s="100"/>
      <c r="L218" s="100"/>
      <c r="M218" s="100"/>
      <c r="N218" s="100"/>
      <c r="O218" s="100"/>
      <c r="P218" s="100"/>
      <c r="Q218" s="100"/>
      <c r="R218" s="100"/>
      <c r="S218" s="100"/>
      <c r="T218" s="100"/>
      <c r="U218" s="100"/>
      <c r="V218" s="100"/>
      <c r="W218" s="100"/>
      <c r="X218" s="100"/>
      <c r="Y218" s="100"/>
      <c r="Z218" s="100"/>
      <c r="AA218" s="100"/>
      <c r="AB218" s="100"/>
      <c r="AC218" s="100"/>
      <c r="AD218" s="100"/>
    </row>
    <row r="219">
      <c r="A219" s="118"/>
      <c r="B219" s="118"/>
      <c r="C219" s="118"/>
      <c r="D219" s="119"/>
      <c r="E219" s="119"/>
      <c r="F219" s="119"/>
      <c r="G219" s="100"/>
      <c r="H219" s="100"/>
      <c r="I219" s="100"/>
      <c r="J219" s="100"/>
      <c r="K219" s="100"/>
      <c r="L219" s="100"/>
      <c r="M219" s="100"/>
      <c r="N219" s="100"/>
      <c r="O219" s="100"/>
      <c r="P219" s="100"/>
      <c r="Q219" s="100"/>
      <c r="R219" s="100"/>
      <c r="S219" s="100"/>
      <c r="T219" s="100"/>
      <c r="U219" s="100"/>
      <c r="V219" s="100"/>
      <c r="W219" s="100"/>
      <c r="X219" s="100"/>
      <c r="Y219" s="100"/>
      <c r="Z219" s="100"/>
      <c r="AA219" s="100"/>
      <c r="AB219" s="100"/>
      <c r="AC219" s="100"/>
      <c r="AD219" s="100"/>
    </row>
    <row r="220">
      <c r="A220" s="118"/>
      <c r="B220" s="118"/>
      <c r="C220" s="118"/>
      <c r="D220" s="119"/>
      <c r="E220" s="119"/>
      <c r="F220" s="119"/>
      <c r="G220" s="100"/>
      <c r="H220" s="100"/>
      <c r="I220" s="100"/>
      <c r="J220" s="100"/>
      <c r="K220" s="100"/>
      <c r="L220" s="100"/>
      <c r="M220" s="100"/>
      <c r="N220" s="100"/>
      <c r="O220" s="100"/>
      <c r="P220" s="100"/>
      <c r="Q220" s="100"/>
      <c r="R220" s="100"/>
      <c r="S220" s="100"/>
      <c r="T220" s="100"/>
      <c r="U220" s="100"/>
      <c r="V220" s="100"/>
      <c r="W220" s="100"/>
      <c r="X220" s="100"/>
      <c r="Y220" s="100"/>
      <c r="Z220" s="100"/>
      <c r="AA220" s="100"/>
      <c r="AB220" s="100"/>
      <c r="AC220" s="100"/>
      <c r="AD220" s="100"/>
    </row>
    <row r="221">
      <c r="A221" s="118"/>
      <c r="B221" s="118"/>
      <c r="C221" s="118"/>
      <c r="D221" s="119"/>
      <c r="E221" s="119"/>
      <c r="F221" s="119"/>
      <c r="G221" s="100"/>
      <c r="H221" s="100"/>
      <c r="I221" s="100"/>
      <c r="J221" s="100"/>
      <c r="K221" s="100"/>
      <c r="L221" s="100"/>
      <c r="M221" s="100"/>
      <c r="N221" s="100"/>
      <c r="O221" s="100"/>
      <c r="P221" s="100"/>
      <c r="Q221" s="100"/>
      <c r="R221" s="100"/>
      <c r="S221" s="100"/>
      <c r="T221" s="100"/>
      <c r="U221" s="100"/>
      <c r="V221" s="100"/>
      <c r="W221" s="100"/>
      <c r="X221" s="100"/>
      <c r="Y221" s="100"/>
      <c r="Z221" s="100"/>
      <c r="AA221" s="100"/>
      <c r="AB221" s="100"/>
      <c r="AC221" s="100"/>
      <c r="AD221" s="100"/>
    </row>
    <row r="222">
      <c r="A222" s="118"/>
      <c r="B222" s="118"/>
      <c r="C222" s="118"/>
      <c r="D222" s="119"/>
      <c r="E222" s="119"/>
      <c r="F222" s="119"/>
      <c r="G222" s="100"/>
      <c r="H222" s="100"/>
      <c r="I222" s="100"/>
      <c r="J222" s="100"/>
      <c r="K222" s="100"/>
      <c r="L222" s="100"/>
      <c r="M222" s="100"/>
      <c r="N222" s="100"/>
      <c r="O222" s="100"/>
      <c r="P222" s="100"/>
      <c r="Q222" s="100"/>
      <c r="R222" s="100"/>
      <c r="S222" s="100"/>
      <c r="T222" s="100"/>
      <c r="U222" s="100"/>
      <c r="V222" s="100"/>
      <c r="W222" s="100"/>
      <c r="X222" s="100"/>
      <c r="Y222" s="100"/>
      <c r="Z222" s="100"/>
      <c r="AA222" s="100"/>
      <c r="AB222" s="100"/>
      <c r="AC222" s="100"/>
      <c r="AD222" s="100"/>
    </row>
    <row r="223">
      <c r="A223" s="118"/>
      <c r="B223" s="118"/>
      <c r="C223" s="118"/>
      <c r="D223" s="119"/>
      <c r="E223" s="119"/>
      <c r="F223" s="119"/>
      <c r="G223" s="100"/>
      <c r="H223" s="100"/>
      <c r="I223" s="100"/>
      <c r="J223" s="100"/>
      <c r="K223" s="100"/>
      <c r="L223" s="100"/>
      <c r="M223" s="100"/>
      <c r="N223" s="100"/>
      <c r="O223" s="100"/>
      <c r="P223" s="100"/>
      <c r="Q223" s="100"/>
      <c r="R223" s="100"/>
      <c r="S223" s="100"/>
      <c r="T223" s="100"/>
      <c r="U223" s="100"/>
      <c r="V223" s="100"/>
      <c r="W223" s="100"/>
      <c r="X223" s="100"/>
      <c r="Y223" s="100"/>
      <c r="Z223" s="100"/>
      <c r="AA223" s="100"/>
      <c r="AB223" s="100"/>
      <c r="AC223" s="100"/>
      <c r="AD223" s="100"/>
    </row>
    <row r="224">
      <c r="A224" s="118"/>
      <c r="B224" s="118"/>
      <c r="C224" s="118"/>
      <c r="D224" s="119"/>
      <c r="E224" s="119"/>
      <c r="F224" s="119"/>
      <c r="G224" s="100"/>
      <c r="H224" s="100"/>
      <c r="I224" s="100"/>
      <c r="J224" s="100"/>
      <c r="K224" s="100"/>
      <c r="L224" s="100"/>
      <c r="M224" s="100"/>
      <c r="N224" s="100"/>
      <c r="O224" s="100"/>
      <c r="P224" s="100"/>
      <c r="Q224" s="100"/>
      <c r="R224" s="100"/>
      <c r="S224" s="100"/>
      <c r="T224" s="100"/>
      <c r="U224" s="100"/>
      <c r="V224" s="100"/>
      <c r="W224" s="100"/>
      <c r="X224" s="100"/>
      <c r="Y224" s="100"/>
      <c r="Z224" s="100"/>
      <c r="AA224" s="100"/>
      <c r="AB224" s="100"/>
      <c r="AC224" s="100"/>
      <c r="AD224" s="100"/>
    </row>
    <row r="225">
      <c r="A225" s="118"/>
      <c r="B225" s="118"/>
      <c r="C225" s="118"/>
      <c r="D225" s="119"/>
      <c r="E225" s="119"/>
      <c r="F225" s="119"/>
      <c r="G225" s="100"/>
      <c r="H225" s="100"/>
      <c r="I225" s="100"/>
      <c r="J225" s="100"/>
      <c r="K225" s="100"/>
      <c r="L225" s="100"/>
      <c r="M225" s="100"/>
      <c r="N225" s="100"/>
      <c r="O225" s="100"/>
      <c r="P225" s="100"/>
      <c r="Q225" s="100"/>
      <c r="R225" s="100"/>
      <c r="S225" s="100"/>
      <c r="T225" s="100"/>
      <c r="U225" s="100"/>
      <c r="V225" s="100"/>
      <c r="W225" s="100"/>
      <c r="X225" s="100"/>
      <c r="Y225" s="100"/>
      <c r="Z225" s="100"/>
      <c r="AA225" s="100"/>
      <c r="AB225" s="100"/>
      <c r="AC225" s="100"/>
      <c r="AD225" s="100"/>
    </row>
    <row r="226">
      <c r="A226" s="118"/>
      <c r="B226" s="118"/>
      <c r="C226" s="118"/>
      <c r="D226" s="119"/>
      <c r="E226" s="119"/>
      <c r="F226" s="119"/>
      <c r="G226" s="100"/>
      <c r="H226" s="100"/>
      <c r="I226" s="100"/>
      <c r="J226" s="100"/>
      <c r="K226" s="100"/>
      <c r="L226" s="100"/>
      <c r="M226" s="100"/>
      <c r="N226" s="100"/>
      <c r="O226" s="100"/>
      <c r="P226" s="100"/>
      <c r="Q226" s="100"/>
      <c r="R226" s="100"/>
      <c r="S226" s="100"/>
      <c r="T226" s="100"/>
      <c r="U226" s="100"/>
      <c r="V226" s="100"/>
      <c r="W226" s="100"/>
      <c r="X226" s="100"/>
      <c r="Y226" s="100"/>
      <c r="Z226" s="100"/>
      <c r="AA226" s="100"/>
      <c r="AB226" s="100"/>
      <c r="AC226" s="100"/>
      <c r="AD226" s="100"/>
    </row>
    <row r="227">
      <c r="A227" s="118"/>
      <c r="B227" s="118"/>
      <c r="C227" s="118"/>
      <c r="D227" s="119"/>
      <c r="E227" s="119"/>
      <c r="F227" s="119"/>
      <c r="G227" s="100"/>
      <c r="H227" s="100"/>
      <c r="I227" s="100"/>
      <c r="J227" s="100"/>
      <c r="K227" s="100"/>
      <c r="L227" s="100"/>
      <c r="M227" s="100"/>
      <c r="N227" s="100"/>
      <c r="O227" s="100"/>
      <c r="P227" s="100"/>
      <c r="Q227" s="100"/>
      <c r="R227" s="100"/>
      <c r="S227" s="100"/>
      <c r="T227" s="100"/>
      <c r="U227" s="100"/>
      <c r="V227" s="100"/>
      <c r="W227" s="100"/>
      <c r="X227" s="100"/>
      <c r="Y227" s="100"/>
      <c r="Z227" s="100"/>
      <c r="AA227" s="100"/>
      <c r="AB227" s="100"/>
      <c r="AC227" s="100"/>
      <c r="AD227" s="100"/>
    </row>
    <row r="228">
      <c r="A228" s="118"/>
      <c r="B228" s="118"/>
      <c r="C228" s="118"/>
      <c r="D228" s="119"/>
      <c r="E228" s="119"/>
      <c r="F228" s="119"/>
      <c r="G228" s="100"/>
      <c r="H228" s="100"/>
      <c r="I228" s="100"/>
      <c r="J228" s="100"/>
      <c r="K228" s="100"/>
      <c r="L228" s="100"/>
      <c r="M228" s="100"/>
      <c r="N228" s="100"/>
      <c r="O228" s="100"/>
      <c r="P228" s="100"/>
      <c r="Q228" s="100"/>
      <c r="R228" s="100"/>
      <c r="S228" s="100"/>
      <c r="T228" s="100"/>
      <c r="U228" s="100"/>
      <c r="V228" s="100"/>
      <c r="W228" s="100"/>
      <c r="X228" s="100"/>
      <c r="Y228" s="100"/>
      <c r="Z228" s="100"/>
      <c r="AA228" s="100"/>
      <c r="AB228" s="100"/>
      <c r="AC228" s="100"/>
      <c r="AD228" s="100"/>
    </row>
    <row r="229">
      <c r="A229" s="118"/>
      <c r="B229" s="118"/>
      <c r="C229" s="118"/>
      <c r="D229" s="119"/>
      <c r="E229" s="119"/>
      <c r="F229" s="119"/>
      <c r="G229" s="100"/>
      <c r="H229" s="100"/>
      <c r="I229" s="100"/>
      <c r="J229" s="100"/>
      <c r="K229" s="100"/>
      <c r="L229" s="100"/>
      <c r="M229" s="100"/>
      <c r="N229" s="100"/>
      <c r="O229" s="100"/>
      <c r="P229" s="100"/>
      <c r="Q229" s="100"/>
      <c r="R229" s="100"/>
      <c r="S229" s="100"/>
      <c r="T229" s="100"/>
      <c r="U229" s="100"/>
      <c r="V229" s="100"/>
      <c r="W229" s="100"/>
      <c r="X229" s="100"/>
      <c r="Y229" s="100"/>
      <c r="Z229" s="100"/>
      <c r="AA229" s="100"/>
      <c r="AB229" s="100"/>
      <c r="AC229" s="100"/>
      <c r="AD229" s="100"/>
    </row>
    <row r="230">
      <c r="A230" s="118"/>
      <c r="B230" s="118"/>
      <c r="C230" s="118"/>
      <c r="D230" s="119"/>
      <c r="E230" s="119"/>
      <c r="F230" s="119"/>
      <c r="G230" s="100"/>
      <c r="H230" s="100"/>
      <c r="I230" s="100"/>
      <c r="J230" s="100"/>
      <c r="K230" s="100"/>
      <c r="L230" s="100"/>
      <c r="M230" s="100"/>
      <c r="N230" s="100"/>
      <c r="O230" s="100"/>
      <c r="P230" s="100"/>
      <c r="Q230" s="100"/>
      <c r="R230" s="100"/>
      <c r="S230" s="100"/>
      <c r="T230" s="100"/>
      <c r="U230" s="100"/>
      <c r="V230" s="100"/>
      <c r="W230" s="100"/>
      <c r="X230" s="100"/>
      <c r="Y230" s="100"/>
      <c r="Z230" s="100"/>
      <c r="AA230" s="100"/>
      <c r="AB230" s="100"/>
      <c r="AC230" s="100"/>
      <c r="AD230" s="100"/>
    </row>
    <row r="231">
      <c r="A231" s="118"/>
      <c r="B231" s="118"/>
      <c r="C231" s="118"/>
      <c r="D231" s="119"/>
      <c r="E231" s="119"/>
      <c r="F231" s="119"/>
      <c r="G231" s="100"/>
      <c r="H231" s="100"/>
      <c r="I231" s="100"/>
      <c r="J231" s="100"/>
      <c r="K231" s="100"/>
      <c r="L231" s="100"/>
      <c r="M231" s="100"/>
      <c r="N231" s="100"/>
      <c r="O231" s="100"/>
      <c r="P231" s="100"/>
      <c r="Q231" s="100"/>
      <c r="R231" s="100"/>
      <c r="S231" s="100"/>
      <c r="T231" s="100"/>
      <c r="U231" s="100"/>
      <c r="V231" s="100"/>
      <c r="W231" s="100"/>
      <c r="X231" s="100"/>
      <c r="Y231" s="100"/>
      <c r="Z231" s="100"/>
      <c r="AA231" s="100"/>
      <c r="AB231" s="100"/>
      <c r="AC231" s="100"/>
      <c r="AD231" s="100"/>
    </row>
    <row r="232">
      <c r="A232" s="118"/>
      <c r="B232" s="118"/>
      <c r="C232" s="118"/>
      <c r="D232" s="119"/>
      <c r="E232" s="119"/>
      <c r="F232" s="119"/>
      <c r="G232" s="100"/>
      <c r="H232" s="100"/>
      <c r="I232" s="100"/>
      <c r="J232" s="100"/>
      <c r="K232" s="100"/>
      <c r="L232" s="100"/>
      <c r="M232" s="100"/>
      <c r="N232" s="100"/>
      <c r="O232" s="100"/>
      <c r="P232" s="100"/>
      <c r="Q232" s="100"/>
      <c r="R232" s="100"/>
      <c r="S232" s="100"/>
      <c r="T232" s="100"/>
      <c r="U232" s="100"/>
      <c r="V232" s="100"/>
      <c r="W232" s="100"/>
      <c r="X232" s="100"/>
      <c r="Y232" s="100"/>
      <c r="Z232" s="100"/>
      <c r="AA232" s="100"/>
      <c r="AB232" s="100"/>
      <c r="AC232" s="100"/>
      <c r="AD232" s="100"/>
    </row>
    <row r="233">
      <c r="A233" s="118"/>
      <c r="B233" s="118"/>
      <c r="C233" s="118"/>
      <c r="D233" s="119"/>
      <c r="E233" s="119"/>
      <c r="F233" s="119"/>
      <c r="G233" s="100"/>
      <c r="H233" s="100"/>
      <c r="I233" s="100"/>
      <c r="J233" s="100"/>
      <c r="K233" s="100"/>
      <c r="L233" s="100"/>
      <c r="M233" s="100"/>
      <c r="N233" s="100"/>
      <c r="O233" s="100"/>
      <c r="P233" s="100"/>
      <c r="Q233" s="100"/>
      <c r="R233" s="100"/>
      <c r="S233" s="100"/>
      <c r="T233" s="100"/>
      <c r="U233" s="100"/>
      <c r="V233" s="100"/>
      <c r="W233" s="100"/>
      <c r="X233" s="100"/>
      <c r="Y233" s="100"/>
      <c r="Z233" s="100"/>
      <c r="AA233" s="100"/>
      <c r="AB233" s="100"/>
      <c r="AC233" s="100"/>
      <c r="AD233" s="100"/>
    </row>
    <row r="234">
      <c r="A234" s="118"/>
      <c r="B234" s="118"/>
      <c r="C234" s="118"/>
      <c r="D234" s="119"/>
      <c r="E234" s="119"/>
      <c r="F234" s="119"/>
      <c r="G234" s="100"/>
      <c r="H234" s="100"/>
      <c r="I234" s="100"/>
      <c r="J234" s="100"/>
      <c r="K234" s="100"/>
      <c r="L234" s="100"/>
      <c r="M234" s="100"/>
      <c r="N234" s="100"/>
      <c r="O234" s="100"/>
      <c r="P234" s="100"/>
      <c r="Q234" s="100"/>
      <c r="R234" s="100"/>
      <c r="S234" s="100"/>
      <c r="T234" s="100"/>
      <c r="U234" s="100"/>
      <c r="V234" s="100"/>
      <c r="W234" s="100"/>
      <c r="X234" s="100"/>
      <c r="Y234" s="100"/>
      <c r="Z234" s="100"/>
      <c r="AA234" s="100"/>
      <c r="AB234" s="100"/>
      <c r="AC234" s="100"/>
      <c r="AD234" s="100"/>
    </row>
    <row r="235">
      <c r="A235" s="118"/>
      <c r="B235" s="118"/>
      <c r="C235" s="118"/>
      <c r="D235" s="119"/>
      <c r="E235" s="119"/>
      <c r="F235" s="119"/>
      <c r="G235" s="100"/>
      <c r="H235" s="100"/>
      <c r="I235" s="100"/>
      <c r="J235" s="100"/>
      <c r="K235" s="100"/>
      <c r="L235" s="100"/>
      <c r="M235" s="100"/>
      <c r="N235" s="100"/>
      <c r="O235" s="100"/>
      <c r="P235" s="100"/>
      <c r="Q235" s="100"/>
      <c r="R235" s="100"/>
      <c r="S235" s="100"/>
      <c r="T235" s="100"/>
      <c r="U235" s="100"/>
      <c r="V235" s="100"/>
      <c r="W235" s="100"/>
      <c r="X235" s="100"/>
      <c r="Y235" s="100"/>
      <c r="Z235" s="100"/>
      <c r="AA235" s="100"/>
      <c r="AB235" s="100"/>
      <c r="AC235" s="100"/>
      <c r="AD235" s="100"/>
    </row>
    <row r="236">
      <c r="A236" s="118"/>
      <c r="B236" s="118"/>
      <c r="C236" s="118"/>
      <c r="D236" s="119"/>
      <c r="E236" s="119"/>
      <c r="F236" s="119"/>
      <c r="G236" s="100"/>
      <c r="H236" s="100"/>
      <c r="I236" s="100"/>
      <c r="J236" s="100"/>
      <c r="K236" s="100"/>
      <c r="L236" s="100"/>
      <c r="M236" s="100"/>
      <c r="N236" s="100"/>
      <c r="O236" s="100"/>
      <c r="P236" s="100"/>
      <c r="Q236" s="100"/>
      <c r="R236" s="100"/>
      <c r="S236" s="100"/>
      <c r="T236" s="100"/>
      <c r="U236" s="100"/>
      <c r="V236" s="100"/>
      <c r="W236" s="100"/>
      <c r="X236" s="100"/>
      <c r="Y236" s="100"/>
      <c r="Z236" s="100"/>
      <c r="AA236" s="100"/>
      <c r="AB236" s="100"/>
      <c r="AC236" s="100"/>
      <c r="AD236" s="100"/>
    </row>
    <row r="237">
      <c r="A237" s="118"/>
      <c r="B237" s="118"/>
      <c r="C237" s="118"/>
      <c r="D237" s="119"/>
      <c r="E237" s="119"/>
      <c r="F237" s="119"/>
      <c r="G237" s="100"/>
      <c r="H237" s="100"/>
      <c r="I237" s="100"/>
      <c r="J237" s="100"/>
      <c r="K237" s="100"/>
      <c r="L237" s="100"/>
      <c r="M237" s="100"/>
      <c r="N237" s="100"/>
      <c r="O237" s="100"/>
      <c r="P237" s="100"/>
      <c r="Q237" s="100"/>
      <c r="R237" s="100"/>
      <c r="S237" s="100"/>
      <c r="T237" s="100"/>
      <c r="U237" s="100"/>
      <c r="V237" s="100"/>
      <c r="W237" s="100"/>
      <c r="X237" s="100"/>
      <c r="Y237" s="100"/>
      <c r="Z237" s="100"/>
      <c r="AA237" s="100"/>
      <c r="AB237" s="100"/>
      <c r="AC237" s="100"/>
      <c r="AD237" s="100"/>
    </row>
    <row r="238">
      <c r="A238" s="118"/>
      <c r="B238" s="118"/>
      <c r="C238" s="118"/>
      <c r="D238" s="119"/>
      <c r="E238" s="119"/>
      <c r="F238" s="119"/>
      <c r="G238" s="100"/>
      <c r="H238" s="100"/>
      <c r="I238" s="100"/>
      <c r="J238" s="100"/>
      <c r="K238" s="100"/>
      <c r="L238" s="100"/>
      <c r="M238" s="100"/>
      <c r="N238" s="100"/>
      <c r="O238" s="100"/>
      <c r="P238" s="100"/>
      <c r="Q238" s="100"/>
      <c r="R238" s="100"/>
      <c r="S238" s="100"/>
      <c r="T238" s="100"/>
      <c r="U238" s="100"/>
      <c r="V238" s="100"/>
      <c r="W238" s="100"/>
      <c r="X238" s="100"/>
      <c r="Y238" s="100"/>
      <c r="Z238" s="100"/>
      <c r="AA238" s="100"/>
      <c r="AB238" s="100"/>
      <c r="AC238" s="100"/>
      <c r="AD238" s="100"/>
    </row>
    <row r="239">
      <c r="A239" s="118"/>
      <c r="B239" s="118"/>
      <c r="C239" s="118"/>
      <c r="D239" s="119"/>
      <c r="E239" s="119"/>
      <c r="F239" s="119"/>
      <c r="G239" s="100"/>
      <c r="H239" s="100"/>
      <c r="I239" s="100"/>
      <c r="J239" s="100"/>
      <c r="K239" s="100"/>
      <c r="L239" s="100"/>
      <c r="M239" s="100"/>
      <c r="N239" s="100"/>
      <c r="O239" s="100"/>
      <c r="P239" s="100"/>
      <c r="Q239" s="100"/>
      <c r="R239" s="100"/>
      <c r="S239" s="100"/>
      <c r="T239" s="100"/>
      <c r="U239" s="100"/>
      <c r="V239" s="100"/>
      <c r="W239" s="100"/>
      <c r="X239" s="100"/>
      <c r="Y239" s="100"/>
      <c r="Z239" s="100"/>
      <c r="AA239" s="100"/>
      <c r="AB239" s="100"/>
      <c r="AC239" s="100"/>
      <c r="AD239" s="100"/>
    </row>
    <row r="240">
      <c r="A240" s="118"/>
      <c r="B240" s="118"/>
      <c r="C240" s="118"/>
      <c r="D240" s="119"/>
      <c r="E240" s="119"/>
      <c r="F240" s="119"/>
      <c r="G240" s="100"/>
      <c r="H240" s="100"/>
      <c r="I240" s="100"/>
      <c r="J240" s="100"/>
      <c r="K240" s="100"/>
      <c r="L240" s="100"/>
      <c r="M240" s="100"/>
      <c r="N240" s="100"/>
      <c r="O240" s="100"/>
      <c r="P240" s="100"/>
      <c r="Q240" s="100"/>
      <c r="R240" s="100"/>
      <c r="S240" s="100"/>
      <c r="T240" s="100"/>
      <c r="U240" s="100"/>
      <c r="V240" s="100"/>
      <c r="W240" s="100"/>
      <c r="X240" s="100"/>
      <c r="Y240" s="100"/>
      <c r="Z240" s="100"/>
      <c r="AA240" s="100"/>
      <c r="AB240" s="100"/>
      <c r="AC240" s="100"/>
      <c r="AD240" s="100"/>
    </row>
    <row r="241">
      <c r="A241" s="118"/>
      <c r="B241" s="118"/>
      <c r="C241" s="118"/>
      <c r="D241" s="119"/>
      <c r="E241" s="119"/>
      <c r="F241" s="119"/>
      <c r="G241" s="100"/>
      <c r="H241" s="100"/>
      <c r="I241" s="100"/>
      <c r="J241" s="100"/>
      <c r="K241" s="100"/>
      <c r="L241" s="100"/>
      <c r="M241" s="100"/>
      <c r="N241" s="100"/>
      <c r="O241" s="100"/>
      <c r="P241" s="100"/>
      <c r="Q241" s="100"/>
      <c r="R241" s="100"/>
      <c r="S241" s="100"/>
      <c r="T241" s="100"/>
      <c r="U241" s="100"/>
      <c r="V241" s="100"/>
      <c r="W241" s="100"/>
      <c r="X241" s="100"/>
      <c r="Y241" s="100"/>
      <c r="Z241" s="100"/>
      <c r="AA241" s="100"/>
      <c r="AB241" s="100"/>
      <c r="AC241" s="100"/>
      <c r="AD241" s="100"/>
    </row>
    <row r="242">
      <c r="A242" s="118"/>
      <c r="B242" s="118"/>
      <c r="C242" s="118"/>
      <c r="D242" s="119"/>
      <c r="E242" s="119"/>
      <c r="F242" s="119"/>
      <c r="G242" s="100"/>
      <c r="H242" s="100"/>
      <c r="I242" s="100"/>
      <c r="J242" s="100"/>
      <c r="K242" s="100"/>
      <c r="L242" s="100"/>
      <c r="M242" s="100"/>
      <c r="N242" s="100"/>
      <c r="O242" s="100"/>
      <c r="P242" s="100"/>
      <c r="Q242" s="100"/>
      <c r="R242" s="100"/>
      <c r="S242" s="100"/>
      <c r="T242" s="100"/>
      <c r="U242" s="100"/>
      <c r="V242" s="100"/>
      <c r="W242" s="100"/>
      <c r="X242" s="100"/>
      <c r="Y242" s="100"/>
      <c r="Z242" s="100"/>
      <c r="AA242" s="100"/>
      <c r="AB242" s="100"/>
      <c r="AC242" s="100"/>
      <c r="AD242" s="100"/>
    </row>
    <row r="243">
      <c r="A243" s="118"/>
      <c r="B243" s="118"/>
      <c r="C243" s="118"/>
      <c r="D243" s="119"/>
      <c r="E243" s="119"/>
      <c r="F243" s="119"/>
      <c r="G243" s="100"/>
      <c r="H243" s="100"/>
      <c r="I243" s="100"/>
      <c r="J243" s="100"/>
      <c r="K243" s="100"/>
      <c r="L243" s="100"/>
      <c r="M243" s="100"/>
      <c r="N243" s="100"/>
      <c r="O243" s="100"/>
      <c r="P243" s="100"/>
      <c r="Q243" s="100"/>
      <c r="R243" s="100"/>
      <c r="S243" s="100"/>
      <c r="T243" s="100"/>
      <c r="U243" s="100"/>
      <c r="V243" s="100"/>
      <c r="W243" s="100"/>
      <c r="X243" s="100"/>
      <c r="Y243" s="100"/>
      <c r="Z243" s="100"/>
      <c r="AA243" s="100"/>
      <c r="AB243" s="100"/>
      <c r="AC243" s="100"/>
      <c r="AD243" s="100"/>
    </row>
    <row r="244">
      <c r="A244" s="118"/>
      <c r="B244" s="118"/>
      <c r="C244" s="118"/>
      <c r="D244" s="119"/>
      <c r="E244" s="119"/>
      <c r="F244" s="119"/>
      <c r="G244" s="100"/>
      <c r="H244" s="100"/>
      <c r="I244" s="100"/>
      <c r="J244" s="100"/>
      <c r="K244" s="100"/>
      <c r="L244" s="100"/>
      <c r="M244" s="100"/>
      <c r="N244" s="100"/>
      <c r="O244" s="100"/>
      <c r="P244" s="100"/>
      <c r="Q244" s="100"/>
      <c r="R244" s="100"/>
      <c r="S244" s="100"/>
      <c r="T244" s="100"/>
      <c r="U244" s="100"/>
      <c r="V244" s="100"/>
      <c r="W244" s="100"/>
      <c r="X244" s="100"/>
      <c r="Y244" s="100"/>
      <c r="Z244" s="100"/>
      <c r="AA244" s="100"/>
      <c r="AB244" s="100"/>
      <c r="AC244" s="100"/>
      <c r="AD244" s="100"/>
    </row>
    <row r="245">
      <c r="A245" s="118"/>
      <c r="B245" s="118"/>
      <c r="C245" s="118"/>
      <c r="D245" s="119"/>
      <c r="E245" s="119"/>
      <c r="F245" s="119"/>
      <c r="G245" s="100"/>
      <c r="H245" s="100"/>
      <c r="I245" s="100"/>
      <c r="J245" s="100"/>
      <c r="K245" s="100"/>
      <c r="L245" s="100"/>
      <c r="M245" s="100"/>
      <c r="N245" s="100"/>
      <c r="O245" s="100"/>
      <c r="P245" s="100"/>
      <c r="Q245" s="100"/>
      <c r="R245" s="100"/>
      <c r="S245" s="100"/>
      <c r="T245" s="100"/>
      <c r="U245" s="100"/>
      <c r="V245" s="100"/>
      <c r="W245" s="100"/>
      <c r="X245" s="100"/>
      <c r="Y245" s="100"/>
      <c r="Z245" s="100"/>
      <c r="AA245" s="100"/>
      <c r="AB245" s="100"/>
      <c r="AC245" s="100"/>
      <c r="AD245" s="100"/>
    </row>
    <row r="246">
      <c r="A246" s="118"/>
      <c r="B246" s="118"/>
      <c r="C246" s="118"/>
      <c r="D246" s="119"/>
      <c r="E246" s="119"/>
      <c r="F246" s="119"/>
      <c r="G246" s="100"/>
      <c r="H246" s="100"/>
      <c r="I246" s="100"/>
      <c r="J246" s="100"/>
      <c r="K246" s="100"/>
      <c r="L246" s="100"/>
      <c r="M246" s="100"/>
      <c r="N246" s="100"/>
      <c r="O246" s="100"/>
      <c r="P246" s="100"/>
      <c r="Q246" s="100"/>
      <c r="R246" s="100"/>
      <c r="S246" s="100"/>
      <c r="T246" s="100"/>
      <c r="U246" s="100"/>
      <c r="V246" s="100"/>
      <c r="W246" s="100"/>
      <c r="X246" s="100"/>
      <c r="Y246" s="100"/>
      <c r="Z246" s="100"/>
      <c r="AA246" s="100"/>
      <c r="AB246" s="100"/>
      <c r="AC246" s="100"/>
      <c r="AD246" s="100"/>
    </row>
    <row r="247">
      <c r="A247" s="118"/>
      <c r="B247" s="118"/>
      <c r="C247" s="118"/>
      <c r="D247" s="119"/>
      <c r="E247" s="119"/>
      <c r="F247" s="119"/>
      <c r="G247" s="100"/>
      <c r="H247" s="100"/>
      <c r="I247" s="100"/>
      <c r="J247" s="100"/>
      <c r="K247" s="100"/>
      <c r="L247" s="100"/>
      <c r="M247" s="100"/>
      <c r="N247" s="100"/>
      <c r="O247" s="100"/>
      <c r="P247" s="100"/>
      <c r="Q247" s="100"/>
      <c r="R247" s="100"/>
      <c r="S247" s="100"/>
      <c r="T247" s="100"/>
      <c r="U247" s="100"/>
      <c r="V247" s="100"/>
      <c r="W247" s="100"/>
      <c r="X247" s="100"/>
      <c r="Y247" s="100"/>
      <c r="Z247" s="100"/>
      <c r="AA247" s="100"/>
      <c r="AB247" s="100"/>
      <c r="AC247" s="100"/>
      <c r="AD247" s="100"/>
    </row>
    <row r="248">
      <c r="A248" s="118"/>
      <c r="B248" s="118"/>
      <c r="C248" s="118"/>
      <c r="D248" s="119"/>
      <c r="E248" s="119"/>
      <c r="F248" s="119"/>
      <c r="G248" s="100"/>
      <c r="H248" s="100"/>
      <c r="I248" s="100"/>
      <c r="J248" s="100"/>
      <c r="K248" s="100"/>
      <c r="L248" s="100"/>
      <c r="M248" s="100"/>
      <c r="N248" s="100"/>
      <c r="O248" s="100"/>
      <c r="P248" s="100"/>
      <c r="Q248" s="100"/>
      <c r="R248" s="100"/>
      <c r="S248" s="100"/>
      <c r="T248" s="100"/>
      <c r="U248" s="100"/>
      <c r="V248" s="100"/>
      <c r="W248" s="100"/>
      <c r="X248" s="100"/>
      <c r="Y248" s="100"/>
      <c r="Z248" s="100"/>
      <c r="AA248" s="100"/>
      <c r="AB248" s="100"/>
      <c r="AC248" s="100"/>
      <c r="AD248" s="100"/>
    </row>
    <row r="249">
      <c r="A249" s="118"/>
      <c r="B249" s="118"/>
      <c r="C249" s="118"/>
      <c r="D249" s="119"/>
      <c r="E249" s="119"/>
      <c r="F249" s="119"/>
      <c r="G249" s="100"/>
      <c r="H249" s="100"/>
      <c r="I249" s="100"/>
      <c r="J249" s="100"/>
      <c r="K249" s="100"/>
      <c r="L249" s="100"/>
      <c r="M249" s="100"/>
      <c r="N249" s="100"/>
      <c r="O249" s="100"/>
      <c r="P249" s="100"/>
      <c r="Q249" s="100"/>
      <c r="R249" s="100"/>
      <c r="S249" s="100"/>
      <c r="T249" s="100"/>
      <c r="U249" s="100"/>
      <c r="V249" s="100"/>
      <c r="W249" s="100"/>
      <c r="X249" s="100"/>
      <c r="Y249" s="100"/>
      <c r="Z249" s="100"/>
      <c r="AA249" s="100"/>
      <c r="AB249" s="100"/>
      <c r="AC249" s="100"/>
      <c r="AD249" s="100"/>
    </row>
    <row r="250">
      <c r="A250" s="118"/>
      <c r="B250" s="118"/>
      <c r="C250" s="118"/>
      <c r="D250" s="119"/>
      <c r="E250" s="119"/>
      <c r="F250" s="119"/>
      <c r="G250" s="100"/>
      <c r="H250" s="100"/>
      <c r="I250" s="100"/>
      <c r="J250" s="100"/>
      <c r="K250" s="100"/>
      <c r="L250" s="100"/>
      <c r="M250" s="100"/>
      <c r="N250" s="100"/>
      <c r="O250" s="100"/>
      <c r="P250" s="100"/>
      <c r="Q250" s="100"/>
      <c r="R250" s="100"/>
      <c r="S250" s="100"/>
      <c r="T250" s="100"/>
      <c r="U250" s="100"/>
      <c r="V250" s="100"/>
      <c r="W250" s="100"/>
      <c r="X250" s="100"/>
      <c r="Y250" s="100"/>
      <c r="Z250" s="100"/>
      <c r="AA250" s="100"/>
      <c r="AB250" s="100"/>
      <c r="AC250" s="100"/>
      <c r="AD250" s="100"/>
    </row>
    <row r="251">
      <c r="A251" s="118"/>
      <c r="B251" s="118"/>
      <c r="C251" s="118"/>
      <c r="D251" s="119"/>
      <c r="E251" s="119"/>
      <c r="F251" s="119"/>
      <c r="G251" s="100"/>
      <c r="H251" s="100"/>
      <c r="I251" s="100"/>
      <c r="J251" s="100"/>
      <c r="K251" s="100"/>
      <c r="L251" s="100"/>
      <c r="M251" s="100"/>
      <c r="N251" s="100"/>
      <c r="O251" s="100"/>
      <c r="P251" s="100"/>
      <c r="Q251" s="100"/>
      <c r="R251" s="100"/>
      <c r="S251" s="100"/>
      <c r="T251" s="100"/>
      <c r="U251" s="100"/>
      <c r="V251" s="100"/>
      <c r="W251" s="100"/>
      <c r="X251" s="100"/>
      <c r="Y251" s="100"/>
      <c r="Z251" s="100"/>
      <c r="AA251" s="100"/>
      <c r="AB251" s="100"/>
      <c r="AC251" s="100"/>
      <c r="AD251" s="100"/>
    </row>
    <row r="252">
      <c r="A252" s="118"/>
      <c r="B252" s="118"/>
      <c r="C252" s="118"/>
      <c r="D252" s="119"/>
      <c r="E252" s="119"/>
      <c r="F252" s="119"/>
      <c r="G252" s="100"/>
      <c r="H252" s="100"/>
      <c r="I252" s="100"/>
      <c r="J252" s="100"/>
      <c r="K252" s="100"/>
      <c r="L252" s="100"/>
      <c r="M252" s="100"/>
      <c r="N252" s="100"/>
      <c r="O252" s="100"/>
      <c r="P252" s="100"/>
      <c r="Q252" s="100"/>
      <c r="R252" s="100"/>
      <c r="S252" s="100"/>
      <c r="T252" s="100"/>
      <c r="U252" s="100"/>
      <c r="V252" s="100"/>
      <c r="W252" s="100"/>
      <c r="X252" s="100"/>
      <c r="Y252" s="100"/>
      <c r="Z252" s="100"/>
      <c r="AA252" s="100"/>
      <c r="AB252" s="100"/>
      <c r="AC252" s="100"/>
      <c r="AD252" s="100"/>
    </row>
    <row r="253">
      <c r="A253" s="118"/>
      <c r="B253" s="118"/>
      <c r="C253" s="118"/>
      <c r="D253" s="119"/>
      <c r="E253" s="119"/>
      <c r="F253" s="119"/>
      <c r="G253" s="100"/>
      <c r="H253" s="100"/>
      <c r="I253" s="100"/>
      <c r="J253" s="100"/>
      <c r="K253" s="100"/>
      <c r="L253" s="100"/>
      <c r="M253" s="100"/>
      <c r="N253" s="100"/>
      <c r="O253" s="100"/>
      <c r="P253" s="100"/>
      <c r="Q253" s="100"/>
      <c r="R253" s="100"/>
      <c r="S253" s="100"/>
      <c r="T253" s="100"/>
      <c r="U253" s="100"/>
      <c r="V253" s="100"/>
      <c r="W253" s="100"/>
      <c r="X253" s="100"/>
      <c r="Y253" s="100"/>
      <c r="Z253" s="100"/>
      <c r="AA253" s="100"/>
      <c r="AB253" s="100"/>
      <c r="AC253" s="100"/>
      <c r="AD253" s="100"/>
    </row>
    <row r="254">
      <c r="A254" s="118"/>
      <c r="B254" s="118"/>
      <c r="C254" s="118"/>
      <c r="D254" s="119"/>
      <c r="E254" s="119"/>
      <c r="F254" s="119"/>
      <c r="G254" s="100"/>
      <c r="H254" s="100"/>
      <c r="I254" s="100"/>
      <c r="J254" s="100"/>
      <c r="K254" s="100"/>
      <c r="L254" s="100"/>
      <c r="M254" s="100"/>
      <c r="N254" s="100"/>
      <c r="O254" s="100"/>
      <c r="P254" s="100"/>
      <c r="Q254" s="100"/>
      <c r="R254" s="100"/>
      <c r="S254" s="100"/>
      <c r="T254" s="100"/>
      <c r="U254" s="100"/>
      <c r="V254" s="100"/>
      <c r="W254" s="100"/>
      <c r="X254" s="100"/>
      <c r="Y254" s="100"/>
      <c r="Z254" s="100"/>
      <c r="AA254" s="100"/>
      <c r="AB254" s="100"/>
      <c r="AC254" s="100"/>
      <c r="AD254" s="100"/>
    </row>
    <row r="255">
      <c r="A255" s="118"/>
      <c r="B255" s="118"/>
      <c r="C255" s="118"/>
      <c r="D255" s="119"/>
      <c r="E255" s="119"/>
      <c r="F255" s="119"/>
      <c r="G255" s="100"/>
      <c r="H255" s="100"/>
      <c r="I255" s="100"/>
      <c r="J255" s="100"/>
      <c r="K255" s="100"/>
      <c r="L255" s="100"/>
      <c r="M255" s="100"/>
      <c r="N255" s="100"/>
      <c r="O255" s="100"/>
      <c r="P255" s="100"/>
      <c r="Q255" s="100"/>
      <c r="R255" s="100"/>
      <c r="S255" s="100"/>
      <c r="T255" s="100"/>
      <c r="U255" s="100"/>
      <c r="V255" s="100"/>
      <c r="W255" s="100"/>
      <c r="X255" s="100"/>
      <c r="Y255" s="100"/>
      <c r="Z255" s="100"/>
      <c r="AA255" s="100"/>
      <c r="AB255" s="100"/>
      <c r="AC255" s="100"/>
      <c r="AD255" s="100"/>
    </row>
    <row r="256">
      <c r="A256" s="118"/>
      <c r="B256" s="118"/>
      <c r="C256" s="118"/>
      <c r="D256" s="119"/>
      <c r="E256" s="119"/>
      <c r="F256" s="119"/>
      <c r="G256" s="100"/>
      <c r="H256" s="100"/>
      <c r="I256" s="100"/>
      <c r="J256" s="100"/>
      <c r="K256" s="100"/>
      <c r="L256" s="100"/>
      <c r="M256" s="100"/>
      <c r="N256" s="100"/>
      <c r="O256" s="100"/>
      <c r="P256" s="100"/>
      <c r="Q256" s="100"/>
      <c r="R256" s="100"/>
      <c r="S256" s="100"/>
      <c r="T256" s="100"/>
      <c r="U256" s="100"/>
      <c r="V256" s="100"/>
      <c r="W256" s="100"/>
      <c r="X256" s="100"/>
      <c r="Y256" s="100"/>
      <c r="Z256" s="100"/>
      <c r="AA256" s="100"/>
      <c r="AB256" s="100"/>
      <c r="AC256" s="100"/>
      <c r="AD256" s="100"/>
    </row>
    <row r="257">
      <c r="A257" s="118"/>
      <c r="B257" s="118"/>
      <c r="C257" s="118"/>
      <c r="D257" s="119"/>
      <c r="E257" s="119"/>
      <c r="F257" s="119"/>
      <c r="G257" s="100"/>
      <c r="H257" s="100"/>
      <c r="I257" s="100"/>
      <c r="J257" s="100"/>
      <c r="K257" s="100"/>
      <c r="L257" s="100"/>
      <c r="M257" s="100"/>
      <c r="N257" s="100"/>
      <c r="O257" s="100"/>
      <c r="P257" s="100"/>
      <c r="Q257" s="100"/>
      <c r="R257" s="100"/>
      <c r="S257" s="100"/>
      <c r="T257" s="100"/>
      <c r="U257" s="100"/>
      <c r="V257" s="100"/>
      <c r="W257" s="100"/>
      <c r="X257" s="100"/>
      <c r="Y257" s="100"/>
      <c r="Z257" s="100"/>
      <c r="AA257" s="100"/>
      <c r="AB257" s="100"/>
      <c r="AC257" s="100"/>
      <c r="AD257" s="100"/>
    </row>
    <row r="258">
      <c r="A258" s="118"/>
      <c r="B258" s="118"/>
      <c r="C258" s="118"/>
      <c r="D258" s="119"/>
      <c r="E258" s="119"/>
      <c r="F258" s="119"/>
      <c r="G258" s="100"/>
      <c r="H258" s="100"/>
      <c r="I258" s="100"/>
      <c r="J258" s="100"/>
      <c r="K258" s="100"/>
      <c r="L258" s="100"/>
      <c r="M258" s="100"/>
      <c r="N258" s="100"/>
      <c r="O258" s="100"/>
      <c r="P258" s="100"/>
      <c r="Q258" s="100"/>
      <c r="R258" s="100"/>
      <c r="S258" s="100"/>
      <c r="T258" s="100"/>
      <c r="U258" s="100"/>
      <c r="V258" s="100"/>
      <c r="W258" s="100"/>
      <c r="X258" s="100"/>
      <c r="Y258" s="100"/>
      <c r="Z258" s="100"/>
      <c r="AA258" s="100"/>
      <c r="AB258" s="100"/>
      <c r="AC258" s="100"/>
      <c r="AD258" s="100"/>
    </row>
    <row r="259">
      <c r="A259" s="118"/>
      <c r="B259" s="118"/>
      <c r="C259" s="118"/>
      <c r="D259" s="119"/>
      <c r="E259" s="119"/>
      <c r="F259" s="119"/>
      <c r="G259" s="100"/>
      <c r="H259" s="100"/>
      <c r="I259" s="100"/>
      <c r="J259" s="100"/>
      <c r="K259" s="100"/>
      <c r="L259" s="100"/>
      <c r="M259" s="100"/>
      <c r="N259" s="100"/>
      <c r="O259" s="100"/>
      <c r="P259" s="100"/>
      <c r="Q259" s="100"/>
      <c r="R259" s="100"/>
      <c r="S259" s="100"/>
      <c r="T259" s="100"/>
      <c r="U259" s="100"/>
      <c r="V259" s="100"/>
      <c r="W259" s="100"/>
      <c r="X259" s="100"/>
      <c r="Y259" s="100"/>
      <c r="Z259" s="100"/>
      <c r="AA259" s="100"/>
      <c r="AB259" s="100"/>
      <c r="AC259" s="100"/>
      <c r="AD259" s="100"/>
    </row>
    <row r="260">
      <c r="A260" s="118"/>
      <c r="B260" s="118"/>
      <c r="C260" s="118"/>
      <c r="D260" s="119"/>
      <c r="E260" s="119"/>
      <c r="F260" s="119"/>
      <c r="G260" s="100"/>
      <c r="H260" s="100"/>
      <c r="I260" s="100"/>
      <c r="J260" s="100"/>
      <c r="K260" s="100"/>
      <c r="L260" s="100"/>
      <c r="M260" s="100"/>
      <c r="N260" s="100"/>
      <c r="O260" s="100"/>
      <c r="P260" s="100"/>
      <c r="Q260" s="100"/>
      <c r="R260" s="100"/>
      <c r="S260" s="100"/>
      <c r="T260" s="100"/>
      <c r="U260" s="100"/>
      <c r="V260" s="100"/>
      <c r="W260" s="100"/>
      <c r="X260" s="100"/>
      <c r="Y260" s="100"/>
      <c r="Z260" s="100"/>
      <c r="AA260" s="100"/>
      <c r="AB260" s="100"/>
      <c r="AC260" s="100"/>
      <c r="AD260" s="100"/>
    </row>
    <row r="261">
      <c r="A261" s="118"/>
      <c r="B261" s="118"/>
      <c r="C261" s="118"/>
      <c r="D261" s="119"/>
      <c r="E261" s="119"/>
      <c r="F261" s="119"/>
      <c r="G261" s="100"/>
      <c r="H261" s="100"/>
      <c r="I261" s="100"/>
      <c r="J261" s="100"/>
      <c r="K261" s="100"/>
      <c r="L261" s="100"/>
      <c r="M261" s="100"/>
      <c r="N261" s="100"/>
      <c r="O261" s="100"/>
      <c r="P261" s="100"/>
      <c r="Q261" s="100"/>
      <c r="R261" s="100"/>
      <c r="S261" s="100"/>
      <c r="T261" s="100"/>
      <c r="U261" s="100"/>
      <c r="V261" s="100"/>
      <c r="W261" s="100"/>
      <c r="X261" s="100"/>
      <c r="Y261" s="100"/>
      <c r="Z261" s="100"/>
      <c r="AA261" s="100"/>
      <c r="AB261" s="100"/>
      <c r="AC261" s="100"/>
      <c r="AD261" s="100"/>
    </row>
    <row r="262">
      <c r="A262" s="118"/>
      <c r="B262" s="118"/>
      <c r="C262" s="118"/>
      <c r="D262" s="119"/>
      <c r="E262" s="119"/>
      <c r="F262" s="119"/>
      <c r="G262" s="100"/>
      <c r="H262" s="100"/>
      <c r="I262" s="100"/>
      <c r="J262" s="100"/>
      <c r="K262" s="100"/>
      <c r="L262" s="100"/>
      <c r="M262" s="100"/>
      <c r="N262" s="100"/>
      <c r="O262" s="100"/>
      <c r="P262" s="100"/>
      <c r="Q262" s="100"/>
      <c r="R262" s="100"/>
      <c r="S262" s="100"/>
      <c r="T262" s="100"/>
      <c r="U262" s="100"/>
      <c r="V262" s="100"/>
      <c r="W262" s="100"/>
      <c r="X262" s="100"/>
      <c r="Y262" s="100"/>
      <c r="Z262" s="100"/>
      <c r="AA262" s="100"/>
      <c r="AB262" s="100"/>
      <c r="AC262" s="100"/>
      <c r="AD262" s="100"/>
    </row>
    <row r="263">
      <c r="A263" s="118"/>
      <c r="B263" s="118"/>
      <c r="C263" s="118"/>
      <c r="D263" s="119"/>
      <c r="E263" s="119"/>
      <c r="F263" s="119"/>
      <c r="G263" s="100"/>
      <c r="H263" s="100"/>
      <c r="I263" s="100"/>
      <c r="J263" s="100"/>
      <c r="K263" s="100"/>
      <c r="L263" s="100"/>
      <c r="M263" s="100"/>
      <c r="N263" s="100"/>
      <c r="O263" s="100"/>
      <c r="P263" s="100"/>
      <c r="Q263" s="100"/>
      <c r="R263" s="100"/>
      <c r="S263" s="100"/>
      <c r="T263" s="100"/>
      <c r="U263" s="100"/>
      <c r="V263" s="100"/>
      <c r="W263" s="100"/>
      <c r="X263" s="100"/>
      <c r="Y263" s="100"/>
      <c r="Z263" s="100"/>
      <c r="AA263" s="100"/>
      <c r="AB263" s="100"/>
      <c r="AC263" s="100"/>
      <c r="AD263" s="100"/>
    </row>
    <row r="264">
      <c r="A264" s="118"/>
      <c r="B264" s="118"/>
      <c r="C264" s="118"/>
      <c r="D264" s="119"/>
      <c r="E264" s="119"/>
      <c r="F264" s="119"/>
      <c r="G264" s="100"/>
      <c r="H264" s="100"/>
      <c r="I264" s="100"/>
      <c r="J264" s="100"/>
      <c r="K264" s="100"/>
      <c r="L264" s="100"/>
      <c r="M264" s="100"/>
      <c r="N264" s="100"/>
      <c r="O264" s="100"/>
      <c r="P264" s="100"/>
      <c r="Q264" s="100"/>
      <c r="R264" s="100"/>
      <c r="S264" s="100"/>
      <c r="T264" s="100"/>
      <c r="U264" s="100"/>
      <c r="V264" s="100"/>
      <c r="W264" s="100"/>
      <c r="X264" s="100"/>
      <c r="Y264" s="100"/>
      <c r="Z264" s="100"/>
      <c r="AA264" s="100"/>
      <c r="AB264" s="100"/>
      <c r="AC264" s="100"/>
      <c r="AD264" s="100"/>
    </row>
    <row r="265">
      <c r="A265" s="118"/>
      <c r="B265" s="118"/>
      <c r="C265" s="118"/>
      <c r="D265" s="119"/>
      <c r="E265" s="119"/>
      <c r="F265" s="119"/>
      <c r="G265" s="100"/>
      <c r="H265" s="100"/>
      <c r="I265" s="100"/>
      <c r="J265" s="100"/>
      <c r="K265" s="100"/>
      <c r="L265" s="100"/>
      <c r="M265" s="100"/>
      <c r="N265" s="100"/>
      <c r="O265" s="100"/>
      <c r="P265" s="100"/>
      <c r="Q265" s="100"/>
      <c r="R265" s="100"/>
      <c r="S265" s="100"/>
      <c r="T265" s="100"/>
      <c r="U265" s="100"/>
      <c r="V265" s="100"/>
      <c r="W265" s="100"/>
      <c r="X265" s="100"/>
      <c r="Y265" s="100"/>
      <c r="Z265" s="100"/>
      <c r="AA265" s="100"/>
      <c r="AB265" s="100"/>
      <c r="AC265" s="100"/>
      <c r="AD265" s="100"/>
    </row>
    <row r="266">
      <c r="A266" s="118"/>
      <c r="B266" s="118"/>
      <c r="C266" s="118"/>
      <c r="D266" s="119"/>
      <c r="E266" s="119"/>
      <c r="F266" s="119"/>
      <c r="G266" s="100"/>
      <c r="H266" s="100"/>
      <c r="I266" s="100"/>
      <c r="J266" s="100"/>
      <c r="K266" s="100"/>
      <c r="L266" s="100"/>
      <c r="M266" s="100"/>
      <c r="N266" s="100"/>
      <c r="O266" s="100"/>
      <c r="P266" s="100"/>
      <c r="Q266" s="100"/>
      <c r="R266" s="100"/>
      <c r="S266" s="100"/>
      <c r="T266" s="100"/>
      <c r="U266" s="100"/>
      <c r="V266" s="100"/>
      <c r="W266" s="100"/>
      <c r="X266" s="100"/>
      <c r="Y266" s="100"/>
      <c r="Z266" s="100"/>
      <c r="AA266" s="100"/>
      <c r="AB266" s="100"/>
      <c r="AC266" s="100"/>
      <c r="AD266" s="100"/>
    </row>
    <row r="267">
      <c r="A267" s="118"/>
      <c r="B267" s="118"/>
      <c r="C267" s="118"/>
      <c r="D267" s="119"/>
      <c r="E267" s="119"/>
      <c r="F267" s="119"/>
      <c r="G267" s="100"/>
      <c r="H267" s="100"/>
      <c r="I267" s="100"/>
      <c r="J267" s="100"/>
      <c r="K267" s="100"/>
      <c r="L267" s="100"/>
      <c r="M267" s="100"/>
      <c r="N267" s="100"/>
      <c r="O267" s="100"/>
      <c r="P267" s="100"/>
      <c r="Q267" s="100"/>
      <c r="R267" s="100"/>
      <c r="S267" s="100"/>
      <c r="T267" s="100"/>
      <c r="U267" s="100"/>
      <c r="V267" s="100"/>
      <c r="W267" s="100"/>
      <c r="X267" s="100"/>
      <c r="Y267" s="100"/>
      <c r="Z267" s="100"/>
      <c r="AA267" s="100"/>
      <c r="AB267" s="100"/>
      <c r="AC267" s="100"/>
      <c r="AD267" s="100"/>
    </row>
    <row r="268">
      <c r="A268" s="118"/>
      <c r="B268" s="118"/>
      <c r="C268" s="118"/>
      <c r="D268" s="119"/>
      <c r="E268" s="119"/>
      <c r="F268" s="119"/>
      <c r="G268" s="100"/>
      <c r="H268" s="100"/>
      <c r="I268" s="100"/>
      <c r="J268" s="100"/>
      <c r="K268" s="100"/>
      <c r="L268" s="100"/>
      <c r="M268" s="100"/>
      <c r="N268" s="100"/>
      <c r="O268" s="100"/>
      <c r="P268" s="100"/>
      <c r="Q268" s="100"/>
      <c r="R268" s="100"/>
      <c r="S268" s="100"/>
      <c r="T268" s="100"/>
      <c r="U268" s="100"/>
      <c r="V268" s="100"/>
      <c r="W268" s="100"/>
      <c r="X268" s="100"/>
      <c r="Y268" s="100"/>
      <c r="Z268" s="100"/>
      <c r="AA268" s="100"/>
      <c r="AB268" s="100"/>
      <c r="AC268" s="100"/>
      <c r="AD268" s="100"/>
    </row>
    <row r="269">
      <c r="A269" s="118"/>
      <c r="B269" s="118"/>
      <c r="C269" s="118"/>
      <c r="D269" s="119"/>
      <c r="E269" s="119"/>
      <c r="F269" s="119"/>
      <c r="G269" s="100"/>
      <c r="H269" s="100"/>
      <c r="I269" s="100"/>
      <c r="J269" s="100"/>
      <c r="K269" s="100"/>
      <c r="L269" s="100"/>
      <c r="M269" s="100"/>
      <c r="N269" s="100"/>
      <c r="O269" s="100"/>
      <c r="P269" s="100"/>
      <c r="Q269" s="100"/>
      <c r="R269" s="100"/>
      <c r="S269" s="100"/>
      <c r="T269" s="100"/>
      <c r="U269" s="100"/>
      <c r="V269" s="100"/>
      <c r="W269" s="100"/>
      <c r="X269" s="100"/>
      <c r="Y269" s="100"/>
      <c r="Z269" s="100"/>
      <c r="AA269" s="100"/>
      <c r="AB269" s="100"/>
      <c r="AC269" s="100"/>
      <c r="AD269" s="100"/>
    </row>
    <row r="270">
      <c r="A270" s="118"/>
      <c r="B270" s="118"/>
      <c r="C270" s="118"/>
      <c r="D270" s="119"/>
      <c r="E270" s="119"/>
      <c r="F270" s="119"/>
      <c r="G270" s="100"/>
      <c r="H270" s="100"/>
      <c r="I270" s="100"/>
      <c r="J270" s="100"/>
      <c r="K270" s="100"/>
      <c r="L270" s="100"/>
      <c r="M270" s="100"/>
      <c r="N270" s="100"/>
      <c r="O270" s="100"/>
      <c r="P270" s="100"/>
      <c r="Q270" s="100"/>
      <c r="R270" s="100"/>
      <c r="S270" s="100"/>
      <c r="T270" s="100"/>
      <c r="U270" s="100"/>
      <c r="V270" s="100"/>
      <c r="W270" s="100"/>
      <c r="X270" s="100"/>
      <c r="Y270" s="100"/>
      <c r="Z270" s="100"/>
      <c r="AA270" s="100"/>
      <c r="AB270" s="100"/>
      <c r="AC270" s="100"/>
      <c r="AD270" s="100"/>
    </row>
    <row r="271">
      <c r="A271" s="118"/>
      <c r="B271" s="118"/>
      <c r="C271" s="118"/>
      <c r="D271" s="119"/>
      <c r="E271" s="119"/>
      <c r="F271" s="119"/>
      <c r="G271" s="100"/>
      <c r="H271" s="100"/>
      <c r="I271" s="100"/>
      <c r="J271" s="100"/>
      <c r="K271" s="100"/>
      <c r="L271" s="100"/>
      <c r="M271" s="100"/>
      <c r="N271" s="100"/>
      <c r="O271" s="100"/>
      <c r="P271" s="100"/>
      <c r="Q271" s="100"/>
      <c r="R271" s="100"/>
      <c r="S271" s="100"/>
      <c r="T271" s="100"/>
      <c r="U271" s="100"/>
      <c r="V271" s="100"/>
      <c r="W271" s="100"/>
      <c r="X271" s="100"/>
      <c r="Y271" s="100"/>
      <c r="Z271" s="100"/>
      <c r="AA271" s="100"/>
      <c r="AB271" s="100"/>
      <c r="AC271" s="100"/>
      <c r="AD271" s="100"/>
    </row>
    <row r="272">
      <c r="A272" s="118"/>
      <c r="B272" s="118"/>
      <c r="C272" s="118"/>
      <c r="D272" s="119"/>
      <c r="E272" s="119"/>
      <c r="F272" s="119"/>
      <c r="G272" s="100"/>
      <c r="H272" s="100"/>
      <c r="I272" s="100"/>
      <c r="J272" s="100"/>
      <c r="K272" s="100"/>
      <c r="L272" s="100"/>
      <c r="M272" s="100"/>
      <c r="N272" s="100"/>
      <c r="O272" s="100"/>
      <c r="P272" s="100"/>
      <c r="Q272" s="100"/>
      <c r="R272" s="100"/>
      <c r="S272" s="100"/>
      <c r="T272" s="100"/>
      <c r="U272" s="100"/>
      <c r="V272" s="100"/>
      <c r="W272" s="100"/>
      <c r="X272" s="100"/>
      <c r="Y272" s="100"/>
      <c r="Z272" s="100"/>
      <c r="AA272" s="100"/>
      <c r="AB272" s="100"/>
      <c r="AC272" s="100"/>
      <c r="AD272" s="100"/>
    </row>
    <row r="273">
      <c r="A273" s="118"/>
      <c r="B273" s="118"/>
      <c r="C273" s="118"/>
      <c r="D273" s="119"/>
      <c r="E273" s="119"/>
      <c r="F273" s="119"/>
      <c r="G273" s="100"/>
      <c r="H273" s="100"/>
      <c r="I273" s="100"/>
      <c r="J273" s="100"/>
      <c r="K273" s="100"/>
      <c r="L273" s="100"/>
      <c r="M273" s="100"/>
      <c r="N273" s="100"/>
      <c r="O273" s="100"/>
      <c r="P273" s="100"/>
      <c r="Q273" s="100"/>
      <c r="R273" s="100"/>
      <c r="S273" s="100"/>
      <c r="T273" s="100"/>
      <c r="U273" s="100"/>
      <c r="V273" s="100"/>
      <c r="W273" s="100"/>
      <c r="X273" s="100"/>
      <c r="Y273" s="100"/>
      <c r="Z273" s="100"/>
      <c r="AA273" s="100"/>
      <c r="AB273" s="100"/>
      <c r="AC273" s="100"/>
      <c r="AD273" s="100"/>
    </row>
    <row r="274">
      <c r="A274" s="118"/>
      <c r="B274" s="118"/>
      <c r="C274" s="118"/>
      <c r="D274" s="119"/>
      <c r="E274" s="119"/>
      <c r="F274" s="119"/>
      <c r="G274" s="100"/>
      <c r="H274" s="100"/>
      <c r="I274" s="100"/>
      <c r="J274" s="100"/>
      <c r="K274" s="100"/>
      <c r="L274" s="100"/>
      <c r="M274" s="100"/>
      <c r="N274" s="100"/>
      <c r="O274" s="100"/>
      <c r="P274" s="100"/>
      <c r="Q274" s="100"/>
      <c r="R274" s="100"/>
      <c r="S274" s="100"/>
      <c r="T274" s="100"/>
      <c r="U274" s="100"/>
      <c r="V274" s="100"/>
      <c r="W274" s="100"/>
      <c r="X274" s="100"/>
      <c r="Y274" s="100"/>
      <c r="Z274" s="100"/>
      <c r="AA274" s="100"/>
      <c r="AB274" s="100"/>
      <c r="AC274" s="100"/>
      <c r="AD274" s="100"/>
    </row>
    <row r="275">
      <c r="A275" s="118"/>
      <c r="B275" s="118"/>
      <c r="C275" s="118"/>
      <c r="D275" s="119"/>
      <c r="E275" s="119"/>
      <c r="F275" s="119"/>
      <c r="G275" s="100"/>
      <c r="H275" s="100"/>
      <c r="I275" s="100"/>
      <c r="J275" s="100"/>
      <c r="K275" s="100"/>
      <c r="L275" s="100"/>
      <c r="M275" s="100"/>
      <c r="N275" s="100"/>
      <c r="O275" s="100"/>
      <c r="P275" s="100"/>
      <c r="Q275" s="100"/>
      <c r="R275" s="100"/>
      <c r="S275" s="100"/>
      <c r="T275" s="100"/>
      <c r="U275" s="100"/>
      <c r="V275" s="100"/>
      <c r="W275" s="100"/>
      <c r="X275" s="100"/>
      <c r="Y275" s="100"/>
      <c r="Z275" s="100"/>
      <c r="AA275" s="100"/>
      <c r="AB275" s="100"/>
      <c r="AC275" s="100"/>
      <c r="AD275" s="100"/>
    </row>
    <row r="276">
      <c r="A276" s="118"/>
      <c r="B276" s="118"/>
      <c r="C276" s="118"/>
      <c r="D276" s="119"/>
      <c r="E276" s="119"/>
      <c r="F276" s="119"/>
      <c r="G276" s="100"/>
      <c r="H276" s="100"/>
      <c r="I276" s="100"/>
      <c r="J276" s="100"/>
      <c r="K276" s="100"/>
      <c r="L276" s="100"/>
      <c r="M276" s="100"/>
      <c r="N276" s="100"/>
      <c r="O276" s="100"/>
      <c r="P276" s="100"/>
      <c r="Q276" s="100"/>
      <c r="R276" s="100"/>
      <c r="S276" s="100"/>
      <c r="T276" s="100"/>
      <c r="U276" s="100"/>
      <c r="V276" s="100"/>
      <c r="W276" s="100"/>
      <c r="X276" s="100"/>
      <c r="Y276" s="100"/>
      <c r="Z276" s="100"/>
      <c r="AA276" s="100"/>
      <c r="AB276" s="100"/>
      <c r="AC276" s="100"/>
      <c r="AD276" s="100"/>
    </row>
    <row r="277">
      <c r="A277" s="118"/>
      <c r="B277" s="118"/>
      <c r="C277" s="118"/>
      <c r="D277" s="119"/>
      <c r="E277" s="119"/>
      <c r="F277" s="119"/>
      <c r="G277" s="100"/>
      <c r="H277" s="100"/>
      <c r="I277" s="100"/>
      <c r="J277" s="100"/>
      <c r="K277" s="100"/>
      <c r="L277" s="100"/>
      <c r="M277" s="100"/>
      <c r="N277" s="100"/>
      <c r="O277" s="100"/>
      <c r="P277" s="100"/>
      <c r="Q277" s="100"/>
      <c r="R277" s="100"/>
      <c r="S277" s="100"/>
      <c r="T277" s="100"/>
      <c r="U277" s="100"/>
      <c r="V277" s="100"/>
      <c r="W277" s="100"/>
      <c r="X277" s="100"/>
      <c r="Y277" s="100"/>
      <c r="Z277" s="100"/>
      <c r="AA277" s="100"/>
      <c r="AB277" s="100"/>
      <c r="AC277" s="100"/>
      <c r="AD277" s="100"/>
    </row>
    <row r="278">
      <c r="A278" s="118"/>
      <c r="B278" s="118"/>
      <c r="C278" s="118"/>
      <c r="D278" s="119"/>
      <c r="E278" s="119"/>
      <c r="F278" s="119"/>
      <c r="G278" s="100"/>
      <c r="H278" s="100"/>
      <c r="I278" s="100"/>
      <c r="J278" s="100"/>
      <c r="K278" s="100"/>
      <c r="L278" s="100"/>
      <c r="M278" s="100"/>
      <c r="N278" s="100"/>
      <c r="O278" s="100"/>
      <c r="P278" s="100"/>
      <c r="Q278" s="100"/>
      <c r="R278" s="100"/>
      <c r="S278" s="100"/>
      <c r="T278" s="100"/>
      <c r="U278" s="100"/>
      <c r="V278" s="100"/>
      <c r="W278" s="100"/>
      <c r="X278" s="100"/>
      <c r="Y278" s="100"/>
      <c r="Z278" s="100"/>
      <c r="AA278" s="100"/>
      <c r="AB278" s="100"/>
      <c r="AC278" s="100"/>
      <c r="AD278" s="100"/>
    </row>
    <row r="279">
      <c r="A279" s="118"/>
      <c r="B279" s="118"/>
      <c r="C279" s="118"/>
      <c r="D279" s="119"/>
      <c r="E279" s="119"/>
      <c r="F279" s="119"/>
      <c r="G279" s="100"/>
      <c r="H279" s="100"/>
      <c r="I279" s="100"/>
      <c r="J279" s="100"/>
      <c r="K279" s="100"/>
      <c r="L279" s="100"/>
      <c r="M279" s="100"/>
      <c r="N279" s="100"/>
      <c r="O279" s="100"/>
      <c r="P279" s="100"/>
      <c r="Q279" s="100"/>
      <c r="R279" s="100"/>
      <c r="S279" s="100"/>
      <c r="T279" s="100"/>
      <c r="U279" s="100"/>
      <c r="V279" s="100"/>
      <c r="W279" s="100"/>
      <c r="X279" s="100"/>
      <c r="Y279" s="100"/>
      <c r="Z279" s="100"/>
      <c r="AA279" s="100"/>
      <c r="AB279" s="100"/>
      <c r="AC279" s="100"/>
      <c r="AD279" s="100"/>
    </row>
    <row r="280">
      <c r="A280" s="118"/>
      <c r="B280" s="118"/>
      <c r="C280" s="118"/>
      <c r="D280" s="119"/>
      <c r="E280" s="119"/>
      <c r="F280" s="119"/>
      <c r="G280" s="100"/>
      <c r="H280" s="100"/>
      <c r="I280" s="100"/>
      <c r="J280" s="100"/>
      <c r="K280" s="100"/>
      <c r="L280" s="100"/>
      <c r="M280" s="100"/>
      <c r="N280" s="100"/>
      <c r="O280" s="100"/>
      <c r="P280" s="100"/>
      <c r="Q280" s="100"/>
      <c r="R280" s="100"/>
      <c r="S280" s="100"/>
      <c r="T280" s="100"/>
      <c r="U280" s="100"/>
      <c r="V280" s="100"/>
      <c r="W280" s="100"/>
      <c r="X280" s="100"/>
      <c r="Y280" s="100"/>
      <c r="Z280" s="100"/>
      <c r="AA280" s="100"/>
      <c r="AB280" s="100"/>
      <c r="AC280" s="100"/>
      <c r="AD280" s="100"/>
    </row>
    <row r="281">
      <c r="A281" s="118"/>
      <c r="B281" s="118"/>
      <c r="C281" s="118"/>
      <c r="D281" s="119"/>
      <c r="E281" s="119"/>
      <c r="F281" s="119"/>
      <c r="G281" s="100"/>
      <c r="H281" s="100"/>
      <c r="I281" s="100"/>
      <c r="J281" s="100"/>
      <c r="K281" s="100"/>
      <c r="L281" s="100"/>
      <c r="M281" s="100"/>
      <c r="N281" s="100"/>
      <c r="O281" s="100"/>
      <c r="P281" s="100"/>
      <c r="Q281" s="100"/>
      <c r="R281" s="100"/>
      <c r="S281" s="100"/>
      <c r="T281" s="100"/>
      <c r="U281" s="100"/>
      <c r="V281" s="100"/>
      <c r="W281" s="100"/>
      <c r="X281" s="100"/>
      <c r="Y281" s="100"/>
      <c r="Z281" s="100"/>
      <c r="AA281" s="100"/>
      <c r="AB281" s="100"/>
      <c r="AC281" s="100"/>
      <c r="AD281" s="100"/>
    </row>
    <row r="282">
      <c r="A282" s="118"/>
      <c r="B282" s="118"/>
      <c r="C282" s="118"/>
      <c r="D282" s="119"/>
      <c r="E282" s="119"/>
      <c r="F282" s="119"/>
      <c r="G282" s="100"/>
      <c r="H282" s="100"/>
      <c r="I282" s="100"/>
      <c r="J282" s="100"/>
      <c r="K282" s="100"/>
      <c r="L282" s="100"/>
      <c r="M282" s="100"/>
      <c r="N282" s="100"/>
      <c r="O282" s="100"/>
      <c r="P282" s="100"/>
      <c r="Q282" s="100"/>
      <c r="R282" s="100"/>
      <c r="S282" s="100"/>
      <c r="T282" s="100"/>
      <c r="U282" s="100"/>
      <c r="V282" s="100"/>
      <c r="W282" s="100"/>
      <c r="X282" s="100"/>
      <c r="Y282" s="100"/>
      <c r="Z282" s="100"/>
      <c r="AA282" s="100"/>
      <c r="AB282" s="100"/>
      <c r="AC282" s="100"/>
      <c r="AD282" s="100"/>
    </row>
    <row r="283">
      <c r="A283" s="118"/>
      <c r="B283" s="118"/>
      <c r="C283" s="118"/>
      <c r="D283" s="119"/>
      <c r="E283" s="119"/>
      <c r="F283" s="119"/>
      <c r="G283" s="100"/>
      <c r="H283" s="100"/>
      <c r="I283" s="100"/>
      <c r="J283" s="100"/>
      <c r="K283" s="100"/>
      <c r="L283" s="100"/>
      <c r="M283" s="100"/>
      <c r="N283" s="100"/>
      <c r="O283" s="100"/>
      <c r="P283" s="100"/>
      <c r="Q283" s="100"/>
      <c r="R283" s="100"/>
      <c r="S283" s="100"/>
      <c r="T283" s="100"/>
      <c r="U283" s="100"/>
      <c r="V283" s="100"/>
      <c r="W283" s="100"/>
      <c r="X283" s="100"/>
      <c r="Y283" s="100"/>
      <c r="Z283" s="100"/>
      <c r="AA283" s="100"/>
      <c r="AB283" s="100"/>
      <c r="AC283" s="100"/>
      <c r="AD283" s="100"/>
    </row>
    <row r="284">
      <c r="A284" s="118"/>
      <c r="B284" s="118"/>
      <c r="C284" s="118"/>
      <c r="D284" s="119"/>
      <c r="E284" s="119"/>
      <c r="F284" s="119"/>
      <c r="G284" s="100"/>
      <c r="H284" s="100"/>
      <c r="I284" s="100"/>
      <c r="J284" s="100"/>
      <c r="K284" s="100"/>
      <c r="L284" s="100"/>
      <c r="M284" s="100"/>
      <c r="N284" s="100"/>
      <c r="O284" s="100"/>
      <c r="P284" s="100"/>
      <c r="Q284" s="100"/>
      <c r="R284" s="100"/>
      <c r="S284" s="100"/>
      <c r="T284" s="100"/>
      <c r="U284" s="100"/>
      <c r="V284" s="100"/>
      <c r="W284" s="100"/>
      <c r="X284" s="100"/>
      <c r="Y284" s="100"/>
      <c r="Z284" s="100"/>
      <c r="AA284" s="100"/>
      <c r="AB284" s="100"/>
      <c r="AC284" s="100"/>
      <c r="AD284" s="100"/>
    </row>
    <row r="285">
      <c r="A285" s="118"/>
      <c r="B285" s="118"/>
      <c r="C285" s="118"/>
      <c r="D285" s="119"/>
      <c r="E285" s="119"/>
      <c r="F285" s="119"/>
      <c r="G285" s="100"/>
      <c r="H285" s="100"/>
      <c r="I285" s="100"/>
      <c r="J285" s="100"/>
      <c r="K285" s="100"/>
      <c r="L285" s="100"/>
      <c r="M285" s="100"/>
      <c r="N285" s="100"/>
      <c r="O285" s="100"/>
      <c r="P285" s="100"/>
      <c r="Q285" s="100"/>
      <c r="R285" s="100"/>
      <c r="S285" s="100"/>
      <c r="T285" s="100"/>
      <c r="U285" s="100"/>
      <c r="V285" s="100"/>
      <c r="W285" s="100"/>
      <c r="X285" s="100"/>
      <c r="Y285" s="100"/>
      <c r="Z285" s="100"/>
      <c r="AA285" s="100"/>
      <c r="AB285" s="100"/>
      <c r="AC285" s="100"/>
      <c r="AD285" s="100"/>
    </row>
    <row r="286">
      <c r="A286" s="118"/>
      <c r="B286" s="118"/>
      <c r="C286" s="118"/>
      <c r="D286" s="119"/>
      <c r="E286" s="119"/>
      <c r="F286" s="119"/>
      <c r="G286" s="100"/>
      <c r="H286" s="100"/>
      <c r="I286" s="100"/>
      <c r="J286" s="100"/>
      <c r="K286" s="100"/>
      <c r="L286" s="100"/>
      <c r="M286" s="100"/>
      <c r="N286" s="100"/>
      <c r="O286" s="100"/>
      <c r="P286" s="100"/>
      <c r="Q286" s="100"/>
      <c r="R286" s="100"/>
      <c r="S286" s="100"/>
      <c r="T286" s="100"/>
      <c r="U286" s="100"/>
      <c r="V286" s="100"/>
      <c r="W286" s="100"/>
      <c r="X286" s="100"/>
      <c r="Y286" s="100"/>
      <c r="Z286" s="100"/>
      <c r="AA286" s="100"/>
      <c r="AB286" s="100"/>
      <c r="AC286" s="100"/>
      <c r="AD286" s="100"/>
    </row>
    <row r="287">
      <c r="A287" s="118"/>
      <c r="B287" s="118"/>
      <c r="C287" s="118"/>
      <c r="D287" s="119"/>
      <c r="E287" s="119"/>
      <c r="F287" s="119"/>
      <c r="G287" s="100"/>
      <c r="H287" s="100"/>
      <c r="I287" s="100"/>
      <c r="J287" s="100"/>
      <c r="K287" s="100"/>
      <c r="L287" s="100"/>
      <c r="M287" s="100"/>
      <c r="N287" s="100"/>
      <c r="O287" s="100"/>
      <c r="P287" s="100"/>
      <c r="Q287" s="100"/>
      <c r="R287" s="100"/>
      <c r="S287" s="100"/>
      <c r="T287" s="100"/>
      <c r="U287" s="100"/>
      <c r="V287" s="100"/>
      <c r="W287" s="100"/>
      <c r="X287" s="100"/>
      <c r="Y287" s="100"/>
      <c r="Z287" s="100"/>
      <c r="AA287" s="100"/>
      <c r="AB287" s="100"/>
      <c r="AC287" s="100"/>
      <c r="AD287" s="100"/>
    </row>
    <row r="288">
      <c r="A288" s="118"/>
      <c r="B288" s="118"/>
      <c r="C288" s="118"/>
      <c r="D288" s="119"/>
      <c r="E288" s="119"/>
      <c r="F288" s="119"/>
      <c r="G288" s="100"/>
      <c r="H288" s="100"/>
      <c r="I288" s="100"/>
      <c r="J288" s="100"/>
      <c r="K288" s="100"/>
      <c r="L288" s="100"/>
      <c r="M288" s="100"/>
      <c r="N288" s="100"/>
      <c r="O288" s="100"/>
      <c r="P288" s="100"/>
      <c r="Q288" s="100"/>
      <c r="R288" s="100"/>
      <c r="S288" s="100"/>
      <c r="T288" s="100"/>
      <c r="U288" s="100"/>
      <c r="V288" s="100"/>
      <c r="W288" s="100"/>
      <c r="X288" s="100"/>
      <c r="Y288" s="100"/>
      <c r="Z288" s="100"/>
      <c r="AA288" s="100"/>
      <c r="AB288" s="100"/>
      <c r="AC288" s="100"/>
      <c r="AD288" s="100"/>
    </row>
    <row r="289">
      <c r="A289" s="118"/>
      <c r="B289" s="118"/>
      <c r="C289" s="118"/>
      <c r="D289" s="119"/>
      <c r="E289" s="119"/>
      <c r="F289" s="119"/>
      <c r="G289" s="100"/>
      <c r="H289" s="100"/>
      <c r="I289" s="100"/>
      <c r="J289" s="100"/>
      <c r="K289" s="100"/>
      <c r="L289" s="100"/>
      <c r="M289" s="100"/>
      <c r="N289" s="100"/>
      <c r="O289" s="100"/>
      <c r="P289" s="100"/>
      <c r="Q289" s="100"/>
      <c r="R289" s="100"/>
      <c r="S289" s="100"/>
      <c r="T289" s="100"/>
      <c r="U289" s="100"/>
      <c r="V289" s="100"/>
      <c r="W289" s="100"/>
      <c r="X289" s="100"/>
      <c r="Y289" s="100"/>
      <c r="Z289" s="100"/>
      <c r="AA289" s="100"/>
      <c r="AB289" s="100"/>
      <c r="AC289" s="100"/>
      <c r="AD289" s="100"/>
    </row>
    <row r="290">
      <c r="A290" s="118"/>
      <c r="B290" s="118"/>
      <c r="C290" s="118"/>
      <c r="D290" s="119"/>
      <c r="E290" s="119"/>
      <c r="F290" s="119"/>
      <c r="G290" s="100"/>
      <c r="H290" s="100"/>
      <c r="I290" s="100"/>
      <c r="J290" s="100"/>
      <c r="K290" s="100"/>
      <c r="L290" s="100"/>
      <c r="M290" s="100"/>
      <c r="N290" s="100"/>
      <c r="O290" s="100"/>
      <c r="P290" s="100"/>
      <c r="Q290" s="100"/>
      <c r="R290" s="100"/>
      <c r="S290" s="100"/>
      <c r="T290" s="100"/>
      <c r="U290" s="100"/>
      <c r="V290" s="100"/>
      <c r="W290" s="100"/>
      <c r="X290" s="100"/>
      <c r="Y290" s="100"/>
      <c r="Z290" s="100"/>
      <c r="AA290" s="100"/>
      <c r="AB290" s="100"/>
      <c r="AC290" s="100"/>
      <c r="AD290" s="100"/>
    </row>
    <row r="291">
      <c r="A291" s="118"/>
      <c r="B291" s="118"/>
      <c r="C291" s="118"/>
      <c r="D291" s="119"/>
      <c r="E291" s="119"/>
      <c r="F291" s="119"/>
      <c r="G291" s="100"/>
      <c r="H291" s="100"/>
      <c r="I291" s="100"/>
      <c r="J291" s="100"/>
      <c r="K291" s="100"/>
      <c r="L291" s="100"/>
      <c r="M291" s="100"/>
      <c r="N291" s="100"/>
      <c r="O291" s="100"/>
      <c r="P291" s="100"/>
      <c r="Q291" s="100"/>
      <c r="R291" s="100"/>
      <c r="S291" s="100"/>
      <c r="T291" s="100"/>
      <c r="U291" s="100"/>
      <c r="V291" s="100"/>
      <c r="W291" s="100"/>
      <c r="X291" s="100"/>
      <c r="Y291" s="100"/>
      <c r="Z291" s="100"/>
      <c r="AA291" s="100"/>
      <c r="AB291" s="100"/>
      <c r="AC291" s="100"/>
      <c r="AD291" s="100"/>
    </row>
    <row r="292">
      <c r="A292" s="118"/>
      <c r="B292" s="118"/>
      <c r="C292" s="118"/>
      <c r="D292" s="119"/>
      <c r="E292" s="119"/>
      <c r="F292" s="119"/>
      <c r="G292" s="100"/>
      <c r="H292" s="100"/>
      <c r="I292" s="100"/>
      <c r="J292" s="100"/>
      <c r="K292" s="100"/>
      <c r="L292" s="100"/>
      <c r="M292" s="100"/>
      <c r="N292" s="100"/>
      <c r="O292" s="100"/>
      <c r="P292" s="100"/>
      <c r="Q292" s="100"/>
      <c r="R292" s="100"/>
      <c r="S292" s="100"/>
      <c r="T292" s="100"/>
      <c r="U292" s="100"/>
      <c r="V292" s="100"/>
      <c r="W292" s="100"/>
      <c r="X292" s="100"/>
      <c r="Y292" s="100"/>
      <c r="Z292" s="100"/>
      <c r="AA292" s="100"/>
      <c r="AB292" s="100"/>
      <c r="AC292" s="100"/>
      <c r="AD292" s="100"/>
    </row>
    <row r="293">
      <c r="A293" s="118"/>
      <c r="B293" s="118"/>
      <c r="C293" s="118"/>
      <c r="D293" s="119"/>
      <c r="E293" s="119"/>
      <c r="F293" s="119"/>
      <c r="G293" s="100"/>
      <c r="H293" s="100"/>
      <c r="I293" s="100"/>
      <c r="J293" s="100"/>
      <c r="K293" s="100"/>
      <c r="L293" s="100"/>
      <c r="M293" s="100"/>
      <c r="N293" s="100"/>
      <c r="O293" s="100"/>
      <c r="P293" s="100"/>
      <c r="Q293" s="100"/>
      <c r="R293" s="100"/>
      <c r="S293" s="100"/>
      <c r="T293" s="100"/>
      <c r="U293" s="100"/>
      <c r="V293" s="100"/>
      <c r="W293" s="100"/>
      <c r="X293" s="100"/>
      <c r="Y293" s="100"/>
      <c r="Z293" s="100"/>
      <c r="AA293" s="100"/>
      <c r="AB293" s="100"/>
      <c r="AC293" s="100"/>
      <c r="AD293" s="100"/>
    </row>
    <row r="294">
      <c r="A294" s="118"/>
      <c r="B294" s="118"/>
      <c r="C294" s="118"/>
      <c r="D294" s="119"/>
      <c r="E294" s="119"/>
      <c r="F294" s="119"/>
      <c r="G294" s="100"/>
      <c r="H294" s="100"/>
      <c r="I294" s="100"/>
      <c r="J294" s="100"/>
      <c r="K294" s="100"/>
      <c r="L294" s="100"/>
      <c r="M294" s="100"/>
      <c r="N294" s="100"/>
      <c r="O294" s="100"/>
      <c r="P294" s="100"/>
      <c r="Q294" s="100"/>
      <c r="R294" s="100"/>
      <c r="S294" s="100"/>
      <c r="T294" s="100"/>
      <c r="U294" s="100"/>
      <c r="V294" s="100"/>
      <c r="W294" s="100"/>
      <c r="X294" s="100"/>
      <c r="Y294" s="100"/>
      <c r="Z294" s="100"/>
      <c r="AA294" s="100"/>
      <c r="AB294" s="100"/>
      <c r="AC294" s="100"/>
      <c r="AD294" s="100"/>
    </row>
    <row r="295">
      <c r="A295" s="118"/>
      <c r="B295" s="118"/>
      <c r="C295" s="118"/>
      <c r="D295" s="119"/>
      <c r="E295" s="119"/>
      <c r="F295" s="119"/>
      <c r="G295" s="100"/>
      <c r="H295" s="100"/>
      <c r="I295" s="100"/>
      <c r="J295" s="100"/>
      <c r="K295" s="100"/>
      <c r="L295" s="100"/>
      <c r="M295" s="100"/>
      <c r="N295" s="100"/>
      <c r="O295" s="100"/>
      <c r="P295" s="100"/>
      <c r="Q295" s="100"/>
      <c r="R295" s="100"/>
      <c r="S295" s="100"/>
      <c r="T295" s="100"/>
      <c r="U295" s="100"/>
      <c r="V295" s="100"/>
      <c r="W295" s="100"/>
      <c r="X295" s="100"/>
      <c r="Y295" s="100"/>
      <c r="Z295" s="100"/>
      <c r="AA295" s="100"/>
      <c r="AB295" s="100"/>
      <c r="AC295" s="100"/>
      <c r="AD295" s="100"/>
    </row>
    <row r="296">
      <c r="A296" s="118"/>
      <c r="B296" s="118"/>
      <c r="C296" s="118"/>
      <c r="D296" s="119"/>
      <c r="E296" s="119"/>
      <c r="F296" s="119"/>
      <c r="G296" s="100"/>
      <c r="H296" s="100"/>
      <c r="I296" s="100"/>
      <c r="J296" s="100"/>
      <c r="K296" s="100"/>
      <c r="L296" s="100"/>
      <c r="M296" s="100"/>
      <c r="N296" s="100"/>
      <c r="O296" s="100"/>
      <c r="P296" s="100"/>
      <c r="Q296" s="100"/>
      <c r="R296" s="100"/>
      <c r="S296" s="100"/>
      <c r="T296" s="100"/>
      <c r="U296" s="100"/>
      <c r="V296" s="100"/>
      <c r="W296" s="100"/>
      <c r="X296" s="100"/>
      <c r="Y296" s="100"/>
      <c r="Z296" s="100"/>
      <c r="AA296" s="100"/>
      <c r="AB296" s="100"/>
      <c r="AC296" s="100"/>
      <c r="AD296" s="100"/>
    </row>
    <row r="297">
      <c r="A297" s="118"/>
      <c r="B297" s="118"/>
      <c r="C297" s="118"/>
      <c r="D297" s="119"/>
      <c r="E297" s="119"/>
      <c r="F297" s="119"/>
      <c r="G297" s="100"/>
      <c r="H297" s="100"/>
      <c r="I297" s="100"/>
      <c r="J297" s="100"/>
      <c r="K297" s="100"/>
      <c r="L297" s="100"/>
      <c r="M297" s="100"/>
      <c r="N297" s="100"/>
      <c r="O297" s="100"/>
      <c r="P297" s="100"/>
      <c r="Q297" s="100"/>
      <c r="R297" s="100"/>
      <c r="S297" s="100"/>
      <c r="T297" s="100"/>
      <c r="U297" s="100"/>
      <c r="V297" s="100"/>
      <c r="W297" s="100"/>
      <c r="X297" s="100"/>
      <c r="Y297" s="100"/>
      <c r="Z297" s="100"/>
      <c r="AA297" s="100"/>
      <c r="AB297" s="100"/>
      <c r="AC297" s="100"/>
      <c r="AD297" s="100"/>
    </row>
    <row r="298">
      <c r="A298" s="118"/>
      <c r="B298" s="118"/>
      <c r="C298" s="118"/>
      <c r="D298" s="119"/>
      <c r="E298" s="119"/>
      <c r="F298" s="119"/>
      <c r="G298" s="100"/>
      <c r="H298" s="100"/>
      <c r="I298" s="100"/>
      <c r="J298" s="100"/>
      <c r="K298" s="100"/>
      <c r="L298" s="100"/>
      <c r="M298" s="100"/>
      <c r="N298" s="100"/>
      <c r="O298" s="100"/>
      <c r="P298" s="100"/>
      <c r="Q298" s="100"/>
      <c r="R298" s="100"/>
      <c r="S298" s="100"/>
      <c r="T298" s="100"/>
      <c r="U298" s="100"/>
      <c r="V298" s="100"/>
      <c r="W298" s="100"/>
      <c r="X298" s="100"/>
      <c r="Y298" s="100"/>
      <c r="Z298" s="100"/>
      <c r="AA298" s="100"/>
      <c r="AB298" s="100"/>
      <c r="AC298" s="100"/>
      <c r="AD298" s="100"/>
    </row>
    <row r="299">
      <c r="A299" s="118"/>
      <c r="B299" s="118"/>
      <c r="C299" s="118"/>
      <c r="D299" s="119"/>
      <c r="E299" s="119"/>
      <c r="F299" s="119"/>
      <c r="G299" s="100"/>
      <c r="H299" s="100"/>
      <c r="I299" s="100"/>
      <c r="J299" s="100"/>
      <c r="K299" s="100"/>
      <c r="L299" s="100"/>
      <c r="M299" s="100"/>
      <c r="N299" s="100"/>
      <c r="O299" s="100"/>
      <c r="P299" s="100"/>
      <c r="Q299" s="100"/>
      <c r="R299" s="100"/>
      <c r="S299" s="100"/>
      <c r="T299" s="100"/>
      <c r="U299" s="100"/>
      <c r="V299" s="100"/>
      <c r="W299" s="100"/>
      <c r="X299" s="100"/>
      <c r="Y299" s="100"/>
      <c r="Z299" s="100"/>
      <c r="AA299" s="100"/>
      <c r="AB299" s="100"/>
      <c r="AC299" s="100"/>
      <c r="AD299" s="100"/>
    </row>
    <row r="300">
      <c r="A300" s="118"/>
      <c r="B300" s="118"/>
      <c r="C300" s="118"/>
      <c r="D300" s="119"/>
      <c r="E300" s="119"/>
      <c r="F300" s="119"/>
      <c r="G300" s="100"/>
      <c r="H300" s="100"/>
      <c r="I300" s="100"/>
      <c r="J300" s="100"/>
      <c r="K300" s="100"/>
      <c r="L300" s="100"/>
      <c r="M300" s="100"/>
      <c r="N300" s="100"/>
      <c r="O300" s="100"/>
      <c r="P300" s="100"/>
      <c r="Q300" s="100"/>
      <c r="R300" s="100"/>
      <c r="S300" s="100"/>
      <c r="T300" s="100"/>
      <c r="U300" s="100"/>
      <c r="V300" s="100"/>
      <c r="W300" s="100"/>
      <c r="X300" s="100"/>
      <c r="Y300" s="100"/>
      <c r="Z300" s="100"/>
      <c r="AA300" s="100"/>
      <c r="AB300" s="100"/>
      <c r="AC300" s="100"/>
      <c r="AD300" s="100"/>
    </row>
    <row r="301">
      <c r="A301" s="118"/>
      <c r="B301" s="118"/>
      <c r="C301" s="118"/>
      <c r="D301" s="119"/>
      <c r="E301" s="119"/>
      <c r="F301" s="119"/>
      <c r="G301" s="100"/>
      <c r="H301" s="100"/>
      <c r="I301" s="100"/>
      <c r="J301" s="100"/>
      <c r="K301" s="100"/>
      <c r="L301" s="100"/>
      <c r="M301" s="100"/>
      <c r="N301" s="100"/>
      <c r="O301" s="100"/>
      <c r="P301" s="100"/>
      <c r="Q301" s="100"/>
      <c r="R301" s="100"/>
      <c r="S301" s="100"/>
      <c r="T301" s="100"/>
      <c r="U301" s="100"/>
      <c r="V301" s="100"/>
      <c r="W301" s="100"/>
      <c r="X301" s="100"/>
      <c r="Y301" s="100"/>
      <c r="Z301" s="100"/>
      <c r="AA301" s="100"/>
      <c r="AB301" s="100"/>
      <c r="AC301" s="100"/>
      <c r="AD301" s="100"/>
    </row>
    <row r="302">
      <c r="A302" s="118"/>
      <c r="B302" s="118"/>
      <c r="C302" s="118"/>
      <c r="D302" s="119"/>
      <c r="E302" s="119"/>
      <c r="F302" s="119"/>
      <c r="G302" s="100"/>
      <c r="H302" s="100"/>
      <c r="I302" s="100"/>
      <c r="J302" s="100"/>
      <c r="K302" s="100"/>
      <c r="L302" s="100"/>
      <c r="M302" s="100"/>
      <c r="N302" s="100"/>
      <c r="O302" s="100"/>
      <c r="P302" s="100"/>
      <c r="Q302" s="100"/>
      <c r="R302" s="100"/>
      <c r="S302" s="100"/>
      <c r="T302" s="100"/>
      <c r="U302" s="100"/>
      <c r="V302" s="100"/>
      <c r="W302" s="100"/>
      <c r="X302" s="100"/>
      <c r="Y302" s="100"/>
      <c r="Z302" s="100"/>
      <c r="AA302" s="100"/>
      <c r="AB302" s="100"/>
      <c r="AC302" s="100"/>
      <c r="AD302" s="100"/>
    </row>
    <row r="303">
      <c r="A303" s="118"/>
      <c r="B303" s="118"/>
      <c r="C303" s="118"/>
      <c r="D303" s="119"/>
      <c r="E303" s="119"/>
      <c r="F303" s="119"/>
      <c r="G303" s="100"/>
      <c r="H303" s="100"/>
      <c r="I303" s="100"/>
      <c r="J303" s="100"/>
      <c r="K303" s="100"/>
      <c r="L303" s="100"/>
      <c r="M303" s="100"/>
      <c r="N303" s="100"/>
      <c r="O303" s="100"/>
      <c r="P303" s="100"/>
      <c r="Q303" s="100"/>
      <c r="R303" s="100"/>
      <c r="S303" s="100"/>
      <c r="T303" s="100"/>
      <c r="U303" s="100"/>
      <c r="V303" s="100"/>
      <c r="W303" s="100"/>
      <c r="X303" s="100"/>
      <c r="Y303" s="100"/>
      <c r="Z303" s="100"/>
      <c r="AA303" s="100"/>
      <c r="AB303" s="100"/>
      <c r="AC303" s="100"/>
      <c r="AD303" s="100"/>
    </row>
    <row r="304">
      <c r="A304" s="118"/>
      <c r="B304" s="118"/>
      <c r="C304" s="118"/>
      <c r="D304" s="119"/>
      <c r="E304" s="119"/>
      <c r="F304" s="119"/>
      <c r="G304" s="100"/>
      <c r="H304" s="100"/>
      <c r="I304" s="100"/>
      <c r="J304" s="100"/>
      <c r="K304" s="100"/>
      <c r="L304" s="100"/>
      <c r="M304" s="100"/>
      <c r="N304" s="100"/>
      <c r="O304" s="100"/>
      <c r="P304" s="100"/>
      <c r="Q304" s="100"/>
      <c r="R304" s="100"/>
      <c r="S304" s="100"/>
      <c r="T304" s="100"/>
      <c r="U304" s="100"/>
      <c r="V304" s="100"/>
      <c r="W304" s="100"/>
      <c r="X304" s="100"/>
      <c r="Y304" s="100"/>
      <c r="Z304" s="100"/>
      <c r="AA304" s="100"/>
      <c r="AB304" s="100"/>
      <c r="AC304" s="100"/>
      <c r="AD304" s="100"/>
    </row>
    <row r="305">
      <c r="A305" s="118"/>
      <c r="B305" s="118"/>
      <c r="C305" s="118"/>
      <c r="D305" s="119"/>
      <c r="E305" s="119"/>
      <c r="F305" s="119"/>
      <c r="G305" s="100"/>
      <c r="H305" s="100"/>
      <c r="I305" s="100"/>
      <c r="J305" s="100"/>
      <c r="K305" s="100"/>
      <c r="L305" s="100"/>
      <c r="M305" s="100"/>
      <c r="N305" s="100"/>
      <c r="O305" s="100"/>
      <c r="P305" s="100"/>
      <c r="Q305" s="100"/>
      <c r="R305" s="100"/>
      <c r="S305" s="100"/>
      <c r="T305" s="100"/>
      <c r="U305" s="100"/>
      <c r="V305" s="100"/>
      <c r="W305" s="100"/>
      <c r="X305" s="100"/>
      <c r="Y305" s="100"/>
      <c r="Z305" s="100"/>
      <c r="AA305" s="100"/>
      <c r="AB305" s="100"/>
      <c r="AC305" s="100"/>
      <c r="AD305" s="100"/>
    </row>
    <row r="306">
      <c r="A306" s="118"/>
      <c r="B306" s="118"/>
      <c r="C306" s="118"/>
      <c r="D306" s="119"/>
      <c r="E306" s="119"/>
      <c r="F306" s="119"/>
      <c r="G306" s="100"/>
      <c r="H306" s="100"/>
      <c r="I306" s="100"/>
      <c r="J306" s="100"/>
      <c r="K306" s="100"/>
      <c r="L306" s="100"/>
      <c r="M306" s="100"/>
      <c r="N306" s="100"/>
      <c r="O306" s="100"/>
      <c r="P306" s="100"/>
      <c r="Q306" s="100"/>
      <c r="R306" s="100"/>
      <c r="S306" s="100"/>
      <c r="T306" s="100"/>
      <c r="U306" s="100"/>
      <c r="V306" s="100"/>
      <c r="W306" s="100"/>
      <c r="X306" s="100"/>
      <c r="Y306" s="100"/>
      <c r="Z306" s="100"/>
      <c r="AA306" s="100"/>
      <c r="AB306" s="100"/>
      <c r="AC306" s="100"/>
      <c r="AD306" s="100"/>
    </row>
    <row r="307">
      <c r="A307" s="118"/>
      <c r="B307" s="118"/>
      <c r="C307" s="118"/>
      <c r="D307" s="119"/>
      <c r="E307" s="119"/>
      <c r="F307" s="119"/>
      <c r="G307" s="100"/>
      <c r="H307" s="100"/>
      <c r="I307" s="100"/>
      <c r="J307" s="100"/>
      <c r="K307" s="100"/>
      <c r="L307" s="100"/>
      <c r="M307" s="100"/>
      <c r="N307" s="100"/>
      <c r="O307" s="100"/>
      <c r="P307" s="100"/>
      <c r="Q307" s="100"/>
      <c r="R307" s="100"/>
      <c r="S307" s="100"/>
      <c r="T307" s="100"/>
      <c r="U307" s="100"/>
      <c r="V307" s="100"/>
      <c r="W307" s="100"/>
      <c r="X307" s="100"/>
      <c r="Y307" s="100"/>
      <c r="Z307" s="100"/>
      <c r="AA307" s="100"/>
      <c r="AB307" s="100"/>
      <c r="AC307" s="100"/>
      <c r="AD307" s="100"/>
    </row>
    <row r="308">
      <c r="A308" s="118"/>
      <c r="B308" s="118"/>
      <c r="C308" s="118"/>
      <c r="D308" s="119"/>
      <c r="E308" s="119"/>
      <c r="F308" s="119"/>
      <c r="G308" s="100"/>
      <c r="H308" s="100"/>
      <c r="I308" s="100"/>
      <c r="J308" s="100"/>
      <c r="K308" s="100"/>
      <c r="L308" s="100"/>
      <c r="M308" s="100"/>
      <c r="N308" s="100"/>
      <c r="O308" s="100"/>
      <c r="P308" s="100"/>
      <c r="Q308" s="100"/>
      <c r="R308" s="100"/>
      <c r="S308" s="100"/>
      <c r="T308" s="100"/>
      <c r="U308" s="100"/>
      <c r="V308" s="100"/>
      <c r="W308" s="100"/>
      <c r="X308" s="100"/>
      <c r="Y308" s="100"/>
      <c r="Z308" s="100"/>
      <c r="AA308" s="100"/>
      <c r="AB308" s="100"/>
      <c r="AC308" s="100"/>
      <c r="AD308" s="100"/>
    </row>
    <row r="309">
      <c r="A309" s="118"/>
      <c r="B309" s="118"/>
      <c r="C309" s="118"/>
      <c r="D309" s="119"/>
      <c r="E309" s="119"/>
      <c r="F309" s="119"/>
      <c r="G309" s="100"/>
      <c r="H309" s="100"/>
      <c r="I309" s="100"/>
      <c r="J309" s="100"/>
      <c r="K309" s="100"/>
      <c r="L309" s="100"/>
      <c r="M309" s="100"/>
      <c r="N309" s="100"/>
      <c r="O309" s="100"/>
      <c r="P309" s="100"/>
      <c r="Q309" s="100"/>
      <c r="R309" s="100"/>
      <c r="S309" s="100"/>
      <c r="T309" s="100"/>
      <c r="U309" s="100"/>
      <c r="V309" s="100"/>
      <c r="W309" s="100"/>
      <c r="X309" s="100"/>
      <c r="Y309" s="100"/>
      <c r="Z309" s="100"/>
      <c r="AA309" s="100"/>
      <c r="AB309" s="100"/>
      <c r="AC309" s="100"/>
      <c r="AD309" s="100"/>
    </row>
    <row r="310">
      <c r="A310" s="118"/>
      <c r="B310" s="118"/>
      <c r="C310" s="118"/>
      <c r="D310" s="119"/>
      <c r="E310" s="119"/>
      <c r="F310" s="119"/>
      <c r="G310" s="100"/>
      <c r="H310" s="100"/>
      <c r="I310" s="100"/>
      <c r="J310" s="100"/>
      <c r="K310" s="100"/>
      <c r="L310" s="100"/>
      <c r="M310" s="100"/>
      <c r="N310" s="100"/>
      <c r="O310" s="100"/>
      <c r="P310" s="100"/>
      <c r="Q310" s="100"/>
      <c r="R310" s="100"/>
      <c r="S310" s="100"/>
      <c r="T310" s="100"/>
      <c r="U310" s="100"/>
      <c r="V310" s="100"/>
      <c r="W310" s="100"/>
      <c r="X310" s="100"/>
      <c r="Y310" s="100"/>
      <c r="Z310" s="100"/>
      <c r="AA310" s="100"/>
      <c r="AB310" s="100"/>
      <c r="AC310" s="100"/>
      <c r="AD310" s="100"/>
    </row>
    <row r="311">
      <c r="A311" s="118"/>
      <c r="B311" s="118"/>
      <c r="C311" s="118"/>
      <c r="D311" s="119"/>
      <c r="E311" s="119"/>
      <c r="F311" s="119"/>
      <c r="G311" s="100"/>
      <c r="H311" s="100"/>
      <c r="I311" s="100"/>
      <c r="J311" s="100"/>
      <c r="K311" s="100"/>
      <c r="L311" s="100"/>
      <c r="M311" s="100"/>
      <c r="N311" s="100"/>
      <c r="O311" s="100"/>
      <c r="P311" s="100"/>
      <c r="Q311" s="100"/>
      <c r="R311" s="100"/>
      <c r="S311" s="100"/>
      <c r="T311" s="100"/>
      <c r="U311" s="100"/>
      <c r="V311" s="100"/>
      <c r="W311" s="100"/>
      <c r="X311" s="100"/>
      <c r="Y311" s="100"/>
      <c r="Z311" s="100"/>
      <c r="AA311" s="100"/>
      <c r="AB311" s="100"/>
      <c r="AC311" s="100"/>
      <c r="AD311" s="100"/>
    </row>
    <row r="312">
      <c r="A312" s="118"/>
      <c r="B312" s="118"/>
      <c r="C312" s="118"/>
      <c r="D312" s="119"/>
      <c r="E312" s="119"/>
      <c r="F312" s="119"/>
      <c r="G312" s="100"/>
      <c r="H312" s="100"/>
      <c r="I312" s="100"/>
      <c r="J312" s="100"/>
      <c r="K312" s="100"/>
      <c r="L312" s="100"/>
      <c r="M312" s="100"/>
      <c r="N312" s="100"/>
      <c r="O312" s="100"/>
      <c r="P312" s="100"/>
      <c r="Q312" s="100"/>
      <c r="R312" s="100"/>
      <c r="S312" s="100"/>
      <c r="T312" s="100"/>
      <c r="U312" s="100"/>
      <c r="V312" s="100"/>
      <c r="W312" s="100"/>
      <c r="X312" s="100"/>
      <c r="Y312" s="100"/>
      <c r="Z312" s="100"/>
      <c r="AA312" s="100"/>
      <c r="AB312" s="100"/>
      <c r="AC312" s="100"/>
      <c r="AD312" s="100"/>
    </row>
    <row r="313">
      <c r="A313" s="118"/>
      <c r="B313" s="118"/>
      <c r="C313" s="118"/>
      <c r="D313" s="119"/>
      <c r="E313" s="119"/>
      <c r="F313" s="119"/>
      <c r="G313" s="100"/>
      <c r="H313" s="100"/>
      <c r="I313" s="100"/>
      <c r="J313" s="100"/>
      <c r="K313" s="100"/>
      <c r="L313" s="100"/>
      <c r="M313" s="100"/>
      <c r="N313" s="100"/>
      <c r="O313" s="100"/>
      <c r="P313" s="100"/>
      <c r="Q313" s="100"/>
      <c r="R313" s="100"/>
      <c r="S313" s="100"/>
      <c r="T313" s="100"/>
      <c r="U313" s="100"/>
      <c r="V313" s="100"/>
      <c r="W313" s="100"/>
      <c r="X313" s="100"/>
      <c r="Y313" s="100"/>
      <c r="Z313" s="100"/>
      <c r="AA313" s="100"/>
      <c r="AB313" s="100"/>
      <c r="AC313" s="100"/>
      <c r="AD313" s="100"/>
    </row>
    <row r="314">
      <c r="A314" s="118"/>
      <c r="B314" s="118"/>
      <c r="C314" s="118"/>
      <c r="D314" s="119"/>
      <c r="E314" s="119"/>
      <c r="F314" s="119"/>
      <c r="G314" s="100"/>
      <c r="H314" s="100"/>
      <c r="I314" s="100"/>
      <c r="J314" s="100"/>
      <c r="K314" s="100"/>
      <c r="L314" s="100"/>
      <c r="M314" s="100"/>
      <c r="N314" s="100"/>
      <c r="O314" s="100"/>
      <c r="P314" s="100"/>
      <c r="Q314" s="100"/>
      <c r="R314" s="100"/>
      <c r="S314" s="100"/>
      <c r="T314" s="100"/>
      <c r="U314" s="100"/>
      <c r="V314" s="100"/>
      <c r="W314" s="100"/>
      <c r="X314" s="100"/>
      <c r="Y314" s="100"/>
      <c r="Z314" s="100"/>
      <c r="AA314" s="100"/>
      <c r="AB314" s="100"/>
      <c r="AC314" s="100"/>
      <c r="AD314" s="100"/>
    </row>
    <row r="315">
      <c r="A315" s="118"/>
      <c r="B315" s="118"/>
      <c r="C315" s="118"/>
      <c r="D315" s="119"/>
      <c r="E315" s="119"/>
      <c r="F315" s="119"/>
      <c r="G315" s="100"/>
      <c r="H315" s="100"/>
      <c r="I315" s="100"/>
      <c r="J315" s="100"/>
      <c r="K315" s="100"/>
      <c r="L315" s="100"/>
      <c r="M315" s="100"/>
      <c r="N315" s="100"/>
      <c r="O315" s="100"/>
      <c r="P315" s="100"/>
      <c r="Q315" s="100"/>
      <c r="R315" s="100"/>
      <c r="S315" s="100"/>
      <c r="T315" s="100"/>
      <c r="U315" s="100"/>
      <c r="V315" s="100"/>
      <c r="W315" s="100"/>
      <c r="X315" s="100"/>
      <c r="Y315" s="100"/>
      <c r="Z315" s="100"/>
      <c r="AA315" s="100"/>
      <c r="AB315" s="100"/>
      <c r="AC315" s="100"/>
      <c r="AD315" s="100"/>
    </row>
    <row r="316">
      <c r="A316" s="118"/>
      <c r="B316" s="118"/>
      <c r="C316" s="118"/>
      <c r="D316" s="119"/>
      <c r="E316" s="119"/>
      <c r="F316" s="119"/>
      <c r="G316" s="100"/>
      <c r="H316" s="100"/>
      <c r="I316" s="100"/>
      <c r="J316" s="100"/>
      <c r="K316" s="100"/>
      <c r="L316" s="100"/>
      <c r="M316" s="100"/>
      <c r="N316" s="100"/>
      <c r="O316" s="100"/>
      <c r="P316" s="100"/>
      <c r="Q316" s="100"/>
      <c r="R316" s="100"/>
      <c r="S316" s="100"/>
      <c r="T316" s="100"/>
      <c r="U316" s="100"/>
      <c r="V316" s="100"/>
      <c r="W316" s="100"/>
      <c r="X316" s="100"/>
      <c r="Y316" s="100"/>
      <c r="Z316" s="100"/>
      <c r="AA316" s="100"/>
      <c r="AB316" s="100"/>
      <c r="AC316" s="100"/>
      <c r="AD316" s="100"/>
    </row>
    <row r="317">
      <c r="A317" s="118"/>
      <c r="B317" s="118"/>
      <c r="C317" s="118"/>
      <c r="D317" s="119"/>
      <c r="E317" s="119"/>
      <c r="F317" s="119"/>
      <c r="G317" s="100"/>
      <c r="H317" s="100"/>
      <c r="I317" s="100"/>
      <c r="J317" s="100"/>
      <c r="K317" s="100"/>
      <c r="L317" s="100"/>
      <c r="M317" s="100"/>
      <c r="N317" s="100"/>
      <c r="O317" s="100"/>
      <c r="P317" s="100"/>
      <c r="Q317" s="100"/>
      <c r="R317" s="100"/>
      <c r="S317" s="100"/>
      <c r="T317" s="100"/>
      <c r="U317" s="100"/>
      <c r="V317" s="100"/>
      <c r="W317" s="100"/>
      <c r="X317" s="100"/>
      <c r="Y317" s="100"/>
      <c r="Z317" s="100"/>
      <c r="AA317" s="100"/>
      <c r="AB317" s="100"/>
      <c r="AC317" s="100"/>
      <c r="AD317" s="100"/>
    </row>
    <row r="318">
      <c r="A318" s="118"/>
      <c r="B318" s="118"/>
      <c r="C318" s="118"/>
      <c r="D318" s="119"/>
      <c r="E318" s="119"/>
      <c r="F318" s="119"/>
      <c r="G318" s="100"/>
      <c r="H318" s="100"/>
      <c r="I318" s="100"/>
      <c r="J318" s="100"/>
      <c r="K318" s="100"/>
      <c r="L318" s="100"/>
      <c r="M318" s="100"/>
      <c r="N318" s="100"/>
      <c r="O318" s="100"/>
      <c r="P318" s="100"/>
      <c r="Q318" s="100"/>
      <c r="R318" s="100"/>
      <c r="S318" s="100"/>
      <c r="T318" s="100"/>
      <c r="U318" s="100"/>
      <c r="V318" s="100"/>
      <c r="W318" s="100"/>
      <c r="X318" s="100"/>
      <c r="Y318" s="100"/>
      <c r="Z318" s="100"/>
      <c r="AA318" s="100"/>
      <c r="AB318" s="100"/>
      <c r="AC318" s="100"/>
      <c r="AD318" s="100"/>
    </row>
    <row r="319">
      <c r="A319" s="118"/>
      <c r="B319" s="118"/>
      <c r="C319" s="118"/>
      <c r="D319" s="119"/>
      <c r="E319" s="119"/>
      <c r="F319" s="119"/>
      <c r="G319" s="100"/>
      <c r="H319" s="100"/>
      <c r="I319" s="100"/>
      <c r="J319" s="100"/>
      <c r="K319" s="100"/>
      <c r="L319" s="100"/>
      <c r="M319" s="100"/>
      <c r="N319" s="100"/>
      <c r="O319" s="100"/>
      <c r="P319" s="100"/>
      <c r="Q319" s="100"/>
      <c r="R319" s="100"/>
      <c r="S319" s="100"/>
      <c r="T319" s="100"/>
      <c r="U319" s="100"/>
      <c r="V319" s="100"/>
      <c r="W319" s="100"/>
      <c r="X319" s="100"/>
      <c r="Y319" s="100"/>
      <c r="Z319" s="100"/>
      <c r="AA319" s="100"/>
      <c r="AB319" s="100"/>
      <c r="AC319" s="100"/>
      <c r="AD319" s="100"/>
    </row>
    <row r="320">
      <c r="A320" s="118"/>
      <c r="B320" s="118"/>
      <c r="C320" s="118"/>
      <c r="D320" s="119"/>
      <c r="E320" s="119"/>
      <c r="F320" s="119"/>
      <c r="G320" s="100"/>
      <c r="H320" s="100"/>
      <c r="I320" s="100"/>
      <c r="J320" s="100"/>
      <c r="K320" s="100"/>
      <c r="L320" s="100"/>
      <c r="M320" s="100"/>
      <c r="N320" s="100"/>
      <c r="O320" s="100"/>
      <c r="P320" s="100"/>
      <c r="Q320" s="100"/>
      <c r="R320" s="100"/>
      <c r="S320" s="100"/>
      <c r="T320" s="100"/>
      <c r="U320" s="100"/>
      <c r="V320" s="100"/>
      <c r="W320" s="100"/>
      <c r="X320" s="100"/>
      <c r="Y320" s="100"/>
      <c r="Z320" s="100"/>
      <c r="AA320" s="100"/>
      <c r="AB320" s="100"/>
      <c r="AC320" s="100"/>
      <c r="AD320" s="100"/>
    </row>
    <row r="321">
      <c r="A321" s="118"/>
      <c r="B321" s="118"/>
      <c r="C321" s="118"/>
      <c r="D321" s="119"/>
      <c r="E321" s="119"/>
      <c r="F321" s="119"/>
      <c r="G321" s="100"/>
      <c r="H321" s="100"/>
      <c r="I321" s="100"/>
      <c r="J321" s="100"/>
      <c r="K321" s="100"/>
      <c r="L321" s="100"/>
      <c r="M321" s="100"/>
      <c r="N321" s="100"/>
      <c r="O321" s="100"/>
      <c r="P321" s="100"/>
      <c r="Q321" s="100"/>
      <c r="R321" s="100"/>
      <c r="S321" s="100"/>
      <c r="T321" s="100"/>
      <c r="U321" s="100"/>
      <c r="V321" s="100"/>
      <c r="W321" s="100"/>
      <c r="X321" s="100"/>
      <c r="Y321" s="100"/>
      <c r="Z321" s="100"/>
      <c r="AA321" s="100"/>
      <c r="AB321" s="100"/>
      <c r="AC321" s="100"/>
      <c r="AD321" s="100"/>
    </row>
    <row r="322">
      <c r="A322" s="118"/>
      <c r="B322" s="118"/>
      <c r="C322" s="118"/>
      <c r="D322" s="119"/>
      <c r="E322" s="119"/>
      <c r="F322" s="119"/>
      <c r="G322" s="100"/>
      <c r="H322" s="100"/>
      <c r="I322" s="100"/>
      <c r="J322" s="100"/>
      <c r="K322" s="100"/>
      <c r="L322" s="100"/>
      <c r="M322" s="100"/>
      <c r="N322" s="100"/>
      <c r="O322" s="100"/>
      <c r="P322" s="100"/>
      <c r="Q322" s="100"/>
      <c r="R322" s="100"/>
      <c r="S322" s="100"/>
      <c r="T322" s="100"/>
      <c r="U322" s="100"/>
      <c r="V322" s="100"/>
      <c r="W322" s="100"/>
      <c r="X322" s="100"/>
      <c r="Y322" s="100"/>
      <c r="Z322" s="100"/>
      <c r="AA322" s="100"/>
      <c r="AB322" s="100"/>
      <c r="AC322" s="100"/>
      <c r="AD322" s="100"/>
    </row>
    <row r="323">
      <c r="A323" s="118"/>
      <c r="B323" s="118"/>
      <c r="C323" s="118"/>
      <c r="D323" s="119"/>
      <c r="E323" s="119"/>
      <c r="F323" s="119"/>
      <c r="G323" s="100"/>
      <c r="H323" s="100"/>
      <c r="I323" s="100"/>
      <c r="J323" s="100"/>
      <c r="K323" s="100"/>
      <c r="L323" s="100"/>
      <c r="M323" s="100"/>
      <c r="N323" s="100"/>
      <c r="O323" s="100"/>
      <c r="P323" s="100"/>
      <c r="Q323" s="100"/>
      <c r="R323" s="100"/>
      <c r="S323" s="100"/>
      <c r="T323" s="100"/>
      <c r="U323" s="100"/>
      <c r="V323" s="100"/>
      <c r="W323" s="100"/>
      <c r="X323" s="100"/>
      <c r="Y323" s="100"/>
      <c r="Z323" s="100"/>
      <c r="AA323" s="100"/>
      <c r="AB323" s="100"/>
      <c r="AC323" s="100"/>
      <c r="AD323" s="100"/>
    </row>
    <row r="324">
      <c r="A324" s="118"/>
      <c r="B324" s="118"/>
      <c r="C324" s="118"/>
      <c r="D324" s="119"/>
      <c r="E324" s="119"/>
      <c r="F324" s="119"/>
      <c r="G324" s="100"/>
      <c r="H324" s="100"/>
      <c r="I324" s="100"/>
      <c r="J324" s="100"/>
      <c r="K324" s="100"/>
      <c r="L324" s="100"/>
      <c r="M324" s="100"/>
      <c r="N324" s="100"/>
      <c r="O324" s="100"/>
      <c r="P324" s="100"/>
      <c r="Q324" s="100"/>
      <c r="R324" s="100"/>
      <c r="S324" s="100"/>
      <c r="T324" s="100"/>
      <c r="U324" s="100"/>
      <c r="V324" s="100"/>
      <c r="W324" s="100"/>
      <c r="X324" s="100"/>
      <c r="Y324" s="100"/>
      <c r="Z324" s="100"/>
      <c r="AA324" s="100"/>
      <c r="AB324" s="100"/>
      <c r="AC324" s="100"/>
      <c r="AD324" s="100"/>
    </row>
    <row r="325">
      <c r="A325" s="118"/>
      <c r="B325" s="118"/>
      <c r="C325" s="118"/>
      <c r="D325" s="119"/>
      <c r="E325" s="119"/>
      <c r="F325" s="119"/>
      <c r="G325" s="100"/>
      <c r="H325" s="100"/>
      <c r="I325" s="100"/>
      <c r="J325" s="100"/>
      <c r="K325" s="100"/>
      <c r="L325" s="100"/>
      <c r="M325" s="100"/>
      <c r="N325" s="100"/>
      <c r="O325" s="100"/>
      <c r="P325" s="100"/>
      <c r="Q325" s="100"/>
      <c r="R325" s="100"/>
      <c r="S325" s="100"/>
      <c r="T325" s="100"/>
      <c r="U325" s="100"/>
      <c r="V325" s="100"/>
      <c r="W325" s="100"/>
      <c r="X325" s="100"/>
      <c r="Y325" s="100"/>
      <c r="Z325" s="100"/>
      <c r="AA325" s="100"/>
      <c r="AB325" s="100"/>
      <c r="AC325" s="100"/>
      <c r="AD325" s="100"/>
    </row>
    <row r="326">
      <c r="A326" s="118"/>
      <c r="B326" s="118"/>
      <c r="C326" s="118"/>
      <c r="D326" s="119"/>
      <c r="E326" s="119"/>
      <c r="F326" s="119"/>
      <c r="G326" s="100"/>
      <c r="H326" s="100"/>
      <c r="I326" s="100"/>
      <c r="J326" s="100"/>
      <c r="K326" s="100"/>
      <c r="L326" s="100"/>
      <c r="M326" s="100"/>
      <c r="N326" s="100"/>
      <c r="O326" s="100"/>
      <c r="P326" s="100"/>
      <c r="Q326" s="100"/>
      <c r="R326" s="100"/>
      <c r="S326" s="100"/>
      <c r="T326" s="100"/>
      <c r="U326" s="100"/>
      <c r="V326" s="100"/>
      <c r="W326" s="100"/>
      <c r="X326" s="100"/>
      <c r="Y326" s="100"/>
      <c r="Z326" s="100"/>
      <c r="AA326" s="100"/>
      <c r="AB326" s="100"/>
      <c r="AC326" s="100"/>
      <c r="AD326" s="100"/>
    </row>
    <row r="327">
      <c r="A327" s="118"/>
      <c r="B327" s="118"/>
      <c r="C327" s="118"/>
      <c r="D327" s="119"/>
      <c r="E327" s="119"/>
      <c r="F327" s="119"/>
      <c r="G327" s="100"/>
      <c r="H327" s="100"/>
      <c r="I327" s="100"/>
      <c r="J327" s="100"/>
      <c r="K327" s="100"/>
      <c r="L327" s="100"/>
      <c r="M327" s="100"/>
      <c r="N327" s="100"/>
      <c r="O327" s="100"/>
      <c r="P327" s="100"/>
      <c r="Q327" s="100"/>
      <c r="R327" s="100"/>
      <c r="S327" s="100"/>
      <c r="T327" s="100"/>
      <c r="U327" s="100"/>
      <c r="V327" s="100"/>
      <c r="W327" s="100"/>
      <c r="X327" s="100"/>
      <c r="Y327" s="100"/>
      <c r="Z327" s="100"/>
      <c r="AA327" s="100"/>
      <c r="AB327" s="100"/>
      <c r="AC327" s="100"/>
      <c r="AD327" s="100"/>
    </row>
    <row r="328">
      <c r="A328" s="118"/>
      <c r="B328" s="118"/>
      <c r="C328" s="118"/>
      <c r="D328" s="119"/>
      <c r="E328" s="119"/>
      <c r="F328" s="119"/>
      <c r="G328" s="100"/>
      <c r="H328" s="100"/>
      <c r="I328" s="100"/>
      <c r="J328" s="100"/>
      <c r="K328" s="100"/>
      <c r="L328" s="100"/>
      <c r="M328" s="100"/>
      <c r="N328" s="100"/>
      <c r="O328" s="100"/>
      <c r="P328" s="100"/>
      <c r="Q328" s="100"/>
      <c r="R328" s="100"/>
      <c r="S328" s="100"/>
      <c r="T328" s="100"/>
      <c r="U328" s="100"/>
      <c r="V328" s="100"/>
      <c r="W328" s="100"/>
      <c r="X328" s="100"/>
      <c r="Y328" s="100"/>
      <c r="Z328" s="100"/>
      <c r="AA328" s="100"/>
      <c r="AB328" s="100"/>
      <c r="AC328" s="100"/>
      <c r="AD328" s="100"/>
    </row>
    <row r="329">
      <c r="A329" s="118"/>
      <c r="B329" s="118"/>
      <c r="C329" s="118"/>
      <c r="D329" s="119"/>
      <c r="E329" s="119"/>
      <c r="F329" s="119"/>
      <c r="G329" s="100"/>
      <c r="H329" s="100"/>
      <c r="I329" s="100"/>
      <c r="J329" s="100"/>
      <c r="K329" s="100"/>
      <c r="L329" s="100"/>
      <c r="M329" s="100"/>
      <c r="N329" s="100"/>
      <c r="O329" s="100"/>
      <c r="P329" s="100"/>
      <c r="Q329" s="100"/>
      <c r="R329" s="100"/>
      <c r="S329" s="100"/>
      <c r="T329" s="100"/>
      <c r="U329" s="100"/>
      <c r="V329" s="100"/>
      <c r="W329" s="100"/>
      <c r="X329" s="100"/>
      <c r="Y329" s="100"/>
      <c r="Z329" s="100"/>
      <c r="AA329" s="100"/>
      <c r="AB329" s="100"/>
      <c r="AC329" s="100"/>
      <c r="AD329" s="100"/>
    </row>
    <row r="330">
      <c r="A330" s="118"/>
      <c r="B330" s="118"/>
      <c r="C330" s="118"/>
      <c r="D330" s="119"/>
      <c r="E330" s="119"/>
      <c r="F330" s="119"/>
      <c r="G330" s="100"/>
      <c r="H330" s="100"/>
      <c r="I330" s="100"/>
      <c r="J330" s="100"/>
      <c r="K330" s="100"/>
      <c r="L330" s="100"/>
      <c r="M330" s="100"/>
      <c r="N330" s="100"/>
      <c r="O330" s="100"/>
      <c r="P330" s="100"/>
      <c r="Q330" s="100"/>
      <c r="R330" s="100"/>
      <c r="S330" s="100"/>
      <c r="T330" s="100"/>
      <c r="U330" s="100"/>
      <c r="V330" s="100"/>
      <c r="W330" s="100"/>
      <c r="X330" s="100"/>
      <c r="Y330" s="100"/>
      <c r="Z330" s="100"/>
      <c r="AA330" s="100"/>
      <c r="AB330" s="100"/>
      <c r="AC330" s="100"/>
      <c r="AD330" s="100"/>
    </row>
    <row r="331">
      <c r="A331" s="118"/>
      <c r="B331" s="118"/>
      <c r="C331" s="118"/>
      <c r="D331" s="119"/>
      <c r="E331" s="119"/>
      <c r="F331" s="119"/>
      <c r="G331" s="100"/>
      <c r="H331" s="100"/>
      <c r="I331" s="100"/>
      <c r="J331" s="100"/>
      <c r="K331" s="100"/>
      <c r="L331" s="100"/>
      <c r="M331" s="100"/>
      <c r="N331" s="100"/>
      <c r="O331" s="100"/>
      <c r="P331" s="100"/>
      <c r="Q331" s="100"/>
      <c r="R331" s="100"/>
      <c r="S331" s="100"/>
      <c r="T331" s="100"/>
      <c r="U331" s="100"/>
      <c r="V331" s="100"/>
      <c r="W331" s="100"/>
      <c r="X331" s="100"/>
      <c r="Y331" s="100"/>
      <c r="Z331" s="100"/>
      <c r="AA331" s="100"/>
      <c r="AB331" s="100"/>
      <c r="AC331" s="100"/>
      <c r="AD331" s="100"/>
    </row>
    <row r="332">
      <c r="A332" s="118"/>
      <c r="B332" s="118"/>
      <c r="C332" s="118"/>
      <c r="D332" s="119"/>
      <c r="E332" s="119"/>
      <c r="F332" s="119"/>
      <c r="G332" s="100"/>
      <c r="H332" s="100"/>
      <c r="I332" s="100"/>
      <c r="J332" s="100"/>
      <c r="K332" s="100"/>
      <c r="L332" s="100"/>
      <c r="M332" s="100"/>
      <c r="N332" s="100"/>
      <c r="O332" s="100"/>
      <c r="P332" s="100"/>
      <c r="Q332" s="100"/>
      <c r="R332" s="100"/>
      <c r="S332" s="100"/>
      <c r="T332" s="100"/>
      <c r="U332" s="100"/>
      <c r="V332" s="100"/>
      <c r="W332" s="100"/>
      <c r="X332" s="100"/>
      <c r="Y332" s="100"/>
      <c r="Z332" s="100"/>
      <c r="AA332" s="100"/>
      <c r="AB332" s="100"/>
      <c r="AC332" s="100"/>
      <c r="AD332" s="100"/>
    </row>
    <row r="333">
      <c r="A333" s="118"/>
      <c r="B333" s="118"/>
      <c r="C333" s="118"/>
      <c r="D333" s="119"/>
      <c r="E333" s="119"/>
      <c r="F333" s="119"/>
      <c r="G333" s="100"/>
      <c r="H333" s="100"/>
      <c r="I333" s="100"/>
      <c r="J333" s="100"/>
      <c r="K333" s="100"/>
      <c r="L333" s="100"/>
      <c r="M333" s="100"/>
      <c r="N333" s="100"/>
      <c r="O333" s="100"/>
      <c r="P333" s="100"/>
      <c r="Q333" s="100"/>
      <c r="R333" s="100"/>
      <c r="S333" s="100"/>
      <c r="T333" s="100"/>
      <c r="U333" s="100"/>
      <c r="V333" s="100"/>
      <c r="W333" s="100"/>
      <c r="X333" s="100"/>
      <c r="Y333" s="100"/>
      <c r="Z333" s="100"/>
      <c r="AA333" s="100"/>
      <c r="AB333" s="100"/>
      <c r="AC333" s="100"/>
      <c r="AD333" s="100"/>
    </row>
    <row r="334">
      <c r="A334" s="118"/>
      <c r="B334" s="118"/>
      <c r="C334" s="118"/>
      <c r="D334" s="119"/>
      <c r="E334" s="119"/>
      <c r="F334" s="119"/>
      <c r="G334" s="100"/>
      <c r="H334" s="100"/>
      <c r="I334" s="100"/>
      <c r="J334" s="100"/>
      <c r="K334" s="100"/>
      <c r="L334" s="100"/>
      <c r="M334" s="100"/>
      <c r="N334" s="100"/>
      <c r="O334" s="100"/>
      <c r="P334" s="100"/>
      <c r="Q334" s="100"/>
      <c r="R334" s="100"/>
      <c r="S334" s="100"/>
      <c r="T334" s="100"/>
      <c r="U334" s="100"/>
      <c r="V334" s="100"/>
      <c r="W334" s="100"/>
      <c r="X334" s="100"/>
      <c r="Y334" s="100"/>
      <c r="Z334" s="100"/>
      <c r="AA334" s="100"/>
      <c r="AB334" s="100"/>
      <c r="AC334" s="100"/>
      <c r="AD334" s="100"/>
    </row>
    <row r="335">
      <c r="A335" s="118"/>
      <c r="B335" s="118"/>
      <c r="C335" s="118"/>
      <c r="D335" s="119"/>
      <c r="E335" s="119"/>
      <c r="F335" s="119"/>
      <c r="G335" s="100"/>
      <c r="H335" s="100"/>
      <c r="I335" s="100"/>
      <c r="J335" s="100"/>
      <c r="K335" s="100"/>
      <c r="L335" s="100"/>
      <c r="M335" s="100"/>
      <c r="N335" s="100"/>
      <c r="O335" s="100"/>
      <c r="P335" s="100"/>
      <c r="Q335" s="100"/>
      <c r="R335" s="100"/>
      <c r="S335" s="100"/>
      <c r="T335" s="100"/>
      <c r="U335" s="100"/>
      <c r="V335" s="100"/>
      <c r="W335" s="100"/>
      <c r="X335" s="100"/>
      <c r="Y335" s="100"/>
      <c r="Z335" s="100"/>
      <c r="AA335" s="100"/>
      <c r="AB335" s="100"/>
      <c r="AC335" s="100"/>
      <c r="AD335" s="100"/>
    </row>
    <row r="336">
      <c r="A336" s="118"/>
      <c r="B336" s="118"/>
      <c r="C336" s="118"/>
      <c r="D336" s="119"/>
      <c r="E336" s="119"/>
      <c r="F336" s="119"/>
      <c r="G336" s="100"/>
      <c r="H336" s="100"/>
      <c r="I336" s="100"/>
      <c r="J336" s="100"/>
      <c r="K336" s="100"/>
      <c r="L336" s="100"/>
      <c r="M336" s="100"/>
      <c r="N336" s="100"/>
      <c r="O336" s="100"/>
      <c r="P336" s="100"/>
      <c r="Q336" s="100"/>
      <c r="R336" s="100"/>
      <c r="S336" s="100"/>
      <c r="T336" s="100"/>
      <c r="U336" s="100"/>
      <c r="V336" s="100"/>
      <c r="W336" s="100"/>
      <c r="X336" s="100"/>
      <c r="Y336" s="100"/>
      <c r="Z336" s="100"/>
      <c r="AA336" s="100"/>
      <c r="AB336" s="100"/>
      <c r="AC336" s="100"/>
      <c r="AD336" s="100"/>
    </row>
    <row r="337">
      <c r="A337" s="118"/>
      <c r="B337" s="118"/>
      <c r="C337" s="118"/>
      <c r="D337" s="119"/>
      <c r="E337" s="119"/>
      <c r="F337" s="119"/>
      <c r="G337" s="100"/>
      <c r="H337" s="100"/>
      <c r="I337" s="100"/>
      <c r="J337" s="100"/>
      <c r="K337" s="100"/>
      <c r="L337" s="100"/>
      <c r="M337" s="100"/>
      <c r="N337" s="100"/>
      <c r="O337" s="100"/>
      <c r="P337" s="100"/>
      <c r="Q337" s="100"/>
      <c r="R337" s="100"/>
      <c r="S337" s="100"/>
      <c r="T337" s="100"/>
      <c r="U337" s="100"/>
      <c r="V337" s="100"/>
      <c r="W337" s="100"/>
      <c r="X337" s="100"/>
      <c r="Y337" s="100"/>
      <c r="Z337" s="100"/>
      <c r="AA337" s="100"/>
      <c r="AB337" s="100"/>
      <c r="AC337" s="100"/>
      <c r="AD337" s="100"/>
    </row>
    <row r="338">
      <c r="A338" s="118"/>
      <c r="B338" s="118"/>
      <c r="C338" s="118"/>
      <c r="D338" s="119"/>
      <c r="E338" s="119"/>
      <c r="F338" s="119"/>
      <c r="G338" s="100"/>
      <c r="H338" s="100"/>
      <c r="I338" s="100"/>
      <c r="J338" s="100"/>
      <c r="K338" s="100"/>
      <c r="L338" s="100"/>
      <c r="M338" s="100"/>
      <c r="N338" s="100"/>
      <c r="O338" s="100"/>
      <c r="P338" s="100"/>
      <c r="Q338" s="100"/>
      <c r="R338" s="100"/>
      <c r="S338" s="100"/>
      <c r="T338" s="100"/>
      <c r="U338" s="100"/>
      <c r="V338" s="100"/>
      <c r="W338" s="100"/>
      <c r="X338" s="100"/>
      <c r="Y338" s="100"/>
      <c r="Z338" s="100"/>
      <c r="AA338" s="100"/>
      <c r="AB338" s="100"/>
      <c r="AC338" s="100"/>
      <c r="AD338" s="100"/>
    </row>
    <row r="339">
      <c r="A339" s="118"/>
      <c r="B339" s="118"/>
      <c r="C339" s="118"/>
      <c r="D339" s="119"/>
      <c r="E339" s="119"/>
      <c r="F339" s="119"/>
      <c r="G339" s="100"/>
      <c r="H339" s="100"/>
      <c r="I339" s="100"/>
      <c r="J339" s="100"/>
      <c r="K339" s="100"/>
      <c r="L339" s="100"/>
      <c r="M339" s="100"/>
      <c r="N339" s="100"/>
      <c r="O339" s="100"/>
      <c r="P339" s="100"/>
      <c r="Q339" s="100"/>
      <c r="R339" s="100"/>
      <c r="S339" s="100"/>
      <c r="T339" s="100"/>
      <c r="U339" s="100"/>
      <c r="V339" s="100"/>
      <c r="W339" s="100"/>
      <c r="X339" s="100"/>
      <c r="Y339" s="100"/>
      <c r="Z339" s="100"/>
      <c r="AA339" s="100"/>
      <c r="AB339" s="100"/>
      <c r="AC339" s="100"/>
      <c r="AD339" s="100"/>
    </row>
    <row r="340">
      <c r="A340" s="118"/>
      <c r="B340" s="118"/>
      <c r="C340" s="118"/>
      <c r="D340" s="119"/>
      <c r="E340" s="119"/>
      <c r="F340" s="119"/>
      <c r="G340" s="100"/>
      <c r="H340" s="100"/>
      <c r="I340" s="100"/>
      <c r="J340" s="100"/>
      <c r="K340" s="100"/>
      <c r="L340" s="100"/>
      <c r="M340" s="100"/>
      <c r="N340" s="100"/>
      <c r="O340" s="100"/>
      <c r="P340" s="100"/>
      <c r="Q340" s="100"/>
      <c r="R340" s="100"/>
      <c r="S340" s="100"/>
      <c r="T340" s="100"/>
      <c r="U340" s="100"/>
      <c r="V340" s="100"/>
      <c r="W340" s="100"/>
      <c r="X340" s="100"/>
      <c r="Y340" s="100"/>
      <c r="Z340" s="100"/>
      <c r="AA340" s="100"/>
      <c r="AB340" s="100"/>
      <c r="AC340" s="100"/>
      <c r="AD340" s="100"/>
    </row>
    <row r="341">
      <c r="A341" s="118"/>
      <c r="B341" s="118"/>
      <c r="C341" s="118"/>
      <c r="D341" s="119"/>
      <c r="E341" s="119"/>
      <c r="F341" s="119"/>
      <c r="G341" s="100"/>
      <c r="H341" s="100"/>
      <c r="I341" s="100"/>
      <c r="J341" s="100"/>
      <c r="K341" s="100"/>
      <c r="L341" s="100"/>
      <c r="M341" s="100"/>
      <c r="N341" s="100"/>
      <c r="O341" s="100"/>
      <c r="P341" s="100"/>
      <c r="Q341" s="100"/>
      <c r="R341" s="100"/>
      <c r="S341" s="100"/>
      <c r="T341" s="100"/>
      <c r="U341" s="100"/>
      <c r="V341" s="100"/>
      <c r="W341" s="100"/>
      <c r="X341" s="100"/>
      <c r="Y341" s="100"/>
      <c r="Z341" s="100"/>
      <c r="AA341" s="100"/>
      <c r="AB341" s="100"/>
      <c r="AC341" s="100"/>
      <c r="AD341" s="100"/>
    </row>
    <row r="342">
      <c r="A342" s="118"/>
      <c r="B342" s="118"/>
      <c r="C342" s="118"/>
      <c r="D342" s="119"/>
      <c r="E342" s="119"/>
      <c r="F342" s="119"/>
      <c r="G342" s="100"/>
      <c r="H342" s="100"/>
      <c r="I342" s="100"/>
      <c r="J342" s="100"/>
      <c r="K342" s="100"/>
      <c r="L342" s="100"/>
      <c r="M342" s="100"/>
      <c r="N342" s="100"/>
      <c r="O342" s="100"/>
      <c r="P342" s="100"/>
      <c r="Q342" s="100"/>
      <c r="R342" s="100"/>
      <c r="S342" s="100"/>
      <c r="T342" s="100"/>
      <c r="U342" s="100"/>
      <c r="V342" s="100"/>
      <c r="W342" s="100"/>
      <c r="X342" s="100"/>
      <c r="Y342" s="100"/>
      <c r="Z342" s="100"/>
      <c r="AA342" s="100"/>
      <c r="AB342" s="100"/>
      <c r="AC342" s="100"/>
      <c r="AD342" s="100"/>
    </row>
    <row r="343">
      <c r="A343" s="118"/>
      <c r="B343" s="118"/>
      <c r="C343" s="118"/>
      <c r="D343" s="119"/>
      <c r="E343" s="119"/>
      <c r="F343" s="119"/>
      <c r="G343" s="100"/>
      <c r="H343" s="100"/>
      <c r="I343" s="100"/>
      <c r="J343" s="100"/>
      <c r="K343" s="100"/>
      <c r="L343" s="100"/>
      <c r="M343" s="100"/>
      <c r="N343" s="100"/>
      <c r="O343" s="100"/>
      <c r="P343" s="100"/>
      <c r="Q343" s="100"/>
      <c r="R343" s="100"/>
      <c r="S343" s="100"/>
      <c r="T343" s="100"/>
      <c r="U343" s="100"/>
      <c r="V343" s="100"/>
      <c r="W343" s="100"/>
      <c r="X343" s="100"/>
      <c r="Y343" s="100"/>
      <c r="Z343" s="100"/>
      <c r="AA343" s="100"/>
      <c r="AB343" s="100"/>
      <c r="AC343" s="100"/>
      <c r="AD343" s="100"/>
    </row>
    <row r="344">
      <c r="A344" s="118"/>
      <c r="B344" s="118"/>
      <c r="C344" s="118"/>
      <c r="D344" s="119"/>
      <c r="E344" s="119"/>
      <c r="F344" s="119"/>
      <c r="G344" s="100"/>
      <c r="H344" s="100"/>
      <c r="I344" s="100"/>
      <c r="J344" s="100"/>
      <c r="K344" s="100"/>
      <c r="L344" s="100"/>
      <c r="M344" s="100"/>
      <c r="N344" s="100"/>
      <c r="O344" s="100"/>
      <c r="P344" s="100"/>
      <c r="Q344" s="100"/>
      <c r="R344" s="100"/>
      <c r="S344" s="100"/>
      <c r="T344" s="100"/>
      <c r="U344" s="100"/>
      <c r="V344" s="100"/>
      <c r="W344" s="100"/>
      <c r="X344" s="100"/>
      <c r="Y344" s="100"/>
      <c r="Z344" s="100"/>
      <c r="AA344" s="100"/>
      <c r="AB344" s="100"/>
      <c r="AC344" s="100"/>
      <c r="AD344" s="100"/>
    </row>
    <row r="345">
      <c r="A345" s="118"/>
      <c r="B345" s="118"/>
      <c r="C345" s="118"/>
      <c r="D345" s="119"/>
      <c r="E345" s="119"/>
      <c r="F345" s="119"/>
      <c r="G345" s="100"/>
      <c r="H345" s="100"/>
      <c r="I345" s="100"/>
      <c r="J345" s="100"/>
      <c r="K345" s="100"/>
      <c r="L345" s="100"/>
      <c r="M345" s="100"/>
      <c r="N345" s="100"/>
      <c r="O345" s="100"/>
      <c r="P345" s="100"/>
      <c r="Q345" s="100"/>
      <c r="R345" s="100"/>
      <c r="S345" s="100"/>
      <c r="T345" s="100"/>
      <c r="U345" s="100"/>
      <c r="V345" s="100"/>
      <c r="W345" s="100"/>
      <c r="X345" s="100"/>
      <c r="Y345" s="100"/>
      <c r="Z345" s="100"/>
      <c r="AA345" s="100"/>
      <c r="AB345" s="100"/>
      <c r="AC345" s="100"/>
      <c r="AD345" s="100"/>
    </row>
    <row r="346">
      <c r="A346" s="118"/>
      <c r="B346" s="118"/>
      <c r="C346" s="118"/>
      <c r="D346" s="119"/>
      <c r="E346" s="119"/>
      <c r="F346" s="119"/>
      <c r="G346" s="100"/>
      <c r="H346" s="100"/>
      <c r="I346" s="100"/>
      <c r="J346" s="100"/>
      <c r="K346" s="100"/>
      <c r="L346" s="100"/>
      <c r="M346" s="100"/>
      <c r="N346" s="100"/>
      <c r="O346" s="100"/>
      <c r="P346" s="100"/>
      <c r="Q346" s="100"/>
      <c r="R346" s="100"/>
      <c r="S346" s="100"/>
      <c r="T346" s="100"/>
      <c r="U346" s="100"/>
      <c r="V346" s="100"/>
      <c r="W346" s="100"/>
      <c r="X346" s="100"/>
      <c r="Y346" s="100"/>
      <c r="Z346" s="100"/>
      <c r="AA346" s="100"/>
      <c r="AB346" s="100"/>
      <c r="AC346" s="100"/>
      <c r="AD346" s="100"/>
    </row>
    <row r="347">
      <c r="A347" s="118"/>
      <c r="B347" s="118"/>
      <c r="C347" s="118"/>
      <c r="D347" s="119"/>
      <c r="E347" s="119"/>
      <c r="F347" s="119"/>
      <c r="G347" s="100"/>
      <c r="H347" s="100"/>
      <c r="I347" s="100"/>
      <c r="J347" s="100"/>
      <c r="K347" s="100"/>
      <c r="L347" s="100"/>
      <c r="M347" s="100"/>
      <c r="N347" s="100"/>
      <c r="O347" s="100"/>
      <c r="P347" s="100"/>
      <c r="Q347" s="100"/>
      <c r="R347" s="100"/>
      <c r="S347" s="100"/>
      <c r="T347" s="100"/>
      <c r="U347" s="100"/>
      <c r="V347" s="100"/>
      <c r="W347" s="100"/>
      <c r="X347" s="100"/>
      <c r="Y347" s="100"/>
      <c r="Z347" s="100"/>
      <c r="AA347" s="100"/>
      <c r="AB347" s="100"/>
      <c r="AC347" s="100"/>
      <c r="AD347" s="100"/>
    </row>
    <row r="348">
      <c r="A348" s="118"/>
      <c r="B348" s="118"/>
      <c r="C348" s="118"/>
      <c r="D348" s="119"/>
      <c r="E348" s="119"/>
      <c r="F348" s="119"/>
      <c r="G348" s="100"/>
      <c r="H348" s="100"/>
      <c r="I348" s="100"/>
      <c r="J348" s="100"/>
      <c r="K348" s="100"/>
      <c r="L348" s="100"/>
      <c r="M348" s="100"/>
      <c r="N348" s="100"/>
      <c r="O348" s="100"/>
      <c r="P348" s="100"/>
      <c r="Q348" s="100"/>
      <c r="R348" s="100"/>
      <c r="S348" s="100"/>
      <c r="T348" s="100"/>
      <c r="U348" s="100"/>
      <c r="V348" s="100"/>
      <c r="W348" s="100"/>
      <c r="X348" s="100"/>
      <c r="Y348" s="100"/>
      <c r="Z348" s="100"/>
      <c r="AA348" s="100"/>
      <c r="AB348" s="100"/>
      <c r="AC348" s="100"/>
      <c r="AD348" s="100"/>
    </row>
    <row r="349">
      <c r="A349" s="118"/>
      <c r="B349" s="118"/>
      <c r="C349" s="118"/>
      <c r="D349" s="119"/>
      <c r="E349" s="119"/>
      <c r="F349" s="119"/>
      <c r="G349" s="100"/>
      <c r="H349" s="100"/>
      <c r="I349" s="100"/>
      <c r="J349" s="100"/>
      <c r="K349" s="100"/>
      <c r="L349" s="100"/>
      <c r="M349" s="100"/>
      <c r="N349" s="100"/>
      <c r="O349" s="100"/>
      <c r="P349" s="100"/>
      <c r="Q349" s="100"/>
      <c r="R349" s="100"/>
      <c r="S349" s="100"/>
      <c r="T349" s="100"/>
      <c r="U349" s="100"/>
      <c r="V349" s="100"/>
      <c r="W349" s="100"/>
      <c r="X349" s="100"/>
      <c r="Y349" s="100"/>
      <c r="Z349" s="100"/>
      <c r="AA349" s="100"/>
      <c r="AB349" s="100"/>
      <c r="AC349" s="100"/>
      <c r="AD349" s="100"/>
    </row>
    <row r="350">
      <c r="A350" s="118"/>
      <c r="B350" s="118"/>
      <c r="C350" s="118"/>
      <c r="D350" s="119"/>
      <c r="E350" s="119"/>
      <c r="F350" s="119"/>
      <c r="G350" s="100"/>
      <c r="H350" s="100"/>
      <c r="I350" s="100"/>
      <c r="J350" s="100"/>
      <c r="K350" s="100"/>
      <c r="L350" s="100"/>
      <c r="M350" s="100"/>
      <c r="N350" s="100"/>
      <c r="O350" s="100"/>
      <c r="P350" s="100"/>
      <c r="Q350" s="100"/>
      <c r="R350" s="100"/>
      <c r="S350" s="100"/>
      <c r="T350" s="100"/>
      <c r="U350" s="100"/>
      <c r="V350" s="100"/>
      <c r="W350" s="100"/>
      <c r="X350" s="100"/>
      <c r="Y350" s="100"/>
      <c r="Z350" s="100"/>
      <c r="AA350" s="100"/>
      <c r="AB350" s="100"/>
      <c r="AC350" s="100"/>
      <c r="AD350" s="100"/>
    </row>
    <row r="351">
      <c r="A351" s="118"/>
      <c r="B351" s="118"/>
      <c r="C351" s="118"/>
      <c r="D351" s="119"/>
      <c r="E351" s="119"/>
      <c r="F351" s="119"/>
      <c r="G351" s="100"/>
      <c r="H351" s="100"/>
      <c r="I351" s="100"/>
      <c r="J351" s="100"/>
      <c r="K351" s="100"/>
      <c r="L351" s="100"/>
      <c r="M351" s="100"/>
      <c r="N351" s="100"/>
      <c r="O351" s="100"/>
      <c r="P351" s="100"/>
      <c r="Q351" s="100"/>
      <c r="R351" s="100"/>
      <c r="S351" s="100"/>
      <c r="T351" s="100"/>
      <c r="U351" s="100"/>
      <c r="V351" s="100"/>
      <c r="W351" s="100"/>
      <c r="X351" s="100"/>
      <c r="Y351" s="100"/>
      <c r="Z351" s="100"/>
      <c r="AA351" s="100"/>
      <c r="AB351" s="100"/>
      <c r="AC351" s="100"/>
      <c r="AD351" s="100"/>
    </row>
    <row r="352">
      <c r="A352" s="118"/>
      <c r="B352" s="118"/>
      <c r="C352" s="118"/>
      <c r="D352" s="119"/>
      <c r="E352" s="119"/>
      <c r="F352" s="119"/>
      <c r="G352" s="100"/>
      <c r="H352" s="100"/>
      <c r="I352" s="100"/>
      <c r="J352" s="100"/>
      <c r="K352" s="100"/>
      <c r="L352" s="100"/>
      <c r="M352" s="100"/>
      <c r="N352" s="100"/>
      <c r="O352" s="100"/>
      <c r="P352" s="100"/>
      <c r="Q352" s="100"/>
      <c r="R352" s="100"/>
      <c r="S352" s="100"/>
      <c r="T352" s="100"/>
      <c r="U352" s="100"/>
      <c r="V352" s="100"/>
      <c r="W352" s="100"/>
      <c r="X352" s="100"/>
      <c r="Y352" s="100"/>
      <c r="Z352" s="100"/>
      <c r="AA352" s="100"/>
      <c r="AB352" s="100"/>
      <c r="AC352" s="100"/>
      <c r="AD352" s="100"/>
    </row>
    <row r="353">
      <c r="A353" s="118"/>
      <c r="B353" s="118"/>
      <c r="C353" s="118"/>
      <c r="D353" s="119"/>
      <c r="E353" s="119"/>
      <c r="F353" s="119"/>
      <c r="G353" s="100"/>
      <c r="H353" s="100"/>
      <c r="I353" s="100"/>
      <c r="J353" s="100"/>
      <c r="K353" s="100"/>
      <c r="L353" s="100"/>
      <c r="M353" s="100"/>
      <c r="N353" s="100"/>
      <c r="O353" s="100"/>
      <c r="P353" s="100"/>
      <c r="Q353" s="100"/>
      <c r="R353" s="100"/>
      <c r="S353" s="100"/>
      <c r="T353" s="100"/>
      <c r="U353" s="100"/>
      <c r="V353" s="100"/>
      <c r="W353" s="100"/>
      <c r="X353" s="100"/>
      <c r="Y353" s="100"/>
      <c r="Z353" s="100"/>
      <c r="AA353" s="100"/>
      <c r="AB353" s="100"/>
      <c r="AC353" s="100"/>
      <c r="AD353" s="100"/>
    </row>
    <row r="354">
      <c r="A354" s="118"/>
      <c r="B354" s="118"/>
      <c r="C354" s="118"/>
      <c r="D354" s="119"/>
      <c r="E354" s="119"/>
      <c r="F354" s="119"/>
      <c r="G354" s="100"/>
      <c r="H354" s="100"/>
      <c r="I354" s="100"/>
      <c r="J354" s="100"/>
      <c r="K354" s="100"/>
      <c r="L354" s="100"/>
      <c r="M354" s="100"/>
      <c r="N354" s="100"/>
      <c r="O354" s="100"/>
      <c r="P354" s="100"/>
      <c r="Q354" s="100"/>
      <c r="R354" s="100"/>
      <c r="S354" s="100"/>
      <c r="T354" s="100"/>
      <c r="U354" s="100"/>
      <c r="V354" s="100"/>
      <c r="W354" s="100"/>
      <c r="X354" s="100"/>
      <c r="Y354" s="100"/>
      <c r="Z354" s="100"/>
      <c r="AA354" s="100"/>
      <c r="AB354" s="100"/>
      <c r="AC354" s="100"/>
      <c r="AD354" s="100"/>
    </row>
    <row r="355">
      <c r="A355" s="118"/>
      <c r="B355" s="118"/>
      <c r="C355" s="118"/>
      <c r="D355" s="119"/>
      <c r="E355" s="119"/>
      <c r="F355" s="119"/>
      <c r="G355" s="100"/>
      <c r="H355" s="100"/>
      <c r="I355" s="100"/>
      <c r="J355" s="100"/>
      <c r="K355" s="100"/>
      <c r="L355" s="100"/>
      <c r="M355" s="100"/>
      <c r="N355" s="100"/>
      <c r="O355" s="100"/>
      <c r="P355" s="100"/>
      <c r="Q355" s="100"/>
      <c r="R355" s="100"/>
      <c r="S355" s="100"/>
      <c r="T355" s="100"/>
      <c r="U355" s="100"/>
      <c r="V355" s="100"/>
      <c r="W355" s="100"/>
      <c r="X355" s="100"/>
      <c r="Y355" s="100"/>
      <c r="Z355" s="100"/>
      <c r="AA355" s="100"/>
      <c r="AB355" s="100"/>
      <c r="AC355" s="100"/>
      <c r="AD355" s="100"/>
    </row>
    <row r="356">
      <c r="A356" s="118"/>
      <c r="B356" s="118"/>
      <c r="C356" s="118"/>
      <c r="D356" s="119"/>
      <c r="E356" s="119"/>
      <c r="F356" s="119"/>
      <c r="G356" s="100"/>
      <c r="H356" s="100"/>
      <c r="I356" s="100"/>
      <c r="J356" s="100"/>
      <c r="K356" s="100"/>
      <c r="L356" s="100"/>
      <c r="M356" s="100"/>
      <c r="N356" s="100"/>
      <c r="O356" s="100"/>
      <c r="P356" s="100"/>
      <c r="Q356" s="100"/>
      <c r="R356" s="100"/>
      <c r="S356" s="100"/>
      <c r="T356" s="100"/>
      <c r="U356" s="100"/>
      <c r="V356" s="100"/>
      <c r="W356" s="100"/>
      <c r="X356" s="100"/>
      <c r="Y356" s="100"/>
      <c r="Z356" s="100"/>
      <c r="AA356" s="100"/>
      <c r="AB356" s="100"/>
      <c r="AC356" s="100"/>
      <c r="AD356" s="100"/>
    </row>
    <row r="357">
      <c r="A357" s="118"/>
      <c r="B357" s="118"/>
      <c r="C357" s="118"/>
      <c r="D357" s="119"/>
      <c r="E357" s="119"/>
      <c r="F357" s="119"/>
      <c r="G357" s="100"/>
      <c r="H357" s="100"/>
      <c r="I357" s="100"/>
      <c r="J357" s="100"/>
      <c r="K357" s="100"/>
      <c r="L357" s="100"/>
      <c r="M357" s="100"/>
      <c r="N357" s="100"/>
      <c r="O357" s="100"/>
      <c r="P357" s="100"/>
      <c r="Q357" s="100"/>
      <c r="R357" s="100"/>
      <c r="S357" s="100"/>
      <c r="T357" s="100"/>
      <c r="U357" s="100"/>
      <c r="V357" s="100"/>
      <c r="W357" s="100"/>
      <c r="X357" s="100"/>
      <c r="Y357" s="100"/>
      <c r="Z357" s="100"/>
      <c r="AA357" s="100"/>
      <c r="AB357" s="100"/>
      <c r="AC357" s="100"/>
      <c r="AD357" s="100"/>
    </row>
    <row r="358">
      <c r="A358" s="118"/>
      <c r="B358" s="118"/>
      <c r="C358" s="118"/>
      <c r="D358" s="119"/>
      <c r="E358" s="119"/>
      <c r="F358" s="119"/>
      <c r="G358" s="100"/>
      <c r="H358" s="100"/>
      <c r="I358" s="100"/>
      <c r="J358" s="100"/>
      <c r="K358" s="100"/>
      <c r="L358" s="100"/>
      <c r="M358" s="100"/>
      <c r="N358" s="100"/>
      <c r="O358" s="100"/>
      <c r="P358" s="100"/>
      <c r="Q358" s="100"/>
      <c r="R358" s="100"/>
      <c r="S358" s="100"/>
      <c r="T358" s="100"/>
      <c r="U358" s="100"/>
      <c r="V358" s="100"/>
      <c r="W358" s="100"/>
      <c r="X358" s="100"/>
      <c r="Y358" s="100"/>
      <c r="Z358" s="100"/>
      <c r="AA358" s="100"/>
      <c r="AB358" s="100"/>
      <c r="AC358" s="100"/>
      <c r="AD358" s="100"/>
    </row>
    <row r="359">
      <c r="A359" s="118"/>
      <c r="B359" s="118"/>
      <c r="C359" s="118"/>
      <c r="D359" s="119"/>
      <c r="E359" s="119"/>
      <c r="F359" s="119"/>
      <c r="G359" s="100"/>
      <c r="H359" s="100"/>
      <c r="I359" s="100"/>
      <c r="J359" s="100"/>
      <c r="K359" s="100"/>
      <c r="L359" s="100"/>
      <c r="M359" s="100"/>
      <c r="N359" s="100"/>
      <c r="O359" s="100"/>
      <c r="P359" s="100"/>
      <c r="Q359" s="100"/>
      <c r="R359" s="100"/>
      <c r="S359" s="100"/>
      <c r="T359" s="100"/>
      <c r="U359" s="100"/>
      <c r="V359" s="100"/>
      <c r="W359" s="100"/>
      <c r="X359" s="100"/>
      <c r="Y359" s="100"/>
      <c r="Z359" s="100"/>
      <c r="AA359" s="100"/>
      <c r="AB359" s="100"/>
      <c r="AC359" s="100"/>
      <c r="AD359" s="100"/>
    </row>
    <row r="360">
      <c r="A360" s="118"/>
      <c r="B360" s="118"/>
      <c r="C360" s="118"/>
      <c r="D360" s="119"/>
      <c r="E360" s="119"/>
      <c r="F360" s="119"/>
      <c r="G360" s="100"/>
      <c r="H360" s="100"/>
      <c r="I360" s="100"/>
      <c r="J360" s="100"/>
      <c r="K360" s="100"/>
      <c r="L360" s="100"/>
      <c r="M360" s="100"/>
      <c r="N360" s="100"/>
      <c r="O360" s="100"/>
      <c r="P360" s="100"/>
      <c r="Q360" s="100"/>
      <c r="R360" s="100"/>
      <c r="S360" s="100"/>
      <c r="T360" s="100"/>
      <c r="U360" s="100"/>
      <c r="V360" s="100"/>
      <c r="W360" s="100"/>
      <c r="X360" s="100"/>
      <c r="Y360" s="100"/>
      <c r="Z360" s="100"/>
      <c r="AA360" s="100"/>
      <c r="AB360" s="100"/>
      <c r="AC360" s="100"/>
      <c r="AD360" s="100"/>
    </row>
    <row r="361">
      <c r="A361" s="118"/>
      <c r="B361" s="118"/>
      <c r="C361" s="118"/>
      <c r="D361" s="119"/>
      <c r="E361" s="119"/>
      <c r="F361" s="119"/>
      <c r="G361" s="100"/>
      <c r="H361" s="100"/>
      <c r="I361" s="100"/>
      <c r="J361" s="100"/>
      <c r="K361" s="100"/>
      <c r="L361" s="100"/>
      <c r="M361" s="100"/>
      <c r="N361" s="100"/>
      <c r="O361" s="100"/>
      <c r="P361" s="100"/>
      <c r="Q361" s="100"/>
      <c r="R361" s="100"/>
      <c r="S361" s="100"/>
      <c r="T361" s="100"/>
      <c r="U361" s="100"/>
      <c r="V361" s="100"/>
      <c r="W361" s="100"/>
      <c r="X361" s="100"/>
      <c r="Y361" s="100"/>
      <c r="Z361" s="100"/>
      <c r="AA361" s="100"/>
      <c r="AB361" s="100"/>
      <c r="AC361" s="100"/>
      <c r="AD361" s="100"/>
    </row>
    <row r="362">
      <c r="A362" s="118"/>
      <c r="B362" s="118"/>
      <c r="C362" s="118"/>
      <c r="D362" s="119"/>
      <c r="E362" s="119"/>
      <c r="F362" s="119"/>
      <c r="G362" s="100"/>
      <c r="H362" s="100"/>
      <c r="I362" s="100"/>
      <c r="J362" s="100"/>
      <c r="K362" s="100"/>
      <c r="L362" s="100"/>
      <c r="M362" s="100"/>
      <c r="N362" s="100"/>
      <c r="O362" s="100"/>
      <c r="P362" s="100"/>
      <c r="Q362" s="100"/>
      <c r="R362" s="100"/>
      <c r="S362" s="100"/>
      <c r="T362" s="100"/>
      <c r="U362" s="100"/>
      <c r="V362" s="100"/>
      <c r="W362" s="100"/>
      <c r="X362" s="100"/>
      <c r="Y362" s="100"/>
      <c r="Z362" s="100"/>
      <c r="AA362" s="100"/>
      <c r="AB362" s="100"/>
      <c r="AC362" s="100"/>
      <c r="AD362" s="100"/>
    </row>
    <row r="363">
      <c r="A363" s="118"/>
      <c r="B363" s="118"/>
      <c r="C363" s="118"/>
      <c r="D363" s="119"/>
      <c r="E363" s="119"/>
      <c r="F363" s="119"/>
      <c r="G363" s="100"/>
      <c r="H363" s="100"/>
      <c r="I363" s="100"/>
      <c r="J363" s="100"/>
      <c r="K363" s="100"/>
      <c r="L363" s="100"/>
      <c r="M363" s="100"/>
      <c r="N363" s="100"/>
      <c r="O363" s="100"/>
      <c r="P363" s="100"/>
      <c r="Q363" s="100"/>
      <c r="R363" s="100"/>
      <c r="S363" s="100"/>
      <c r="T363" s="100"/>
      <c r="U363" s="100"/>
      <c r="V363" s="100"/>
      <c r="W363" s="100"/>
      <c r="X363" s="100"/>
      <c r="Y363" s="100"/>
      <c r="Z363" s="100"/>
      <c r="AA363" s="100"/>
      <c r="AB363" s="100"/>
      <c r="AC363" s="100"/>
      <c r="AD363" s="100"/>
    </row>
    <row r="364">
      <c r="A364" s="118"/>
      <c r="B364" s="118"/>
      <c r="C364" s="118"/>
      <c r="D364" s="119"/>
      <c r="E364" s="119"/>
      <c r="F364" s="119"/>
      <c r="G364" s="100"/>
      <c r="H364" s="100"/>
      <c r="I364" s="100"/>
      <c r="J364" s="100"/>
      <c r="K364" s="100"/>
      <c r="L364" s="100"/>
      <c r="M364" s="100"/>
      <c r="N364" s="100"/>
      <c r="O364" s="100"/>
      <c r="P364" s="100"/>
      <c r="Q364" s="100"/>
      <c r="R364" s="100"/>
      <c r="S364" s="100"/>
      <c r="T364" s="100"/>
      <c r="U364" s="100"/>
      <c r="V364" s="100"/>
      <c r="W364" s="100"/>
      <c r="X364" s="100"/>
      <c r="Y364" s="100"/>
      <c r="Z364" s="100"/>
      <c r="AA364" s="100"/>
      <c r="AB364" s="100"/>
      <c r="AC364" s="100"/>
      <c r="AD364" s="100"/>
    </row>
    <row r="365">
      <c r="A365" s="118"/>
      <c r="B365" s="118"/>
      <c r="C365" s="118"/>
      <c r="D365" s="119"/>
      <c r="E365" s="119"/>
      <c r="F365" s="119"/>
      <c r="G365" s="100"/>
      <c r="H365" s="100"/>
      <c r="I365" s="100"/>
      <c r="J365" s="100"/>
      <c r="K365" s="100"/>
      <c r="L365" s="100"/>
      <c r="M365" s="100"/>
      <c r="N365" s="100"/>
      <c r="O365" s="100"/>
      <c r="P365" s="100"/>
      <c r="Q365" s="100"/>
      <c r="R365" s="100"/>
      <c r="S365" s="100"/>
      <c r="T365" s="100"/>
      <c r="U365" s="100"/>
      <c r="V365" s="100"/>
      <c r="W365" s="100"/>
      <c r="X365" s="100"/>
      <c r="Y365" s="100"/>
      <c r="Z365" s="100"/>
      <c r="AA365" s="100"/>
      <c r="AB365" s="100"/>
      <c r="AC365" s="100"/>
      <c r="AD365" s="100"/>
    </row>
    <row r="366">
      <c r="A366" s="118"/>
      <c r="B366" s="118"/>
      <c r="C366" s="118"/>
      <c r="D366" s="119"/>
      <c r="E366" s="119"/>
      <c r="F366" s="119"/>
      <c r="G366" s="100"/>
      <c r="H366" s="100"/>
      <c r="I366" s="100"/>
      <c r="J366" s="100"/>
      <c r="K366" s="100"/>
      <c r="L366" s="100"/>
      <c r="M366" s="100"/>
      <c r="N366" s="100"/>
      <c r="O366" s="100"/>
      <c r="P366" s="100"/>
      <c r="Q366" s="100"/>
      <c r="R366" s="100"/>
      <c r="S366" s="100"/>
      <c r="T366" s="100"/>
      <c r="U366" s="100"/>
      <c r="V366" s="100"/>
      <c r="W366" s="100"/>
      <c r="X366" s="100"/>
      <c r="Y366" s="100"/>
      <c r="Z366" s="100"/>
      <c r="AA366" s="100"/>
      <c r="AB366" s="100"/>
      <c r="AC366" s="100"/>
      <c r="AD366" s="100"/>
    </row>
    <row r="367">
      <c r="A367" s="118"/>
      <c r="B367" s="118"/>
      <c r="C367" s="118"/>
      <c r="D367" s="119"/>
      <c r="E367" s="119"/>
      <c r="F367" s="119"/>
      <c r="G367" s="100"/>
      <c r="H367" s="100"/>
      <c r="I367" s="100"/>
      <c r="J367" s="100"/>
      <c r="K367" s="100"/>
      <c r="L367" s="100"/>
      <c r="M367" s="100"/>
      <c r="N367" s="100"/>
      <c r="O367" s="100"/>
      <c r="P367" s="100"/>
      <c r="Q367" s="100"/>
      <c r="R367" s="100"/>
      <c r="S367" s="100"/>
      <c r="T367" s="100"/>
      <c r="U367" s="100"/>
      <c r="V367" s="100"/>
      <c r="W367" s="100"/>
      <c r="X367" s="100"/>
      <c r="Y367" s="100"/>
      <c r="Z367" s="100"/>
      <c r="AA367" s="100"/>
      <c r="AB367" s="100"/>
      <c r="AC367" s="100"/>
      <c r="AD367" s="100"/>
    </row>
    <row r="368">
      <c r="A368" s="118"/>
      <c r="B368" s="118"/>
      <c r="C368" s="118"/>
      <c r="D368" s="119"/>
      <c r="E368" s="119"/>
      <c r="F368" s="119"/>
      <c r="G368" s="100"/>
      <c r="H368" s="100"/>
      <c r="I368" s="100"/>
      <c r="J368" s="100"/>
      <c r="K368" s="100"/>
      <c r="L368" s="100"/>
      <c r="M368" s="100"/>
      <c r="N368" s="100"/>
      <c r="O368" s="100"/>
      <c r="P368" s="100"/>
      <c r="Q368" s="100"/>
      <c r="R368" s="100"/>
      <c r="S368" s="100"/>
      <c r="T368" s="100"/>
      <c r="U368" s="100"/>
      <c r="V368" s="100"/>
      <c r="W368" s="100"/>
      <c r="X368" s="100"/>
      <c r="Y368" s="100"/>
      <c r="Z368" s="100"/>
      <c r="AA368" s="100"/>
      <c r="AB368" s="100"/>
      <c r="AC368" s="100"/>
      <c r="AD368" s="100"/>
    </row>
    <row r="369">
      <c r="A369" s="118"/>
      <c r="B369" s="118"/>
      <c r="C369" s="118"/>
      <c r="D369" s="119"/>
      <c r="E369" s="119"/>
      <c r="F369" s="119"/>
      <c r="G369" s="100"/>
      <c r="H369" s="100"/>
      <c r="I369" s="100"/>
      <c r="J369" s="100"/>
      <c r="K369" s="100"/>
      <c r="L369" s="100"/>
      <c r="M369" s="100"/>
      <c r="N369" s="100"/>
      <c r="O369" s="100"/>
      <c r="P369" s="100"/>
      <c r="Q369" s="100"/>
      <c r="R369" s="100"/>
      <c r="S369" s="100"/>
      <c r="T369" s="100"/>
      <c r="U369" s="100"/>
      <c r="V369" s="100"/>
      <c r="W369" s="100"/>
      <c r="X369" s="100"/>
      <c r="Y369" s="100"/>
      <c r="Z369" s="100"/>
      <c r="AA369" s="100"/>
      <c r="AB369" s="100"/>
      <c r="AC369" s="100"/>
      <c r="AD369" s="100"/>
    </row>
    <row r="370">
      <c r="A370" s="118"/>
      <c r="B370" s="118"/>
      <c r="C370" s="118"/>
      <c r="D370" s="119"/>
      <c r="E370" s="119"/>
      <c r="F370" s="119"/>
      <c r="G370" s="100"/>
      <c r="H370" s="100"/>
      <c r="I370" s="100"/>
      <c r="J370" s="100"/>
      <c r="K370" s="100"/>
      <c r="L370" s="100"/>
      <c r="M370" s="100"/>
      <c r="N370" s="100"/>
      <c r="O370" s="100"/>
      <c r="P370" s="100"/>
      <c r="Q370" s="100"/>
      <c r="R370" s="100"/>
      <c r="S370" s="100"/>
      <c r="T370" s="100"/>
      <c r="U370" s="100"/>
      <c r="V370" s="100"/>
      <c r="W370" s="100"/>
      <c r="X370" s="100"/>
      <c r="Y370" s="100"/>
      <c r="Z370" s="100"/>
      <c r="AA370" s="100"/>
      <c r="AB370" s="100"/>
      <c r="AC370" s="100"/>
      <c r="AD370" s="100"/>
    </row>
    <row r="371">
      <c r="A371" s="118"/>
      <c r="B371" s="118"/>
      <c r="C371" s="118"/>
      <c r="D371" s="119"/>
      <c r="E371" s="119"/>
      <c r="F371" s="119"/>
      <c r="G371" s="100"/>
      <c r="H371" s="100"/>
      <c r="I371" s="100"/>
      <c r="J371" s="100"/>
      <c r="K371" s="100"/>
      <c r="L371" s="100"/>
      <c r="M371" s="100"/>
      <c r="N371" s="100"/>
      <c r="O371" s="100"/>
      <c r="P371" s="100"/>
      <c r="Q371" s="100"/>
      <c r="R371" s="100"/>
      <c r="S371" s="100"/>
      <c r="T371" s="100"/>
      <c r="U371" s="100"/>
      <c r="V371" s="100"/>
      <c r="W371" s="100"/>
      <c r="X371" s="100"/>
      <c r="Y371" s="100"/>
      <c r="Z371" s="100"/>
      <c r="AA371" s="100"/>
      <c r="AB371" s="100"/>
      <c r="AC371" s="100"/>
      <c r="AD371" s="100"/>
    </row>
    <row r="372">
      <c r="A372" s="118"/>
      <c r="B372" s="118"/>
      <c r="C372" s="118"/>
      <c r="D372" s="119"/>
      <c r="E372" s="119"/>
      <c r="F372" s="119"/>
      <c r="G372" s="100"/>
      <c r="H372" s="100"/>
      <c r="I372" s="100"/>
      <c r="J372" s="100"/>
      <c r="K372" s="100"/>
      <c r="L372" s="100"/>
      <c r="M372" s="100"/>
      <c r="N372" s="100"/>
      <c r="O372" s="100"/>
      <c r="P372" s="100"/>
      <c r="Q372" s="100"/>
      <c r="R372" s="100"/>
      <c r="S372" s="100"/>
      <c r="T372" s="100"/>
      <c r="U372" s="100"/>
      <c r="V372" s="100"/>
      <c r="W372" s="100"/>
      <c r="X372" s="100"/>
      <c r="Y372" s="100"/>
      <c r="Z372" s="100"/>
      <c r="AA372" s="100"/>
      <c r="AB372" s="100"/>
      <c r="AC372" s="100"/>
      <c r="AD372" s="100"/>
    </row>
    <row r="373">
      <c r="A373" s="118"/>
      <c r="B373" s="118"/>
      <c r="C373" s="118"/>
      <c r="D373" s="119"/>
      <c r="E373" s="119"/>
      <c r="F373" s="119"/>
      <c r="G373" s="100"/>
      <c r="H373" s="100"/>
      <c r="I373" s="100"/>
      <c r="J373" s="100"/>
      <c r="K373" s="100"/>
      <c r="L373" s="100"/>
      <c r="M373" s="100"/>
      <c r="N373" s="100"/>
      <c r="O373" s="100"/>
      <c r="P373" s="100"/>
      <c r="Q373" s="100"/>
      <c r="R373" s="100"/>
      <c r="S373" s="100"/>
      <c r="T373" s="100"/>
      <c r="U373" s="100"/>
      <c r="V373" s="100"/>
      <c r="W373" s="100"/>
      <c r="X373" s="100"/>
      <c r="Y373" s="100"/>
      <c r="Z373" s="100"/>
      <c r="AA373" s="100"/>
      <c r="AB373" s="100"/>
      <c r="AC373" s="100"/>
      <c r="AD373" s="100"/>
    </row>
    <row r="374">
      <c r="A374" s="118"/>
      <c r="B374" s="118"/>
      <c r="C374" s="118"/>
      <c r="D374" s="119"/>
      <c r="E374" s="119"/>
      <c r="F374" s="119"/>
      <c r="G374" s="100"/>
      <c r="H374" s="100"/>
      <c r="I374" s="100"/>
      <c r="J374" s="100"/>
      <c r="K374" s="100"/>
      <c r="L374" s="100"/>
      <c r="M374" s="100"/>
      <c r="N374" s="100"/>
      <c r="O374" s="100"/>
      <c r="P374" s="100"/>
      <c r="Q374" s="100"/>
      <c r="R374" s="100"/>
      <c r="S374" s="100"/>
      <c r="T374" s="100"/>
      <c r="U374" s="100"/>
      <c r="V374" s="100"/>
      <c r="W374" s="100"/>
      <c r="X374" s="100"/>
      <c r="Y374" s="100"/>
      <c r="Z374" s="100"/>
      <c r="AA374" s="100"/>
      <c r="AB374" s="100"/>
      <c r="AC374" s="100"/>
      <c r="AD374" s="100"/>
    </row>
    <row r="375">
      <c r="A375" s="118"/>
      <c r="B375" s="118"/>
      <c r="C375" s="118"/>
      <c r="D375" s="119"/>
      <c r="E375" s="119"/>
      <c r="F375" s="119"/>
      <c r="G375" s="100"/>
      <c r="H375" s="100"/>
      <c r="I375" s="100"/>
      <c r="J375" s="100"/>
      <c r="K375" s="100"/>
      <c r="L375" s="100"/>
      <c r="M375" s="100"/>
      <c r="N375" s="100"/>
      <c r="O375" s="100"/>
      <c r="P375" s="100"/>
      <c r="Q375" s="100"/>
      <c r="R375" s="100"/>
      <c r="S375" s="100"/>
      <c r="T375" s="100"/>
      <c r="U375" s="100"/>
      <c r="V375" s="100"/>
      <c r="W375" s="100"/>
      <c r="X375" s="100"/>
      <c r="Y375" s="100"/>
      <c r="Z375" s="100"/>
      <c r="AA375" s="100"/>
      <c r="AB375" s="100"/>
      <c r="AC375" s="100"/>
      <c r="AD375" s="100"/>
    </row>
    <row r="376">
      <c r="A376" s="118"/>
      <c r="B376" s="118"/>
      <c r="C376" s="118"/>
      <c r="D376" s="119"/>
      <c r="E376" s="119"/>
      <c r="F376" s="119"/>
      <c r="G376" s="100"/>
      <c r="H376" s="100"/>
      <c r="I376" s="100"/>
      <c r="J376" s="100"/>
      <c r="K376" s="100"/>
      <c r="L376" s="100"/>
      <c r="M376" s="100"/>
      <c r="N376" s="100"/>
      <c r="O376" s="100"/>
      <c r="P376" s="100"/>
      <c r="Q376" s="100"/>
      <c r="R376" s="100"/>
      <c r="S376" s="100"/>
      <c r="T376" s="100"/>
      <c r="U376" s="100"/>
      <c r="V376" s="100"/>
      <c r="W376" s="100"/>
      <c r="X376" s="100"/>
      <c r="Y376" s="100"/>
      <c r="Z376" s="100"/>
      <c r="AA376" s="100"/>
      <c r="AB376" s="100"/>
      <c r="AC376" s="100"/>
      <c r="AD376" s="100"/>
    </row>
    <row r="377">
      <c r="A377" s="118"/>
      <c r="B377" s="118"/>
      <c r="C377" s="118"/>
      <c r="D377" s="119"/>
      <c r="E377" s="119"/>
      <c r="F377" s="119"/>
      <c r="G377" s="100"/>
      <c r="H377" s="100"/>
      <c r="I377" s="100"/>
      <c r="J377" s="100"/>
      <c r="K377" s="100"/>
      <c r="L377" s="100"/>
      <c r="M377" s="100"/>
      <c r="N377" s="100"/>
      <c r="O377" s="100"/>
      <c r="P377" s="100"/>
      <c r="Q377" s="100"/>
      <c r="R377" s="100"/>
      <c r="S377" s="100"/>
      <c r="T377" s="100"/>
      <c r="U377" s="100"/>
      <c r="V377" s="100"/>
      <c r="W377" s="100"/>
      <c r="X377" s="100"/>
      <c r="Y377" s="100"/>
      <c r="Z377" s="100"/>
      <c r="AA377" s="100"/>
      <c r="AB377" s="100"/>
      <c r="AC377" s="100"/>
      <c r="AD377" s="100"/>
    </row>
    <row r="378">
      <c r="A378" s="118"/>
      <c r="B378" s="118"/>
      <c r="C378" s="118"/>
      <c r="D378" s="119"/>
      <c r="E378" s="119"/>
      <c r="F378" s="119"/>
      <c r="G378" s="100"/>
      <c r="H378" s="100"/>
      <c r="I378" s="100"/>
      <c r="J378" s="100"/>
      <c r="K378" s="100"/>
      <c r="L378" s="100"/>
      <c r="M378" s="100"/>
      <c r="N378" s="100"/>
      <c r="O378" s="100"/>
      <c r="P378" s="100"/>
      <c r="Q378" s="100"/>
      <c r="R378" s="100"/>
      <c r="S378" s="100"/>
      <c r="T378" s="100"/>
      <c r="U378" s="100"/>
      <c r="V378" s="100"/>
      <c r="W378" s="100"/>
      <c r="X378" s="100"/>
      <c r="Y378" s="100"/>
      <c r="Z378" s="100"/>
      <c r="AA378" s="100"/>
      <c r="AB378" s="100"/>
      <c r="AC378" s="100"/>
      <c r="AD378" s="100"/>
    </row>
    <row r="379">
      <c r="A379" s="118"/>
      <c r="B379" s="118"/>
      <c r="C379" s="118"/>
      <c r="D379" s="119"/>
      <c r="E379" s="119"/>
      <c r="F379" s="119"/>
      <c r="G379" s="100"/>
      <c r="H379" s="100"/>
      <c r="I379" s="100"/>
      <c r="J379" s="100"/>
      <c r="K379" s="100"/>
      <c r="L379" s="100"/>
      <c r="M379" s="100"/>
      <c r="N379" s="100"/>
      <c r="O379" s="100"/>
      <c r="P379" s="100"/>
      <c r="Q379" s="100"/>
      <c r="R379" s="100"/>
      <c r="S379" s="100"/>
      <c r="T379" s="100"/>
      <c r="U379" s="100"/>
      <c r="V379" s="100"/>
      <c r="W379" s="100"/>
      <c r="X379" s="100"/>
      <c r="Y379" s="100"/>
      <c r="Z379" s="100"/>
      <c r="AA379" s="100"/>
      <c r="AB379" s="100"/>
      <c r="AC379" s="100"/>
      <c r="AD379" s="100"/>
    </row>
    <row r="380">
      <c r="A380" s="118"/>
      <c r="B380" s="118"/>
      <c r="C380" s="118"/>
      <c r="D380" s="119"/>
      <c r="E380" s="119"/>
      <c r="F380" s="119"/>
      <c r="G380" s="100"/>
      <c r="H380" s="100"/>
      <c r="I380" s="100"/>
      <c r="J380" s="100"/>
      <c r="K380" s="100"/>
      <c r="L380" s="100"/>
      <c r="M380" s="100"/>
      <c r="N380" s="100"/>
      <c r="O380" s="100"/>
      <c r="P380" s="100"/>
      <c r="Q380" s="100"/>
      <c r="R380" s="100"/>
      <c r="S380" s="100"/>
      <c r="T380" s="100"/>
      <c r="U380" s="100"/>
      <c r="V380" s="100"/>
      <c r="W380" s="100"/>
      <c r="X380" s="100"/>
      <c r="Y380" s="100"/>
      <c r="Z380" s="100"/>
      <c r="AA380" s="100"/>
      <c r="AB380" s="100"/>
      <c r="AC380" s="100"/>
      <c r="AD380" s="100"/>
    </row>
    <row r="381">
      <c r="A381" s="118"/>
      <c r="B381" s="118"/>
      <c r="C381" s="118"/>
      <c r="D381" s="119"/>
      <c r="E381" s="119"/>
      <c r="F381" s="119"/>
      <c r="G381" s="100"/>
      <c r="H381" s="100"/>
      <c r="I381" s="100"/>
      <c r="J381" s="100"/>
      <c r="K381" s="100"/>
      <c r="L381" s="100"/>
      <c r="M381" s="100"/>
      <c r="N381" s="100"/>
      <c r="O381" s="100"/>
      <c r="P381" s="100"/>
      <c r="Q381" s="100"/>
      <c r="R381" s="100"/>
      <c r="S381" s="100"/>
      <c r="T381" s="100"/>
      <c r="U381" s="100"/>
      <c r="V381" s="100"/>
      <c r="W381" s="100"/>
      <c r="X381" s="100"/>
      <c r="Y381" s="100"/>
      <c r="Z381" s="100"/>
      <c r="AA381" s="100"/>
      <c r="AB381" s="100"/>
      <c r="AC381" s="100"/>
      <c r="AD381" s="100"/>
    </row>
    <row r="382">
      <c r="A382" s="118"/>
      <c r="B382" s="118"/>
      <c r="C382" s="118"/>
      <c r="D382" s="119"/>
      <c r="E382" s="119"/>
      <c r="F382" s="119"/>
      <c r="G382" s="100"/>
      <c r="H382" s="100"/>
      <c r="I382" s="100"/>
      <c r="J382" s="100"/>
      <c r="K382" s="100"/>
      <c r="L382" s="100"/>
      <c r="M382" s="100"/>
      <c r="N382" s="100"/>
      <c r="O382" s="100"/>
      <c r="P382" s="100"/>
      <c r="Q382" s="100"/>
      <c r="R382" s="100"/>
      <c r="S382" s="100"/>
      <c r="T382" s="100"/>
      <c r="U382" s="100"/>
      <c r="V382" s="100"/>
      <c r="W382" s="100"/>
      <c r="X382" s="100"/>
      <c r="Y382" s="100"/>
      <c r="Z382" s="100"/>
      <c r="AA382" s="100"/>
      <c r="AB382" s="100"/>
      <c r="AC382" s="100"/>
      <c r="AD382" s="100"/>
    </row>
    <row r="383">
      <c r="A383" s="118"/>
      <c r="B383" s="118"/>
      <c r="C383" s="118"/>
      <c r="D383" s="119"/>
      <c r="E383" s="119"/>
      <c r="F383" s="119"/>
      <c r="G383" s="100"/>
      <c r="H383" s="100"/>
      <c r="I383" s="100"/>
      <c r="J383" s="100"/>
      <c r="K383" s="100"/>
      <c r="L383" s="100"/>
      <c r="M383" s="100"/>
      <c r="N383" s="100"/>
      <c r="O383" s="100"/>
      <c r="P383" s="100"/>
      <c r="Q383" s="100"/>
      <c r="R383" s="100"/>
      <c r="S383" s="100"/>
      <c r="T383" s="100"/>
      <c r="U383" s="100"/>
      <c r="V383" s="100"/>
      <c r="W383" s="100"/>
      <c r="X383" s="100"/>
      <c r="Y383" s="100"/>
      <c r="Z383" s="100"/>
      <c r="AA383" s="100"/>
      <c r="AB383" s="100"/>
      <c r="AC383" s="100"/>
      <c r="AD383" s="100"/>
    </row>
    <row r="384">
      <c r="A384" s="118"/>
      <c r="B384" s="118"/>
      <c r="C384" s="118"/>
      <c r="D384" s="119"/>
      <c r="E384" s="119"/>
      <c r="F384" s="119"/>
      <c r="G384" s="100"/>
      <c r="H384" s="100"/>
      <c r="I384" s="100"/>
      <c r="J384" s="100"/>
      <c r="K384" s="100"/>
      <c r="L384" s="100"/>
      <c r="M384" s="100"/>
      <c r="N384" s="100"/>
      <c r="O384" s="100"/>
      <c r="P384" s="100"/>
      <c r="Q384" s="100"/>
      <c r="R384" s="100"/>
      <c r="S384" s="100"/>
      <c r="T384" s="100"/>
      <c r="U384" s="100"/>
      <c r="V384" s="100"/>
      <c r="W384" s="100"/>
      <c r="X384" s="100"/>
      <c r="Y384" s="100"/>
      <c r="Z384" s="100"/>
      <c r="AA384" s="100"/>
      <c r="AB384" s="100"/>
      <c r="AC384" s="100"/>
      <c r="AD384" s="100"/>
    </row>
    <row r="385">
      <c r="A385" s="118"/>
      <c r="B385" s="118"/>
      <c r="C385" s="118"/>
      <c r="D385" s="119"/>
      <c r="E385" s="119"/>
      <c r="F385" s="119"/>
      <c r="G385" s="100"/>
      <c r="H385" s="100"/>
      <c r="I385" s="100"/>
      <c r="J385" s="100"/>
      <c r="K385" s="100"/>
      <c r="L385" s="100"/>
      <c r="M385" s="100"/>
      <c r="N385" s="100"/>
      <c r="O385" s="100"/>
      <c r="P385" s="100"/>
      <c r="Q385" s="100"/>
      <c r="R385" s="100"/>
      <c r="S385" s="100"/>
      <c r="T385" s="100"/>
      <c r="U385" s="100"/>
      <c r="V385" s="100"/>
      <c r="W385" s="100"/>
      <c r="X385" s="100"/>
      <c r="Y385" s="100"/>
      <c r="Z385" s="100"/>
      <c r="AA385" s="100"/>
      <c r="AB385" s="100"/>
      <c r="AC385" s="100"/>
      <c r="AD385" s="100"/>
    </row>
    <row r="386">
      <c r="A386" s="118"/>
      <c r="B386" s="118"/>
      <c r="C386" s="118"/>
      <c r="D386" s="119"/>
      <c r="E386" s="119"/>
      <c r="F386" s="119"/>
      <c r="G386" s="100"/>
      <c r="H386" s="100"/>
      <c r="I386" s="100"/>
      <c r="J386" s="100"/>
      <c r="K386" s="100"/>
      <c r="L386" s="100"/>
      <c r="M386" s="100"/>
      <c r="N386" s="100"/>
      <c r="O386" s="100"/>
      <c r="P386" s="100"/>
      <c r="Q386" s="100"/>
      <c r="R386" s="100"/>
      <c r="S386" s="100"/>
      <c r="T386" s="100"/>
      <c r="U386" s="100"/>
      <c r="V386" s="100"/>
      <c r="W386" s="100"/>
      <c r="X386" s="100"/>
      <c r="Y386" s="100"/>
      <c r="Z386" s="100"/>
      <c r="AA386" s="100"/>
      <c r="AB386" s="100"/>
      <c r="AC386" s="100"/>
      <c r="AD386" s="100"/>
    </row>
    <row r="387">
      <c r="A387" s="118"/>
      <c r="B387" s="118"/>
      <c r="C387" s="118"/>
      <c r="D387" s="119"/>
      <c r="E387" s="119"/>
      <c r="F387" s="119"/>
      <c r="G387" s="100"/>
      <c r="H387" s="100"/>
      <c r="I387" s="100"/>
      <c r="J387" s="100"/>
      <c r="K387" s="100"/>
      <c r="L387" s="100"/>
      <c r="M387" s="100"/>
      <c r="N387" s="100"/>
      <c r="O387" s="100"/>
      <c r="P387" s="100"/>
      <c r="Q387" s="100"/>
      <c r="R387" s="100"/>
      <c r="S387" s="100"/>
      <c r="T387" s="100"/>
      <c r="U387" s="100"/>
      <c r="V387" s="100"/>
      <c r="W387" s="100"/>
      <c r="X387" s="100"/>
      <c r="Y387" s="100"/>
      <c r="Z387" s="100"/>
      <c r="AA387" s="100"/>
      <c r="AB387" s="100"/>
      <c r="AC387" s="100"/>
      <c r="AD387" s="100"/>
    </row>
    <row r="388">
      <c r="A388" s="118"/>
      <c r="B388" s="118"/>
      <c r="C388" s="118"/>
      <c r="D388" s="119"/>
      <c r="E388" s="119"/>
      <c r="F388" s="119"/>
      <c r="G388" s="100"/>
      <c r="H388" s="100"/>
      <c r="I388" s="100"/>
      <c r="J388" s="100"/>
      <c r="K388" s="100"/>
      <c r="L388" s="100"/>
      <c r="M388" s="100"/>
      <c r="N388" s="100"/>
      <c r="O388" s="100"/>
      <c r="P388" s="100"/>
      <c r="Q388" s="100"/>
      <c r="R388" s="100"/>
      <c r="S388" s="100"/>
      <c r="T388" s="100"/>
      <c r="U388" s="100"/>
      <c r="V388" s="100"/>
      <c r="W388" s="100"/>
      <c r="X388" s="100"/>
      <c r="Y388" s="100"/>
      <c r="Z388" s="100"/>
      <c r="AA388" s="100"/>
      <c r="AB388" s="100"/>
      <c r="AC388" s="100"/>
      <c r="AD388" s="100"/>
    </row>
    <row r="389">
      <c r="A389" s="118"/>
      <c r="B389" s="118"/>
      <c r="C389" s="118"/>
      <c r="D389" s="119"/>
      <c r="E389" s="119"/>
      <c r="F389" s="119"/>
      <c r="G389" s="100"/>
      <c r="H389" s="100"/>
      <c r="I389" s="100"/>
      <c r="J389" s="100"/>
      <c r="K389" s="100"/>
      <c r="L389" s="100"/>
      <c r="M389" s="100"/>
      <c r="N389" s="100"/>
      <c r="O389" s="100"/>
      <c r="P389" s="100"/>
      <c r="Q389" s="100"/>
      <c r="R389" s="100"/>
      <c r="S389" s="100"/>
      <c r="T389" s="100"/>
      <c r="U389" s="100"/>
      <c r="V389" s="100"/>
      <c r="W389" s="100"/>
      <c r="X389" s="100"/>
      <c r="Y389" s="100"/>
      <c r="Z389" s="100"/>
      <c r="AA389" s="100"/>
      <c r="AB389" s="100"/>
      <c r="AC389" s="100"/>
      <c r="AD389" s="100"/>
    </row>
    <row r="390">
      <c r="A390" s="118"/>
      <c r="B390" s="118"/>
      <c r="C390" s="118"/>
      <c r="D390" s="119"/>
      <c r="E390" s="119"/>
      <c r="F390" s="119"/>
      <c r="G390" s="100"/>
      <c r="H390" s="100"/>
      <c r="I390" s="100"/>
      <c r="J390" s="100"/>
      <c r="K390" s="100"/>
      <c r="L390" s="100"/>
      <c r="M390" s="100"/>
      <c r="N390" s="100"/>
      <c r="O390" s="100"/>
      <c r="P390" s="100"/>
      <c r="Q390" s="100"/>
      <c r="R390" s="100"/>
      <c r="S390" s="100"/>
      <c r="T390" s="100"/>
      <c r="U390" s="100"/>
      <c r="V390" s="100"/>
      <c r="W390" s="100"/>
      <c r="X390" s="100"/>
      <c r="Y390" s="100"/>
      <c r="Z390" s="100"/>
      <c r="AA390" s="100"/>
      <c r="AB390" s="100"/>
      <c r="AC390" s="100"/>
      <c r="AD390" s="100"/>
    </row>
    <row r="391">
      <c r="A391" s="118"/>
      <c r="B391" s="118"/>
      <c r="C391" s="118"/>
      <c r="D391" s="119"/>
      <c r="E391" s="119"/>
      <c r="F391" s="119"/>
      <c r="G391" s="100"/>
      <c r="H391" s="100"/>
      <c r="I391" s="100"/>
      <c r="J391" s="100"/>
      <c r="K391" s="100"/>
      <c r="L391" s="100"/>
      <c r="M391" s="100"/>
      <c r="N391" s="100"/>
      <c r="O391" s="100"/>
      <c r="P391" s="100"/>
      <c r="Q391" s="100"/>
      <c r="R391" s="100"/>
      <c r="S391" s="100"/>
      <c r="T391" s="100"/>
      <c r="U391" s="100"/>
      <c r="V391" s="100"/>
      <c r="W391" s="100"/>
      <c r="X391" s="100"/>
      <c r="Y391" s="100"/>
      <c r="Z391" s="100"/>
      <c r="AA391" s="100"/>
      <c r="AB391" s="100"/>
      <c r="AC391" s="100"/>
      <c r="AD391" s="100"/>
    </row>
    <row r="392">
      <c r="A392" s="118"/>
      <c r="B392" s="118"/>
      <c r="C392" s="118"/>
      <c r="D392" s="119"/>
      <c r="E392" s="119"/>
      <c r="F392" s="119"/>
      <c r="G392" s="100"/>
      <c r="H392" s="100"/>
      <c r="I392" s="100"/>
      <c r="J392" s="100"/>
      <c r="K392" s="100"/>
      <c r="L392" s="100"/>
      <c r="M392" s="100"/>
      <c r="N392" s="100"/>
      <c r="O392" s="100"/>
      <c r="P392" s="100"/>
      <c r="Q392" s="100"/>
      <c r="R392" s="100"/>
      <c r="S392" s="100"/>
      <c r="T392" s="100"/>
      <c r="U392" s="100"/>
      <c r="V392" s="100"/>
      <c r="W392" s="100"/>
      <c r="X392" s="100"/>
      <c r="Y392" s="100"/>
      <c r="Z392" s="100"/>
      <c r="AA392" s="100"/>
      <c r="AB392" s="100"/>
      <c r="AC392" s="100"/>
      <c r="AD392" s="100"/>
    </row>
    <row r="393">
      <c r="A393" s="118"/>
      <c r="B393" s="118"/>
      <c r="C393" s="118"/>
      <c r="D393" s="119"/>
      <c r="E393" s="119"/>
      <c r="F393" s="119"/>
      <c r="G393" s="100"/>
      <c r="H393" s="100"/>
      <c r="I393" s="100"/>
      <c r="J393" s="100"/>
      <c r="K393" s="100"/>
      <c r="L393" s="100"/>
      <c r="M393" s="100"/>
      <c r="N393" s="100"/>
      <c r="O393" s="100"/>
      <c r="P393" s="100"/>
      <c r="Q393" s="100"/>
      <c r="R393" s="100"/>
      <c r="S393" s="100"/>
      <c r="T393" s="100"/>
      <c r="U393" s="100"/>
      <c r="V393" s="100"/>
      <c r="W393" s="100"/>
      <c r="X393" s="100"/>
      <c r="Y393" s="100"/>
      <c r="Z393" s="100"/>
      <c r="AA393" s="100"/>
      <c r="AB393" s="100"/>
      <c r="AC393" s="100"/>
      <c r="AD393" s="100"/>
    </row>
    <row r="394">
      <c r="A394" s="118"/>
      <c r="B394" s="118"/>
      <c r="C394" s="118"/>
      <c r="D394" s="119"/>
      <c r="E394" s="119"/>
      <c r="F394" s="119"/>
      <c r="G394" s="100"/>
      <c r="H394" s="100"/>
      <c r="I394" s="100"/>
      <c r="J394" s="100"/>
      <c r="K394" s="100"/>
      <c r="L394" s="100"/>
      <c r="M394" s="100"/>
      <c r="N394" s="100"/>
      <c r="O394" s="100"/>
      <c r="P394" s="100"/>
      <c r="Q394" s="100"/>
      <c r="R394" s="100"/>
      <c r="S394" s="100"/>
      <c r="T394" s="100"/>
      <c r="U394" s="100"/>
      <c r="V394" s="100"/>
      <c r="W394" s="100"/>
      <c r="X394" s="100"/>
      <c r="Y394" s="100"/>
      <c r="Z394" s="100"/>
      <c r="AA394" s="100"/>
      <c r="AB394" s="100"/>
      <c r="AC394" s="100"/>
      <c r="AD394" s="100"/>
    </row>
    <row r="395">
      <c r="A395" s="118"/>
      <c r="B395" s="118"/>
      <c r="C395" s="118"/>
      <c r="D395" s="119"/>
      <c r="E395" s="119"/>
      <c r="F395" s="119"/>
      <c r="G395" s="100"/>
      <c r="H395" s="100"/>
      <c r="I395" s="100"/>
      <c r="J395" s="100"/>
      <c r="K395" s="100"/>
      <c r="L395" s="100"/>
      <c r="M395" s="100"/>
      <c r="N395" s="100"/>
      <c r="O395" s="100"/>
      <c r="P395" s="100"/>
      <c r="Q395" s="100"/>
      <c r="R395" s="100"/>
      <c r="S395" s="100"/>
      <c r="T395" s="100"/>
      <c r="U395" s="100"/>
      <c r="V395" s="100"/>
      <c r="W395" s="100"/>
      <c r="X395" s="100"/>
      <c r="Y395" s="100"/>
      <c r="Z395" s="100"/>
      <c r="AA395" s="100"/>
      <c r="AB395" s="100"/>
      <c r="AC395" s="100"/>
      <c r="AD395" s="100"/>
    </row>
    <row r="396">
      <c r="A396" s="118"/>
      <c r="B396" s="118"/>
      <c r="C396" s="118"/>
      <c r="D396" s="119"/>
      <c r="E396" s="119"/>
      <c r="F396" s="119"/>
      <c r="G396" s="100"/>
      <c r="H396" s="100"/>
      <c r="I396" s="100"/>
      <c r="J396" s="100"/>
      <c r="K396" s="100"/>
      <c r="L396" s="100"/>
      <c r="M396" s="100"/>
      <c r="N396" s="100"/>
      <c r="O396" s="100"/>
      <c r="P396" s="100"/>
      <c r="Q396" s="100"/>
      <c r="R396" s="100"/>
      <c r="S396" s="100"/>
      <c r="T396" s="100"/>
      <c r="U396" s="100"/>
      <c r="V396" s="100"/>
      <c r="W396" s="100"/>
      <c r="X396" s="100"/>
      <c r="Y396" s="100"/>
      <c r="Z396" s="100"/>
      <c r="AA396" s="100"/>
      <c r="AB396" s="100"/>
      <c r="AC396" s="100"/>
      <c r="AD396" s="100"/>
    </row>
    <row r="397">
      <c r="A397" s="118"/>
      <c r="B397" s="118"/>
      <c r="C397" s="118"/>
      <c r="D397" s="119"/>
      <c r="E397" s="119"/>
      <c r="F397" s="119"/>
      <c r="G397" s="100"/>
      <c r="H397" s="100"/>
      <c r="I397" s="100"/>
      <c r="J397" s="100"/>
      <c r="K397" s="100"/>
      <c r="L397" s="100"/>
      <c r="M397" s="100"/>
      <c r="N397" s="100"/>
      <c r="O397" s="100"/>
      <c r="P397" s="100"/>
      <c r="Q397" s="100"/>
      <c r="R397" s="100"/>
      <c r="S397" s="100"/>
      <c r="T397" s="100"/>
      <c r="U397" s="100"/>
      <c r="V397" s="100"/>
      <c r="W397" s="100"/>
      <c r="X397" s="100"/>
      <c r="Y397" s="100"/>
      <c r="Z397" s="100"/>
      <c r="AA397" s="100"/>
      <c r="AB397" s="100"/>
      <c r="AC397" s="100"/>
      <c r="AD397" s="100"/>
    </row>
    <row r="398">
      <c r="A398" s="118"/>
      <c r="B398" s="118"/>
      <c r="C398" s="118"/>
      <c r="D398" s="119"/>
      <c r="E398" s="119"/>
      <c r="F398" s="119"/>
      <c r="G398" s="100"/>
      <c r="H398" s="100"/>
      <c r="I398" s="100"/>
      <c r="J398" s="100"/>
      <c r="K398" s="100"/>
      <c r="L398" s="100"/>
      <c r="M398" s="100"/>
      <c r="N398" s="100"/>
      <c r="O398" s="100"/>
      <c r="P398" s="100"/>
      <c r="Q398" s="100"/>
      <c r="R398" s="100"/>
      <c r="S398" s="100"/>
      <c r="T398" s="100"/>
      <c r="U398" s="100"/>
      <c r="V398" s="100"/>
      <c r="W398" s="100"/>
      <c r="X398" s="100"/>
      <c r="Y398" s="100"/>
      <c r="Z398" s="100"/>
      <c r="AA398" s="100"/>
      <c r="AB398" s="100"/>
      <c r="AC398" s="100"/>
      <c r="AD398" s="100"/>
    </row>
    <row r="399">
      <c r="A399" s="118"/>
      <c r="B399" s="118"/>
      <c r="C399" s="118"/>
      <c r="D399" s="119"/>
      <c r="E399" s="119"/>
      <c r="F399" s="119"/>
      <c r="G399" s="100"/>
      <c r="H399" s="100"/>
      <c r="I399" s="100"/>
      <c r="J399" s="100"/>
      <c r="K399" s="100"/>
      <c r="L399" s="100"/>
      <c r="M399" s="100"/>
      <c r="N399" s="100"/>
      <c r="O399" s="100"/>
      <c r="P399" s="100"/>
      <c r="Q399" s="100"/>
      <c r="R399" s="100"/>
      <c r="S399" s="100"/>
      <c r="T399" s="100"/>
      <c r="U399" s="100"/>
      <c r="V399" s="100"/>
      <c r="W399" s="100"/>
      <c r="X399" s="100"/>
      <c r="Y399" s="100"/>
      <c r="Z399" s="100"/>
      <c r="AA399" s="100"/>
      <c r="AB399" s="100"/>
      <c r="AC399" s="100"/>
      <c r="AD399" s="100"/>
    </row>
    <row r="400">
      <c r="A400" s="118"/>
      <c r="B400" s="118"/>
      <c r="C400" s="118"/>
      <c r="D400" s="119"/>
      <c r="E400" s="119"/>
      <c r="F400" s="119"/>
      <c r="G400" s="100"/>
      <c r="H400" s="100"/>
      <c r="I400" s="100"/>
      <c r="J400" s="100"/>
      <c r="K400" s="100"/>
      <c r="L400" s="100"/>
      <c r="M400" s="100"/>
      <c r="N400" s="100"/>
      <c r="O400" s="100"/>
      <c r="P400" s="100"/>
      <c r="Q400" s="100"/>
      <c r="R400" s="100"/>
      <c r="S400" s="100"/>
      <c r="T400" s="100"/>
      <c r="U400" s="100"/>
      <c r="V400" s="100"/>
      <c r="W400" s="100"/>
      <c r="X400" s="100"/>
      <c r="Y400" s="100"/>
      <c r="Z400" s="100"/>
      <c r="AA400" s="100"/>
      <c r="AB400" s="100"/>
      <c r="AC400" s="100"/>
      <c r="AD400" s="100"/>
    </row>
    <row r="401">
      <c r="A401" s="118"/>
      <c r="B401" s="118"/>
      <c r="C401" s="118"/>
      <c r="D401" s="119"/>
      <c r="E401" s="119"/>
      <c r="F401" s="119"/>
      <c r="G401" s="100"/>
      <c r="H401" s="100"/>
      <c r="I401" s="100"/>
      <c r="J401" s="100"/>
      <c r="K401" s="100"/>
      <c r="L401" s="100"/>
      <c r="M401" s="100"/>
      <c r="N401" s="100"/>
      <c r="O401" s="100"/>
      <c r="P401" s="100"/>
      <c r="Q401" s="100"/>
      <c r="R401" s="100"/>
      <c r="S401" s="100"/>
      <c r="T401" s="100"/>
      <c r="U401" s="100"/>
      <c r="V401" s="100"/>
      <c r="W401" s="100"/>
      <c r="X401" s="100"/>
      <c r="Y401" s="100"/>
      <c r="Z401" s="100"/>
      <c r="AA401" s="100"/>
      <c r="AB401" s="100"/>
      <c r="AC401" s="100"/>
      <c r="AD401" s="100"/>
    </row>
    <row r="402">
      <c r="A402" s="118"/>
      <c r="B402" s="118"/>
      <c r="C402" s="118"/>
      <c r="D402" s="119"/>
      <c r="E402" s="119"/>
      <c r="F402" s="119"/>
      <c r="G402" s="100"/>
      <c r="H402" s="100"/>
      <c r="I402" s="100"/>
      <c r="J402" s="100"/>
      <c r="K402" s="100"/>
      <c r="L402" s="100"/>
      <c r="M402" s="100"/>
      <c r="N402" s="100"/>
      <c r="O402" s="100"/>
      <c r="P402" s="100"/>
      <c r="Q402" s="100"/>
      <c r="R402" s="100"/>
      <c r="S402" s="100"/>
      <c r="T402" s="100"/>
      <c r="U402" s="100"/>
      <c r="V402" s="100"/>
      <c r="W402" s="100"/>
      <c r="X402" s="100"/>
      <c r="Y402" s="100"/>
      <c r="Z402" s="100"/>
      <c r="AA402" s="100"/>
      <c r="AB402" s="100"/>
      <c r="AC402" s="100"/>
      <c r="AD402" s="100"/>
    </row>
    <row r="403">
      <c r="A403" s="118"/>
      <c r="B403" s="118"/>
      <c r="C403" s="118"/>
      <c r="D403" s="119"/>
      <c r="E403" s="119"/>
      <c r="F403" s="119"/>
      <c r="G403" s="100"/>
      <c r="H403" s="100"/>
      <c r="I403" s="100"/>
      <c r="J403" s="100"/>
      <c r="K403" s="100"/>
      <c r="L403" s="100"/>
      <c r="M403" s="100"/>
      <c r="N403" s="100"/>
      <c r="O403" s="100"/>
      <c r="P403" s="100"/>
      <c r="Q403" s="100"/>
      <c r="R403" s="100"/>
      <c r="S403" s="100"/>
      <c r="T403" s="100"/>
      <c r="U403" s="100"/>
      <c r="V403" s="100"/>
      <c r="W403" s="100"/>
      <c r="X403" s="100"/>
      <c r="Y403" s="100"/>
      <c r="Z403" s="100"/>
      <c r="AA403" s="100"/>
      <c r="AB403" s="100"/>
      <c r="AC403" s="100"/>
      <c r="AD403" s="100"/>
    </row>
    <row r="404">
      <c r="A404" s="118"/>
      <c r="B404" s="118"/>
      <c r="C404" s="118"/>
      <c r="D404" s="119"/>
      <c r="E404" s="119"/>
      <c r="F404" s="119"/>
      <c r="G404" s="100"/>
      <c r="H404" s="100"/>
      <c r="I404" s="100"/>
      <c r="J404" s="100"/>
      <c r="K404" s="100"/>
      <c r="L404" s="100"/>
      <c r="M404" s="100"/>
      <c r="N404" s="100"/>
      <c r="O404" s="100"/>
      <c r="P404" s="100"/>
      <c r="Q404" s="100"/>
      <c r="R404" s="100"/>
      <c r="S404" s="100"/>
      <c r="T404" s="100"/>
      <c r="U404" s="100"/>
      <c r="V404" s="100"/>
      <c r="W404" s="100"/>
      <c r="X404" s="100"/>
      <c r="Y404" s="100"/>
      <c r="Z404" s="100"/>
      <c r="AA404" s="100"/>
      <c r="AB404" s="100"/>
      <c r="AC404" s="100"/>
      <c r="AD404" s="100"/>
    </row>
    <row r="405">
      <c r="A405" s="118"/>
      <c r="B405" s="118"/>
      <c r="C405" s="118"/>
      <c r="D405" s="119"/>
      <c r="E405" s="119"/>
      <c r="F405" s="119"/>
      <c r="G405" s="100"/>
      <c r="H405" s="100"/>
      <c r="I405" s="100"/>
      <c r="J405" s="100"/>
      <c r="K405" s="100"/>
      <c r="L405" s="100"/>
      <c r="M405" s="100"/>
      <c r="N405" s="100"/>
      <c r="O405" s="100"/>
      <c r="P405" s="100"/>
      <c r="Q405" s="100"/>
      <c r="R405" s="100"/>
      <c r="S405" s="100"/>
      <c r="T405" s="100"/>
      <c r="U405" s="100"/>
      <c r="V405" s="100"/>
      <c r="W405" s="100"/>
      <c r="X405" s="100"/>
      <c r="Y405" s="100"/>
      <c r="Z405" s="100"/>
      <c r="AA405" s="100"/>
      <c r="AB405" s="100"/>
      <c r="AC405" s="100"/>
      <c r="AD405" s="100"/>
    </row>
    <row r="406">
      <c r="A406" s="118"/>
      <c r="B406" s="118"/>
      <c r="C406" s="118"/>
      <c r="D406" s="119"/>
      <c r="E406" s="119"/>
      <c r="F406" s="119"/>
      <c r="G406" s="100"/>
      <c r="H406" s="100"/>
      <c r="I406" s="100"/>
      <c r="J406" s="100"/>
      <c r="K406" s="100"/>
      <c r="L406" s="100"/>
      <c r="M406" s="100"/>
      <c r="N406" s="100"/>
      <c r="O406" s="100"/>
      <c r="P406" s="100"/>
      <c r="Q406" s="100"/>
      <c r="R406" s="100"/>
      <c r="S406" s="100"/>
      <c r="T406" s="100"/>
      <c r="U406" s="100"/>
      <c r="V406" s="100"/>
      <c r="W406" s="100"/>
      <c r="X406" s="100"/>
      <c r="Y406" s="100"/>
      <c r="Z406" s="100"/>
      <c r="AA406" s="100"/>
      <c r="AB406" s="100"/>
      <c r="AC406" s="100"/>
      <c r="AD406" s="100"/>
    </row>
    <row r="407">
      <c r="A407" s="118"/>
      <c r="B407" s="118"/>
      <c r="C407" s="118"/>
      <c r="D407" s="119"/>
      <c r="E407" s="119"/>
      <c r="F407" s="119"/>
      <c r="G407" s="100"/>
      <c r="H407" s="100"/>
      <c r="I407" s="100"/>
      <c r="J407" s="100"/>
      <c r="K407" s="100"/>
      <c r="L407" s="100"/>
      <c r="M407" s="100"/>
      <c r="N407" s="100"/>
      <c r="O407" s="100"/>
      <c r="P407" s="100"/>
      <c r="Q407" s="100"/>
      <c r="R407" s="100"/>
      <c r="S407" s="100"/>
      <c r="T407" s="100"/>
      <c r="U407" s="100"/>
      <c r="V407" s="100"/>
      <c r="W407" s="100"/>
      <c r="X407" s="100"/>
      <c r="Y407" s="100"/>
      <c r="Z407" s="100"/>
      <c r="AA407" s="100"/>
      <c r="AB407" s="100"/>
      <c r="AC407" s="100"/>
      <c r="AD407" s="100"/>
    </row>
    <row r="408">
      <c r="A408" s="118"/>
      <c r="B408" s="118"/>
      <c r="C408" s="118"/>
      <c r="D408" s="119"/>
      <c r="E408" s="119"/>
      <c r="F408" s="119"/>
      <c r="G408" s="100"/>
      <c r="H408" s="100"/>
      <c r="I408" s="100"/>
      <c r="J408" s="100"/>
      <c r="K408" s="100"/>
      <c r="L408" s="100"/>
      <c r="M408" s="100"/>
      <c r="N408" s="100"/>
      <c r="O408" s="100"/>
      <c r="P408" s="100"/>
      <c r="Q408" s="100"/>
      <c r="R408" s="100"/>
      <c r="S408" s="100"/>
      <c r="T408" s="100"/>
      <c r="U408" s="100"/>
      <c r="V408" s="100"/>
      <c r="W408" s="100"/>
      <c r="X408" s="100"/>
      <c r="Y408" s="100"/>
      <c r="Z408" s="100"/>
      <c r="AA408" s="100"/>
      <c r="AB408" s="100"/>
      <c r="AC408" s="100"/>
      <c r="AD408" s="100"/>
    </row>
    <row r="409">
      <c r="A409" s="118"/>
      <c r="B409" s="118"/>
      <c r="C409" s="118"/>
      <c r="D409" s="119"/>
      <c r="E409" s="119"/>
      <c r="F409" s="119"/>
      <c r="G409" s="100"/>
      <c r="H409" s="100"/>
      <c r="I409" s="100"/>
      <c r="J409" s="100"/>
      <c r="K409" s="100"/>
      <c r="L409" s="100"/>
      <c r="M409" s="100"/>
      <c r="N409" s="100"/>
      <c r="O409" s="100"/>
      <c r="P409" s="100"/>
      <c r="Q409" s="100"/>
      <c r="R409" s="100"/>
      <c r="S409" s="100"/>
      <c r="T409" s="100"/>
      <c r="U409" s="100"/>
      <c r="V409" s="100"/>
      <c r="W409" s="100"/>
      <c r="X409" s="100"/>
      <c r="Y409" s="100"/>
      <c r="Z409" s="100"/>
      <c r="AA409" s="100"/>
      <c r="AB409" s="100"/>
      <c r="AC409" s="100"/>
      <c r="AD409" s="100"/>
    </row>
    <row r="410">
      <c r="A410" s="118"/>
      <c r="B410" s="118"/>
      <c r="C410" s="118"/>
      <c r="D410" s="119"/>
      <c r="E410" s="119"/>
      <c r="F410" s="119"/>
      <c r="G410" s="100"/>
      <c r="H410" s="100"/>
      <c r="I410" s="100"/>
      <c r="J410" s="100"/>
      <c r="K410" s="100"/>
      <c r="L410" s="100"/>
      <c r="M410" s="100"/>
      <c r="N410" s="100"/>
      <c r="O410" s="100"/>
      <c r="P410" s="100"/>
      <c r="Q410" s="100"/>
      <c r="R410" s="100"/>
      <c r="S410" s="100"/>
      <c r="T410" s="100"/>
      <c r="U410" s="100"/>
      <c r="V410" s="100"/>
      <c r="W410" s="100"/>
      <c r="X410" s="100"/>
      <c r="Y410" s="100"/>
      <c r="Z410" s="100"/>
      <c r="AA410" s="100"/>
      <c r="AB410" s="100"/>
      <c r="AC410" s="100"/>
      <c r="AD410" s="100"/>
    </row>
    <row r="411">
      <c r="A411" s="118"/>
      <c r="B411" s="118"/>
      <c r="C411" s="118"/>
      <c r="D411" s="119"/>
      <c r="E411" s="119"/>
      <c r="F411" s="119"/>
      <c r="G411" s="100"/>
      <c r="H411" s="100"/>
      <c r="I411" s="100"/>
      <c r="J411" s="100"/>
      <c r="K411" s="100"/>
      <c r="L411" s="100"/>
      <c r="M411" s="100"/>
      <c r="N411" s="100"/>
      <c r="O411" s="100"/>
      <c r="P411" s="100"/>
      <c r="Q411" s="100"/>
      <c r="R411" s="100"/>
      <c r="S411" s="100"/>
      <c r="T411" s="100"/>
      <c r="U411" s="100"/>
      <c r="V411" s="100"/>
      <c r="W411" s="100"/>
      <c r="X411" s="100"/>
      <c r="Y411" s="100"/>
      <c r="Z411" s="100"/>
      <c r="AA411" s="100"/>
      <c r="AB411" s="100"/>
      <c r="AC411" s="100"/>
      <c r="AD411" s="100"/>
    </row>
    <row r="412">
      <c r="A412" s="118"/>
      <c r="B412" s="118"/>
      <c r="C412" s="118"/>
      <c r="D412" s="119"/>
      <c r="E412" s="119"/>
      <c r="F412" s="119"/>
      <c r="G412" s="100"/>
      <c r="H412" s="100"/>
      <c r="I412" s="100"/>
      <c r="J412" s="100"/>
      <c r="K412" s="100"/>
      <c r="L412" s="100"/>
      <c r="M412" s="100"/>
      <c r="N412" s="100"/>
      <c r="O412" s="100"/>
      <c r="P412" s="100"/>
      <c r="Q412" s="100"/>
      <c r="R412" s="100"/>
      <c r="S412" s="100"/>
      <c r="T412" s="100"/>
      <c r="U412" s="100"/>
      <c r="V412" s="100"/>
      <c r="W412" s="100"/>
      <c r="X412" s="100"/>
      <c r="Y412" s="100"/>
      <c r="Z412" s="100"/>
      <c r="AA412" s="100"/>
      <c r="AB412" s="100"/>
      <c r="AC412" s="100"/>
      <c r="AD412" s="100"/>
    </row>
    <row r="413">
      <c r="A413" s="118"/>
      <c r="B413" s="118"/>
      <c r="C413" s="118"/>
      <c r="D413" s="119"/>
      <c r="E413" s="119"/>
      <c r="F413" s="119"/>
      <c r="G413" s="100"/>
      <c r="H413" s="100"/>
      <c r="I413" s="100"/>
      <c r="J413" s="100"/>
      <c r="K413" s="100"/>
      <c r="L413" s="100"/>
      <c r="M413" s="100"/>
      <c r="N413" s="100"/>
      <c r="O413" s="100"/>
      <c r="P413" s="100"/>
      <c r="Q413" s="100"/>
      <c r="R413" s="100"/>
      <c r="S413" s="100"/>
      <c r="T413" s="100"/>
      <c r="U413" s="100"/>
      <c r="V413" s="100"/>
      <c r="W413" s="100"/>
      <c r="X413" s="100"/>
      <c r="Y413" s="100"/>
      <c r="Z413" s="100"/>
      <c r="AA413" s="100"/>
      <c r="AB413" s="100"/>
      <c r="AC413" s="100"/>
      <c r="AD413" s="100"/>
    </row>
    <row r="414">
      <c r="A414" s="118"/>
      <c r="B414" s="118"/>
      <c r="C414" s="118"/>
      <c r="D414" s="119"/>
      <c r="E414" s="119"/>
      <c r="F414" s="119"/>
      <c r="G414" s="100"/>
      <c r="H414" s="100"/>
      <c r="I414" s="100"/>
      <c r="J414" s="100"/>
      <c r="K414" s="100"/>
      <c r="L414" s="100"/>
      <c r="M414" s="100"/>
      <c r="N414" s="100"/>
      <c r="O414" s="100"/>
      <c r="P414" s="100"/>
      <c r="Q414" s="100"/>
      <c r="R414" s="100"/>
      <c r="S414" s="100"/>
      <c r="T414" s="100"/>
      <c r="U414" s="100"/>
      <c r="V414" s="100"/>
      <c r="W414" s="100"/>
      <c r="X414" s="100"/>
      <c r="Y414" s="100"/>
      <c r="Z414" s="100"/>
      <c r="AA414" s="100"/>
      <c r="AB414" s="100"/>
      <c r="AC414" s="100"/>
      <c r="AD414" s="100"/>
    </row>
    <row r="415">
      <c r="A415" s="118"/>
      <c r="B415" s="118"/>
      <c r="C415" s="118"/>
      <c r="D415" s="119"/>
      <c r="E415" s="119"/>
      <c r="F415" s="119"/>
      <c r="G415" s="100"/>
      <c r="H415" s="100"/>
      <c r="I415" s="100"/>
      <c r="J415" s="100"/>
      <c r="K415" s="100"/>
      <c r="L415" s="100"/>
      <c r="M415" s="100"/>
      <c r="N415" s="100"/>
      <c r="O415" s="100"/>
      <c r="P415" s="100"/>
      <c r="Q415" s="100"/>
      <c r="R415" s="100"/>
      <c r="S415" s="100"/>
      <c r="T415" s="100"/>
      <c r="U415" s="100"/>
      <c r="V415" s="100"/>
      <c r="W415" s="100"/>
      <c r="X415" s="100"/>
      <c r="Y415" s="100"/>
      <c r="Z415" s="100"/>
      <c r="AA415" s="100"/>
      <c r="AB415" s="100"/>
      <c r="AC415" s="100"/>
      <c r="AD415" s="100"/>
    </row>
    <row r="416">
      <c r="A416" s="118"/>
      <c r="B416" s="118"/>
      <c r="C416" s="118"/>
      <c r="D416" s="119"/>
      <c r="E416" s="119"/>
      <c r="F416" s="119"/>
      <c r="G416" s="100"/>
      <c r="H416" s="100"/>
      <c r="I416" s="100"/>
      <c r="J416" s="100"/>
      <c r="K416" s="100"/>
      <c r="L416" s="100"/>
      <c r="M416" s="100"/>
      <c r="N416" s="100"/>
      <c r="O416" s="100"/>
      <c r="P416" s="100"/>
      <c r="Q416" s="100"/>
      <c r="R416" s="100"/>
      <c r="S416" s="100"/>
      <c r="T416" s="100"/>
      <c r="U416" s="100"/>
      <c r="V416" s="100"/>
      <c r="W416" s="100"/>
      <c r="X416" s="100"/>
      <c r="Y416" s="100"/>
      <c r="Z416" s="100"/>
      <c r="AA416" s="100"/>
      <c r="AB416" s="100"/>
      <c r="AC416" s="100"/>
      <c r="AD416" s="100"/>
    </row>
    <row r="417">
      <c r="A417" s="118"/>
      <c r="B417" s="118"/>
      <c r="C417" s="118"/>
      <c r="D417" s="119"/>
      <c r="E417" s="119"/>
      <c r="F417" s="119"/>
      <c r="G417" s="100"/>
      <c r="H417" s="100"/>
      <c r="I417" s="100"/>
      <c r="J417" s="100"/>
      <c r="K417" s="100"/>
      <c r="L417" s="100"/>
      <c r="M417" s="100"/>
      <c r="N417" s="100"/>
      <c r="O417" s="100"/>
      <c r="P417" s="100"/>
      <c r="Q417" s="100"/>
      <c r="R417" s="100"/>
      <c r="S417" s="100"/>
      <c r="T417" s="100"/>
      <c r="U417" s="100"/>
      <c r="V417" s="100"/>
      <c r="W417" s="100"/>
      <c r="X417" s="100"/>
      <c r="Y417" s="100"/>
      <c r="Z417" s="100"/>
      <c r="AA417" s="100"/>
      <c r="AB417" s="100"/>
      <c r="AC417" s="100"/>
      <c r="AD417" s="100"/>
    </row>
    <row r="418">
      <c r="A418" s="118"/>
      <c r="B418" s="118"/>
      <c r="C418" s="118"/>
      <c r="D418" s="119"/>
      <c r="E418" s="119"/>
      <c r="F418" s="119"/>
      <c r="G418" s="100"/>
      <c r="H418" s="100"/>
      <c r="I418" s="100"/>
      <c r="J418" s="100"/>
      <c r="K418" s="100"/>
      <c r="L418" s="100"/>
      <c r="M418" s="100"/>
      <c r="N418" s="100"/>
      <c r="O418" s="100"/>
      <c r="P418" s="100"/>
      <c r="Q418" s="100"/>
      <c r="R418" s="100"/>
      <c r="S418" s="100"/>
      <c r="T418" s="100"/>
      <c r="U418" s="100"/>
      <c r="V418" s="100"/>
      <c r="W418" s="100"/>
      <c r="X418" s="100"/>
      <c r="Y418" s="100"/>
      <c r="Z418" s="100"/>
      <c r="AA418" s="100"/>
      <c r="AB418" s="100"/>
      <c r="AC418" s="100"/>
      <c r="AD418" s="100"/>
    </row>
    <row r="419">
      <c r="A419" s="118"/>
      <c r="B419" s="118"/>
      <c r="C419" s="118"/>
      <c r="D419" s="119"/>
      <c r="E419" s="119"/>
      <c r="F419" s="119"/>
      <c r="G419" s="100"/>
      <c r="H419" s="100"/>
      <c r="I419" s="100"/>
      <c r="J419" s="100"/>
      <c r="K419" s="100"/>
      <c r="L419" s="100"/>
      <c r="M419" s="100"/>
      <c r="N419" s="100"/>
      <c r="O419" s="100"/>
      <c r="P419" s="100"/>
      <c r="Q419" s="100"/>
      <c r="R419" s="100"/>
      <c r="S419" s="100"/>
      <c r="T419" s="100"/>
      <c r="U419" s="100"/>
      <c r="V419" s="100"/>
      <c r="W419" s="100"/>
      <c r="X419" s="100"/>
      <c r="Y419" s="100"/>
      <c r="Z419" s="100"/>
      <c r="AA419" s="100"/>
      <c r="AB419" s="100"/>
      <c r="AC419" s="100"/>
      <c r="AD419" s="100"/>
    </row>
    <row r="420">
      <c r="A420" s="118"/>
      <c r="B420" s="118"/>
      <c r="C420" s="118"/>
      <c r="D420" s="119"/>
      <c r="E420" s="119"/>
      <c r="F420" s="119"/>
      <c r="G420" s="100"/>
      <c r="H420" s="100"/>
      <c r="I420" s="100"/>
      <c r="J420" s="100"/>
      <c r="K420" s="100"/>
      <c r="L420" s="100"/>
      <c r="M420" s="100"/>
      <c r="N420" s="100"/>
      <c r="O420" s="100"/>
      <c r="P420" s="100"/>
      <c r="Q420" s="100"/>
      <c r="R420" s="100"/>
      <c r="S420" s="100"/>
      <c r="T420" s="100"/>
      <c r="U420" s="100"/>
      <c r="V420" s="100"/>
      <c r="W420" s="100"/>
      <c r="X420" s="100"/>
      <c r="Y420" s="100"/>
      <c r="Z420" s="100"/>
      <c r="AA420" s="100"/>
      <c r="AB420" s="100"/>
      <c r="AC420" s="100"/>
      <c r="AD420" s="100"/>
    </row>
    <row r="421">
      <c r="A421" s="118"/>
      <c r="B421" s="118"/>
      <c r="C421" s="118"/>
      <c r="D421" s="119"/>
      <c r="E421" s="119"/>
      <c r="F421" s="119"/>
      <c r="G421" s="100"/>
      <c r="H421" s="100"/>
      <c r="I421" s="100"/>
      <c r="J421" s="100"/>
      <c r="K421" s="100"/>
      <c r="L421" s="100"/>
      <c r="M421" s="100"/>
      <c r="N421" s="100"/>
      <c r="O421" s="100"/>
      <c r="P421" s="100"/>
      <c r="Q421" s="100"/>
      <c r="R421" s="100"/>
      <c r="S421" s="100"/>
      <c r="T421" s="100"/>
      <c r="U421" s="100"/>
      <c r="V421" s="100"/>
      <c r="W421" s="100"/>
      <c r="X421" s="100"/>
      <c r="Y421" s="100"/>
      <c r="Z421" s="100"/>
      <c r="AA421" s="100"/>
      <c r="AB421" s="100"/>
      <c r="AC421" s="100"/>
      <c r="AD421" s="100"/>
    </row>
    <row r="422">
      <c r="A422" s="118"/>
      <c r="B422" s="118"/>
      <c r="C422" s="118"/>
      <c r="D422" s="119"/>
      <c r="E422" s="119"/>
      <c r="F422" s="119"/>
      <c r="G422" s="100"/>
      <c r="H422" s="100"/>
      <c r="I422" s="100"/>
      <c r="J422" s="100"/>
      <c r="K422" s="100"/>
      <c r="L422" s="100"/>
      <c r="M422" s="100"/>
      <c r="N422" s="100"/>
      <c r="O422" s="100"/>
      <c r="P422" s="100"/>
      <c r="Q422" s="100"/>
      <c r="R422" s="100"/>
      <c r="S422" s="100"/>
      <c r="T422" s="100"/>
      <c r="U422" s="100"/>
      <c r="V422" s="100"/>
      <c r="W422" s="100"/>
      <c r="X422" s="100"/>
      <c r="Y422" s="100"/>
      <c r="Z422" s="100"/>
      <c r="AA422" s="100"/>
      <c r="AB422" s="100"/>
      <c r="AC422" s="100"/>
      <c r="AD422" s="100"/>
    </row>
    <row r="423">
      <c r="A423" s="118"/>
      <c r="B423" s="118"/>
      <c r="C423" s="118"/>
      <c r="D423" s="119"/>
      <c r="E423" s="119"/>
      <c r="F423" s="119"/>
      <c r="G423" s="100"/>
      <c r="H423" s="100"/>
      <c r="I423" s="100"/>
      <c r="J423" s="100"/>
      <c r="K423" s="100"/>
      <c r="L423" s="100"/>
      <c r="M423" s="100"/>
      <c r="N423" s="100"/>
      <c r="O423" s="100"/>
      <c r="P423" s="100"/>
      <c r="Q423" s="100"/>
      <c r="R423" s="100"/>
      <c r="S423" s="100"/>
      <c r="T423" s="100"/>
      <c r="U423" s="100"/>
      <c r="V423" s="100"/>
      <c r="W423" s="100"/>
      <c r="X423" s="100"/>
      <c r="Y423" s="100"/>
      <c r="Z423" s="100"/>
      <c r="AA423" s="100"/>
      <c r="AB423" s="100"/>
      <c r="AC423" s="100"/>
      <c r="AD423" s="100"/>
    </row>
    <row r="424">
      <c r="A424" s="118"/>
      <c r="B424" s="118"/>
      <c r="C424" s="118"/>
      <c r="D424" s="119"/>
      <c r="E424" s="119"/>
      <c r="F424" s="119"/>
      <c r="G424" s="100"/>
      <c r="H424" s="100"/>
      <c r="I424" s="100"/>
      <c r="J424" s="100"/>
      <c r="K424" s="100"/>
      <c r="L424" s="100"/>
      <c r="M424" s="100"/>
      <c r="N424" s="100"/>
      <c r="O424" s="100"/>
      <c r="P424" s="100"/>
      <c r="Q424" s="100"/>
      <c r="R424" s="100"/>
      <c r="S424" s="100"/>
      <c r="T424" s="100"/>
      <c r="U424" s="100"/>
      <c r="V424" s="100"/>
      <c r="W424" s="100"/>
      <c r="X424" s="100"/>
      <c r="Y424" s="100"/>
      <c r="Z424" s="100"/>
      <c r="AA424" s="100"/>
      <c r="AB424" s="100"/>
      <c r="AC424" s="100"/>
      <c r="AD424" s="100"/>
    </row>
    <row r="425">
      <c r="A425" s="118"/>
      <c r="B425" s="118"/>
      <c r="C425" s="118"/>
      <c r="D425" s="119"/>
      <c r="E425" s="119"/>
      <c r="F425" s="119"/>
      <c r="G425" s="100"/>
      <c r="H425" s="100"/>
      <c r="I425" s="100"/>
      <c r="J425" s="100"/>
      <c r="K425" s="100"/>
      <c r="L425" s="100"/>
      <c r="M425" s="100"/>
      <c r="N425" s="100"/>
      <c r="O425" s="100"/>
      <c r="P425" s="100"/>
      <c r="Q425" s="100"/>
      <c r="R425" s="100"/>
      <c r="S425" s="100"/>
      <c r="T425" s="100"/>
      <c r="U425" s="100"/>
      <c r="V425" s="100"/>
      <c r="W425" s="100"/>
      <c r="X425" s="100"/>
      <c r="Y425" s="100"/>
      <c r="Z425" s="100"/>
      <c r="AA425" s="100"/>
      <c r="AB425" s="100"/>
      <c r="AC425" s="100"/>
      <c r="AD425" s="100"/>
    </row>
    <row r="426">
      <c r="A426" s="118"/>
      <c r="B426" s="118"/>
      <c r="C426" s="118"/>
      <c r="D426" s="119"/>
      <c r="E426" s="119"/>
      <c r="F426" s="119"/>
      <c r="G426" s="100"/>
      <c r="H426" s="100"/>
      <c r="I426" s="100"/>
      <c r="J426" s="100"/>
      <c r="K426" s="100"/>
      <c r="L426" s="100"/>
      <c r="M426" s="100"/>
      <c r="N426" s="100"/>
      <c r="O426" s="100"/>
      <c r="P426" s="100"/>
      <c r="Q426" s="100"/>
      <c r="R426" s="100"/>
      <c r="S426" s="100"/>
      <c r="T426" s="100"/>
      <c r="U426" s="100"/>
      <c r="V426" s="100"/>
      <c r="W426" s="100"/>
      <c r="X426" s="100"/>
      <c r="Y426" s="100"/>
      <c r="Z426" s="100"/>
      <c r="AA426" s="100"/>
      <c r="AB426" s="100"/>
      <c r="AC426" s="100"/>
      <c r="AD426" s="100"/>
    </row>
    <row r="427">
      <c r="A427" s="118"/>
      <c r="B427" s="118"/>
      <c r="C427" s="118"/>
      <c r="D427" s="119"/>
      <c r="E427" s="119"/>
      <c r="F427" s="119"/>
      <c r="G427" s="100"/>
      <c r="H427" s="100"/>
      <c r="I427" s="100"/>
      <c r="J427" s="100"/>
      <c r="K427" s="100"/>
      <c r="L427" s="100"/>
      <c r="M427" s="100"/>
      <c r="N427" s="100"/>
      <c r="O427" s="100"/>
      <c r="P427" s="100"/>
      <c r="Q427" s="100"/>
      <c r="R427" s="100"/>
      <c r="S427" s="100"/>
      <c r="T427" s="100"/>
      <c r="U427" s="100"/>
      <c r="V427" s="100"/>
      <c r="W427" s="100"/>
      <c r="X427" s="100"/>
      <c r="Y427" s="100"/>
      <c r="Z427" s="100"/>
      <c r="AA427" s="100"/>
      <c r="AB427" s="100"/>
      <c r="AC427" s="100"/>
      <c r="AD427" s="100"/>
    </row>
    <row r="428">
      <c r="A428" s="118"/>
      <c r="B428" s="118"/>
      <c r="C428" s="118"/>
      <c r="D428" s="119"/>
      <c r="E428" s="119"/>
      <c r="F428" s="119"/>
      <c r="G428" s="100"/>
      <c r="H428" s="100"/>
      <c r="I428" s="100"/>
      <c r="J428" s="100"/>
      <c r="K428" s="100"/>
      <c r="L428" s="100"/>
      <c r="M428" s="100"/>
      <c r="N428" s="100"/>
      <c r="O428" s="100"/>
      <c r="P428" s="100"/>
      <c r="Q428" s="100"/>
      <c r="R428" s="100"/>
      <c r="S428" s="100"/>
      <c r="T428" s="100"/>
      <c r="U428" s="100"/>
      <c r="V428" s="100"/>
      <c r="W428" s="100"/>
      <c r="X428" s="100"/>
      <c r="Y428" s="100"/>
      <c r="Z428" s="100"/>
      <c r="AA428" s="100"/>
      <c r="AB428" s="100"/>
      <c r="AC428" s="100"/>
      <c r="AD428" s="100"/>
    </row>
    <row r="429">
      <c r="A429" s="118"/>
      <c r="B429" s="118"/>
      <c r="C429" s="118"/>
      <c r="D429" s="119"/>
      <c r="E429" s="119"/>
      <c r="F429" s="119"/>
      <c r="G429" s="100"/>
      <c r="H429" s="100"/>
      <c r="I429" s="100"/>
      <c r="J429" s="100"/>
      <c r="K429" s="100"/>
      <c r="L429" s="100"/>
      <c r="M429" s="100"/>
      <c r="N429" s="100"/>
      <c r="O429" s="100"/>
      <c r="P429" s="100"/>
      <c r="Q429" s="100"/>
      <c r="R429" s="100"/>
      <c r="S429" s="100"/>
      <c r="T429" s="100"/>
      <c r="U429" s="100"/>
      <c r="V429" s="100"/>
      <c r="W429" s="100"/>
      <c r="X429" s="100"/>
      <c r="Y429" s="100"/>
      <c r="Z429" s="100"/>
      <c r="AA429" s="100"/>
      <c r="AB429" s="100"/>
      <c r="AC429" s="100"/>
      <c r="AD429" s="100"/>
    </row>
    <row r="430">
      <c r="A430" s="118"/>
      <c r="B430" s="118"/>
      <c r="C430" s="118"/>
      <c r="D430" s="119"/>
      <c r="E430" s="119"/>
      <c r="F430" s="119"/>
      <c r="G430" s="100"/>
      <c r="H430" s="100"/>
      <c r="I430" s="100"/>
      <c r="J430" s="100"/>
      <c r="K430" s="100"/>
      <c r="L430" s="100"/>
      <c r="M430" s="100"/>
      <c r="N430" s="100"/>
      <c r="O430" s="100"/>
      <c r="P430" s="100"/>
      <c r="Q430" s="100"/>
      <c r="R430" s="100"/>
      <c r="S430" s="100"/>
      <c r="T430" s="100"/>
      <c r="U430" s="100"/>
      <c r="V430" s="100"/>
      <c r="W430" s="100"/>
      <c r="X430" s="100"/>
      <c r="Y430" s="100"/>
      <c r="Z430" s="100"/>
      <c r="AA430" s="100"/>
      <c r="AB430" s="100"/>
      <c r="AC430" s="100"/>
      <c r="AD430" s="100"/>
    </row>
    <row r="431">
      <c r="A431" s="118"/>
      <c r="B431" s="118"/>
      <c r="C431" s="118"/>
      <c r="D431" s="119"/>
      <c r="E431" s="119"/>
      <c r="F431" s="119"/>
      <c r="G431" s="100"/>
      <c r="H431" s="100"/>
      <c r="I431" s="100"/>
      <c r="J431" s="100"/>
      <c r="K431" s="100"/>
      <c r="L431" s="100"/>
      <c r="M431" s="100"/>
      <c r="N431" s="100"/>
      <c r="O431" s="100"/>
      <c r="P431" s="100"/>
      <c r="Q431" s="100"/>
      <c r="R431" s="100"/>
      <c r="S431" s="100"/>
      <c r="T431" s="100"/>
      <c r="U431" s="100"/>
      <c r="V431" s="100"/>
      <c r="W431" s="100"/>
      <c r="X431" s="100"/>
      <c r="Y431" s="100"/>
      <c r="Z431" s="100"/>
      <c r="AA431" s="100"/>
      <c r="AB431" s="100"/>
      <c r="AC431" s="100"/>
      <c r="AD431" s="100"/>
    </row>
    <row r="432">
      <c r="A432" s="118"/>
      <c r="B432" s="118"/>
      <c r="C432" s="118"/>
      <c r="D432" s="119"/>
      <c r="E432" s="119"/>
      <c r="F432" s="119"/>
      <c r="G432" s="100"/>
      <c r="H432" s="100"/>
      <c r="I432" s="100"/>
      <c r="J432" s="100"/>
      <c r="K432" s="100"/>
      <c r="L432" s="100"/>
      <c r="M432" s="100"/>
      <c r="N432" s="100"/>
      <c r="O432" s="100"/>
      <c r="P432" s="100"/>
      <c r="Q432" s="100"/>
      <c r="R432" s="100"/>
      <c r="S432" s="100"/>
      <c r="T432" s="100"/>
      <c r="U432" s="100"/>
      <c r="V432" s="100"/>
      <c r="W432" s="100"/>
      <c r="X432" s="100"/>
      <c r="Y432" s="100"/>
      <c r="Z432" s="100"/>
      <c r="AA432" s="100"/>
      <c r="AB432" s="100"/>
      <c r="AC432" s="100"/>
      <c r="AD432" s="100"/>
    </row>
    <row r="433">
      <c r="A433" s="118"/>
      <c r="B433" s="118"/>
      <c r="C433" s="118"/>
      <c r="D433" s="119"/>
      <c r="E433" s="119"/>
      <c r="F433" s="119"/>
      <c r="G433" s="100"/>
      <c r="H433" s="100"/>
      <c r="I433" s="100"/>
      <c r="J433" s="100"/>
      <c r="K433" s="100"/>
      <c r="L433" s="100"/>
      <c r="M433" s="100"/>
      <c r="N433" s="100"/>
      <c r="O433" s="100"/>
      <c r="P433" s="100"/>
      <c r="Q433" s="100"/>
      <c r="R433" s="100"/>
      <c r="S433" s="100"/>
      <c r="T433" s="100"/>
      <c r="U433" s="100"/>
      <c r="V433" s="100"/>
      <c r="W433" s="100"/>
      <c r="X433" s="100"/>
      <c r="Y433" s="100"/>
      <c r="Z433" s="100"/>
      <c r="AA433" s="100"/>
      <c r="AB433" s="100"/>
      <c r="AC433" s="100"/>
      <c r="AD433" s="100"/>
    </row>
    <row r="434">
      <c r="A434" s="118"/>
      <c r="B434" s="118"/>
      <c r="C434" s="118"/>
      <c r="D434" s="119"/>
      <c r="E434" s="119"/>
      <c r="F434" s="119"/>
      <c r="G434" s="100"/>
      <c r="H434" s="100"/>
      <c r="I434" s="100"/>
      <c r="J434" s="100"/>
      <c r="K434" s="100"/>
      <c r="L434" s="100"/>
      <c r="M434" s="100"/>
      <c r="N434" s="100"/>
      <c r="O434" s="100"/>
      <c r="P434" s="100"/>
      <c r="Q434" s="100"/>
      <c r="R434" s="100"/>
      <c r="S434" s="100"/>
      <c r="T434" s="100"/>
      <c r="U434" s="100"/>
      <c r="V434" s="100"/>
      <c r="W434" s="100"/>
      <c r="X434" s="100"/>
      <c r="Y434" s="100"/>
      <c r="Z434" s="100"/>
      <c r="AA434" s="100"/>
      <c r="AB434" s="100"/>
      <c r="AC434" s="100"/>
      <c r="AD434" s="100"/>
    </row>
    <row r="435">
      <c r="A435" s="118"/>
      <c r="B435" s="118"/>
      <c r="C435" s="118"/>
      <c r="D435" s="119"/>
      <c r="E435" s="119"/>
      <c r="F435" s="119"/>
      <c r="G435" s="100"/>
      <c r="H435" s="100"/>
      <c r="I435" s="100"/>
      <c r="J435" s="100"/>
      <c r="K435" s="100"/>
      <c r="L435" s="100"/>
      <c r="M435" s="100"/>
      <c r="N435" s="100"/>
      <c r="O435" s="100"/>
      <c r="P435" s="100"/>
      <c r="Q435" s="100"/>
      <c r="R435" s="100"/>
      <c r="S435" s="100"/>
      <c r="T435" s="100"/>
      <c r="U435" s="100"/>
      <c r="V435" s="100"/>
      <c r="W435" s="100"/>
      <c r="X435" s="100"/>
      <c r="Y435" s="100"/>
      <c r="Z435" s="100"/>
      <c r="AA435" s="100"/>
      <c r="AB435" s="100"/>
      <c r="AC435" s="100"/>
      <c r="AD435" s="100"/>
    </row>
    <row r="436">
      <c r="A436" s="118"/>
      <c r="B436" s="118"/>
      <c r="C436" s="118"/>
      <c r="D436" s="119"/>
      <c r="E436" s="119"/>
      <c r="F436" s="119"/>
      <c r="G436" s="100"/>
      <c r="H436" s="100"/>
      <c r="I436" s="100"/>
      <c r="J436" s="100"/>
      <c r="K436" s="100"/>
      <c r="L436" s="100"/>
      <c r="M436" s="100"/>
      <c r="N436" s="100"/>
      <c r="O436" s="100"/>
      <c r="P436" s="100"/>
      <c r="Q436" s="100"/>
      <c r="R436" s="100"/>
      <c r="S436" s="100"/>
      <c r="T436" s="100"/>
      <c r="U436" s="100"/>
      <c r="V436" s="100"/>
      <c r="W436" s="100"/>
      <c r="X436" s="100"/>
      <c r="Y436" s="100"/>
      <c r="Z436" s="100"/>
      <c r="AA436" s="100"/>
      <c r="AB436" s="100"/>
      <c r="AC436" s="100"/>
      <c r="AD436" s="100"/>
    </row>
    <row r="437">
      <c r="A437" s="118"/>
      <c r="B437" s="118"/>
      <c r="C437" s="118"/>
      <c r="D437" s="119"/>
      <c r="E437" s="119"/>
      <c r="F437" s="119"/>
      <c r="G437" s="100"/>
      <c r="H437" s="100"/>
      <c r="I437" s="100"/>
      <c r="J437" s="100"/>
      <c r="K437" s="100"/>
      <c r="L437" s="100"/>
      <c r="M437" s="100"/>
      <c r="N437" s="100"/>
      <c r="O437" s="100"/>
      <c r="P437" s="100"/>
      <c r="Q437" s="100"/>
      <c r="R437" s="100"/>
      <c r="S437" s="100"/>
      <c r="T437" s="100"/>
      <c r="U437" s="100"/>
      <c r="V437" s="100"/>
      <c r="W437" s="100"/>
      <c r="X437" s="100"/>
      <c r="Y437" s="100"/>
      <c r="Z437" s="100"/>
      <c r="AA437" s="100"/>
      <c r="AB437" s="100"/>
      <c r="AC437" s="100"/>
      <c r="AD437" s="100"/>
    </row>
    <row r="438">
      <c r="A438" s="118"/>
      <c r="B438" s="118"/>
      <c r="C438" s="118"/>
      <c r="D438" s="119"/>
      <c r="E438" s="119"/>
      <c r="F438" s="119"/>
      <c r="G438" s="100"/>
      <c r="H438" s="100"/>
      <c r="I438" s="100"/>
      <c r="J438" s="100"/>
      <c r="K438" s="100"/>
      <c r="L438" s="100"/>
      <c r="M438" s="100"/>
      <c r="N438" s="100"/>
      <c r="O438" s="100"/>
      <c r="P438" s="100"/>
      <c r="Q438" s="100"/>
      <c r="R438" s="100"/>
      <c r="S438" s="100"/>
      <c r="T438" s="100"/>
      <c r="U438" s="100"/>
      <c r="V438" s="100"/>
      <c r="W438" s="100"/>
      <c r="X438" s="100"/>
      <c r="Y438" s="100"/>
      <c r="Z438" s="100"/>
      <c r="AA438" s="100"/>
      <c r="AB438" s="100"/>
      <c r="AC438" s="100"/>
      <c r="AD438" s="100"/>
    </row>
    <row r="439">
      <c r="A439" s="118"/>
      <c r="B439" s="118"/>
      <c r="C439" s="118"/>
      <c r="D439" s="119"/>
      <c r="E439" s="119"/>
      <c r="F439" s="119"/>
      <c r="G439" s="100"/>
      <c r="H439" s="100"/>
      <c r="I439" s="100"/>
      <c r="J439" s="100"/>
      <c r="K439" s="100"/>
      <c r="L439" s="100"/>
      <c r="M439" s="100"/>
      <c r="N439" s="100"/>
      <c r="O439" s="100"/>
      <c r="P439" s="100"/>
      <c r="Q439" s="100"/>
      <c r="R439" s="100"/>
      <c r="S439" s="100"/>
      <c r="T439" s="100"/>
      <c r="U439" s="100"/>
      <c r="V439" s="100"/>
      <c r="W439" s="100"/>
      <c r="X439" s="100"/>
      <c r="Y439" s="100"/>
      <c r="Z439" s="100"/>
      <c r="AA439" s="100"/>
      <c r="AB439" s="100"/>
      <c r="AC439" s="100"/>
      <c r="AD439" s="100"/>
    </row>
    <row r="440">
      <c r="A440" s="118"/>
      <c r="B440" s="118"/>
      <c r="C440" s="118"/>
      <c r="D440" s="119"/>
      <c r="E440" s="119"/>
      <c r="F440" s="119"/>
      <c r="G440" s="100"/>
      <c r="H440" s="100"/>
      <c r="I440" s="100"/>
      <c r="J440" s="100"/>
      <c r="K440" s="100"/>
      <c r="L440" s="100"/>
      <c r="M440" s="100"/>
      <c r="N440" s="100"/>
      <c r="O440" s="100"/>
      <c r="P440" s="100"/>
      <c r="Q440" s="100"/>
      <c r="R440" s="100"/>
      <c r="S440" s="100"/>
      <c r="T440" s="100"/>
      <c r="U440" s="100"/>
      <c r="V440" s="100"/>
      <c r="W440" s="100"/>
      <c r="X440" s="100"/>
      <c r="Y440" s="100"/>
      <c r="Z440" s="100"/>
      <c r="AA440" s="100"/>
      <c r="AB440" s="100"/>
      <c r="AC440" s="100"/>
      <c r="AD440" s="100"/>
    </row>
    <row r="441">
      <c r="A441" s="118"/>
      <c r="B441" s="118"/>
      <c r="C441" s="118"/>
      <c r="D441" s="119"/>
      <c r="E441" s="119"/>
      <c r="F441" s="119"/>
      <c r="G441" s="100"/>
      <c r="H441" s="100"/>
      <c r="I441" s="100"/>
      <c r="J441" s="100"/>
      <c r="K441" s="100"/>
      <c r="L441" s="100"/>
      <c r="M441" s="100"/>
      <c r="N441" s="100"/>
      <c r="O441" s="100"/>
      <c r="P441" s="100"/>
      <c r="Q441" s="100"/>
      <c r="R441" s="100"/>
      <c r="S441" s="100"/>
      <c r="T441" s="100"/>
      <c r="U441" s="100"/>
      <c r="V441" s="100"/>
      <c r="W441" s="100"/>
      <c r="X441" s="100"/>
      <c r="Y441" s="100"/>
      <c r="Z441" s="100"/>
      <c r="AA441" s="100"/>
      <c r="AB441" s="100"/>
      <c r="AC441" s="100"/>
      <c r="AD441" s="100"/>
    </row>
    <row r="442">
      <c r="A442" s="118"/>
      <c r="B442" s="118"/>
      <c r="C442" s="118"/>
      <c r="D442" s="119"/>
      <c r="E442" s="119"/>
      <c r="F442" s="119"/>
      <c r="G442" s="100"/>
      <c r="H442" s="100"/>
      <c r="I442" s="100"/>
      <c r="J442" s="100"/>
      <c r="K442" s="100"/>
      <c r="L442" s="100"/>
      <c r="M442" s="100"/>
      <c r="N442" s="100"/>
      <c r="O442" s="100"/>
      <c r="P442" s="100"/>
      <c r="Q442" s="100"/>
      <c r="R442" s="100"/>
      <c r="S442" s="100"/>
      <c r="T442" s="100"/>
      <c r="U442" s="100"/>
      <c r="V442" s="100"/>
      <c r="W442" s="100"/>
      <c r="X442" s="100"/>
      <c r="Y442" s="100"/>
      <c r="Z442" s="100"/>
      <c r="AA442" s="100"/>
      <c r="AB442" s="100"/>
      <c r="AC442" s="100"/>
      <c r="AD442" s="100"/>
    </row>
    <row r="443">
      <c r="A443" s="118"/>
      <c r="B443" s="118"/>
      <c r="C443" s="118"/>
      <c r="D443" s="119"/>
      <c r="E443" s="119"/>
      <c r="F443" s="119"/>
      <c r="G443" s="100"/>
      <c r="H443" s="100"/>
      <c r="I443" s="100"/>
      <c r="J443" s="100"/>
      <c r="K443" s="100"/>
      <c r="L443" s="100"/>
      <c r="M443" s="100"/>
      <c r="N443" s="100"/>
      <c r="O443" s="100"/>
      <c r="P443" s="100"/>
      <c r="Q443" s="100"/>
      <c r="R443" s="100"/>
      <c r="S443" s="100"/>
      <c r="T443" s="100"/>
      <c r="U443" s="100"/>
      <c r="V443" s="100"/>
      <c r="W443" s="100"/>
      <c r="X443" s="100"/>
      <c r="Y443" s="100"/>
      <c r="Z443" s="100"/>
      <c r="AA443" s="100"/>
      <c r="AB443" s="100"/>
      <c r="AC443" s="100"/>
      <c r="AD443" s="100"/>
    </row>
    <row r="444">
      <c r="A444" s="118"/>
      <c r="B444" s="118"/>
      <c r="C444" s="118"/>
      <c r="D444" s="119"/>
      <c r="E444" s="119"/>
      <c r="F444" s="119"/>
      <c r="G444" s="100"/>
      <c r="H444" s="100"/>
      <c r="I444" s="100"/>
      <c r="J444" s="100"/>
      <c r="K444" s="100"/>
      <c r="L444" s="100"/>
      <c r="M444" s="100"/>
      <c r="N444" s="100"/>
      <c r="O444" s="100"/>
      <c r="P444" s="100"/>
      <c r="Q444" s="100"/>
      <c r="R444" s="100"/>
      <c r="S444" s="100"/>
      <c r="T444" s="100"/>
      <c r="U444" s="100"/>
      <c r="V444" s="100"/>
      <c r="W444" s="100"/>
      <c r="X444" s="100"/>
      <c r="Y444" s="100"/>
      <c r="Z444" s="100"/>
      <c r="AA444" s="100"/>
      <c r="AB444" s="100"/>
      <c r="AC444" s="100"/>
      <c r="AD444" s="100"/>
    </row>
    <row r="445">
      <c r="A445" s="118"/>
      <c r="B445" s="118"/>
      <c r="C445" s="118"/>
      <c r="D445" s="119"/>
      <c r="E445" s="119"/>
      <c r="F445" s="119"/>
      <c r="G445" s="100"/>
      <c r="H445" s="100"/>
      <c r="I445" s="100"/>
      <c r="J445" s="100"/>
      <c r="K445" s="100"/>
      <c r="L445" s="100"/>
      <c r="M445" s="100"/>
      <c r="N445" s="100"/>
      <c r="O445" s="100"/>
      <c r="P445" s="100"/>
      <c r="Q445" s="100"/>
      <c r="R445" s="100"/>
      <c r="S445" s="100"/>
      <c r="T445" s="100"/>
      <c r="U445" s="100"/>
      <c r="V445" s="100"/>
      <c r="W445" s="100"/>
      <c r="X445" s="100"/>
      <c r="Y445" s="100"/>
      <c r="Z445" s="100"/>
      <c r="AA445" s="100"/>
      <c r="AB445" s="100"/>
      <c r="AC445" s="100"/>
      <c r="AD445" s="100"/>
    </row>
    <row r="446">
      <c r="A446" s="118"/>
      <c r="B446" s="118"/>
      <c r="C446" s="118"/>
      <c r="D446" s="119"/>
      <c r="E446" s="119"/>
      <c r="F446" s="119"/>
      <c r="G446" s="100"/>
      <c r="H446" s="100"/>
      <c r="I446" s="100"/>
      <c r="J446" s="100"/>
      <c r="K446" s="100"/>
      <c r="L446" s="100"/>
      <c r="M446" s="100"/>
      <c r="N446" s="100"/>
      <c r="O446" s="100"/>
      <c r="P446" s="100"/>
      <c r="Q446" s="100"/>
      <c r="R446" s="100"/>
      <c r="S446" s="100"/>
      <c r="T446" s="100"/>
      <c r="U446" s="100"/>
      <c r="V446" s="100"/>
      <c r="W446" s="100"/>
      <c r="X446" s="100"/>
      <c r="Y446" s="100"/>
      <c r="Z446" s="100"/>
      <c r="AA446" s="100"/>
      <c r="AB446" s="100"/>
      <c r="AC446" s="100"/>
      <c r="AD446" s="100"/>
    </row>
    <row r="447">
      <c r="A447" s="118"/>
      <c r="B447" s="118"/>
      <c r="C447" s="118"/>
      <c r="D447" s="119"/>
      <c r="E447" s="119"/>
      <c r="F447" s="119"/>
      <c r="G447" s="100"/>
      <c r="H447" s="100"/>
      <c r="I447" s="100"/>
      <c r="J447" s="100"/>
      <c r="K447" s="100"/>
      <c r="L447" s="100"/>
      <c r="M447" s="100"/>
      <c r="N447" s="100"/>
      <c r="O447" s="100"/>
      <c r="P447" s="100"/>
      <c r="Q447" s="100"/>
      <c r="R447" s="100"/>
      <c r="S447" s="100"/>
      <c r="T447" s="100"/>
      <c r="U447" s="100"/>
      <c r="V447" s="100"/>
      <c r="W447" s="100"/>
      <c r="X447" s="100"/>
      <c r="Y447" s="100"/>
      <c r="Z447" s="100"/>
      <c r="AA447" s="100"/>
      <c r="AB447" s="100"/>
      <c r="AC447" s="100"/>
      <c r="AD447" s="100"/>
    </row>
    <row r="448">
      <c r="A448" s="118"/>
      <c r="B448" s="118"/>
      <c r="C448" s="118"/>
      <c r="D448" s="119"/>
      <c r="E448" s="119"/>
      <c r="F448" s="119"/>
      <c r="G448" s="100"/>
      <c r="H448" s="100"/>
      <c r="I448" s="100"/>
      <c r="J448" s="100"/>
      <c r="K448" s="100"/>
      <c r="L448" s="100"/>
      <c r="M448" s="100"/>
      <c r="N448" s="100"/>
      <c r="O448" s="100"/>
      <c r="P448" s="100"/>
      <c r="Q448" s="100"/>
      <c r="R448" s="100"/>
      <c r="S448" s="100"/>
      <c r="T448" s="100"/>
      <c r="U448" s="100"/>
      <c r="V448" s="100"/>
      <c r="W448" s="100"/>
      <c r="X448" s="100"/>
      <c r="Y448" s="100"/>
      <c r="Z448" s="100"/>
      <c r="AA448" s="100"/>
      <c r="AB448" s="100"/>
      <c r="AC448" s="100"/>
      <c r="AD448" s="100"/>
    </row>
    <row r="449">
      <c r="A449" s="118"/>
      <c r="B449" s="118"/>
      <c r="C449" s="118"/>
      <c r="D449" s="119"/>
      <c r="E449" s="119"/>
      <c r="F449" s="119"/>
      <c r="G449" s="100"/>
      <c r="H449" s="100"/>
      <c r="I449" s="100"/>
      <c r="J449" s="100"/>
      <c r="K449" s="100"/>
      <c r="L449" s="100"/>
      <c r="M449" s="100"/>
      <c r="N449" s="100"/>
      <c r="O449" s="100"/>
      <c r="P449" s="100"/>
      <c r="Q449" s="100"/>
      <c r="R449" s="100"/>
      <c r="S449" s="100"/>
      <c r="T449" s="100"/>
      <c r="U449" s="100"/>
      <c r="V449" s="100"/>
      <c r="W449" s="100"/>
      <c r="X449" s="100"/>
      <c r="Y449" s="100"/>
      <c r="Z449" s="100"/>
      <c r="AA449" s="100"/>
      <c r="AB449" s="100"/>
      <c r="AC449" s="100"/>
      <c r="AD449" s="100"/>
    </row>
    <row r="450">
      <c r="A450" s="118"/>
      <c r="B450" s="118"/>
      <c r="C450" s="118"/>
      <c r="D450" s="119"/>
      <c r="E450" s="119"/>
      <c r="F450" s="119"/>
      <c r="G450" s="100"/>
      <c r="H450" s="100"/>
      <c r="I450" s="100"/>
      <c r="J450" s="100"/>
      <c r="K450" s="100"/>
      <c r="L450" s="100"/>
      <c r="M450" s="100"/>
      <c r="N450" s="100"/>
      <c r="O450" s="100"/>
      <c r="P450" s="100"/>
      <c r="Q450" s="100"/>
      <c r="R450" s="100"/>
      <c r="S450" s="100"/>
      <c r="T450" s="100"/>
      <c r="U450" s="100"/>
      <c r="V450" s="100"/>
      <c r="W450" s="100"/>
      <c r="X450" s="100"/>
      <c r="Y450" s="100"/>
      <c r="Z450" s="100"/>
      <c r="AA450" s="100"/>
      <c r="AB450" s="100"/>
      <c r="AC450" s="100"/>
      <c r="AD450" s="100"/>
    </row>
    <row r="451">
      <c r="A451" s="118"/>
      <c r="B451" s="118"/>
      <c r="C451" s="118"/>
      <c r="D451" s="119"/>
      <c r="E451" s="119"/>
      <c r="F451" s="119"/>
      <c r="G451" s="100"/>
      <c r="H451" s="100"/>
      <c r="I451" s="100"/>
      <c r="J451" s="100"/>
      <c r="K451" s="100"/>
      <c r="L451" s="100"/>
      <c r="M451" s="100"/>
      <c r="N451" s="100"/>
      <c r="O451" s="100"/>
      <c r="P451" s="100"/>
      <c r="Q451" s="100"/>
      <c r="R451" s="100"/>
      <c r="S451" s="100"/>
      <c r="T451" s="100"/>
      <c r="U451" s="100"/>
      <c r="V451" s="100"/>
      <c r="W451" s="100"/>
      <c r="X451" s="100"/>
      <c r="Y451" s="100"/>
      <c r="Z451" s="100"/>
      <c r="AA451" s="100"/>
      <c r="AB451" s="100"/>
      <c r="AC451" s="100"/>
      <c r="AD451" s="100"/>
    </row>
    <row r="452">
      <c r="A452" s="118"/>
      <c r="B452" s="118"/>
      <c r="C452" s="118"/>
      <c r="D452" s="119"/>
      <c r="E452" s="119"/>
      <c r="F452" s="119"/>
      <c r="G452" s="100"/>
      <c r="H452" s="100"/>
      <c r="I452" s="100"/>
      <c r="J452" s="100"/>
      <c r="K452" s="100"/>
      <c r="L452" s="100"/>
      <c r="M452" s="100"/>
      <c r="N452" s="100"/>
      <c r="O452" s="100"/>
      <c r="P452" s="100"/>
      <c r="Q452" s="100"/>
      <c r="R452" s="100"/>
      <c r="S452" s="100"/>
      <c r="T452" s="100"/>
      <c r="U452" s="100"/>
      <c r="V452" s="100"/>
      <c r="W452" s="100"/>
      <c r="X452" s="100"/>
      <c r="Y452" s="100"/>
      <c r="Z452" s="100"/>
      <c r="AA452" s="100"/>
      <c r="AB452" s="100"/>
      <c r="AC452" s="100"/>
      <c r="AD452" s="100"/>
    </row>
    <row r="453">
      <c r="A453" s="118"/>
      <c r="B453" s="118"/>
      <c r="C453" s="118"/>
      <c r="D453" s="119"/>
      <c r="E453" s="119"/>
      <c r="F453" s="119"/>
      <c r="G453" s="100"/>
      <c r="H453" s="100"/>
      <c r="I453" s="100"/>
      <c r="J453" s="100"/>
      <c r="K453" s="100"/>
      <c r="L453" s="100"/>
      <c r="M453" s="100"/>
      <c r="N453" s="100"/>
      <c r="O453" s="100"/>
      <c r="P453" s="100"/>
      <c r="Q453" s="100"/>
      <c r="R453" s="100"/>
      <c r="S453" s="100"/>
      <c r="T453" s="100"/>
      <c r="U453" s="100"/>
      <c r="V453" s="100"/>
      <c r="W453" s="100"/>
      <c r="X453" s="100"/>
      <c r="Y453" s="100"/>
      <c r="Z453" s="100"/>
      <c r="AA453" s="100"/>
      <c r="AB453" s="100"/>
      <c r="AC453" s="100"/>
      <c r="AD453" s="100"/>
    </row>
    <row r="454">
      <c r="A454" s="118"/>
      <c r="B454" s="118"/>
      <c r="C454" s="118"/>
      <c r="D454" s="119"/>
      <c r="E454" s="119"/>
      <c r="F454" s="119"/>
      <c r="G454" s="100"/>
      <c r="H454" s="100"/>
      <c r="I454" s="100"/>
      <c r="J454" s="100"/>
      <c r="K454" s="100"/>
      <c r="L454" s="100"/>
      <c r="M454" s="100"/>
      <c r="N454" s="100"/>
      <c r="O454" s="100"/>
      <c r="P454" s="100"/>
      <c r="Q454" s="100"/>
      <c r="R454" s="100"/>
      <c r="S454" s="100"/>
      <c r="T454" s="100"/>
      <c r="U454" s="100"/>
      <c r="V454" s="100"/>
      <c r="W454" s="100"/>
      <c r="X454" s="100"/>
      <c r="Y454" s="100"/>
      <c r="Z454" s="100"/>
      <c r="AA454" s="100"/>
      <c r="AB454" s="100"/>
      <c r="AC454" s="100"/>
      <c r="AD454" s="100"/>
    </row>
    <row r="455">
      <c r="A455" s="118"/>
      <c r="B455" s="118"/>
      <c r="C455" s="118"/>
      <c r="D455" s="119"/>
      <c r="E455" s="119"/>
      <c r="F455" s="119"/>
      <c r="G455" s="100"/>
      <c r="H455" s="100"/>
      <c r="I455" s="100"/>
      <c r="J455" s="100"/>
      <c r="K455" s="100"/>
      <c r="L455" s="100"/>
      <c r="M455" s="100"/>
      <c r="N455" s="100"/>
      <c r="O455" s="100"/>
      <c r="P455" s="100"/>
      <c r="Q455" s="100"/>
      <c r="R455" s="100"/>
      <c r="S455" s="100"/>
      <c r="T455" s="100"/>
      <c r="U455" s="100"/>
      <c r="V455" s="100"/>
      <c r="W455" s="100"/>
      <c r="X455" s="100"/>
      <c r="Y455" s="100"/>
      <c r="Z455" s="100"/>
      <c r="AA455" s="100"/>
      <c r="AB455" s="100"/>
      <c r="AC455" s="100"/>
      <c r="AD455" s="100"/>
    </row>
    <row r="456">
      <c r="A456" s="118"/>
      <c r="B456" s="118"/>
      <c r="C456" s="118"/>
      <c r="D456" s="119"/>
      <c r="E456" s="119"/>
      <c r="F456" s="119"/>
      <c r="G456" s="100"/>
      <c r="H456" s="100"/>
      <c r="I456" s="100"/>
      <c r="J456" s="100"/>
      <c r="K456" s="100"/>
      <c r="L456" s="100"/>
      <c r="M456" s="100"/>
      <c r="N456" s="100"/>
      <c r="O456" s="100"/>
      <c r="P456" s="100"/>
      <c r="Q456" s="100"/>
      <c r="R456" s="100"/>
      <c r="S456" s="100"/>
      <c r="T456" s="100"/>
      <c r="U456" s="100"/>
      <c r="V456" s="100"/>
      <c r="W456" s="100"/>
      <c r="X456" s="100"/>
      <c r="Y456" s="100"/>
      <c r="Z456" s="100"/>
      <c r="AA456" s="100"/>
      <c r="AB456" s="100"/>
      <c r="AC456" s="100"/>
      <c r="AD456" s="100"/>
    </row>
    <row r="457">
      <c r="A457" s="118"/>
      <c r="B457" s="118"/>
      <c r="C457" s="118"/>
      <c r="D457" s="119"/>
      <c r="E457" s="119"/>
      <c r="F457" s="119"/>
      <c r="G457" s="100"/>
      <c r="H457" s="100"/>
      <c r="I457" s="100"/>
      <c r="J457" s="100"/>
      <c r="K457" s="100"/>
      <c r="L457" s="100"/>
      <c r="M457" s="100"/>
      <c r="N457" s="100"/>
      <c r="O457" s="100"/>
      <c r="P457" s="100"/>
      <c r="Q457" s="100"/>
      <c r="R457" s="100"/>
      <c r="S457" s="100"/>
      <c r="T457" s="100"/>
      <c r="U457" s="100"/>
      <c r="V457" s="100"/>
      <c r="W457" s="100"/>
      <c r="X457" s="100"/>
      <c r="Y457" s="100"/>
      <c r="Z457" s="100"/>
      <c r="AA457" s="100"/>
      <c r="AB457" s="100"/>
      <c r="AC457" s="100"/>
      <c r="AD457" s="100"/>
    </row>
    <row r="458">
      <c r="A458" s="118"/>
      <c r="B458" s="118"/>
      <c r="C458" s="118"/>
      <c r="D458" s="119"/>
      <c r="E458" s="119"/>
      <c r="F458" s="119"/>
      <c r="G458" s="100"/>
      <c r="H458" s="100"/>
      <c r="I458" s="100"/>
      <c r="J458" s="100"/>
      <c r="K458" s="100"/>
      <c r="L458" s="100"/>
      <c r="M458" s="100"/>
      <c r="N458" s="100"/>
      <c r="O458" s="100"/>
      <c r="P458" s="100"/>
      <c r="Q458" s="100"/>
      <c r="R458" s="100"/>
      <c r="S458" s="100"/>
      <c r="T458" s="100"/>
      <c r="U458" s="100"/>
      <c r="V458" s="100"/>
      <c r="W458" s="100"/>
      <c r="X458" s="100"/>
      <c r="Y458" s="100"/>
      <c r="Z458" s="100"/>
      <c r="AA458" s="100"/>
      <c r="AB458" s="100"/>
      <c r="AC458" s="100"/>
      <c r="AD458" s="100"/>
    </row>
    <row r="459">
      <c r="A459" s="118"/>
      <c r="B459" s="118"/>
      <c r="C459" s="118"/>
      <c r="D459" s="119"/>
      <c r="E459" s="119"/>
      <c r="F459" s="119"/>
      <c r="G459" s="100"/>
      <c r="H459" s="100"/>
      <c r="I459" s="100"/>
      <c r="J459" s="100"/>
      <c r="K459" s="100"/>
      <c r="L459" s="100"/>
      <c r="M459" s="100"/>
      <c r="N459" s="100"/>
      <c r="O459" s="100"/>
      <c r="P459" s="100"/>
      <c r="Q459" s="100"/>
      <c r="R459" s="100"/>
      <c r="S459" s="100"/>
      <c r="T459" s="100"/>
      <c r="U459" s="100"/>
      <c r="V459" s="100"/>
      <c r="W459" s="100"/>
      <c r="X459" s="100"/>
      <c r="Y459" s="100"/>
      <c r="Z459" s="100"/>
      <c r="AA459" s="100"/>
      <c r="AB459" s="100"/>
      <c r="AC459" s="100"/>
      <c r="AD459" s="100"/>
    </row>
    <row r="460">
      <c r="A460" s="118"/>
      <c r="B460" s="118"/>
      <c r="C460" s="118"/>
      <c r="D460" s="119"/>
      <c r="E460" s="119"/>
      <c r="F460" s="119"/>
      <c r="G460" s="100"/>
      <c r="H460" s="100"/>
      <c r="I460" s="100"/>
      <c r="J460" s="100"/>
      <c r="K460" s="100"/>
      <c r="L460" s="100"/>
      <c r="M460" s="100"/>
      <c r="N460" s="100"/>
      <c r="O460" s="100"/>
      <c r="P460" s="100"/>
      <c r="Q460" s="100"/>
      <c r="R460" s="100"/>
      <c r="S460" s="100"/>
      <c r="T460" s="100"/>
      <c r="U460" s="100"/>
      <c r="V460" s="100"/>
      <c r="W460" s="100"/>
      <c r="X460" s="100"/>
      <c r="Y460" s="100"/>
      <c r="Z460" s="100"/>
      <c r="AA460" s="100"/>
      <c r="AB460" s="100"/>
      <c r="AC460" s="100"/>
      <c r="AD460" s="100"/>
    </row>
    <row r="461">
      <c r="A461" s="118"/>
      <c r="B461" s="118"/>
      <c r="C461" s="118"/>
      <c r="D461" s="119"/>
      <c r="E461" s="119"/>
      <c r="F461" s="119"/>
      <c r="G461" s="100"/>
      <c r="H461" s="100"/>
      <c r="I461" s="100"/>
      <c r="J461" s="100"/>
      <c r="K461" s="100"/>
      <c r="L461" s="100"/>
      <c r="M461" s="100"/>
      <c r="N461" s="100"/>
      <c r="O461" s="100"/>
      <c r="P461" s="100"/>
      <c r="Q461" s="100"/>
      <c r="R461" s="100"/>
      <c r="S461" s="100"/>
      <c r="T461" s="100"/>
      <c r="U461" s="100"/>
      <c r="V461" s="100"/>
      <c r="W461" s="100"/>
      <c r="X461" s="100"/>
      <c r="Y461" s="100"/>
      <c r="Z461" s="100"/>
      <c r="AA461" s="100"/>
      <c r="AB461" s="100"/>
      <c r="AC461" s="100"/>
      <c r="AD461" s="100"/>
    </row>
    <row r="462">
      <c r="A462" s="118"/>
      <c r="B462" s="118"/>
      <c r="C462" s="118"/>
      <c r="D462" s="119"/>
      <c r="E462" s="119"/>
      <c r="F462" s="119"/>
      <c r="G462" s="100"/>
      <c r="H462" s="100"/>
      <c r="I462" s="100"/>
      <c r="J462" s="100"/>
      <c r="K462" s="100"/>
      <c r="L462" s="100"/>
      <c r="M462" s="100"/>
      <c r="N462" s="100"/>
      <c r="O462" s="100"/>
      <c r="P462" s="100"/>
      <c r="Q462" s="100"/>
      <c r="R462" s="100"/>
      <c r="S462" s="100"/>
      <c r="T462" s="100"/>
      <c r="U462" s="100"/>
      <c r="V462" s="100"/>
      <c r="W462" s="100"/>
      <c r="X462" s="100"/>
      <c r="Y462" s="100"/>
      <c r="Z462" s="100"/>
      <c r="AA462" s="100"/>
      <c r="AB462" s="100"/>
      <c r="AC462" s="100"/>
      <c r="AD462" s="100"/>
    </row>
    <row r="463">
      <c r="A463" s="118"/>
      <c r="B463" s="118"/>
      <c r="C463" s="118"/>
      <c r="D463" s="119"/>
      <c r="E463" s="119"/>
      <c r="F463" s="119"/>
      <c r="G463" s="100"/>
      <c r="H463" s="100"/>
      <c r="I463" s="100"/>
      <c r="J463" s="100"/>
      <c r="K463" s="100"/>
      <c r="L463" s="100"/>
      <c r="M463" s="100"/>
      <c r="N463" s="100"/>
      <c r="O463" s="100"/>
      <c r="P463" s="100"/>
      <c r="Q463" s="100"/>
      <c r="R463" s="100"/>
      <c r="S463" s="100"/>
      <c r="T463" s="100"/>
      <c r="U463" s="100"/>
      <c r="V463" s="100"/>
      <c r="W463" s="100"/>
      <c r="X463" s="100"/>
      <c r="Y463" s="100"/>
      <c r="Z463" s="100"/>
      <c r="AA463" s="100"/>
      <c r="AB463" s="100"/>
      <c r="AC463" s="100"/>
      <c r="AD463" s="100"/>
    </row>
    <row r="464">
      <c r="A464" s="118"/>
      <c r="B464" s="118"/>
      <c r="C464" s="118"/>
      <c r="D464" s="119"/>
      <c r="E464" s="119"/>
      <c r="F464" s="119"/>
      <c r="G464" s="100"/>
      <c r="H464" s="100"/>
      <c r="I464" s="100"/>
      <c r="J464" s="100"/>
      <c r="K464" s="100"/>
      <c r="L464" s="100"/>
      <c r="M464" s="100"/>
      <c r="N464" s="100"/>
      <c r="O464" s="100"/>
      <c r="P464" s="100"/>
      <c r="Q464" s="100"/>
      <c r="R464" s="100"/>
      <c r="S464" s="100"/>
      <c r="T464" s="100"/>
      <c r="U464" s="100"/>
      <c r="V464" s="100"/>
      <c r="W464" s="100"/>
      <c r="X464" s="100"/>
      <c r="Y464" s="100"/>
      <c r="Z464" s="100"/>
      <c r="AA464" s="100"/>
      <c r="AB464" s="100"/>
      <c r="AC464" s="100"/>
      <c r="AD464" s="100"/>
    </row>
    <row r="465">
      <c r="A465" s="118"/>
      <c r="B465" s="118"/>
      <c r="C465" s="118"/>
      <c r="D465" s="119"/>
      <c r="E465" s="119"/>
      <c r="F465" s="119"/>
      <c r="G465" s="100"/>
      <c r="H465" s="100"/>
      <c r="I465" s="100"/>
      <c r="J465" s="100"/>
      <c r="K465" s="100"/>
      <c r="L465" s="100"/>
      <c r="M465" s="100"/>
      <c r="N465" s="100"/>
      <c r="O465" s="100"/>
      <c r="P465" s="100"/>
      <c r="Q465" s="100"/>
      <c r="R465" s="100"/>
      <c r="S465" s="100"/>
      <c r="T465" s="100"/>
      <c r="U465" s="100"/>
      <c r="V465" s="100"/>
      <c r="W465" s="100"/>
      <c r="X465" s="100"/>
      <c r="Y465" s="100"/>
      <c r="Z465" s="100"/>
      <c r="AA465" s="100"/>
      <c r="AB465" s="100"/>
      <c r="AC465" s="100"/>
      <c r="AD465" s="100"/>
    </row>
    <row r="466">
      <c r="A466" s="118"/>
      <c r="B466" s="118"/>
      <c r="C466" s="118"/>
      <c r="D466" s="119"/>
      <c r="E466" s="119"/>
      <c r="F466" s="119"/>
      <c r="G466" s="100"/>
      <c r="H466" s="100"/>
      <c r="I466" s="100"/>
      <c r="J466" s="100"/>
      <c r="K466" s="100"/>
      <c r="L466" s="100"/>
      <c r="M466" s="100"/>
      <c r="N466" s="100"/>
      <c r="O466" s="100"/>
      <c r="P466" s="100"/>
      <c r="Q466" s="100"/>
      <c r="R466" s="100"/>
      <c r="S466" s="100"/>
      <c r="T466" s="100"/>
      <c r="U466" s="100"/>
      <c r="V466" s="100"/>
      <c r="W466" s="100"/>
      <c r="X466" s="100"/>
      <c r="Y466" s="100"/>
      <c r="Z466" s="100"/>
      <c r="AA466" s="100"/>
      <c r="AB466" s="100"/>
      <c r="AC466" s="100"/>
      <c r="AD466" s="100"/>
    </row>
    <row r="467">
      <c r="A467" s="118"/>
      <c r="B467" s="118"/>
      <c r="C467" s="118"/>
      <c r="D467" s="119"/>
      <c r="E467" s="119"/>
      <c r="F467" s="119"/>
      <c r="G467" s="100"/>
      <c r="H467" s="100"/>
      <c r="I467" s="100"/>
      <c r="J467" s="100"/>
      <c r="K467" s="100"/>
      <c r="L467" s="100"/>
      <c r="M467" s="100"/>
      <c r="N467" s="100"/>
      <c r="O467" s="100"/>
      <c r="P467" s="100"/>
      <c r="Q467" s="100"/>
      <c r="R467" s="100"/>
      <c r="S467" s="100"/>
      <c r="T467" s="100"/>
      <c r="U467" s="100"/>
      <c r="V467" s="100"/>
      <c r="W467" s="100"/>
      <c r="X467" s="100"/>
      <c r="Y467" s="100"/>
      <c r="Z467" s="100"/>
      <c r="AA467" s="100"/>
      <c r="AB467" s="100"/>
      <c r="AC467" s="100"/>
      <c r="AD467" s="100"/>
    </row>
    <row r="468">
      <c r="A468" s="118"/>
      <c r="B468" s="118"/>
      <c r="C468" s="118"/>
      <c r="D468" s="119"/>
      <c r="E468" s="119"/>
      <c r="F468" s="119"/>
      <c r="G468" s="100"/>
      <c r="H468" s="100"/>
      <c r="I468" s="100"/>
      <c r="J468" s="100"/>
      <c r="K468" s="100"/>
      <c r="L468" s="100"/>
      <c r="M468" s="100"/>
      <c r="N468" s="100"/>
      <c r="O468" s="100"/>
      <c r="P468" s="100"/>
      <c r="Q468" s="100"/>
      <c r="R468" s="100"/>
      <c r="S468" s="100"/>
      <c r="T468" s="100"/>
      <c r="U468" s="100"/>
      <c r="V468" s="100"/>
      <c r="W468" s="100"/>
      <c r="X468" s="100"/>
      <c r="Y468" s="100"/>
      <c r="Z468" s="100"/>
      <c r="AA468" s="100"/>
      <c r="AB468" s="100"/>
      <c r="AC468" s="100"/>
      <c r="AD468" s="100"/>
    </row>
    <row r="469">
      <c r="A469" s="118"/>
      <c r="B469" s="118"/>
      <c r="C469" s="118"/>
      <c r="D469" s="119"/>
      <c r="E469" s="119"/>
      <c r="F469" s="119"/>
      <c r="G469" s="100"/>
      <c r="H469" s="100"/>
      <c r="I469" s="100"/>
      <c r="J469" s="100"/>
      <c r="K469" s="100"/>
      <c r="L469" s="100"/>
      <c r="M469" s="100"/>
      <c r="N469" s="100"/>
      <c r="O469" s="100"/>
      <c r="P469" s="100"/>
      <c r="Q469" s="100"/>
      <c r="R469" s="100"/>
      <c r="S469" s="100"/>
      <c r="T469" s="100"/>
      <c r="U469" s="100"/>
      <c r="V469" s="100"/>
      <c r="W469" s="100"/>
      <c r="X469" s="100"/>
      <c r="Y469" s="100"/>
      <c r="Z469" s="100"/>
      <c r="AA469" s="100"/>
      <c r="AB469" s="100"/>
      <c r="AC469" s="100"/>
      <c r="AD469" s="100"/>
    </row>
    <row r="470">
      <c r="A470" s="118"/>
      <c r="B470" s="118"/>
      <c r="C470" s="118"/>
      <c r="D470" s="119"/>
      <c r="E470" s="119"/>
      <c r="F470" s="119"/>
      <c r="G470" s="100"/>
      <c r="H470" s="100"/>
      <c r="I470" s="100"/>
      <c r="J470" s="100"/>
      <c r="K470" s="100"/>
      <c r="L470" s="100"/>
      <c r="M470" s="100"/>
      <c r="N470" s="100"/>
      <c r="O470" s="100"/>
      <c r="P470" s="100"/>
      <c r="Q470" s="100"/>
      <c r="R470" s="100"/>
      <c r="S470" s="100"/>
      <c r="T470" s="100"/>
      <c r="U470" s="100"/>
      <c r="V470" s="100"/>
      <c r="W470" s="100"/>
      <c r="X470" s="100"/>
      <c r="Y470" s="100"/>
      <c r="Z470" s="100"/>
      <c r="AA470" s="100"/>
      <c r="AB470" s="100"/>
      <c r="AC470" s="100"/>
      <c r="AD470" s="100"/>
    </row>
    <row r="471">
      <c r="A471" s="118"/>
      <c r="B471" s="118"/>
      <c r="C471" s="118"/>
      <c r="D471" s="119"/>
      <c r="E471" s="119"/>
      <c r="F471" s="119"/>
      <c r="G471" s="100"/>
      <c r="H471" s="100"/>
      <c r="I471" s="100"/>
      <c r="J471" s="100"/>
      <c r="K471" s="100"/>
      <c r="L471" s="100"/>
      <c r="M471" s="100"/>
      <c r="N471" s="100"/>
      <c r="O471" s="100"/>
      <c r="P471" s="100"/>
      <c r="Q471" s="100"/>
      <c r="R471" s="100"/>
      <c r="S471" s="100"/>
      <c r="T471" s="100"/>
      <c r="U471" s="100"/>
      <c r="V471" s="100"/>
      <c r="W471" s="100"/>
      <c r="X471" s="100"/>
      <c r="Y471" s="100"/>
      <c r="Z471" s="100"/>
      <c r="AA471" s="100"/>
      <c r="AB471" s="100"/>
      <c r="AC471" s="100"/>
      <c r="AD471" s="100"/>
    </row>
    <row r="472">
      <c r="A472" s="118"/>
      <c r="B472" s="118"/>
      <c r="C472" s="118"/>
      <c r="D472" s="119"/>
      <c r="E472" s="119"/>
      <c r="F472" s="119"/>
      <c r="G472" s="100"/>
      <c r="H472" s="100"/>
      <c r="I472" s="100"/>
      <c r="J472" s="100"/>
      <c r="K472" s="100"/>
      <c r="L472" s="100"/>
      <c r="M472" s="100"/>
      <c r="N472" s="100"/>
      <c r="O472" s="100"/>
      <c r="P472" s="100"/>
      <c r="Q472" s="100"/>
      <c r="R472" s="100"/>
      <c r="S472" s="100"/>
      <c r="T472" s="100"/>
      <c r="U472" s="100"/>
      <c r="V472" s="100"/>
      <c r="W472" s="100"/>
      <c r="X472" s="100"/>
      <c r="Y472" s="100"/>
      <c r="Z472" s="100"/>
      <c r="AA472" s="100"/>
      <c r="AB472" s="100"/>
      <c r="AC472" s="100"/>
      <c r="AD472" s="100"/>
    </row>
    <row r="473">
      <c r="A473" s="118"/>
      <c r="B473" s="118"/>
      <c r="C473" s="118"/>
      <c r="D473" s="119"/>
      <c r="E473" s="119"/>
      <c r="F473" s="119"/>
      <c r="G473" s="100"/>
      <c r="H473" s="100"/>
      <c r="I473" s="100"/>
      <c r="J473" s="100"/>
      <c r="K473" s="100"/>
      <c r="L473" s="100"/>
      <c r="M473" s="100"/>
      <c r="N473" s="100"/>
      <c r="O473" s="100"/>
      <c r="P473" s="100"/>
      <c r="Q473" s="100"/>
      <c r="R473" s="100"/>
      <c r="S473" s="100"/>
      <c r="T473" s="100"/>
      <c r="U473" s="100"/>
      <c r="V473" s="100"/>
      <c r="W473" s="100"/>
      <c r="X473" s="100"/>
      <c r="Y473" s="100"/>
      <c r="Z473" s="100"/>
      <c r="AA473" s="100"/>
      <c r="AB473" s="100"/>
      <c r="AC473" s="100"/>
      <c r="AD473" s="100"/>
    </row>
    <row r="474">
      <c r="A474" s="118"/>
      <c r="B474" s="118"/>
      <c r="C474" s="118"/>
      <c r="D474" s="119"/>
      <c r="E474" s="119"/>
      <c r="F474" s="119"/>
      <c r="G474" s="100"/>
      <c r="H474" s="100"/>
      <c r="I474" s="100"/>
      <c r="J474" s="100"/>
      <c r="K474" s="100"/>
      <c r="L474" s="100"/>
      <c r="M474" s="100"/>
      <c r="N474" s="100"/>
      <c r="O474" s="100"/>
      <c r="P474" s="100"/>
      <c r="Q474" s="100"/>
      <c r="R474" s="100"/>
      <c r="S474" s="100"/>
      <c r="T474" s="100"/>
      <c r="U474" s="100"/>
      <c r="V474" s="100"/>
      <c r="W474" s="100"/>
      <c r="X474" s="100"/>
      <c r="Y474" s="100"/>
      <c r="Z474" s="100"/>
      <c r="AA474" s="100"/>
      <c r="AB474" s="100"/>
      <c r="AC474" s="100"/>
      <c r="AD474" s="100"/>
    </row>
    <row r="475">
      <c r="A475" s="118"/>
      <c r="B475" s="118"/>
      <c r="C475" s="118"/>
      <c r="D475" s="119"/>
      <c r="E475" s="119"/>
      <c r="F475" s="119"/>
      <c r="G475" s="100"/>
      <c r="H475" s="100"/>
      <c r="I475" s="100"/>
      <c r="J475" s="100"/>
      <c r="K475" s="100"/>
      <c r="L475" s="100"/>
      <c r="M475" s="100"/>
      <c r="N475" s="100"/>
      <c r="O475" s="100"/>
      <c r="P475" s="100"/>
      <c r="Q475" s="100"/>
      <c r="R475" s="100"/>
      <c r="S475" s="100"/>
      <c r="T475" s="100"/>
      <c r="U475" s="100"/>
      <c r="V475" s="100"/>
      <c r="W475" s="100"/>
      <c r="X475" s="100"/>
      <c r="Y475" s="100"/>
      <c r="Z475" s="100"/>
      <c r="AA475" s="100"/>
      <c r="AB475" s="100"/>
      <c r="AC475" s="100"/>
      <c r="AD475" s="100"/>
    </row>
    <row r="476">
      <c r="A476" s="118"/>
      <c r="B476" s="118"/>
      <c r="C476" s="118"/>
      <c r="D476" s="119"/>
      <c r="E476" s="119"/>
      <c r="F476" s="119"/>
      <c r="G476" s="100"/>
      <c r="H476" s="100"/>
      <c r="I476" s="100"/>
      <c r="J476" s="100"/>
      <c r="K476" s="100"/>
      <c r="L476" s="100"/>
      <c r="M476" s="100"/>
      <c r="N476" s="100"/>
      <c r="O476" s="100"/>
      <c r="P476" s="100"/>
      <c r="Q476" s="100"/>
      <c r="R476" s="100"/>
      <c r="S476" s="100"/>
      <c r="T476" s="100"/>
      <c r="U476" s="100"/>
      <c r="V476" s="100"/>
      <c r="W476" s="100"/>
      <c r="X476" s="100"/>
      <c r="Y476" s="100"/>
      <c r="Z476" s="100"/>
      <c r="AA476" s="100"/>
      <c r="AB476" s="100"/>
      <c r="AC476" s="100"/>
      <c r="AD476" s="100"/>
    </row>
    <row r="477">
      <c r="A477" s="118"/>
      <c r="B477" s="118"/>
      <c r="C477" s="118"/>
      <c r="D477" s="119"/>
      <c r="E477" s="119"/>
      <c r="F477" s="119"/>
      <c r="G477" s="100"/>
      <c r="H477" s="100"/>
      <c r="I477" s="100"/>
      <c r="J477" s="100"/>
      <c r="K477" s="100"/>
      <c r="L477" s="100"/>
      <c r="M477" s="100"/>
      <c r="N477" s="100"/>
      <c r="O477" s="100"/>
      <c r="P477" s="100"/>
      <c r="Q477" s="100"/>
      <c r="R477" s="100"/>
      <c r="S477" s="100"/>
      <c r="T477" s="100"/>
      <c r="U477" s="100"/>
      <c r="V477" s="100"/>
      <c r="W477" s="100"/>
      <c r="X477" s="100"/>
      <c r="Y477" s="100"/>
      <c r="Z477" s="100"/>
      <c r="AA477" s="100"/>
      <c r="AB477" s="100"/>
      <c r="AC477" s="100"/>
      <c r="AD477" s="100"/>
    </row>
    <row r="478">
      <c r="A478" s="118"/>
      <c r="B478" s="118"/>
      <c r="C478" s="118"/>
      <c r="D478" s="119"/>
      <c r="E478" s="119"/>
      <c r="F478" s="119"/>
      <c r="G478" s="100"/>
      <c r="H478" s="100"/>
      <c r="I478" s="100"/>
      <c r="J478" s="100"/>
      <c r="K478" s="100"/>
      <c r="L478" s="100"/>
      <c r="M478" s="100"/>
      <c r="N478" s="100"/>
      <c r="O478" s="100"/>
      <c r="P478" s="100"/>
      <c r="Q478" s="100"/>
      <c r="R478" s="100"/>
      <c r="S478" s="100"/>
      <c r="T478" s="100"/>
      <c r="U478" s="100"/>
      <c r="V478" s="100"/>
      <c r="W478" s="100"/>
      <c r="X478" s="100"/>
      <c r="Y478" s="100"/>
      <c r="Z478" s="100"/>
      <c r="AA478" s="100"/>
      <c r="AB478" s="100"/>
      <c r="AC478" s="100"/>
      <c r="AD478" s="100"/>
    </row>
    <row r="479">
      <c r="A479" s="118"/>
      <c r="B479" s="118"/>
      <c r="C479" s="118"/>
      <c r="D479" s="119"/>
      <c r="E479" s="119"/>
      <c r="F479" s="119"/>
      <c r="G479" s="100"/>
      <c r="H479" s="100"/>
      <c r="I479" s="100"/>
      <c r="J479" s="100"/>
      <c r="K479" s="100"/>
      <c r="L479" s="100"/>
      <c r="M479" s="100"/>
      <c r="N479" s="100"/>
      <c r="O479" s="100"/>
      <c r="P479" s="100"/>
      <c r="Q479" s="100"/>
      <c r="R479" s="100"/>
      <c r="S479" s="100"/>
      <c r="T479" s="100"/>
      <c r="U479" s="100"/>
      <c r="V479" s="100"/>
      <c r="W479" s="100"/>
      <c r="X479" s="100"/>
      <c r="Y479" s="100"/>
      <c r="Z479" s="100"/>
      <c r="AA479" s="100"/>
      <c r="AB479" s="100"/>
      <c r="AC479" s="100"/>
      <c r="AD479" s="100"/>
    </row>
    <row r="480">
      <c r="A480" s="118"/>
      <c r="B480" s="118"/>
      <c r="C480" s="118"/>
      <c r="D480" s="119"/>
      <c r="E480" s="119"/>
      <c r="F480" s="119"/>
      <c r="G480" s="100"/>
      <c r="H480" s="100"/>
      <c r="I480" s="100"/>
      <c r="J480" s="100"/>
      <c r="K480" s="100"/>
      <c r="L480" s="100"/>
      <c r="M480" s="100"/>
      <c r="N480" s="100"/>
      <c r="O480" s="100"/>
      <c r="P480" s="100"/>
      <c r="Q480" s="100"/>
      <c r="R480" s="100"/>
      <c r="S480" s="100"/>
      <c r="T480" s="100"/>
      <c r="U480" s="100"/>
      <c r="V480" s="100"/>
      <c r="W480" s="100"/>
      <c r="X480" s="100"/>
      <c r="Y480" s="100"/>
      <c r="Z480" s="100"/>
      <c r="AA480" s="100"/>
      <c r="AB480" s="100"/>
      <c r="AC480" s="100"/>
      <c r="AD480" s="100"/>
    </row>
    <row r="481">
      <c r="A481" s="118"/>
      <c r="B481" s="118"/>
      <c r="C481" s="118"/>
      <c r="D481" s="119"/>
      <c r="E481" s="119"/>
      <c r="F481" s="119"/>
      <c r="G481" s="100"/>
      <c r="H481" s="100"/>
      <c r="I481" s="100"/>
      <c r="J481" s="100"/>
      <c r="K481" s="100"/>
      <c r="L481" s="100"/>
      <c r="M481" s="100"/>
      <c r="N481" s="100"/>
      <c r="O481" s="100"/>
      <c r="P481" s="100"/>
      <c r="Q481" s="100"/>
      <c r="R481" s="100"/>
      <c r="S481" s="100"/>
      <c r="T481" s="100"/>
      <c r="U481" s="100"/>
      <c r="V481" s="100"/>
      <c r="W481" s="100"/>
      <c r="X481" s="100"/>
      <c r="Y481" s="100"/>
      <c r="Z481" s="100"/>
      <c r="AA481" s="100"/>
      <c r="AB481" s="100"/>
      <c r="AC481" s="100"/>
      <c r="AD481" s="100"/>
    </row>
    <row r="482">
      <c r="A482" s="118"/>
      <c r="B482" s="118"/>
      <c r="C482" s="118"/>
      <c r="D482" s="119"/>
      <c r="E482" s="119"/>
      <c r="F482" s="119"/>
      <c r="G482" s="100"/>
      <c r="H482" s="100"/>
      <c r="I482" s="100"/>
      <c r="J482" s="100"/>
      <c r="K482" s="100"/>
      <c r="L482" s="100"/>
      <c r="M482" s="100"/>
      <c r="N482" s="100"/>
      <c r="O482" s="100"/>
      <c r="P482" s="100"/>
      <c r="Q482" s="100"/>
      <c r="R482" s="100"/>
      <c r="S482" s="100"/>
      <c r="T482" s="100"/>
      <c r="U482" s="100"/>
      <c r="V482" s="100"/>
      <c r="W482" s="100"/>
      <c r="X482" s="100"/>
      <c r="Y482" s="100"/>
      <c r="Z482" s="100"/>
      <c r="AA482" s="100"/>
      <c r="AB482" s="100"/>
      <c r="AC482" s="100"/>
      <c r="AD482" s="100"/>
    </row>
    <row r="483">
      <c r="A483" s="118"/>
      <c r="B483" s="118"/>
      <c r="C483" s="118"/>
      <c r="D483" s="119"/>
      <c r="E483" s="119"/>
      <c r="F483" s="119"/>
      <c r="G483" s="100"/>
      <c r="H483" s="100"/>
      <c r="I483" s="100"/>
      <c r="J483" s="100"/>
      <c r="K483" s="100"/>
      <c r="L483" s="100"/>
      <c r="M483" s="100"/>
      <c r="N483" s="100"/>
      <c r="O483" s="100"/>
      <c r="P483" s="100"/>
      <c r="Q483" s="100"/>
      <c r="R483" s="100"/>
      <c r="S483" s="100"/>
      <c r="T483" s="100"/>
      <c r="U483" s="100"/>
      <c r="V483" s="100"/>
      <c r="W483" s="100"/>
      <c r="X483" s="100"/>
      <c r="Y483" s="100"/>
      <c r="Z483" s="100"/>
      <c r="AA483" s="100"/>
      <c r="AB483" s="100"/>
      <c r="AC483" s="100"/>
      <c r="AD483" s="100"/>
    </row>
    <row r="484">
      <c r="A484" s="118"/>
      <c r="B484" s="118"/>
      <c r="C484" s="118"/>
      <c r="D484" s="119"/>
      <c r="E484" s="119"/>
      <c r="F484" s="119"/>
      <c r="G484" s="100"/>
      <c r="H484" s="100"/>
      <c r="I484" s="100"/>
      <c r="J484" s="100"/>
      <c r="K484" s="100"/>
      <c r="L484" s="100"/>
      <c r="M484" s="100"/>
      <c r="N484" s="100"/>
      <c r="O484" s="100"/>
      <c r="P484" s="100"/>
      <c r="Q484" s="100"/>
      <c r="R484" s="100"/>
      <c r="S484" s="100"/>
      <c r="T484" s="100"/>
      <c r="U484" s="100"/>
      <c r="V484" s="100"/>
      <c r="W484" s="100"/>
      <c r="X484" s="100"/>
      <c r="Y484" s="100"/>
      <c r="Z484" s="100"/>
      <c r="AA484" s="100"/>
      <c r="AB484" s="100"/>
      <c r="AC484" s="100"/>
      <c r="AD484" s="100"/>
    </row>
    <row r="485">
      <c r="A485" s="118"/>
      <c r="B485" s="118"/>
      <c r="C485" s="118"/>
      <c r="D485" s="119"/>
      <c r="E485" s="119"/>
      <c r="F485" s="119"/>
      <c r="G485" s="100"/>
      <c r="H485" s="100"/>
      <c r="I485" s="100"/>
      <c r="J485" s="100"/>
      <c r="K485" s="100"/>
      <c r="L485" s="100"/>
      <c r="M485" s="100"/>
      <c r="N485" s="100"/>
      <c r="O485" s="100"/>
      <c r="P485" s="100"/>
      <c r="Q485" s="100"/>
      <c r="R485" s="100"/>
      <c r="S485" s="100"/>
      <c r="T485" s="100"/>
      <c r="U485" s="100"/>
      <c r="V485" s="100"/>
      <c r="W485" s="100"/>
      <c r="X485" s="100"/>
      <c r="Y485" s="100"/>
      <c r="Z485" s="100"/>
      <c r="AA485" s="100"/>
      <c r="AB485" s="100"/>
      <c r="AC485" s="100"/>
      <c r="AD485" s="100"/>
    </row>
    <row r="486">
      <c r="A486" s="118"/>
      <c r="B486" s="118"/>
      <c r="C486" s="118"/>
      <c r="D486" s="119"/>
      <c r="E486" s="119"/>
      <c r="F486" s="119"/>
      <c r="G486" s="100"/>
      <c r="H486" s="100"/>
      <c r="I486" s="100"/>
      <c r="J486" s="100"/>
      <c r="K486" s="100"/>
      <c r="L486" s="100"/>
      <c r="M486" s="100"/>
      <c r="N486" s="100"/>
      <c r="O486" s="100"/>
      <c r="P486" s="100"/>
      <c r="Q486" s="100"/>
      <c r="R486" s="100"/>
      <c r="S486" s="100"/>
      <c r="T486" s="100"/>
      <c r="U486" s="100"/>
      <c r="V486" s="100"/>
      <c r="W486" s="100"/>
      <c r="X486" s="100"/>
      <c r="Y486" s="100"/>
      <c r="Z486" s="100"/>
      <c r="AA486" s="100"/>
      <c r="AB486" s="100"/>
      <c r="AC486" s="100"/>
      <c r="AD486" s="100"/>
    </row>
    <row r="487">
      <c r="A487" s="118"/>
      <c r="B487" s="118"/>
      <c r="C487" s="118"/>
      <c r="D487" s="119"/>
      <c r="E487" s="119"/>
      <c r="F487" s="119"/>
      <c r="G487" s="100"/>
      <c r="H487" s="100"/>
      <c r="I487" s="100"/>
      <c r="J487" s="100"/>
      <c r="K487" s="100"/>
      <c r="L487" s="100"/>
      <c r="M487" s="100"/>
      <c r="N487" s="100"/>
      <c r="O487" s="100"/>
      <c r="P487" s="100"/>
      <c r="Q487" s="100"/>
      <c r="R487" s="100"/>
      <c r="S487" s="100"/>
      <c r="T487" s="100"/>
      <c r="U487" s="100"/>
      <c r="V487" s="100"/>
      <c r="W487" s="100"/>
      <c r="X487" s="100"/>
      <c r="Y487" s="100"/>
      <c r="Z487" s="100"/>
      <c r="AA487" s="100"/>
      <c r="AB487" s="100"/>
      <c r="AC487" s="100"/>
      <c r="AD487" s="100"/>
    </row>
    <row r="488">
      <c r="A488" s="118"/>
      <c r="B488" s="118"/>
      <c r="C488" s="118"/>
      <c r="D488" s="119"/>
      <c r="E488" s="119"/>
      <c r="F488" s="119"/>
      <c r="G488" s="100"/>
      <c r="H488" s="100"/>
      <c r="I488" s="100"/>
      <c r="J488" s="100"/>
      <c r="K488" s="100"/>
      <c r="L488" s="100"/>
      <c r="M488" s="100"/>
      <c r="N488" s="100"/>
      <c r="O488" s="100"/>
      <c r="P488" s="100"/>
      <c r="Q488" s="100"/>
      <c r="R488" s="100"/>
      <c r="S488" s="100"/>
      <c r="T488" s="100"/>
      <c r="U488" s="100"/>
      <c r="V488" s="100"/>
      <c r="W488" s="100"/>
      <c r="X488" s="100"/>
      <c r="Y488" s="100"/>
      <c r="Z488" s="100"/>
      <c r="AA488" s="100"/>
      <c r="AB488" s="100"/>
      <c r="AC488" s="100"/>
      <c r="AD488" s="100"/>
    </row>
    <row r="489">
      <c r="A489" s="118"/>
      <c r="B489" s="118"/>
      <c r="C489" s="118"/>
      <c r="D489" s="119"/>
      <c r="E489" s="119"/>
      <c r="F489" s="119"/>
      <c r="G489" s="100"/>
      <c r="H489" s="100"/>
      <c r="I489" s="100"/>
      <c r="J489" s="100"/>
      <c r="K489" s="100"/>
      <c r="L489" s="100"/>
      <c r="M489" s="100"/>
      <c r="N489" s="100"/>
      <c r="O489" s="100"/>
      <c r="P489" s="100"/>
      <c r="Q489" s="100"/>
      <c r="R489" s="100"/>
      <c r="S489" s="100"/>
      <c r="T489" s="100"/>
      <c r="U489" s="100"/>
      <c r="V489" s="100"/>
      <c r="W489" s="100"/>
      <c r="X489" s="100"/>
      <c r="Y489" s="100"/>
      <c r="Z489" s="100"/>
      <c r="AA489" s="100"/>
      <c r="AB489" s="100"/>
      <c r="AC489" s="100"/>
      <c r="AD489" s="100"/>
    </row>
    <row r="490">
      <c r="A490" s="118"/>
      <c r="B490" s="118"/>
      <c r="C490" s="118"/>
      <c r="D490" s="119"/>
      <c r="E490" s="119"/>
      <c r="F490" s="119"/>
      <c r="G490" s="100"/>
      <c r="H490" s="100"/>
      <c r="I490" s="100"/>
      <c r="J490" s="100"/>
      <c r="K490" s="100"/>
      <c r="L490" s="100"/>
      <c r="M490" s="100"/>
      <c r="N490" s="100"/>
      <c r="O490" s="100"/>
      <c r="P490" s="100"/>
      <c r="Q490" s="100"/>
      <c r="R490" s="100"/>
      <c r="S490" s="100"/>
      <c r="T490" s="100"/>
      <c r="U490" s="100"/>
      <c r="V490" s="100"/>
      <c r="W490" s="100"/>
      <c r="X490" s="100"/>
      <c r="Y490" s="100"/>
      <c r="Z490" s="100"/>
      <c r="AA490" s="100"/>
      <c r="AB490" s="100"/>
      <c r="AC490" s="100"/>
      <c r="AD490" s="100"/>
    </row>
    <row r="491">
      <c r="A491" s="118"/>
      <c r="B491" s="118"/>
      <c r="C491" s="118"/>
      <c r="D491" s="119"/>
      <c r="E491" s="119"/>
      <c r="F491" s="119"/>
      <c r="G491" s="100"/>
      <c r="H491" s="100"/>
      <c r="I491" s="100"/>
      <c r="J491" s="100"/>
      <c r="K491" s="100"/>
      <c r="L491" s="100"/>
      <c r="M491" s="100"/>
      <c r="N491" s="100"/>
      <c r="O491" s="100"/>
      <c r="P491" s="100"/>
      <c r="Q491" s="100"/>
      <c r="R491" s="100"/>
      <c r="S491" s="100"/>
      <c r="T491" s="100"/>
      <c r="U491" s="100"/>
      <c r="V491" s="100"/>
      <c r="W491" s="100"/>
      <c r="X491" s="100"/>
      <c r="Y491" s="100"/>
      <c r="Z491" s="100"/>
      <c r="AA491" s="100"/>
      <c r="AB491" s="100"/>
      <c r="AC491" s="100"/>
      <c r="AD491" s="100"/>
    </row>
    <row r="492">
      <c r="A492" s="118"/>
      <c r="B492" s="118"/>
      <c r="C492" s="118"/>
      <c r="D492" s="119"/>
      <c r="E492" s="119"/>
      <c r="F492" s="119"/>
      <c r="G492" s="100"/>
      <c r="H492" s="100"/>
      <c r="I492" s="100"/>
      <c r="J492" s="100"/>
      <c r="K492" s="100"/>
      <c r="L492" s="100"/>
      <c r="M492" s="100"/>
      <c r="N492" s="100"/>
      <c r="O492" s="100"/>
      <c r="P492" s="100"/>
      <c r="Q492" s="100"/>
      <c r="R492" s="100"/>
      <c r="S492" s="100"/>
      <c r="T492" s="100"/>
      <c r="U492" s="100"/>
      <c r="V492" s="100"/>
      <c r="W492" s="100"/>
      <c r="X492" s="100"/>
      <c r="Y492" s="100"/>
      <c r="Z492" s="100"/>
      <c r="AA492" s="100"/>
      <c r="AB492" s="100"/>
      <c r="AC492" s="100"/>
      <c r="AD492" s="100"/>
    </row>
    <row r="493">
      <c r="A493" s="118"/>
      <c r="B493" s="118"/>
      <c r="C493" s="118"/>
      <c r="D493" s="119"/>
      <c r="E493" s="119"/>
      <c r="F493" s="119"/>
      <c r="G493" s="100"/>
      <c r="H493" s="100"/>
      <c r="I493" s="100"/>
      <c r="J493" s="100"/>
      <c r="K493" s="100"/>
      <c r="L493" s="100"/>
      <c r="M493" s="100"/>
      <c r="N493" s="100"/>
      <c r="O493" s="100"/>
      <c r="P493" s="100"/>
      <c r="Q493" s="100"/>
      <c r="R493" s="100"/>
      <c r="S493" s="100"/>
      <c r="T493" s="100"/>
      <c r="U493" s="100"/>
      <c r="V493" s="100"/>
      <c r="W493" s="100"/>
      <c r="X493" s="100"/>
      <c r="Y493" s="100"/>
      <c r="Z493" s="100"/>
      <c r="AA493" s="100"/>
      <c r="AB493" s="100"/>
      <c r="AC493" s="100"/>
      <c r="AD493" s="100"/>
    </row>
    <row r="494">
      <c r="A494" s="118"/>
      <c r="B494" s="118"/>
      <c r="C494" s="118"/>
      <c r="D494" s="119"/>
      <c r="E494" s="119"/>
      <c r="F494" s="119"/>
      <c r="G494" s="100"/>
      <c r="H494" s="100"/>
      <c r="I494" s="100"/>
      <c r="J494" s="100"/>
      <c r="K494" s="100"/>
      <c r="L494" s="100"/>
      <c r="M494" s="100"/>
      <c r="N494" s="100"/>
      <c r="O494" s="100"/>
      <c r="P494" s="100"/>
      <c r="Q494" s="100"/>
      <c r="R494" s="100"/>
      <c r="S494" s="100"/>
      <c r="T494" s="100"/>
      <c r="U494" s="100"/>
      <c r="V494" s="100"/>
      <c r="W494" s="100"/>
      <c r="X494" s="100"/>
      <c r="Y494" s="100"/>
      <c r="Z494" s="100"/>
      <c r="AA494" s="100"/>
      <c r="AB494" s="100"/>
      <c r="AC494" s="100"/>
      <c r="AD494" s="100"/>
    </row>
    <row r="495">
      <c r="A495" s="118"/>
      <c r="B495" s="118"/>
      <c r="C495" s="118"/>
      <c r="D495" s="119"/>
      <c r="E495" s="119"/>
      <c r="F495" s="119"/>
      <c r="G495" s="100"/>
      <c r="H495" s="100"/>
      <c r="I495" s="100"/>
      <c r="J495" s="100"/>
      <c r="K495" s="100"/>
      <c r="L495" s="100"/>
      <c r="M495" s="100"/>
      <c r="N495" s="100"/>
      <c r="O495" s="100"/>
      <c r="P495" s="100"/>
      <c r="Q495" s="100"/>
      <c r="R495" s="100"/>
      <c r="S495" s="100"/>
      <c r="T495" s="100"/>
      <c r="U495" s="100"/>
      <c r="V495" s="100"/>
      <c r="W495" s="100"/>
      <c r="X495" s="100"/>
      <c r="Y495" s="100"/>
      <c r="Z495" s="100"/>
      <c r="AA495" s="100"/>
      <c r="AB495" s="100"/>
      <c r="AC495" s="100"/>
      <c r="AD495" s="100"/>
    </row>
    <row r="496">
      <c r="A496" s="118"/>
      <c r="B496" s="118"/>
      <c r="C496" s="118"/>
      <c r="D496" s="119"/>
      <c r="E496" s="119"/>
      <c r="F496" s="119"/>
      <c r="G496" s="100"/>
      <c r="H496" s="100"/>
      <c r="I496" s="100"/>
      <c r="J496" s="100"/>
      <c r="K496" s="100"/>
      <c r="L496" s="100"/>
      <c r="M496" s="100"/>
      <c r="N496" s="100"/>
      <c r="O496" s="100"/>
      <c r="P496" s="100"/>
      <c r="Q496" s="100"/>
      <c r="R496" s="100"/>
      <c r="S496" s="100"/>
      <c r="T496" s="100"/>
      <c r="U496" s="100"/>
      <c r="V496" s="100"/>
      <c r="W496" s="100"/>
      <c r="X496" s="100"/>
      <c r="Y496" s="100"/>
      <c r="Z496" s="100"/>
      <c r="AA496" s="100"/>
      <c r="AB496" s="100"/>
      <c r="AC496" s="100"/>
      <c r="AD496" s="100"/>
    </row>
    <row r="497">
      <c r="A497" s="118"/>
      <c r="B497" s="118"/>
      <c r="C497" s="118"/>
      <c r="D497" s="119"/>
      <c r="E497" s="119"/>
      <c r="F497" s="119"/>
      <c r="G497" s="100"/>
      <c r="H497" s="100"/>
      <c r="I497" s="100"/>
      <c r="J497" s="100"/>
      <c r="K497" s="100"/>
      <c r="L497" s="100"/>
      <c r="M497" s="100"/>
      <c r="N497" s="100"/>
      <c r="O497" s="100"/>
      <c r="P497" s="100"/>
      <c r="Q497" s="100"/>
      <c r="R497" s="100"/>
      <c r="S497" s="100"/>
      <c r="T497" s="100"/>
      <c r="U497" s="100"/>
      <c r="V497" s="100"/>
      <c r="W497" s="100"/>
      <c r="X497" s="100"/>
      <c r="Y497" s="100"/>
      <c r="Z497" s="100"/>
      <c r="AA497" s="100"/>
      <c r="AB497" s="100"/>
      <c r="AC497" s="100"/>
      <c r="AD497" s="100"/>
    </row>
    <row r="498">
      <c r="A498" s="118"/>
      <c r="B498" s="118"/>
      <c r="C498" s="118"/>
      <c r="D498" s="119"/>
      <c r="E498" s="119"/>
      <c r="F498" s="119"/>
      <c r="G498" s="100"/>
      <c r="H498" s="100"/>
      <c r="I498" s="100"/>
      <c r="J498" s="100"/>
      <c r="K498" s="100"/>
      <c r="L498" s="100"/>
      <c r="M498" s="100"/>
      <c r="N498" s="100"/>
      <c r="O498" s="100"/>
      <c r="P498" s="100"/>
      <c r="Q498" s="100"/>
      <c r="R498" s="100"/>
      <c r="S498" s="100"/>
      <c r="T498" s="100"/>
      <c r="U498" s="100"/>
      <c r="V498" s="100"/>
      <c r="W498" s="100"/>
      <c r="X498" s="100"/>
      <c r="Y498" s="100"/>
      <c r="Z498" s="100"/>
      <c r="AA498" s="100"/>
      <c r="AB498" s="100"/>
      <c r="AC498" s="100"/>
      <c r="AD498" s="100"/>
    </row>
    <row r="499">
      <c r="A499" s="118"/>
      <c r="B499" s="118"/>
      <c r="C499" s="118"/>
      <c r="D499" s="119"/>
      <c r="E499" s="119"/>
      <c r="F499" s="119"/>
      <c r="G499" s="100"/>
      <c r="H499" s="100"/>
      <c r="I499" s="100"/>
      <c r="J499" s="100"/>
      <c r="K499" s="100"/>
      <c r="L499" s="100"/>
      <c r="M499" s="100"/>
      <c r="N499" s="100"/>
      <c r="O499" s="100"/>
      <c r="P499" s="100"/>
      <c r="Q499" s="100"/>
      <c r="R499" s="100"/>
      <c r="S499" s="100"/>
      <c r="T499" s="100"/>
      <c r="U499" s="100"/>
      <c r="V499" s="100"/>
      <c r="W499" s="100"/>
      <c r="X499" s="100"/>
      <c r="Y499" s="100"/>
      <c r="Z499" s="100"/>
      <c r="AA499" s="100"/>
      <c r="AB499" s="100"/>
      <c r="AC499" s="100"/>
      <c r="AD499" s="100"/>
    </row>
    <row r="500">
      <c r="A500" s="118"/>
      <c r="B500" s="118"/>
      <c r="C500" s="118"/>
      <c r="D500" s="119"/>
      <c r="E500" s="119"/>
      <c r="F500" s="119"/>
      <c r="G500" s="100"/>
      <c r="H500" s="100"/>
      <c r="I500" s="100"/>
      <c r="J500" s="100"/>
      <c r="K500" s="100"/>
      <c r="L500" s="100"/>
      <c r="M500" s="100"/>
      <c r="N500" s="100"/>
      <c r="O500" s="100"/>
      <c r="P500" s="100"/>
      <c r="Q500" s="100"/>
      <c r="R500" s="100"/>
      <c r="S500" s="100"/>
      <c r="T500" s="100"/>
      <c r="U500" s="100"/>
      <c r="V500" s="100"/>
      <c r="W500" s="100"/>
      <c r="X500" s="100"/>
      <c r="Y500" s="100"/>
      <c r="Z500" s="100"/>
      <c r="AA500" s="100"/>
      <c r="AB500" s="100"/>
      <c r="AC500" s="100"/>
      <c r="AD500" s="100"/>
    </row>
    <row r="501">
      <c r="A501" s="118"/>
      <c r="B501" s="118"/>
      <c r="C501" s="118"/>
      <c r="D501" s="119"/>
      <c r="E501" s="119"/>
      <c r="F501" s="119"/>
      <c r="G501" s="100"/>
      <c r="H501" s="100"/>
      <c r="I501" s="100"/>
      <c r="J501" s="100"/>
      <c r="K501" s="100"/>
      <c r="L501" s="100"/>
      <c r="M501" s="100"/>
      <c r="N501" s="100"/>
      <c r="O501" s="100"/>
      <c r="P501" s="100"/>
      <c r="Q501" s="100"/>
      <c r="R501" s="100"/>
      <c r="S501" s="100"/>
      <c r="T501" s="100"/>
      <c r="U501" s="100"/>
      <c r="V501" s="100"/>
      <c r="W501" s="100"/>
      <c r="X501" s="100"/>
      <c r="Y501" s="100"/>
      <c r="Z501" s="100"/>
      <c r="AA501" s="100"/>
      <c r="AB501" s="100"/>
      <c r="AC501" s="100"/>
      <c r="AD501" s="100"/>
    </row>
    <row r="502">
      <c r="A502" s="118"/>
      <c r="B502" s="118"/>
      <c r="C502" s="118"/>
      <c r="D502" s="119"/>
      <c r="E502" s="119"/>
      <c r="F502" s="119"/>
      <c r="G502" s="100"/>
      <c r="H502" s="100"/>
      <c r="I502" s="100"/>
      <c r="J502" s="100"/>
      <c r="K502" s="100"/>
      <c r="L502" s="100"/>
      <c r="M502" s="100"/>
      <c r="N502" s="100"/>
      <c r="O502" s="100"/>
      <c r="P502" s="100"/>
      <c r="Q502" s="100"/>
      <c r="R502" s="100"/>
      <c r="S502" s="100"/>
      <c r="T502" s="100"/>
      <c r="U502" s="100"/>
      <c r="V502" s="100"/>
      <c r="W502" s="100"/>
      <c r="X502" s="100"/>
      <c r="Y502" s="100"/>
      <c r="Z502" s="100"/>
      <c r="AA502" s="100"/>
      <c r="AB502" s="100"/>
      <c r="AC502" s="100"/>
      <c r="AD502" s="100"/>
    </row>
    <row r="503">
      <c r="A503" s="118"/>
      <c r="B503" s="118"/>
      <c r="C503" s="118"/>
      <c r="D503" s="119"/>
      <c r="E503" s="119"/>
      <c r="F503" s="119"/>
      <c r="G503" s="100"/>
      <c r="H503" s="100"/>
      <c r="I503" s="100"/>
      <c r="J503" s="100"/>
      <c r="K503" s="100"/>
      <c r="L503" s="100"/>
      <c r="M503" s="100"/>
      <c r="N503" s="100"/>
      <c r="O503" s="100"/>
      <c r="P503" s="100"/>
      <c r="Q503" s="100"/>
      <c r="R503" s="100"/>
      <c r="S503" s="100"/>
      <c r="T503" s="100"/>
      <c r="U503" s="100"/>
      <c r="V503" s="100"/>
      <c r="W503" s="100"/>
      <c r="X503" s="100"/>
      <c r="Y503" s="100"/>
      <c r="Z503" s="100"/>
      <c r="AA503" s="100"/>
      <c r="AB503" s="100"/>
      <c r="AC503" s="100"/>
      <c r="AD503" s="100"/>
    </row>
    <row r="504">
      <c r="A504" s="118"/>
      <c r="B504" s="118"/>
      <c r="C504" s="118"/>
      <c r="D504" s="119"/>
      <c r="E504" s="119"/>
      <c r="F504" s="119"/>
      <c r="G504" s="100"/>
      <c r="H504" s="100"/>
      <c r="I504" s="100"/>
      <c r="J504" s="100"/>
      <c r="K504" s="100"/>
      <c r="L504" s="100"/>
      <c r="M504" s="100"/>
      <c r="N504" s="100"/>
      <c r="O504" s="100"/>
      <c r="P504" s="100"/>
      <c r="Q504" s="100"/>
      <c r="R504" s="100"/>
      <c r="S504" s="100"/>
      <c r="T504" s="100"/>
      <c r="U504" s="100"/>
      <c r="V504" s="100"/>
      <c r="W504" s="100"/>
      <c r="X504" s="100"/>
      <c r="Y504" s="100"/>
      <c r="Z504" s="100"/>
      <c r="AA504" s="100"/>
      <c r="AB504" s="100"/>
      <c r="AC504" s="100"/>
      <c r="AD504" s="100"/>
    </row>
    <row r="505">
      <c r="A505" s="118"/>
      <c r="B505" s="118"/>
      <c r="C505" s="118"/>
      <c r="D505" s="119"/>
      <c r="E505" s="119"/>
      <c r="F505" s="119"/>
      <c r="G505" s="100"/>
      <c r="H505" s="100"/>
      <c r="I505" s="100"/>
      <c r="J505" s="100"/>
      <c r="K505" s="100"/>
      <c r="L505" s="100"/>
      <c r="M505" s="100"/>
      <c r="N505" s="100"/>
      <c r="O505" s="100"/>
      <c r="P505" s="100"/>
      <c r="Q505" s="100"/>
      <c r="R505" s="100"/>
      <c r="S505" s="100"/>
      <c r="T505" s="100"/>
      <c r="U505" s="100"/>
      <c r="V505" s="100"/>
      <c r="W505" s="100"/>
      <c r="X505" s="100"/>
      <c r="Y505" s="100"/>
      <c r="Z505" s="100"/>
      <c r="AA505" s="100"/>
      <c r="AB505" s="100"/>
      <c r="AC505" s="100"/>
      <c r="AD505" s="100"/>
    </row>
    <row r="506">
      <c r="A506" s="118"/>
      <c r="B506" s="118"/>
      <c r="C506" s="118"/>
      <c r="D506" s="119"/>
      <c r="E506" s="119"/>
      <c r="F506" s="119"/>
      <c r="G506" s="100"/>
      <c r="H506" s="100"/>
      <c r="I506" s="100"/>
      <c r="J506" s="100"/>
      <c r="K506" s="100"/>
      <c r="L506" s="100"/>
      <c r="M506" s="100"/>
      <c r="N506" s="100"/>
      <c r="O506" s="100"/>
      <c r="P506" s="100"/>
      <c r="Q506" s="100"/>
      <c r="R506" s="100"/>
      <c r="S506" s="100"/>
      <c r="T506" s="100"/>
      <c r="U506" s="100"/>
      <c r="V506" s="100"/>
      <c r="W506" s="100"/>
      <c r="X506" s="100"/>
      <c r="Y506" s="100"/>
      <c r="Z506" s="100"/>
      <c r="AA506" s="100"/>
      <c r="AB506" s="100"/>
      <c r="AC506" s="100"/>
      <c r="AD506" s="100"/>
    </row>
    <row r="507">
      <c r="A507" s="118"/>
      <c r="B507" s="118"/>
      <c r="C507" s="118"/>
      <c r="D507" s="119"/>
      <c r="E507" s="119"/>
      <c r="F507" s="119"/>
      <c r="G507" s="100"/>
      <c r="H507" s="100"/>
      <c r="I507" s="100"/>
      <c r="J507" s="100"/>
      <c r="K507" s="100"/>
      <c r="L507" s="100"/>
      <c r="M507" s="100"/>
      <c r="N507" s="100"/>
      <c r="O507" s="100"/>
      <c r="P507" s="100"/>
      <c r="Q507" s="100"/>
      <c r="R507" s="100"/>
      <c r="S507" s="100"/>
      <c r="T507" s="100"/>
      <c r="U507" s="100"/>
      <c r="V507" s="100"/>
      <c r="W507" s="100"/>
      <c r="X507" s="100"/>
      <c r="Y507" s="100"/>
      <c r="Z507" s="100"/>
      <c r="AA507" s="100"/>
      <c r="AB507" s="100"/>
      <c r="AC507" s="100"/>
      <c r="AD507" s="100"/>
    </row>
    <row r="508">
      <c r="A508" s="118"/>
      <c r="B508" s="118"/>
      <c r="C508" s="118"/>
      <c r="D508" s="119"/>
      <c r="E508" s="119"/>
      <c r="F508" s="119"/>
      <c r="G508" s="100"/>
      <c r="H508" s="100"/>
      <c r="I508" s="100"/>
      <c r="J508" s="100"/>
      <c r="K508" s="100"/>
      <c r="L508" s="100"/>
      <c r="M508" s="100"/>
      <c r="N508" s="100"/>
      <c r="O508" s="100"/>
      <c r="P508" s="100"/>
      <c r="Q508" s="100"/>
      <c r="R508" s="100"/>
      <c r="S508" s="100"/>
      <c r="T508" s="100"/>
      <c r="U508" s="100"/>
      <c r="V508" s="100"/>
      <c r="W508" s="100"/>
      <c r="X508" s="100"/>
      <c r="Y508" s="100"/>
      <c r="Z508" s="100"/>
      <c r="AA508" s="100"/>
      <c r="AB508" s="100"/>
      <c r="AC508" s="100"/>
      <c r="AD508" s="100"/>
    </row>
    <row r="509">
      <c r="A509" s="118"/>
      <c r="B509" s="118"/>
      <c r="C509" s="118"/>
      <c r="D509" s="119"/>
      <c r="E509" s="119"/>
      <c r="F509" s="119"/>
      <c r="G509" s="100"/>
      <c r="H509" s="100"/>
      <c r="I509" s="100"/>
      <c r="J509" s="100"/>
      <c r="K509" s="100"/>
      <c r="L509" s="100"/>
      <c r="M509" s="100"/>
      <c r="N509" s="100"/>
      <c r="O509" s="100"/>
      <c r="P509" s="100"/>
      <c r="Q509" s="100"/>
      <c r="R509" s="100"/>
      <c r="S509" s="100"/>
      <c r="T509" s="100"/>
      <c r="U509" s="100"/>
      <c r="V509" s="100"/>
      <c r="W509" s="100"/>
      <c r="X509" s="100"/>
      <c r="Y509" s="100"/>
      <c r="Z509" s="100"/>
      <c r="AA509" s="100"/>
      <c r="AB509" s="100"/>
      <c r="AC509" s="100"/>
      <c r="AD509" s="100"/>
    </row>
    <row r="510">
      <c r="A510" s="118"/>
      <c r="B510" s="118"/>
      <c r="C510" s="118"/>
      <c r="D510" s="119"/>
      <c r="E510" s="119"/>
      <c r="F510" s="119"/>
      <c r="G510" s="100"/>
      <c r="H510" s="100"/>
      <c r="I510" s="100"/>
      <c r="J510" s="100"/>
      <c r="K510" s="100"/>
      <c r="L510" s="100"/>
      <c r="M510" s="100"/>
      <c r="N510" s="100"/>
      <c r="O510" s="100"/>
      <c r="P510" s="100"/>
      <c r="Q510" s="100"/>
      <c r="R510" s="100"/>
      <c r="S510" s="100"/>
      <c r="T510" s="100"/>
      <c r="U510" s="100"/>
      <c r="V510" s="100"/>
      <c r="W510" s="100"/>
      <c r="X510" s="100"/>
      <c r="Y510" s="100"/>
      <c r="Z510" s="100"/>
      <c r="AA510" s="100"/>
      <c r="AB510" s="100"/>
      <c r="AC510" s="100"/>
      <c r="AD510" s="100"/>
    </row>
    <row r="511">
      <c r="A511" s="118"/>
      <c r="B511" s="118"/>
      <c r="C511" s="118"/>
      <c r="D511" s="119"/>
      <c r="E511" s="119"/>
      <c r="F511" s="119"/>
      <c r="G511" s="100"/>
      <c r="H511" s="100"/>
      <c r="I511" s="100"/>
      <c r="J511" s="100"/>
      <c r="K511" s="100"/>
      <c r="L511" s="100"/>
      <c r="M511" s="100"/>
      <c r="N511" s="100"/>
      <c r="O511" s="100"/>
      <c r="P511" s="100"/>
      <c r="Q511" s="100"/>
      <c r="R511" s="100"/>
      <c r="S511" s="100"/>
      <c r="T511" s="100"/>
      <c r="U511" s="100"/>
      <c r="V511" s="100"/>
      <c r="W511" s="100"/>
      <c r="X511" s="100"/>
      <c r="Y511" s="100"/>
      <c r="Z511" s="100"/>
      <c r="AA511" s="100"/>
      <c r="AB511" s="100"/>
      <c r="AC511" s="100"/>
      <c r="AD511" s="100"/>
    </row>
    <row r="512">
      <c r="A512" s="118"/>
      <c r="B512" s="118"/>
      <c r="C512" s="118"/>
      <c r="D512" s="119"/>
      <c r="E512" s="119"/>
      <c r="F512" s="119"/>
      <c r="G512" s="100"/>
      <c r="H512" s="100"/>
      <c r="I512" s="100"/>
      <c r="J512" s="100"/>
      <c r="K512" s="100"/>
      <c r="L512" s="100"/>
      <c r="M512" s="100"/>
      <c r="N512" s="100"/>
      <c r="O512" s="100"/>
      <c r="P512" s="100"/>
      <c r="Q512" s="100"/>
      <c r="R512" s="100"/>
      <c r="S512" s="100"/>
      <c r="T512" s="100"/>
      <c r="U512" s="100"/>
      <c r="V512" s="100"/>
      <c r="W512" s="100"/>
      <c r="X512" s="100"/>
      <c r="Y512" s="100"/>
      <c r="Z512" s="100"/>
      <c r="AA512" s="100"/>
      <c r="AB512" s="100"/>
      <c r="AC512" s="100"/>
      <c r="AD512" s="100"/>
    </row>
    <row r="513">
      <c r="A513" s="118"/>
      <c r="B513" s="118"/>
      <c r="C513" s="118"/>
      <c r="D513" s="119"/>
      <c r="E513" s="119"/>
      <c r="F513" s="119"/>
      <c r="G513" s="100"/>
      <c r="H513" s="100"/>
      <c r="I513" s="100"/>
      <c r="J513" s="100"/>
      <c r="K513" s="100"/>
      <c r="L513" s="100"/>
      <c r="M513" s="100"/>
      <c r="N513" s="100"/>
      <c r="O513" s="100"/>
      <c r="P513" s="100"/>
      <c r="Q513" s="100"/>
      <c r="R513" s="100"/>
      <c r="S513" s="100"/>
      <c r="T513" s="100"/>
      <c r="U513" s="100"/>
      <c r="V513" s="100"/>
      <c r="W513" s="100"/>
      <c r="X513" s="100"/>
      <c r="Y513" s="100"/>
      <c r="Z513" s="100"/>
      <c r="AA513" s="100"/>
      <c r="AB513" s="100"/>
      <c r="AC513" s="100"/>
      <c r="AD513" s="100"/>
    </row>
    <row r="514">
      <c r="A514" s="118"/>
      <c r="B514" s="118"/>
      <c r="C514" s="118"/>
      <c r="D514" s="119"/>
      <c r="E514" s="119"/>
      <c r="F514" s="119"/>
      <c r="G514" s="100"/>
      <c r="H514" s="100"/>
      <c r="I514" s="100"/>
      <c r="J514" s="100"/>
      <c r="K514" s="100"/>
      <c r="L514" s="100"/>
      <c r="M514" s="100"/>
      <c r="N514" s="100"/>
      <c r="O514" s="100"/>
      <c r="P514" s="100"/>
      <c r="Q514" s="100"/>
      <c r="R514" s="100"/>
      <c r="S514" s="100"/>
      <c r="T514" s="100"/>
      <c r="U514" s="100"/>
      <c r="V514" s="100"/>
      <c r="W514" s="100"/>
      <c r="X514" s="100"/>
      <c r="Y514" s="100"/>
      <c r="Z514" s="100"/>
      <c r="AA514" s="100"/>
      <c r="AB514" s="100"/>
      <c r="AC514" s="100"/>
      <c r="AD514" s="100"/>
    </row>
    <row r="515">
      <c r="A515" s="118"/>
      <c r="B515" s="118"/>
      <c r="C515" s="118"/>
      <c r="D515" s="119"/>
      <c r="E515" s="119"/>
      <c r="F515" s="119"/>
      <c r="G515" s="100"/>
      <c r="H515" s="100"/>
      <c r="I515" s="100"/>
      <c r="J515" s="100"/>
      <c r="K515" s="100"/>
      <c r="L515" s="100"/>
      <c r="M515" s="100"/>
      <c r="N515" s="100"/>
      <c r="O515" s="100"/>
      <c r="P515" s="100"/>
      <c r="Q515" s="100"/>
      <c r="R515" s="100"/>
      <c r="S515" s="100"/>
      <c r="T515" s="100"/>
      <c r="U515" s="100"/>
      <c r="V515" s="100"/>
      <c r="W515" s="100"/>
      <c r="X515" s="100"/>
      <c r="Y515" s="100"/>
      <c r="Z515" s="100"/>
      <c r="AA515" s="100"/>
      <c r="AB515" s="100"/>
      <c r="AC515" s="100"/>
      <c r="AD515" s="100"/>
    </row>
    <row r="516">
      <c r="A516" s="118"/>
      <c r="B516" s="118"/>
      <c r="C516" s="118"/>
      <c r="D516" s="119"/>
      <c r="E516" s="119"/>
      <c r="F516" s="119"/>
      <c r="G516" s="100"/>
      <c r="H516" s="100"/>
      <c r="I516" s="100"/>
      <c r="J516" s="100"/>
      <c r="K516" s="100"/>
      <c r="L516" s="100"/>
      <c r="M516" s="100"/>
      <c r="N516" s="100"/>
      <c r="O516" s="100"/>
      <c r="P516" s="100"/>
      <c r="Q516" s="100"/>
      <c r="R516" s="100"/>
      <c r="S516" s="100"/>
      <c r="T516" s="100"/>
      <c r="U516" s="100"/>
      <c r="V516" s="100"/>
      <c r="W516" s="100"/>
      <c r="X516" s="100"/>
      <c r="Y516" s="100"/>
      <c r="Z516" s="100"/>
      <c r="AA516" s="100"/>
      <c r="AB516" s="100"/>
      <c r="AC516" s="100"/>
      <c r="AD516" s="100"/>
    </row>
    <row r="517">
      <c r="A517" s="118"/>
      <c r="B517" s="118"/>
      <c r="C517" s="118"/>
      <c r="D517" s="119"/>
      <c r="E517" s="119"/>
      <c r="F517" s="119"/>
      <c r="G517" s="100"/>
      <c r="H517" s="100"/>
      <c r="I517" s="100"/>
      <c r="J517" s="100"/>
      <c r="K517" s="100"/>
      <c r="L517" s="100"/>
      <c r="M517" s="100"/>
      <c r="N517" s="100"/>
      <c r="O517" s="100"/>
      <c r="P517" s="100"/>
      <c r="Q517" s="100"/>
      <c r="R517" s="100"/>
      <c r="S517" s="100"/>
      <c r="T517" s="100"/>
      <c r="U517" s="100"/>
      <c r="V517" s="100"/>
      <c r="W517" s="100"/>
      <c r="X517" s="100"/>
      <c r="Y517" s="100"/>
      <c r="Z517" s="100"/>
      <c r="AA517" s="100"/>
      <c r="AB517" s="100"/>
      <c r="AC517" s="100"/>
      <c r="AD517" s="100"/>
    </row>
    <row r="518">
      <c r="A518" s="118"/>
      <c r="B518" s="118"/>
      <c r="C518" s="118"/>
      <c r="D518" s="119"/>
      <c r="E518" s="119"/>
      <c r="F518" s="119"/>
      <c r="G518" s="100"/>
      <c r="H518" s="100"/>
      <c r="I518" s="100"/>
      <c r="J518" s="100"/>
      <c r="K518" s="100"/>
      <c r="L518" s="100"/>
      <c r="M518" s="100"/>
      <c r="N518" s="100"/>
      <c r="O518" s="100"/>
      <c r="P518" s="100"/>
      <c r="Q518" s="100"/>
      <c r="R518" s="100"/>
      <c r="S518" s="100"/>
      <c r="T518" s="100"/>
      <c r="U518" s="100"/>
      <c r="V518" s="100"/>
      <c r="W518" s="100"/>
      <c r="X518" s="100"/>
      <c r="Y518" s="100"/>
      <c r="Z518" s="100"/>
      <c r="AA518" s="100"/>
      <c r="AB518" s="100"/>
      <c r="AC518" s="100"/>
      <c r="AD518" s="100"/>
    </row>
    <row r="519">
      <c r="A519" s="118"/>
      <c r="B519" s="118"/>
      <c r="C519" s="118"/>
      <c r="D519" s="119"/>
      <c r="E519" s="119"/>
      <c r="F519" s="119"/>
      <c r="G519" s="100"/>
      <c r="H519" s="100"/>
      <c r="I519" s="100"/>
      <c r="J519" s="100"/>
      <c r="K519" s="100"/>
      <c r="L519" s="100"/>
      <c r="M519" s="100"/>
      <c r="N519" s="100"/>
      <c r="O519" s="100"/>
      <c r="P519" s="100"/>
      <c r="Q519" s="100"/>
      <c r="R519" s="100"/>
      <c r="S519" s="100"/>
      <c r="T519" s="100"/>
      <c r="U519" s="100"/>
      <c r="V519" s="100"/>
      <c r="W519" s="100"/>
      <c r="X519" s="100"/>
      <c r="Y519" s="100"/>
      <c r="Z519" s="100"/>
      <c r="AA519" s="100"/>
      <c r="AB519" s="100"/>
      <c r="AC519" s="100"/>
      <c r="AD519" s="100"/>
    </row>
    <row r="520">
      <c r="A520" s="118"/>
      <c r="B520" s="118"/>
      <c r="C520" s="118"/>
      <c r="D520" s="119"/>
      <c r="E520" s="119"/>
      <c r="F520" s="119"/>
      <c r="G520" s="100"/>
      <c r="H520" s="100"/>
      <c r="I520" s="100"/>
      <c r="J520" s="100"/>
      <c r="K520" s="100"/>
      <c r="L520" s="100"/>
      <c r="M520" s="100"/>
      <c r="N520" s="100"/>
      <c r="O520" s="100"/>
      <c r="P520" s="100"/>
      <c r="Q520" s="100"/>
      <c r="R520" s="100"/>
      <c r="S520" s="100"/>
      <c r="T520" s="100"/>
      <c r="U520" s="100"/>
      <c r="V520" s="100"/>
      <c r="W520" s="100"/>
      <c r="X520" s="100"/>
      <c r="Y520" s="100"/>
      <c r="Z520" s="100"/>
      <c r="AA520" s="100"/>
      <c r="AB520" s="100"/>
      <c r="AC520" s="100"/>
      <c r="AD520" s="100"/>
    </row>
    <row r="521">
      <c r="A521" s="118"/>
      <c r="B521" s="118"/>
      <c r="C521" s="118"/>
      <c r="D521" s="119"/>
      <c r="E521" s="119"/>
      <c r="F521" s="119"/>
      <c r="G521" s="100"/>
      <c r="H521" s="100"/>
      <c r="I521" s="100"/>
      <c r="J521" s="100"/>
      <c r="K521" s="100"/>
      <c r="L521" s="100"/>
      <c r="M521" s="100"/>
      <c r="N521" s="100"/>
      <c r="O521" s="100"/>
      <c r="P521" s="100"/>
      <c r="Q521" s="100"/>
      <c r="R521" s="100"/>
      <c r="S521" s="100"/>
      <c r="T521" s="100"/>
      <c r="U521" s="100"/>
      <c r="V521" s="100"/>
      <c r="W521" s="100"/>
      <c r="X521" s="100"/>
      <c r="Y521" s="100"/>
      <c r="Z521" s="100"/>
      <c r="AA521" s="100"/>
      <c r="AB521" s="100"/>
      <c r="AC521" s="100"/>
      <c r="AD521" s="100"/>
    </row>
    <row r="522">
      <c r="A522" s="118"/>
      <c r="B522" s="118"/>
      <c r="C522" s="118"/>
      <c r="D522" s="119"/>
      <c r="E522" s="119"/>
      <c r="F522" s="119"/>
      <c r="G522" s="100"/>
      <c r="H522" s="100"/>
      <c r="I522" s="100"/>
      <c r="J522" s="100"/>
      <c r="K522" s="100"/>
      <c r="L522" s="100"/>
      <c r="M522" s="100"/>
      <c r="N522" s="100"/>
      <c r="O522" s="100"/>
      <c r="P522" s="100"/>
      <c r="Q522" s="100"/>
      <c r="R522" s="100"/>
      <c r="S522" s="100"/>
      <c r="T522" s="100"/>
      <c r="U522" s="100"/>
      <c r="V522" s="100"/>
      <c r="W522" s="100"/>
      <c r="X522" s="100"/>
      <c r="Y522" s="100"/>
      <c r="Z522" s="100"/>
      <c r="AA522" s="100"/>
      <c r="AB522" s="100"/>
      <c r="AC522" s="100"/>
      <c r="AD522" s="100"/>
    </row>
    <row r="523">
      <c r="A523" s="118"/>
      <c r="B523" s="118"/>
      <c r="C523" s="118"/>
      <c r="D523" s="119"/>
      <c r="E523" s="119"/>
      <c r="F523" s="119"/>
      <c r="G523" s="100"/>
      <c r="H523" s="100"/>
      <c r="I523" s="100"/>
      <c r="J523" s="100"/>
      <c r="K523" s="100"/>
      <c r="L523" s="100"/>
      <c r="M523" s="100"/>
      <c r="N523" s="100"/>
      <c r="O523" s="100"/>
      <c r="P523" s="100"/>
      <c r="Q523" s="100"/>
      <c r="R523" s="100"/>
      <c r="S523" s="100"/>
      <c r="T523" s="100"/>
      <c r="U523" s="100"/>
      <c r="V523" s="100"/>
      <c r="W523" s="100"/>
      <c r="X523" s="100"/>
      <c r="Y523" s="100"/>
      <c r="Z523" s="100"/>
      <c r="AA523" s="100"/>
      <c r="AB523" s="100"/>
      <c r="AC523" s="100"/>
      <c r="AD523" s="100"/>
    </row>
    <row r="524">
      <c r="A524" s="118"/>
      <c r="B524" s="118"/>
      <c r="C524" s="118"/>
      <c r="D524" s="119"/>
      <c r="E524" s="119"/>
      <c r="F524" s="119"/>
      <c r="G524" s="100"/>
      <c r="H524" s="100"/>
      <c r="I524" s="100"/>
      <c r="J524" s="100"/>
      <c r="K524" s="100"/>
      <c r="L524" s="100"/>
      <c r="M524" s="100"/>
      <c r="N524" s="100"/>
      <c r="O524" s="100"/>
      <c r="P524" s="100"/>
      <c r="Q524" s="100"/>
      <c r="R524" s="100"/>
      <c r="S524" s="100"/>
      <c r="T524" s="100"/>
      <c r="U524" s="100"/>
      <c r="V524" s="100"/>
      <c r="W524" s="100"/>
      <c r="X524" s="100"/>
      <c r="Y524" s="100"/>
      <c r="Z524" s="100"/>
      <c r="AA524" s="100"/>
      <c r="AB524" s="100"/>
      <c r="AC524" s="100"/>
      <c r="AD524" s="100"/>
    </row>
    <row r="525">
      <c r="A525" s="118"/>
      <c r="B525" s="118"/>
      <c r="C525" s="118"/>
      <c r="D525" s="119"/>
      <c r="E525" s="119"/>
      <c r="F525" s="119"/>
      <c r="G525" s="100"/>
      <c r="H525" s="100"/>
      <c r="I525" s="100"/>
      <c r="J525" s="100"/>
      <c r="K525" s="100"/>
      <c r="L525" s="100"/>
      <c r="M525" s="100"/>
      <c r="N525" s="100"/>
      <c r="O525" s="100"/>
      <c r="P525" s="100"/>
      <c r="Q525" s="100"/>
      <c r="R525" s="100"/>
      <c r="S525" s="100"/>
      <c r="T525" s="100"/>
      <c r="U525" s="100"/>
      <c r="V525" s="100"/>
      <c r="W525" s="100"/>
      <c r="X525" s="100"/>
      <c r="Y525" s="100"/>
      <c r="Z525" s="100"/>
      <c r="AA525" s="100"/>
      <c r="AB525" s="100"/>
      <c r="AC525" s="100"/>
      <c r="AD525" s="100"/>
    </row>
    <row r="526">
      <c r="A526" s="118"/>
      <c r="B526" s="118"/>
      <c r="C526" s="118"/>
      <c r="D526" s="119"/>
      <c r="E526" s="119"/>
      <c r="F526" s="119"/>
      <c r="G526" s="100"/>
      <c r="H526" s="100"/>
      <c r="I526" s="100"/>
      <c r="J526" s="100"/>
      <c r="K526" s="100"/>
      <c r="L526" s="100"/>
      <c r="M526" s="100"/>
      <c r="N526" s="100"/>
      <c r="O526" s="100"/>
      <c r="P526" s="100"/>
      <c r="Q526" s="100"/>
      <c r="R526" s="100"/>
      <c r="S526" s="100"/>
      <c r="T526" s="100"/>
      <c r="U526" s="100"/>
      <c r="V526" s="100"/>
      <c r="W526" s="100"/>
      <c r="X526" s="100"/>
      <c r="Y526" s="100"/>
      <c r="Z526" s="100"/>
      <c r="AA526" s="100"/>
      <c r="AB526" s="100"/>
      <c r="AC526" s="100"/>
      <c r="AD526" s="100"/>
    </row>
    <row r="527">
      <c r="A527" s="118"/>
      <c r="B527" s="118"/>
      <c r="C527" s="118"/>
      <c r="D527" s="119"/>
      <c r="E527" s="119"/>
      <c r="F527" s="119"/>
      <c r="G527" s="100"/>
      <c r="H527" s="100"/>
      <c r="I527" s="100"/>
      <c r="J527" s="100"/>
      <c r="K527" s="100"/>
      <c r="L527" s="100"/>
      <c r="M527" s="100"/>
      <c r="N527" s="100"/>
      <c r="O527" s="100"/>
      <c r="P527" s="100"/>
      <c r="Q527" s="100"/>
      <c r="R527" s="100"/>
      <c r="S527" s="100"/>
      <c r="T527" s="100"/>
      <c r="U527" s="100"/>
      <c r="V527" s="100"/>
      <c r="W527" s="100"/>
      <c r="X527" s="100"/>
      <c r="Y527" s="100"/>
      <c r="Z527" s="100"/>
      <c r="AA527" s="100"/>
      <c r="AB527" s="100"/>
      <c r="AC527" s="100"/>
      <c r="AD527" s="100"/>
    </row>
    <row r="528">
      <c r="A528" s="118"/>
      <c r="B528" s="118"/>
      <c r="C528" s="118"/>
      <c r="D528" s="119"/>
      <c r="E528" s="119"/>
      <c r="F528" s="119"/>
      <c r="G528" s="100"/>
      <c r="H528" s="100"/>
      <c r="I528" s="100"/>
      <c r="J528" s="100"/>
      <c r="K528" s="100"/>
      <c r="L528" s="100"/>
      <c r="M528" s="100"/>
      <c r="N528" s="100"/>
      <c r="O528" s="100"/>
      <c r="P528" s="100"/>
      <c r="Q528" s="100"/>
      <c r="R528" s="100"/>
      <c r="S528" s="100"/>
      <c r="T528" s="100"/>
      <c r="U528" s="100"/>
      <c r="V528" s="100"/>
      <c r="W528" s="100"/>
      <c r="X528" s="100"/>
      <c r="Y528" s="100"/>
      <c r="Z528" s="100"/>
      <c r="AA528" s="100"/>
      <c r="AB528" s="100"/>
      <c r="AC528" s="100"/>
      <c r="AD528" s="100"/>
    </row>
    <row r="529">
      <c r="A529" s="118"/>
      <c r="B529" s="118"/>
      <c r="C529" s="118"/>
      <c r="D529" s="119"/>
      <c r="E529" s="119"/>
      <c r="F529" s="119"/>
      <c r="G529" s="100"/>
      <c r="H529" s="100"/>
      <c r="I529" s="100"/>
      <c r="J529" s="100"/>
      <c r="K529" s="100"/>
      <c r="L529" s="100"/>
      <c r="M529" s="100"/>
      <c r="N529" s="100"/>
      <c r="O529" s="100"/>
      <c r="P529" s="100"/>
      <c r="Q529" s="100"/>
      <c r="R529" s="100"/>
      <c r="S529" s="100"/>
      <c r="T529" s="100"/>
      <c r="U529" s="100"/>
      <c r="V529" s="100"/>
      <c r="W529" s="100"/>
      <c r="X529" s="100"/>
      <c r="Y529" s="100"/>
      <c r="Z529" s="100"/>
      <c r="AA529" s="100"/>
      <c r="AB529" s="100"/>
      <c r="AC529" s="100"/>
      <c r="AD529" s="100"/>
    </row>
    <row r="530">
      <c r="A530" s="118"/>
      <c r="B530" s="118"/>
      <c r="C530" s="118"/>
      <c r="D530" s="119"/>
      <c r="E530" s="119"/>
      <c r="F530" s="119"/>
      <c r="G530" s="100"/>
      <c r="H530" s="100"/>
      <c r="I530" s="100"/>
      <c r="J530" s="100"/>
      <c r="K530" s="100"/>
      <c r="L530" s="100"/>
      <c r="M530" s="100"/>
      <c r="N530" s="100"/>
      <c r="O530" s="100"/>
      <c r="P530" s="100"/>
      <c r="Q530" s="100"/>
      <c r="R530" s="100"/>
      <c r="S530" s="100"/>
      <c r="T530" s="100"/>
      <c r="U530" s="100"/>
      <c r="V530" s="100"/>
      <c r="W530" s="100"/>
      <c r="X530" s="100"/>
      <c r="Y530" s="100"/>
      <c r="Z530" s="100"/>
      <c r="AA530" s="100"/>
      <c r="AB530" s="100"/>
      <c r="AC530" s="100"/>
      <c r="AD530" s="100"/>
    </row>
    <row r="531">
      <c r="A531" s="118"/>
      <c r="B531" s="118"/>
      <c r="C531" s="118"/>
      <c r="D531" s="119"/>
      <c r="E531" s="119"/>
      <c r="F531" s="119"/>
      <c r="G531" s="100"/>
      <c r="H531" s="100"/>
      <c r="I531" s="100"/>
      <c r="J531" s="100"/>
      <c r="K531" s="100"/>
      <c r="L531" s="100"/>
      <c r="M531" s="100"/>
      <c r="N531" s="100"/>
      <c r="O531" s="100"/>
      <c r="P531" s="100"/>
      <c r="Q531" s="100"/>
      <c r="R531" s="100"/>
      <c r="S531" s="100"/>
      <c r="T531" s="100"/>
      <c r="U531" s="100"/>
      <c r="V531" s="100"/>
      <c r="W531" s="100"/>
      <c r="X531" s="100"/>
      <c r="Y531" s="100"/>
      <c r="Z531" s="100"/>
      <c r="AA531" s="100"/>
      <c r="AB531" s="100"/>
      <c r="AC531" s="100"/>
      <c r="AD531" s="100"/>
    </row>
    <row r="532">
      <c r="A532" s="118"/>
      <c r="B532" s="118"/>
      <c r="C532" s="118"/>
      <c r="D532" s="119"/>
      <c r="E532" s="119"/>
      <c r="F532" s="119"/>
      <c r="G532" s="100"/>
      <c r="H532" s="100"/>
      <c r="I532" s="100"/>
      <c r="J532" s="100"/>
      <c r="K532" s="100"/>
      <c r="L532" s="100"/>
      <c r="M532" s="100"/>
      <c r="N532" s="100"/>
      <c r="O532" s="100"/>
      <c r="P532" s="100"/>
      <c r="Q532" s="100"/>
      <c r="R532" s="100"/>
      <c r="S532" s="100"/>
      <c r="T532" s="100"/>
      <c r="U532" s="100"/>
      <c r="V532" s="100"/>
      <c r="W532" s="100"/>
      <c r="X532" s="100"/>
      <c r="Y532" s="100"/>
      <c r="Z532" s="100"/>
      <c r="AA532" s="100"/>
      <c r="AB532" s="100"/>
      <c r="AC532" s="100"/>
      <c r="AD532" s="100"/>
    </row>
    <row r="533">
      <c r="A533" s="118"/>
      <c r="B533" s="118"/>
      <c r="C533" s="118"/>
      <c r="D533" s="119"/>
      <c r="E533" s="119"/>
      <c r="F533" s="119"/>
      <c r="G533" s="100"/>
      <c r="H533" s="100"/>
      <c r="I533" s="100"/>
      <c r="J533" s="100"/>
      <c r="K533" s="100"/>
      <c r="L533" s="100"/>
      <c r="M533" s="100"/>
      <c r="N533" s="100"/>
      <c r="O533" s="100"/>
      <c r="P533" s="100"/>
      <c r="Q533" s="100"/>
      <c r="R533" s="100"/>
      <c r="S533" s="100"/>
      <c r="T533" s="100"/>
      <c r="U533" s="100"/>
      <c r="V533" s="100"/>
      <c r="W533" s="100"/>
      <c r="X533" s="100"/>
      <c r="Y533" s="100"/>
      <c r="Z533" s="100"/>
      <c r="AA533" s="100"/>
      <c r="AB533" s="100"/>
      <c r="AC533" s="100"/>
      <c r="AD533" s="100"/>
    </row>
    <row r="534">
      <c r="A534" s="118"/>
      <c r="B534" s="118"/>
      <c r="C534" s="118"/>
      <c r="D534" s="119"/>
      <c r="E534" s="119"/>
      <c r="F534" s="119"/>
      <c r="G534" s="100"/>
      <c r="H534" s="100"/>
      <c r="I534" s="100"/>
      <c r="J534" s="100"/>
      <c r="K534" s="100"/>
      <c r="L534" s="100"/>
      <c r="M534" s="100"/>
      <c r="N534" s="100"/>
      <c r="O534" s="100"/>
      <c r="P534" s="100"/>
      <c r="Q534" s="100"/>
      <c r="R534" s="100"/>
      <c r="S534" s="100"/>
      <c r="T534" s="100"/>
      <c r="U534" s="100"/>
      <c r="V534" s="100"/>
      <c r="W534" s="100"/>
      <c r="X534" s="100"/>
      <c r="Y534" s="100"/>
      <c r="Z534" s="100"/>
      <c r="AA534" s="100"/>
      <c r="AB534" s="100"/>
      <c r="AC534" s="100"/>
      <c r="AD534" s="100"/>
    </row>
    <row r="535">
      <c r="A535" s="118"/>
      <c r="B535" s="118"/>
      <c r="C535" s="118"/>
      <c r="D535" s="119"/>
      <c r="E535" s="119"/>
      <c r="F535" s="119"/>
      <c r="G535" s="100"/>
      <c r="H535" s="100"/>
      <c r="I535" s="100"/>
      <c r="J535" s="100"/>
      <c r="K535" s="100"/>
      <c r="L535" s="100"/>
      <c r="M535" s="100"/>
      <c r="N535" s="100"/>
      <c r="O535" s="100"/>
      <c r="P535" s="100"/>
      <c r="Q535" s="100"/>
      <c r="R535" s="100"/>
      <c r="S535" s="100"/>
      <c r="T535" s="100"/>
      <c r="U535" s="100"/>
      <c r="V535" s="100"/>
      <c r="W535" s="100"/>
      <c r="X535" s="100"/>
      <c r="Y535" s="100"/>
      <c r="Z535" s="100"/>
      <c r="AA535" s="100"/>
      <c r="AB535" s="100"/>
      <c r="AC535" s="100"/>
      <c r="AD535" s="100"/>
    </row>
    <row r="536">
      <c r="A536" s="118"/>
      <c r="B536" s="118"/>
      <c r="C536" s="118"/>
      <c r="D536" s="119"/>
      <c r="E536" s="119"/>
      <c r="F536" s="119"/>
      <c r="G536" s="100"/>
      <c r="H536" s="100"/>
      <c r="I536" s="100"/>
      <c r="J536" s="100"/>
      <c r="K536" s="100"/>
      <c r="L536" s="100"/>
      <c r="M536" s="100"/>
      <c r="N536" s="100"/>
      <c r="O536" s="100"/>
      <c r="P536" s="100"/>
      <c r="Q536" s="100"/>
      <c r="R536" s="100"/>
      <c r="S536" s="100"/>
      <c r="T536" s="100"/>
      <c r="U536" s="100"/>
      <c r="V536" s="100"/>
      <c r="W536" s="100"/>
      <c r="X536" s="100"/>
      <c r="Y536" s="100"/>
      <c r="Z536" s="100"/>
      <c r="AA536" s="100"/>
      <c r="AB536" s="100"/>
      <c r="AC536" s="100"/>
      <c r="AD536" s="100"/>
    </row>
    <row r="537">
      <c r="A537" s="118"/>
      <c r="B537" s="118"/>
      <c r="C537" s="118"/>
      <c r="D537" s="119"/>
      <c r="E537" s="119"/>
      <c r="F537" s="119"/>
      <c r="G537" s="100"/>
      <c r="H537" s="100"/>
      <c r="I537" s="100"/>
      <c r="J537" s="100"/>
      <c r="K537" s="100"/>
      <c r="L537" s="100"/>
      <c r="M537" s="100"/>
      <c r="N537" s="100"/>
      <c r="O537" s="100"/>
      <c r="P537" s="100"/>
      <c r="Q537" s="100"/>
      <c r="R537" s="100"/>
      <c r="S537" s="100"/>
      <c r="T537" s="100"/>
      <c r="U537" s="100"/>
      <c r="V537" s="100"/>
      <c r="W537" s="100"/>
      <c r="X537" s="100"/>
      <c r="Y537" s="100"/>
      <c r="Z537" s="100"/>
      <c r="AA537" s="100"/>
      <c r="AB537" s="100"/>
      <c r="AC537" s="100"/>
      <c r="AD537" s="100"/>
    </row>
    <row r="538">
      <c r="A538" s="118"/>
      <c r="B538" s="118"/>
      <c r="C538" s="118"/>
      <c r="D538" s="119"/>
      <c r="E538" s="119"/>
      <c r="F538" s="119"/>
      <c r="G538" s="100"/>
      <c r="H538" s="100"/>
      <c r="I538" s="100"/>
      <c r="J538" s="100"/>
      <c r="K538" s="100"/>
      <c r="L538" s="100"/>
      <c r="M538" s="100"/>
      <c r="N538" s="100"/>
      <c r="O538" s="100"/>
      <c r="P538" s="100"/>
      <c r="Q538" s="100"/>
      <c r="R538" s="100"/>
      <c r="S538" s="100"/>
      <c r="T538" s="100"/>
      <c r="U538" s="100"/>
      <c r="V538" s="100"/>
      <c r="W538" s="100"/>
      <c r="X538" s="100"/>
      <c r="Y538" s="100"/>
      <c r="Z538" s="100"/>
      <c r="AA538" s="100"/>
      <c r="AB538" s="100"/>
      <c r="AC538" s="100"/>
      <c r="AD538" s="100"/>
    </row>
    <row r="539">
      <c r="A539" s="118"/>
      <c r="B539" s="118"/>
      <c r="C539" s="118"/>
      <c r="D539" s="119"/>
      <c r="E539" s="119"/>
      <c r="F539" s="119"/>
      <c r="G539" s="100"/>
      <c r="H539" s="100"/>
      <c r="I539" s="100"/>
      <c r="J539" s="100"/>
      <c r="K539" s="100"/>
      <c r="L539" s="100"/>
      <c r="M539" s="100"/>
      <c r="N539" s="100"/>
      <c r="O539" s="100"/>
      <c r="P539" s="100"/>
      <c r="Q539" s="100"/>
      <c r="R539" s="100"/>
      <c r="S539" s="100"/>
      <c r="T539" s="100"/>
      <c r="U539" s="100"/>
      <c r="V539" s="100"/>
      <c r="W539" s="100"/>
      <c r="X539" s="100"/>
      <c r="Y539" s="100"/>
      <c r="Z539" s="100"/>
      <c r="AA539" s="100"/>
      <c r="AB539" s="100"/>
      <c r="AC539" s="100"/>
      <c r="AD539" s="100"/>
    </row>
    <row r="540">
      <c r="A540" s="118"/>
      <c r="B540" s="118"/>
      <c r="C540" s="118"/>
      <c r="D540" s="119"/>
      <c r="E540" s="119"/>
      <c r="F540" s="119"/>
      <c r="G540" s="100"/>
      <c r="H540" s="100"/>
      <c r="I540" s="100"/>
      <c r="J540" s="100"/>
      <c r="K540" s="100"/>
      <c r="L540" s="100"/>
      <c r="M540" s="100"/>
      <c r="N540" s="100"/>
      <c r="O540" s="100"/>
      <c r="P540" s="100"/>
      <c r="Q540" s="100"/>
      <c r="R540" s="100"/>
      <c r="S540" s="100"/>
      <c r="T540" s="100"/>
      <c r="U540" s="100"/>
      <c r="V540" s="100"/>
      <c r="W540" s="100"/>
      <c r="X540" s="100"/>
      <c r="Y540" s="100"/>
      <c r="Z540" s="100"/>
      <c r="AA540" s="100"/>
      <c r="AB540" s="100"/>
      <c r="AC540" s="100"/>
      <c r="AD540" s="100"/>
    </row>
    <row r="541">
      <c r="A541" s="118"/>
      <c r="B541" s="118"/>
      <c r="C541" s="118"/>
      <c r="D541" s="119"/>
      <c r="E541" s="119"/>
      <c r="F541" s="119"/>
      <c r="G541" s="100"/>
      <c r="H541" s="100"/>
      <c r="I541" s="100"/>
      <c r="J541" s="100"/>
      <c r="K541" s="100"/>
      <c r="L541" s="100"/>
      <c r="M541" s="100"/>
      <c r="N541" s="100"/>
      <c r="O541" s="100"/>
      <c r="P541" s="100"/>
      <c r="Q541" s="100"/>
      <c r="R541" s="100"/>
      <c r="S541" s="100"/>
      <c r="T541" s="100"/>
      <c r="U541" s="100"/>
      <c r="V541" s="100"/>
      <c r="W541" s="100"/>
      <c r="X541" s="100"/>
      <c r="Y541" s="100"/>
      <c r="Z541" s="100"/>
      <c r="AA541" s="100"/>
      <c r="AB541" s="100"/>
      <c r="AC541" s="100"/>
      <c r="AD541" s="100"/>
    </row>
    <row r="542">
      <c r="A542" s="118"/>
      <c r="B542" s="118"/>
      <c r="C542" s="118"/>
      <c r="D542" s="119"/>
      <c r="E542" s="119"/>
      <c r="F542" s="119"/>
      <c r="G542" s="100"/>
      <c r="H542" s="100"/>
      <c r="I542" s="100"/>
      <c r="J542" s="100"/>
      <c r="K542" s="100"/>
      <c r="L542" s="100"/>
      <c r="M542" s="100"/>
      <c r="N542" s="100"/>
      <c r="O542" s="100"/>
      <c r="P542" s="100"/>
      <c r="Q542" s="100"/>
      <c r="R542" s="100"/>
      <c r="S542" s="100"/>
      <c r="T542" s="100"/>
      <c r="U542" s="100"/>
      <c r="V542" s="100"/>
      <c r="W542" s="100"/>
      <c r="X542" s="100"/>
      <c r="Y542" s="100"/>
      <c r="Z542" s="100"/>
      <c r="AA542" s="100"/>
      <c r="AB542" s="100"/>
      <c r="AC542" s="100"/>
      <c r="AD542" s="100"/>
    </row>
    <row r="543">
      <c r="A543" s="118"/>
      <c r="B543" s="118"/>
      <c r="C543" s="118"/>
      <c r="D543" s="119"/>
      <c r="E543" s="119"/>
      <c r="F543" s="119"/>
      <c r="G543" s="100"/>
      <c r="H543" s="100"/>
      <c r="I543" s="100"/>
      <c r="J543" s="100"/>
      <c r="K543" s="100"/>
      <c r="L543" s="100"/>
      <c r="M543" s="100"/>
      <c r="N543" s="100"/>
      <c r="O543" s="100"/>
      <c r="P543" s="100"/>
      <c r="Q543" s="100"/>
      <c r="R543" s="100"/>
      <c r="S543" s="100"/>
      <c r="T543" s="100"/>
      <c r="U543" s="100"/>
      <c r="V543" s="100"/>
      <c r="W543" s="100"/>
      <c r="X543" s="100"/>
      <c r="Y543" s="100"/>
      <c r="Z543" s="100"/>
      <c r="AA543" s="100"/>
      <c r="AB543" s="100"/>
      <c r="AC543" s="100"/>
      <c r="AD543" s="100"/>
    </row>
    <row r="544">
      <c r="A544" s="118"/>
      <c r="B544" s="118"/>
      <c r="C544" s="118"/>
      <c r="D544" s="119"/>
      <c r="E544" s="119"/>
      <c r="F544" s="119"/>
      <c r="G544" s="100"/>
      <c r="H544" s="100"/>
      <c r="I544" s="100"/>
      <c r="J544" s="100"/>
      <c r="K544" s="100"/>
      <c r="L544" s="100"/>
      <c r="M544" s="100"/>
      <c r="N544" s="100"/>
      <c r="O544" s="100"/>
      <c r="P544" s="100"/>
      <c r="Q544" s="100"/>
      <c r="R544" s="100"/>
      <c r="S544" s="100"/>
      <c r="T544" s="100"/>
      <c r="U544" s="100"/>
      <c r="V544" s="100"/>
      <c r="W544" s="100"/>
      <c r="X544" s="100"/>
      <c r="Y544" s="100"/>
      <c r="Z544" s="100"/>
      <c r="AA544" s="100"/>
      <c r="AB544" s="100"/>
      <c r="AC544" s="100"/>
      <c r="AD544" s="100"/>
    </row>
    <row r="545">
      <c r="A545" s="118"/>
      <c r="B545" s="118"/>
      <c r="C545" s="118"/>
      <c r="D545" s="119"/>
      <c r="E545" s="119"/>
      <c r="F545" s="119"/>
      <c r="G545" s="100"/>
      <c r="H545" s="100"/>
      <c r="I545" s="100"/>
      <c r="J545" s="100"/>
      <c r="K545" s="100"/>
      <c r="L545" s="100"/>
      <c r="M545" s="100"/>
      <c r="N545" s="100"/>
      <c r="O545" s="100"/>
      <c r="P545" s="100"/>
      <c r="Q545" s="100"/>
      <c r="R545" s="100"/>
      <c r="S545" s="100"/>
      <c r="T545" s="100"/>
      <c r="U545" s="100"/>
      <c r="V545" s="100"/>
      <c r="W545" s="100"/>
      <c r="X545" s="100"/>
      <c r="Y545" s="100"/>
      <c r="Z545" s="100"/>
      <c r="AA545" s="100"/>
      <c r="AB545" s="100"/>
      <c r="AC545" s="100"/>
      <c r="AD545" s="100"/>
    </row>
    <row r="546">
      <c r="A546" s="118"/>
      <c r="B546" s="118"/>
      <c r="C546" s="118"/>
      <c r="D546" s="119"/>
      <c r="E546" s="119"/>
      <c r="F546" s="119"/>
      <c r="G546" s="100"/>
      <c r="H546" s="100"/>
      <c r="I546" s="100"/>
      <c r="J546" s="100"/>
      <c r="K546" s="100"/>
      <c r="L546" s="100"/>
      <c r="M546" s="100"/>
      <c r="N546" s="100"/>
      <c r="O546" s="100"/>
      <c r="P546" s="100"/>
      <c r="Q546" s="100"/>
      <c r="R546" s="100"/>
      <c r="S546" s="100"/>
      <c r="T546" s="100"/>
      <c r="U546" s="100"/>
      <c r="V546" s="100"/>
      <c r="W546" s="100"/>
      <c r="X546" s="100"/>
      <c r="Y546" s="100"/>
      <c r="Z546" s="100"/>
      <c r="AA546" s="100"/>
      <c r="AB546" s="100"/>
      <c r="AC546" s="100"/>
      <c r="AD546" s="100"/>
    </row>
    <row r="547">
      <c r="A547" s="118"/>
      <c r="B547" s="118"/>
      <c r="C547" s="118"/>
      <c r="D547" s="119"/>
      <c r="E547" s="119"/>
      <c r="F547" s="119"/>
      <c r="G547" s="100"/>
      <c r="H547" s="100"/>
      <c r="I547" s="100"/>
      <c r="J547" s="100"/>
      <c r="K547" s="100"/>
      <c r="L547" s="100"/>
      <c r="M547" s="100"/>
      <c r="N547" s="100"/>
      <c r="O547" s="100"/>
      <c r="P547" s="100"/>
      <c r="Q547" s="100"/>
      <c r="R547" s="100"/>
      <c r="S547" s="100"/>
      <c r="T547" s="100"/>
      <c r="U547" s="100"/>
      <c r="V547" s="100"/>
      <c r="W547" s="100"/>
      <c r="X547" s="100"/>
      <c r="Y547" s="100"/>
      <c r="Z547" s="100"/>
      <c r="AA547" s="100"/>
      <c r="AB547" s="100"/>
      <c r="AC547" s="100"/>
      <c r="AD547" s="100"/>
    </row>
    <row r="548">
      <c r="A548" s="118"/>
      <c r="B548" s="118"/>
      <c r="C548" s="118"/>
      <c r="D548" s="119"/>
      <c r="E548" s="119"/>
      <c r="F548" s="119"/>
      <c r="G548" s="100"/>
      <c r="H548" s="100"/>
      <c r="I548" s="100"/>
      <c r="J548" s="100"/>
      <c r="K548" s="100"/>
      <c r="L548" s="100"/>
      <c r="M548" s="100"/>
      <c r="N548" s="100"/>
      <c r="O548" s="100"/>
      <c r="P548" s="100"/>
      <c r="Q548" s="100"/>
      <c r="R548" s="100"/>
      <c r="S548" s="100"/>
      <c r="T548" s="100"/>
      <c r="U548" s="100"/>
      <c r="V548" s="100"/>
      <c r="W548" s="100"/>
      <c r="X548" s="100"/>
      <c r="Y548" s="100"/>
      <c r="Z548" s="100"/>
      <c r="AA548" s="100"/>
      <c r="AB548" s="100"/>
      <c r="AC548" s="100"/>
      <c r="AD548" s="100"/>
    </row>
    <row r="549">
      <c r="A549" s="118"/>
      <c r="B549" s="118"/>
      <c r="C549" s="118"/>
      <c r="D549" s="119"/>
      <c r="E549" s="119"/>
      <c r="F549" s="119"/>
      <c r="G549" s="100"/>
      <c r="H549" s="100"/>
      <c r="I549" s="100"/>
      <c r="J549" s="100"/>
      <c r="K549" s="100"/>
      <c r="L549" s="100"/>
      <c r="M549" s="100"/>
      <c r="N549" s="100"/>
      <c r="O549" s="100"/>
      <c r="P549" s="100"/>
      <c r="Q549" s="100"/>
      <c r="R549" s="100"/>
      <c r="S549" s="100"/>
      <c r="T549" s="100"/>
      <c r="U549" s="100"/>
      <c r="V549" s="100"/>
      <c r="W549" s="100"/>
      <c r="X549" s="100"/>
      <c r="Y549" s="100"/>
      <c r="Z549" s="100"/>
      <c r="AA549" s="100"/>
      <c r="AB549" s="100"/>
      <c r="AC549" s="100"/>
      <c r="AD549" s="100"/>
    </row>
    <row r="550">
      <c r="A550" s="118"/>
      <c r="B550" s="118"/>
      <c r="C550" s="118"/>
      <c r="D550" s="119"/>
      <c r="E550" s="119"/>
      <c r="F550" s="119"/>
      <c r="G550" s="100"/>
      <c r="H550" s="100"/>
      <c r="I550" s="100"/>
      <c r="J550" s="100"/>
      <c r="K550" s="100"/>
      <c r="L550" s="100"/>
      <c r="M550" s="100"/>
      <c r="N550" s="100"/>
      <c r="O550" s="100"/>
      <c r="P550" s="100"/>
      <c r="Q550" s="100"/>
      <c r="R550" s="100"/>
      <c r="S550" s="100"/>
      <c r="T550" s="100"/>
      <c r="U550" s="100"/>
      <c r="V550" s="100"/>
      <c r="W550" s="100"/>
      <c r="X550" s="100"/>
      <c r="Y550" s="100"/>
      <c r="Z550" s="100"/>
      <c r="AA550" s="100"/>
      <c r="AB550" s="100"/>
      <c r="AC550" s="100"/>
      <c r="AD550" s="100"/>
    </row>
    <row r="551">
      <c r="A551" s="118"/>
      <c r="B551" s="118"/>
      <c r="C551" s="118"/>
      <c r="D551" s="119"/>
      <c r="E551" s="119"/>
      <c r="F551" s="119"/>
      <c r="G551" s="100"/>
      <c r="H551" s="100"/>
      <c r="I551" s="100"/>
      <c r="J551" s="100"/>
      <c r="K551" s="100"/>
      <c r="L551" s="100"/>
      <c r="M551" s="100"/>
      <c r="N551" s="100"/>
      <c r="O551" s="100"/>
      <c r="P551" s="100"/>
      <c r="Q551" s="100"/>
      <c r="R551" s="100"/>
      <c r="S551" s="100"/>
      <c r="T551" s="100"/>
      <c r="U551" s="100"/>
      <c r="V551" s="100"/>
      <c r="W551" s="100"/>
      <c r="X551" s="100"/>
      <c r="Y551" s="100"/>
      <c r="Z551" s="100"/>
      <c r="AA551" s="100"/>
      <c r="AB551" s="100"/>
      <c r="AC551" s="100"/>
      <c r="AD551" s="100"/>
    </row>
    <row r="552">
      <c r="A552" s="118"/>
      <c r="B552" s="118"/>
      <c r="C552" s="118"/>
      <c r="D552" s="119"/>
      <c r="E552" s="119"/>
      <c r="F552" s="119"/>
      <c r="G552" s="100"/>
      <c r="H552" s="100"/>
      <c r="I552" s="100"/>
      <c r="J552" s="100"/>
      <c r="K552" s="100"/>
      <c r="L552" s="100"/>
      <c r="M552" s="100"/>
      <c r="N552" s="100"/>
      <c r="O552" s="100"/>
      <c r="P552" s="100"/>
      <c r="Q552" s="100"/>
      <c r="R552" s="100"/>
      <c r="S552" s="100"/>
      <c r="T552" s="100"/>
      <c r="U552" s="100"/>
      <c r="V552" s="100"/>
      <c r="W552" s="100"/>
      <c r="X552" s="100"/>
      <c r="Y552" s="100"/>
      <c r="Z552" s="100"/>
      <c r="AA552" s="100"/>
      <c r="AB552" s="100"/>
      <c r="AC552" s="100"/>
      <c r="AD552" s="100"/>
    </row>
    <row r="553">
      <c r="A553" s="118"/>
      <c r="B553" s="118"/>
      <c r="C553" s="118"/>
      <c r="D553" s="119"/>
      <c r="E553" s="119"/>
      <c r="F553" s="119"/>
      <c r="G553" s="100"/>
      <c r="H553" s="100"/>
      <c r="I553" s="100"/>
      <c r="J553" s="100"/>
      <c r="K553" s="100"/>
      <c r="L553" s="100"/>
      <c r="M553" s="100"/>
      <c r="N553" s="100"/>
      <c r="O553" s="100"/>
      <c r="P553" s="100"/>
      <c r="Q553" s="100"/>
      <c r="R553" s="100"/>
      <c r="S553" s="100"/>
      <c r="T553" s="100"/>
      <c r="U553" s="100"/>
      <c r="V553" s="100"/>
      <c r="W553" s="100"/>
      <c r="X553" s="100"/>
      <c r="Y553" s="100"/>
      <c r="Z553" s="100"/>
      <c r="AA553" s="100"/>
      <c r="AB553" s="100"/>
      <c r="AC553" s="100"/>
      <c r="AD553" s="100"/>
    </row>
    <row r="554">
      <c r="A554" s="118"/>
      <c r="B554" s="118"/>
      <c r="C554" s="118"/>
      <c r="D554" s="119"/>
      <c r="E554" s="119"/>
      <c r="F554" s="119"/>
      <c r="G554" s="100"/>
      <c r="H554" s="100"/>
      <c r="I554" s="100"/>
      <c r="J554" s="100"/>
      <c r="K554" s="100"/>
      <c r="L554" s="100"/>
      <c r="M554" s="100"/>
      <c r="N554" s="100"/>
      <c r="O554" s="100"/>
      <c r="P554" s="100"/>
      <c r="Q554" s="100"/>
      <c r="R554" s="100"/>
      <c r="S554" s="100"/>
      <c r="T554" s="100"/>
      <c r="U554" s="100"/>
      <c r="V554" s="100"/>
      <c r="W554" s="100"/>
      <c r="X554" s="100"/>
      <c r="Y554" s="100"/>
      <c r="Z554" s="100"/>
      <c r="AA554" s="100"/>
      <c r="AB554" s="100"/>
      <c r="AC554" s="100"/>
      <c r="AD554" s="100"/>
    </row>
    <row r="555">
      <c r="A555" s="118"/>
      <c r="B555" s="118"/>
      <c r="C555" s="118"/>
      <c r="D555" s="119"/>
      <c r="E555" s="119"/>
      <c r="F555" s="119"/>
      <c r="G555" s="100"/>
      <c r="H555" s="100"/>
      <c r="I555" s="100"/>
      <c r="J555" s="100"/>
      <c r="K555" s="100"/>
      <c r="L555" s="100"/>
      <c r="M555" s="100"/>
      <c r="N555" s="100"/>
      <c r="O555" s="100"/>
      <c r="P555" s="100"/>
      <c r="Q555" s="100"/>
      <c r="R555" s="100"/>
      <c r="S555" s="100"/>
      <c r="T555" s="100"/>
      <c r="U555" s="100"/>
      <c r="V555" s="100"/>
      <c r="W555" s="100"/>
      <c r="X555" s="100"/>
      <c r="Y555" s="100"/>
      <c r="Z555" s="100"/>
      <c r="AA555" s="100"/>
      <c r="AB555" s="100"/>
      <c r="AC555" s="100"/>
      <c r="AD555" s="100"/>
    </row>
    <row r="556">
      <c r="A556" s="118"/>
      <c r="B556" s="118"/>
      <c r="C556" s="118"/>
      <c r="D556" s="119"/>
      <c r="E556" s="119"/>
      <c r="F556" s="119"/>
      <c r="G556" s="100"/>
      <c r="H556" s="100"/>
      <c r="I556" s="100"/>
      <c r="J556" s="100"/>
      <c r="K556" s="100"/>
      <c r="L556" s="100"/>
      <c r="M556" s="100"/>
      <c r="N556" s="100"/>
      <c r="O556" s="100"/>
      <c r="P556" s="100"/>
      <c r="Q556" s="100"/>
      <c r="R556" s="100"/>
      <c r="S556" s="100"/>
      <c r="T556" s="100"/>
      <c r="U556" s="100"/>
      <c r="V556" s="100"/>
      <c r="W556" s="100"/>
      <c r="X556" s="100"/>
      <c r="Y556" s="100"/>
      <c r="Z556" s="100"/>
      <c r="AA556" s="100"/>
      <c r="AB556" s="100"/>
      <c r="AC556" s="100"/>
      <c r="AD556" s="100"/>
    </row>
    <row r="557">
      <c r="A557" s="118"/>
      <c r="B557" s="118"/>
      <c r="C557" s="118"/>
      <c r="D557" s="119"/>
      <c r="E557" s="119"/>
      <c r="F557" s="119"/>
      <c r="G557" s="100"/>
      <c r="H557" s="100"/>
      <c r="I557" s="100"/>
      <c r="J557" s="100"/>
      <c r="K557" s="100"/>
      <c r="L557" s="100"/>
      <c r="M557" s="100"/>
      <c r="N557" s="100"/>
      <c r="O557" s="100"/>
      <c r="P557" s="100"/>
      <c r="Q557" s="100"/>
      <c r="R557" s="100"/>
      <c r="S557" s="100"/>
      <c r="T557" s="100"/>
      <c r="U557" s="100"/>
      <c r="V557" s="100"/>
      <c r="W557" s="100"/>
      <c r="X557" s="100"/>
      <c r="Y557" s="100"/>
      <c r="Z557" s="100"/>
      <c r="AA557" s="100"/>
      <c r="AB557" s="100"/>
      <c r="AC557" s="100"/>
      <c r="AD557" s="100"/>
    </row>
    <row r="558">
      <c r="A558" s="118"/>
      <c r="B558" s="118"/>
      <c r="C558" s="118"/>
      <c r="D558" s="119"/>
      <c r="E558" s="119"/>
      <c r="F558" s="119"/>
      <c r="G558" s="100"/>
      <c r="H558" s="100"/>
      <c r="I558" s="100"/>
      <c r="J558" s="100"/>
      <c r="K558" s="100"/>
      <c r="L558" s="100"/>
      <c r="M558" s="100"/>
      <c r="N558" s="100"/>
      <c r="O558" s="100"/>
      <c r="P558" s="100"/>
      <c r="Q558" s="100"/>
      <c r="R558" s="100"/>
      <c r="S558" s="100"/>
      <c r="T558" s="100"/>
      <c r="U558" s="100"/>
      <c r="V558" s="100"/>
      <c r="W558" s="100"/>
      <c r="X558" s="100"/>
      <c r="Y558" s="100"/>
      <c r="Z558" s="100"/>
      <c r="AA558" s="100"/>
      <c r="AB558" s="100"/>
      <c r="AC558" s="100"/>
      <c r="AD558" s="100"/>
    </row>
    <row r="559">
      <c r="A559" s="118"/>
      <c r="B559" s="118"/>
      <c r="C559" s="118"/>
      <c r="D559" s="119"/>
      <c r="E559" s="119"/>
      <c r="F559" s="119"/>
      <c r="G559" s="100"/>
      <c r="H559" s="100"/>
      <c r="I559" s="100"/>
      <c r="J559" s="100"/>
      <c r="K559" s="100"/>
      <c r="L559" s="100"/>
      <c r="M559" s="100"/>
      <c r="N559" s="100"/>
      <c r="O559" s="100"/>
      <c r="P559" s="100"/>
      <c r="Q559" s="100"/>
      <c r="R559" s="100"/>
      <c r="S559" s="100"/>
      <c r="T559" s="100"/>
      <c r="U559" s="100"/>
      <c r="V559" s="100"/>
      <c r="W559" s="100"/>
      <c r="X559" s="100"/>
      <c r="Y559" s="100"/>
      <c r="Z559" s="100"/>
      <c r="AA559" s="100"/>
      <c r="AB559" s="100"/>
      <c r="AC559" s="100"/>
      <c r="AD559" s="100"/>
    </row>
    <row r="560">
      <c r="A560" s="118"/>
      <c r="B560" s="118"/>
      <c r="C560" s="118"/>
      <c r="D560" s="119"/>
      <c r="E560" s="119"/>
      <c r="F560" s="119"/>
      <c r="G560" s="100"/>
      <c r="H560" s="100"/>
      <c r="I560" s="100"/>
      <c r="J560" s="100"/>
      <c r="K560" s="100"/>
      <c r="L560" s="100"/>
      <c r="M560" s="100"/>
      <c r="N560" s="100"/>
      <c r="O560" s="100"/>
      <c r="P560" s="100"/>
      <c r="Q560" s="100"/>
      <c r="R560" s="100"/>
      <c r="S560" s="100"/>
      <c r="T560" s="100"/>
      <c r="U560" s="100"/>
      <c r="V560" s="100"/>
      <c r="W560" s="100"/>
      <c r="X560" s="100"/>
      <c r="Y560" s="100"/>
      <c r="Z560" s="100"/>
      <c r="AA560" s="100"/>
      <c r="AB560" s="100"/>
      <c r="AC560" s="100"/>
      <c r="AD560" s="100"/>
    </row>
    <row r="561">
      <c r="A561" s="118"/>
      <c r="B561" s="118"/>
      <c r="C561" s="118"/>
      <c r="D561" s="119"/>
      <c r="E561" s="119"/>
      <c r="F561" s="119"/>
      <c r="G561" s="100"/>
      <c r="H561" s="100"/>
      <c r="I561" s="100"/>
      <c r="J561" s="100"/>
      <c r="K561" s="100"/>
      <c r="L561" s="100"/>
      <c r="M561" s="100"/>
      <c r="N561" s="100"/>
      <c r="O561" s="100"/>
      <c r="P561" s="100"/>
      <c r="Q561" s="100"/>
      <c r="R561" s="100"/>
      <c r="S561" s="100"/>
      <c r="T561" s="100"/>
      <c r="U561" s="100"/>
      <c r="V561" s="100"/>
      <c r="W561" s="100"/>
      <c r="X561" s="100"/>
      <c r="Y561" s="100"/>
      <c r="Z561" s="100"/>
      <c r="AA561" s="100"/>
      <c r="AB561" s="100"/>
      <c r="AC561" s="100"/>
      <c r="AD561" s="100"/>
    </row>
    <row r="562">
      <c r="A562" s="118"/>
      <c r="B562" s="118"/>
      <c r="C562" s="118"/>
      <c r="D562" s="119"/>
      <c r="E562" s="119"/>
      <c r="F562" s="119"/>
      <c r="G562" s="100"/>
      <c r="H562" s="100"/>
      <c r="I562" s="100"/>
      <c r="J562" s="100"/>
      <c r="K562" s="100"/>
      <c r="L562" s="100"/>
      <c r="M562" s="100"/>
      <c r="N562" s="100"/>
      <c r="O562" s="100"/>
      <c r="P562" s="100"/>
      <c r="Q562" s="100"/>
      <c r="R562" s="100"/>
      <c r="S562" s="100"/>
      <c r="T562" s="100"/>
      <c r="U562" s="100"/>
      <c r="V562" s="100"/>
      <c r="W562" s="100"/>
      <c r="X562" s="100"/>
      <c r="Y562" s="100"/>
      <c r="Z562" s="100"/>
      <c r="AA562" s="100"/>
      <c r="AB562" s="100"/>
      <c r="AC562" s="100"/>
      <c r="AD562" s="100"/>
    </row>
    <row r="563">
      <c r="A563" s="118"/>
      <c r="B563" s="118"/>
      <c r="C563" s="118"/>
      <c r="D563" s="119"/>
      <c r="E563" s="119"/>
      <c r="F563" s="119"/>
      <c r="G563" s="100"/>
      <c r="H563" s="100"/>
      <c r="I563" s="100"/>
      <c r="J563" s="100"/>
      <c r="K563" s="100"/>
      <c r="L563" s="100"/>
      <c r="M563" s="100"/>
      <c r="N563" s="100"/>
      <c r="O563" s="100"/>
      <c r="P563" s="100"/>
      <c r="Q563" s="100"/>
      <c r="R563" s="100"/>
      <c r="S563" s="100"/>
      <c r="T563" s="100"/>
      <c r="U563" s="100"/>
      <c r="V563" s="100"/>
      <c r="W563" s="100"/>
      <c r="X563" s="100"/>
      <c r="Y563" s="100"/>
      <c r="Z563" s="100"/>
      <c r="AA563" s="100"/>
      <c r="AB563" s="100"/>
      <c r="AC563" s="100"/>
      <c r="AD563" s="100"/>
    </row>
    <row r="564">
      <c r="A564" s="118"/>
      <c r="B564" s="118"/>
      <c r="C564" s="118"/>
      <c r="D564" s="119"/>
      <c r="E564" s="119"/>
      <c r="F564" s="119"/>
      <c r="G564" s="100"/>
      <c r="H564" s="100"/>
      <c r="I564" s="100"/>
      <c r="J564" s="100"/>
      <c r="K564" s="100"/>
      <c r="L564" s="100"/>
      <c r="M564" s="100"/>
      <c r="N564" s="100"/>
      <c r="O564" s="100"/>
      <c r="P564" s="100"/>
      <c r="Q564" s="100"/>
      <c r="R564" s="100"/>
      <c r="S564" s="100"/>
      <c r="T564" s="100"/>
      <c r="U564" s="100"/>
      <c r="V564" s="100"/>
      <c r="W564" s="100"/>
      <c r="X564" s="100"/>
      <c r="Y564" s="100"/>
      <c r="Z564" s="100"/>
      <c r="AA564" s="100"/>
      <c r="AB564" s="100"/>
      <c r="AC564" s="100"/>
      <c r="AD564" s="100"/>
    </row>
    <row r="565">
      <c r="A565" s="118"/>
      <c r="B565" s="118"/>
      <c r="C565" s="118"/>
      <c r="D565" s="119"/>
      <c r="E565" s="119"/>
      <c r="F565" s="119"/>
      <c r="G565" s="100"/>
      <c r="H565" s="100"/>
      <c r="I565" s="100"/>
      <c r="J565" s="100"/>
      <c r="K565" s="100"/>
      <c r="L565" s="100"/>
      <c r="M565" s="100"/>
      <c r="N565" s="100"/>
      <c r="O565" s="100"/>
      <c r="P565" s="100"/>
      <c r="Q565" s="100"/>
      <c r="R565" s="100"/>
      <c r="S565" s="100"/>
      <c r="T565" s="100"/>
      <c r="U565" s="100"/>
      <c r="V565" s="100"/>
      <c r="W565" s="100"/>
      <c r="X565" s="100"/>
      <c r="Y565" s="100"/>
      <c r="Z565" s="100"/>
      <c r="AA565" s="100"/>
      <c r="AB565" s="100"/>
      <c r="AC565" s="100"/>
      <c r="AD565" s="100"/>
    </row>
    <row r="566">
      <c r="A566" s="118"/>
      <c r="B566" s="118"/>
      <c r="C566" s="118"/>
      <c r="D566" s="119"/>
      <c r="E566" s="119"/>
      <c r="F566" s="119"/>
      <c r="G566" s="100"/>
      <c r="H566" s="100"/>
      <c r="I566" s="100"/>
      <c r="J566" s="100"/>
      <c r="K566" s="100"/>
      <c r="L566" s="100"/>
      <c r="M566" s="100"/>
      <c r="N566" s="100"/>
      <c r="O566" s="100"/>
      <c r="P566" s="100"/>
      <c r="Q566" s="100"/>
      <c r="R566" s="100"/>
      <c r="S566" s="100"/>
      <c r="T566" s="100"/>
      <c r="U566" s="100"/>
      <c r="V566" s="100"/>
      <c r="W566" s="100"/>
      <c r="X566" s="100"/>
      <c r="Y566" s="100"/>
      <c r="Z566" s="100"/>
      <c r="AA566" s="100"/>
      <c r="AB566" s="100"/>
      <c r="AC566" s="100"/>
      <c r="AD566" s="100"/>
    </row>
    <row r="567">
      <c r="A567" s="118"/>
      <c r="B567" s="118"/>
      <c r="C567" s="118"/>
      <c r="D567" s="119"/>
      <c r="E567" s="119"/>
      <c r="F567" s="119"/>
      <c r="G567" s="100"/>
      <c r="H567" s="100"/>
      <c r="I567" s="100"/>
      <c r="J567" s="100"/>
      <c r="K567" s="100"/>
      <c r="L567" s="100"/>
      <c r="M567" s="100"/>
      <c r="N567" s="100"/>
      <c r="O567" s="100"/>
      <c r="P567" s="100"/>
      <c r="Q567" s="100"/>
      <c r="R567" s="100"/>
      <c r="S567" s="100"/>
      <c r="T567" s="100"/>
      <c r="U567" s="100"/>
      <c r="V567" s="100"/>
      <c r="W567" s="100"/>
      <c r="X567" s="100"/>
      <c r="Y567" s="100"/>
      <c r="Z567" s="100"/>
      <c r="AA567" s="100"/>
      <c r="AB567" s="100"/>
      <c r="AC567" s="100"/>
      <c r="AD567" s="100"/>
    </row>
    <row r="568">
      <c r="A568" s="118"/>
      <c r="B568" s="118"/>
      <c r="C568" s="118"/>
      <c r="D568" s="119"/>
      <c r="E568" s="119"/>
      <c r="F568" s="119"/>
      <c r="G568" s="100"/>
      <c r="H568" s="100"/>
      <c r="I568" s="100"/>
      <c r="J568" s="100"/>
      <c r="K568" s="100"/>
      <c r="L568" s="100"/>
      <c r="M568" s="100"/>
      <c r="N568" s="100"/>
      <c r="O568" s="100"/>
      <c r="P568" s="100"/>
      <c r="Q568" s="100"/>
      <c r="R568" s="100"/>
      <c r="S568" s="100"/>
      <c r="T568" s="100"/>
      <c r="U568" s="100"/>
      <c r="V568" s="100"/>
      <c r="W568" s="100"/>
      <c r="X568" s="100"/>
      <c r="Y568" s="100"/>
      <c r="Z568" s="100"/>
      <c r="AA568" s="100"/>
      <c r="AB568" s="100"/>
      <c r="AC568" s="100"/>
      <c r="AD568" s="100"/>
    </row>
    <row r="569">
      <c r="A569" s="118"/>
      <c r="B569" s="118"/>
      <c r="C569" s="118"/>
      <c r="D569" s="119"/>
      <c r="E569" s="119"/>
      <c r="F569" s="119"/>
      <c r="G569" s="100"/>
      <c r="H569" s="100"/>
      <c r="I569" s="100"/>
      <c r="J569" s="100"/>
      <c r="K569" s="100"/>
      <c r="L569" s="100"/>
      <c r="M569" s="100"/>
      <c r="N569" s="100"/>
      <c r="O569" s="100"/>
      <c r="P569" s="100"/>
      <c r="Q569" s="100"/>
      <c r="R569" s="100"/>
      <c r="S569" s="100"/>
      <c r="T569" s="100"/>
      <c r="U569" s="100"/>
      <c r="V569" s="100"/>
      <c r="W569" s="100"/>
      <c r="X569" s="100"/>
      <c r="Y569" s="100"/>
      <c r="Z569" s="100"/>
      <c r="AA569" s="100"/>
      <c r="AB569" s="100"/>
      <c r="AC569" s="100"/>
      <c r="AD569" s="100"/>
    </row>
    <row r="570">
      <c r="A570" s="118"/>
      <c r="B570" s="118"/>
      <c r="C570" s="118"/>
      <c r="D570" s="119"/>
      <c r="E570" s="119"/>
      <c r="F570" s="119"/>
      <c r="G570" s="100"/>
      <c r="H570" s="100"/>
      <c r="I570" s="100"/>
      <c r="J570" s="100"/>
      <c r="K570" s="100"/>
      <c r="L570" s="100"/>
      <c r="M570" s="100"/>
      <c r="N570" s="100"/>
      <c r="O570" s="100"/>
      <c r="P570" s="100"/>
      <c r="Q570" s="100"/>
      <c r="R570" s="100"/>
      <c r="S570" s="100"/>
      <c r="T570" s="100"/>
      <c r="U570" s="100"/>
      <c r="V570" s="100"/>
      <c r="W570" s="100"/>
      <c r="X570" s="100"/>
      <c r="Y570" s="100"/>
      <c r="Z570" s="100"/>
      <c r="AA570" s="100"/>
      <c r="AB570" s="100"/>
      <c r="AC570" s="100"/>
      <c r="AD570" s="100"/>
    </row>
    <row r="571">
      <c r="A571" s="118"/>
      <c r="B571" s="118"/>
      <c r="C571" s="118"/>
      <c r="D571" s="119"/>
      <c r="E571" s="119"/>
      <c r="F571" s="119"/>
      <c r="G571" s="100"/>
      <c r="H571" s="100"/>
      <c r="I571" s="100"/>
      <c r="J571" s="100"/>
      <c r="K571" s="100"/>
      <c r="L571" s="100"/>
      <c r="M571" s="100"/>
      <c r="N571" s="100"/>
      <c r="O571" s="100"/>
      <c r="P571" s="100"/>
      <c r="Q571" s="100"/>
      <c r="R571" s="100"/>
      <c r="S571" s="100"/>
      <c r="T571" s="100"/>
      <c r="U571" s="100"/>
      <c r="V571" s="100"/>
      <c r="W571" s="100"/>
      <c r="X571" s="100"/>
      <c r="Y571" s="100"/>
      <c r="Z571" s="100"/>
      <c r="AA571" s="100"/>
      <c r="AB571" s="100"/>
      <c r="AC571" s="100"/>
      <c r="AD571" s="100"/>
    </row>
    <row r="572">
      <c r="A572" s="118"/>
      <c r="B572" s="118"/>
      <c r="C572" s="118"/>
      <c r="D572" s="119"/>
      <c r="E572" s="119"/>
      <c r="F572" s="119"/>
      <c r="G572" s="100"/>
      <c r="H572" s="100"/>
      <c r="I572" s="100"/>
      <c r="J572" s="100"/>
      <c r="K572" s="100"/>
      <c r="L572" s="100"/>
      <c r="M572" s="100"/>
      <c r="N572" s="100"/>
      <c r="O572" s="100"/>
      <c r="P572" s="100"/>
      <c r="Q572" s="100"/>
      <c r="R572" s="100"/>
      <c r="S572" s="100"/>
      <c r="T572" s="100"/>
      <c r="U572" s="100"/>
      <c r="V572" s="100"/>
      <c r="W572" s="100"/>
      <c r="X572" s="100"/>
      <c r="Y572" s="100"/>
      <c r="Z572" s="100"/>
      <c r="AA572" s="100"/>
      <c r="AB572" s="100"/>
      <c r="AC572" s="100"/>
      <c r="AD572" s="100"/>
    </row>
    <row r="573">
      <c r="A573" s="118"/>
      <c r="B573" s="118"/>
      <c r="C573" s="118"/>
      <c r="D573" s="119"/>
      <c r="E573" s="119"/>
      <c r="F573" s="119"/>
      <c r="G573" s="100"/>
      <c r="H573" s="100"/>
      <c r="I573" s="100"/>
      <c r="J573" s="100"/>
      <c r="K573" s="100"/>
      <c r="L573" s="100"/>
      <c r="M573" s="100"/>
      <c r="N573" s="100"/>
      <c r="O573" s="100"/>
      <c r="P573" s="100"/>
      <c r="Q573" s="100"/>
      <c r="R573" s="100"/>
      <c r="S573" s="100"/>
      <c r="T573" s="100"/>
      <c r="U573" s="100"/>
      <c r="V573" s="100"/>
      <c r="W573" s="100"/>
      <c r="X573" s="100"/>
      <c r="Y573" s="100"/>
      <c r="Z573" s="100"/>
      <c r="AA573" s="100"/>
      <c r="AB573" s="100"/>
      <c r="AC573" s="100"/>
      <c r="AD573" s="100"/>
    </row>
    <row r="574">
      <c r="A574" s="118"/>
      <c r="B574" s="118"/>
      <c r="C574" s="118"/>
      <c r="D574" s="119"/>
      <c r="E574" s="119"/>
      <c r="F574" s="119"/>
      <c r="G574" s="100"/>
      <c r="H574" s="100"/>
      <c r="I574" s="100"/>
      <c r="J574" s="100"/>
      <c r="K574" s="100"/>
      <c r="L574" s="100"/>
      <c r="M574" s="100"/>
      <c r="N574" s="100"/>
      <c r="O574" s="100"/>
      <c r="P574" s="100"/>
      <c r="Q574" s="100"/>
      <c r="R574" s="100"/>
      <c r="S574" s="100"/>
      <c r="T574" s="100"/>
      <c r="U574" s="100"/>
      <c r="V574" s="100"/>
      <c r="W574" s="100"/>
      <c r="X574" s="100"/>
      <c r="Y574" s="100"/>
      <c r="Z574" s="100"/>
      <c r="AA574" s="100"/>
      <c r="AB574" s="100"/>
      <c r="AC574" s="100"/>
      <c r="AD574" s="100"/>
    </row>
    <row r="575">
      <c r="A575" s="118"/>
      <c r="B575" s="118"/>
      <c r="C575" s="118"/>
      <c r="D575" s="119"/>
      <c r="E575" s="119"/>
      <c r="F575" s="119"/>
      <c r="G575" s="100"/>
      <c r="H575" s="100"/>
      <c r="I575" s="100"/>
      <c r="J575" s="100"/>
      <c r="K575" s="100"/>
      <c r="L575" s="100"/>
      <c r="M575" s="100"/>
      <c r="N575" s="100"/>
      <c r="O575" s="100"/>
      <c r="P575" s="100"/>
      <c r="Q575" s="100"/>
      <c r="R575" s="100"/>
      <c r="S575" s="100"/>
      <c r="T575" s="100"/>
      <c r="U575" s="100"/>
      <c r="V575" s="100"/>
      <c r="W575" s="100"/>
      <c r="X575" s="100"/>
      <c r="Y575" s="100"/>
      <c r="Z575" s="100"/>
      <c r="AA575" s="100"/>
      <c r="AB575" s="100"/>
      <c r="AC575" s="100"/>
      <c r="AD575" s="100"/>
    </row>
    <row r="576">
      <c r="A576" s="118"/>
      <c r="B576" s="118"/>
      <c r="C576" s="118"/>
      <c r="D576" s="119"/>
      <c r="E576" s="119"/>
      <c r="F576" s="119"/>
      <c r="G576" s="100"/>
      <c r="H576" s="100"/>
      <c r="I576" s="100"/>
      <c r="J576" s="100"/>
      <c r="K576" s="100"/>
      <c r="L576" s="100"/>
      <c r="M576" s="100"/>
      <c r="N576" s="100"/>
      <c r="O576" s="100"/>
      <c r="P576" s="100"/>
      <c r="Q576" s="100"/>
      <c r="R576" s="100"/>
      <c r="S576" s="100"/>
      <c r="T576" s="100"/>
      <c r="U576" s="100"/>
      <c r="V576" s="100"/>
      <c r="W576" s="100"/>
      <c r="X576" s="100"/>
      <c r="Y576" s="100"/>
      <c r="Z576" s="100"/>
      <c r="AA576" s="100"/>
      <c r="AB576" s="100"/>
      <c r="AC576" s="100"/>
      <c r="AD576" s="100"/>
    </row>
    <row r="577">
      <c r="A577" s="118"/>
      <c r="B577" s="118"/>
      <c r="C577" s="118"/>
      <c r="D577" s="119"/>
      <c r="E577" s="119"/>
      <c r="F577" s="119"/>
      <c r="G577" s="100"/>
      <c r="H577" s="100"/>
      <c r="I577" s="100"/>
      <c r="J577" s="100"/>
      <c r="K577" s="100"/>
      <c r="L577" s="100"/>
      <c r="M577" s="100"/>
      <c r="N577" s="100"/>
      <c r="O577" s="100"/>
      <c r="P577" s="100"/>
      <c r="Q577" s="100"/>
      <c r="R577" s="100"/>
      <c r="S577" s="100"/>
      <c r="T577" s="100"/>
      <c r="U577" s="100"/>
      <c r="V577" s="100"/>
      <c r="W577" s="100"/>
      <c r="X577" s="100"/>
      <c r="Y577" s="100"/>
      <c r="Z577" s="100"/>
      <c r="AA577" s="100"/>
      <c r="AB577" s="100"/>
      <c r="AC577" s="100"/>
      <c r="AD577" s="100"/>
    </row>
    <row r="578">
      <c r="A578" s="118"/>
      <c r="B578" s="118"/>
      <c r="C578" s="118"/>
      <c r="D578" s="119"/>
      <c r="E578" s="119"/>
      <c r="F578" s="119"/>
      <c r="G578" s="100"/>
      <c r="H578" s="100"/>
      <c r="I578" s="100"/>
      <c r="J578" s="100"/>
      <c r="K578" s="100"/>
      <c r="L578" s="100"/>
      <c r="M578" s="100"/>
      <c r="N578" s="100"/>
      <c r="O578" s="100"/>
      <c r="P578" s="100"/>
      <c r="Q578" s="100"/>
      <c r="R578" s="100"/>
      <c r="S578" s="100"/>
      <c r="T578" s="100"/>
      <c r="U578" s="100"/>
      <c r="V578" s="100"/>
      <c r="W578" s="100"/>
      <c r="X578" s="100"/>
      <c r="Y578" s="100"/>
      <c r="Z578" s="100"/>
      <c r="AA578" s="100"/>
      <c r="AB578" s="100"/>
      <c r="AC578" s="100"/>
      <c r="AD578" s="100"/>
    </row>
    <row r="579">
      <c r="A579" s="118"/>
      <c r="B579" s="118"/>
      <c r="C579" s="118"/>
      <c r="D579" s="119"/>
      <c r="E579" s="119"/>
      <c r="F579" s="119"/>
      <c r="G579" s="100"/>
      <c r="H579" s="100"/>
      <c r="I579" s="100"/>
      <c r="J579" s="100"/>
      <c r="K579" s="100"/>
      <c r="L579" s="100"/>
      <c r="M579" s="100"/>
      <c r="N579" s="100"/>
      <c r="O579" s="100"/>
      <c r="P579" s="100"/>
      <c r="Q579" s="100"/>
      <c r="R579" s="100"/>
      <c r="S579" s="100"/>
      <c r="T579" s="100"/>
      <c r="U579" s="100"/>
      <c r="V579" s="100"/>
      <c r="W579" s="100"/>
      <c r="X579" s="100"/>
      <c r="Y579" s="100"/>
      <c r="Z579" s="100"/>
      <c r="AA579" s="100"/>
      <c r="AB579" s="100"/>
      <c r="AC579" s="100"/>
      <c r="AD579" s="100"/>
    </row>
    <row r="580">
      <c r="A580" s="118"/>
      <c r="B580" s="118"/>
      <c r="C580" s="118"/>
      <c r="D580" s="119"/>
      <c r="E580" s="119"/>
      <c r="F580" s="119"/>
      <c r="G580" s="100"/>
      <c r="H580" s="100"/>
      <c r="I580" s="100"/>
      <c r="J580" s="100"/>
      <c r="K580" s="100"/>
      <c r="L580" s="100"/>
      <c r="M580" s="100"/>
      <c r="N580" s="100"/>
      <c r="O580" s="100"/>
      <c r="P580" s="100"/>
      <c r="Q580" s="100"/>
      <c r="R580" s="100"/>
      <c r="S580" s="100"/>
      <c r="T580" s="100"/>
      <c r="U580" s="100"/>
      <c r="V580" s="100"/>
      <c r="W580" s="100"/>
      <c r="X580" s="100"/>
      <c r="Y580" s="100"/>
      <c r="Z580" s="100"/>
      <c r="AA580" s="100"/>
      <c r="AB580" s="100"/>
      <c r="AC580" s="100"/>
      <c r="AD580" s="100"/>
    </row>
    <row r="581">
      <c r="A581" s="118"/>
      <c r="B581" s="118"/>
      <c r="C581" s="118"/>
      <c r="D581" s="119"/>
      <c r="E581" s="119"/>
      <c r="F581" s="119"/>
      <c r="G581" s="100"/>
      <c r="H581" s="100"/>
      <c r="I581" s="100"/>
      <c r="J581" s="100"/>
      <c r="K581" s="100"/>
      <c r="L581" s="100"/>
      <c r="M581" s="100"/>
      <c r="N581" s="100"/>
      <c r="O581" s="100"/>
      <c r="P581" s="100"/>
      <c r="Q581" s="100"/>
      <c r="R581" s="100"/>
      <c r="S581" s="100"/>
      <c r="T581" s="100"/>
      <c r="U581" s="100"/>
      <c r="V581" s="100"/>
      <c r="W581" s="100"/>
      <c r="X581" s="100"/>
      <c r="Y581" s="100"/>
      <c r="Z581" s="100"/>
      <c r="AA581" s="100"/>
      <c r="AB581" s="100"/>
      <c r="AC581" s="100"/>
      <c r="AD581" s="100"/>
    </row>
    <row r="582">
      <c r="A582" s="118"/>
      <c r="B582" s="118"/>
      <c r="C582" s="118"/>
      <c r="D582" s="119"/>
      <c r="E582" s="119"/>
      <c r="F582" s="119"/>
      <c r="G582" s="100"/>
      <c r="H582" s="100"/>
      <c r="I582" s="100"/>
      <c r="J582" s="100"/>
      <c r="K582" s="100"/>
      <c r="L582" s="100"/>
      <c r="M582" s="100"/>
      <c r="N582" s="100"/>
      <c r="O582" s="100"/>
      <c r="P582" s="100"/>
      <c r="Q582" s="100"/>
      <c r="R582" s="100"/>
      <c r="S582" s="100"/>
      <c r="T582" s="100"/>
      <c r="U582" s="100"/>
      <c r="V582" s="100"/>
      <c r="W582" s="100"/>
      <c r="X582" s="100"/>
      <c r="Y582" s="100"/>
      <c r="Z582" s="100"/>
      <c r="AA582" s="100"/>
      <c r="AB582" s="100"/>
      <c r="AC582" s="100"/>
      <c r="AD582" s="100"/>
    </row>
    <row r="583">
      <c r="A583" s="118"/>
      <c r="B583" s="118"/>
      <c r="C583" s="118"/>
      <c r="D583" s="119"/>
      <c r="E583" s="119"/>
      <c r="F583" s="119"/>
      <c r="G583" s="100"/>
      <c r="H583" s="100"/>
      <c r="I583" s="100"/>
      <c r="J583" s="100"/>
      <c r="K583" s="100"/>
      <c r="L583" s="100"/>
      <c r="M583" s="100"/>
      <c r="N583" s="100"/>
      <c r="O583" s="100"/>
      <c r="P583" s="100"/>
      <c r="Q583" s="100"/>
      <c r="R583" s="100"/>
      <c r="S583" s="100"/>
      <c r="T583" s="100"/>
      <c r="U583" s="100"/>
      <c r="V583" s="100"/>
      <c r="W583" s="100"/>
      <c r="X583" s="100"/>
      <c r="Y583" s="100"/>
      <c r="Z583" s="100"/>
      <c r="AA583" s="100"/>
      <c r="AB583" s="100"/>
      <c r="AC583" s="100"/>
      <c r="AD583" s="100"/>
    </row>
    <row r="584">
      <c r="A584" s="118"/>
      <c r="B584" s="118"/>
      <c r="C584" s="118"/>
      <c r="D584" s="119"/>
      <c r="E584" s="119"/>
      <c r="F584" s="119"/>
      <c r="G584" s="100"/>
      <c r="H584" s="100"/>
      <c r="I584" s="100"/>
      <c r="J584" s="100"/>
      <c r="K584" s="100"/>
      <c r="L584" s="100"/>
      <c r="M584" s="100"/>
      <c r="N584" s="100"/>
      <c r="O584" s="100"/>
      <c r="P584" s="100"/>
      <c r="Q584" s="100"/>
      <c r="R584" s="100"/>
      <c r="S584" s="100"/>
      <c r="T584" s="100"/>
      <c r="U584" s="100"/>
      <c r="V584" s="100"/>
      <c r="W584" s="100"/>
      <c r="X584" s="100"/>
      <c r="Y584" s="100"/>
      <c r="Z584" s="100"/>
      <c r="AA584" s="100"/>
      <c r="AB584" s="100"/>
      <c r="AC584" s="100"/>
      <c r="AD584" s="100"/>
    </row>
    <row r="585">
      <c r="A585" s="118"/>
      <c r="B585" s="118"/>
      <c r="C585" s="118"/>
      <c r="D585" s="119"/>
      <c r="E585" s="119"/>
      <c r="F585" s="119"/>
      <c r="G585" s="100"/>
      <c r="H585" s="100"/>
      <c r="I585" s="100"/>
      <c r="J585" s="100"/>
      <c r="K585" s="100"/>
      <c r="L585" s="100"/>
      <c r="M585" s="100"/>
      <c r="N585" s="100"/>
      <c r="O585" s="100"/>
      <c r="P585" s="100"/>
      <c r="Q585" s="100"/>
      <c r="R585" s="100"/>
      <c r="S585" s="100"/>
      <c r="T585" s="100"/>
      <c r="U585" s="100"/>
      <c r="V585" s="100"/>
      <c r="W585" s="100"/>
      <c r="X585" s="100"/>
      <c r="Y585" s="100"/>
      <c r="Z585" s="100"/>
      <c r="AA585" s="100"/>
      <c r="AB585" s="100"/>
      <c r="AC585" s="100"/>
      <c r="AD585" s="100"/>
    </row>
    <row r="586">
      <c r="A586" s="118"/>
      <c r="B586" s="118"/>
      <c r="C586" s="118"/>
      <c r="D586" s="119"/>
      <c r="E586" s="119"/>
      <c r="F586" s="119"/>
      <c r="G586" s="100"/>
      <c r="H586" s="100"/>
      <c r="I586" s="100"/>
      <c r="J586" s="100"/>
      <c r="K586" s="100"/>
      <c r="L586" s="100"/>
      <c r="M586" s="100"/>
      <c r="N586" s="100"/>
      <c r="O586" s="100"/>
      <c r="P586" s="100"/>
      <c r="Q586" s="100"/>
      <c r="R586" s="100"/>
      <c r="S586" s="100"/>
      <c r="T586" s="100"/>
      <c r="U586" s="100"/>
      <c r="V586" s="100"/>
      <c r="W586" s="100"/>
      <c r="X586" s="100"/>
      <c r="Y586" s="100"/>
      <c r="Z586" s="100"/>
      <c r="AA586" s="100"/>
      <c r="AB586" s="100"/>
      <c r="AC586" s="100"/>
      <c r="AD586" s="100"/>
    </row>
    <row r="587">
      <c r="A587" s="118"/>
      <c r="B587" s="118"/>
      <c r="C587" s="118"/>
      <c r="D587" s="119"/>
      <c r="E587" s="119"/>
      <c r="F587" s="119"/>
      <c r="G587" s="100"/>
      <c r="H587" s="100"/>
      <c r="I587" s="100"/>
      <c r="J587" s="100"/>
      <c r="K587" s="100"/>
      <c r="L587" s="100"/>
      <c r="M587" s="100"/>
      <c r="N587" s="100"/>
      <c r="O587" s="100"/>
      <c r="P587" s="100"/>
      <c r="Q587" s="100"/>
      <c r="R587" s="100"/>
      <c r="S587" s="100"/>
      <c r="T587" s="100"/>
      <c r="U587" s="100"/>
      <c r="V587" s="100"/>
      <c r="W587" s="100"/>
      <c r="X587" s="100"/>
      <c r="Y587" s="100"/>
      <c r="Z587" s="100"/>
      <c r="AA587" s="100"/>
      <c r="AB587" s="100"/>
      <c r="AC587" s="100"/>
      <c r="AD587" s="100"/>
    </row>
    <row r="588">
      <c r="A588" s="118"/>
      <c r="B588" s="118"/>
      <c r="C588" s="118"/>
      <c r="D588" s="119"/>
      <c r="E588" s="119"/>
      <c r="F588" s="119"/>
      <c r="G588" s="100"/>
      <c r="H588" s="100"/>
      <c r="I588" s="100"/>
      <c r="J588" s="100"/>
      <c r="K588" s="100"/>
      <c r="L588" s="100"/>
      <c r="M588" s="100"/>
      <c r="N588" s="100"/>
      <c r="O588" s="100"/>
      <c r="P588" s="100"/>
      <c r="Q588" s="100"/>
      <c r="R588" s="100"/>
      <c r="S588" s="100"/>
      <c r="T588" s="100"/>
      <c r="U588" s="100"/>
      <c r="V588" s="100"/>
      <c r="W588" s="100"/>
      <c r="X588" s="100"/>
      <c r="Y588" s="100"/>
      <c r="Z588" s="100"/>
      <c r="AA588" s="100"/>
      <c r="AB588" s="100"/>
      <c r="AC588" s="100"/>
      <c r="AD588" s="100"/>
    </row>
    <row r="589">
      <c r="A589" s="118"/>
      <c r="B589" s="118"/>
      <c r="C589" s="118"/>
      <c r="D589" s="119"/>
      <c r="E589" s="119"/>
      <c r="F589" s="119"/>
      <c r="G589" s="100"/>
      <c r="H589" s="100"/>
      <c r="I589" s="100"/>
      <c r="J589" s="100"/>
      <c r="K589" s="100"/>
      <c r="L589" s="100"/>
      <c r="M589" s="100"/>
      <c r="N589" s="100"/>
      <c r="O589" s="100"/>
      <c r="P589" s="100"/>
      <c r="Q589" s="100"/>
      <c r="R589" s="100"/>
      <c r="S589" s="100"/>
      <c r="T589" s="100"/>
      <c r="U589" s="100"/>
      <c r="V589" s="100"/>
      <c r="W589" s="100"/>
      <c r="X589" s="100"/>
      <c r="Y589" s="100"/>
      <c r="Z589" s="100"/>
      <c r="AA589" s="100"/>
      <c r="AB589" s="100"/>
      <c r="AC589" s="100"/>
      <c r="AD589" s="100"/>
    </row>
    <row r="590">
      <c r="A590" s="118"/>
      <c r="B590" s="118"/>
      <c r="C590" s="118"/>
      <c r="D590" s="119"/>
      <c r="E590" s="119"/>
      <c r="F590" s="119"/>
      <c r="G590" s="100"/>
      <c r="H590" s="100"/>
      <c r="I590" s="100"/>
      <c r="J590" s="100"/>
      <c r="K590" s="100"/>
      <c r="L590" s="100"/>
      <c r="M590" s="100"/>
      <c r="N590" s="100"/>
      <c r="O590" s="100"/>
      <c r="P590" s="100"/>
      <c r="Q590" s="100"/>
      <c r="R590" s="100"/>
      <c r="S590" s="100"/>
      <c r="T590" s="100"/>
      <c r="U590" s="100"/>
      <c r="V590" s="100"/>
      <c r="W590" s="100"/>
      <c r="X590" s="100"/>
      <c r="Y590" s="100"/>
      <c r="Z590" s="100"/>
      <c r="AA590" s="100"/>
      <c r="AB590" s="100"/>
      <c r="AC590" s="100"/>
      <c r="AD590" s="100"/>
    </row>
    <row r="591">
      <c r="A591" s="118"/>
      <c r="B591" s="118"/>
      <c r="C591" s="118"/>
      <c r="D591" s="119"/>
      <c r="E591" s="119"/>
      <c r="F591" s="119"/>
      <c r="G591" s="100"/>
      <c r="H591" s="100"/>
      <c r="I591" s="100"/>
      <c r="J591" s="100"/>
      <c r="K591" s="100"/>
      <c r="L591" s="100"/>
      <c r="M591" s="100"/>
      <c r="N591" s="100"/>
      <c r="O591" s="100"/>
      <c r="P591" s="100"/>
      <c r="Q591" s="100"/>
      <c r="R591" s="100"/>
      <c r="S591" s="100"/>
      <c r="T591" s="100"/>
      <c r="U591" s="100"/>
      <c r="V591" s="100"/>
      <c r="W591" s="100"/>
      <c r="X591" s="100"/>
      <c r="Y591" s="100"/>
      <c r="Z591" s="100"/>
      <c r="AA591" s="100"/>
      <c r="AB591" s="100"/>
      <c r="AC591" s="100"/>
      <c r="AD591" s="100"/>
    </row>
    <row r="592">
      <c r="A592" s="118"/>
      <c r="B592" s="118"/>
      <c r="C592" s="118"/>
      <c r="D592" s="119"/>
      <c r="E592" s="119"/>
      <c r="F592" s="119"/>
      <c r="G592" s="100"/>
      <c r="H592" s="100"/>
      <c r="I592" s="100"/>
      <c r="J592" s="100"/>
      <c r="K592" s="100"/>
      <c r="L592" s="100"/>
      <c r="M592" s="100"/>
      <c r="N592" s="100"/>
      <c r="O592" s="100"/>
      <c r="P592" s="100"/>
      <c r="Q592" s="100"/>
      <c r="R592" s="100"/>
      <c r="S592" s="100"/>
      <c r="T592" s="100"/>
      <c r="U592" s="100"/>
      <c r="V592" s="100"/>
      <c r="W592" s="100"/>
      <c r="X592" s="100"/>
      <c r="Y592" s="100"/>
      <c r="Z592" s="100"/>
      <c r="AA592" s="100"/>
      <c r="AB592" s="100"/>
      <c r="AC592" s="100"/>
      <c r="AD592" s="100"/>
    </row>
    <row r="593">
      <c r="A593" s="118"/>
      <c r="B593" s="118"/>
      <c r="C593" s="118"/>
      <c r="D593" s="119"/>
      <c r="E593" s="119"/>
      <c r="F593" s="119"/>
      <c r="G593" s="100"/>
      <c r="H593" s="100"/>
      <c r="I593" s="100"/>
      <c r="J593" s="100"/>
      <c r="K593" s="100"/>
      <c r="L593" s="100"/>
      <c r="M593" s="100"/>
      <c r="N593" s="100"/>
      <c r="O593" s="100"/>
      <c r="P593" s="100"/>
      <c r="Q593" s="100"/>
      <c r="R593" s="100"/>
      <c r="S593" s="100"/>
      <c r="T593" s="100"/>
      <c r="U593" s="100"/>
      <c r="V593" s="100"/>
      <c r="W593" s="100"/>
      <c r="X593" s="100"/>
      <c r="Y593" s="100"/>
      <c r="Z593" s="100"/>
      <c r="AA593" s="100"/>
      <c r="AB593" s="100"/>
      <c r="AC593" s="100"/>
      <c r="AD593" s="100"/>
    </row>
    <row r="594">
      <c r="A594" s="118"/>
      <c r="B594" s="118"/>
      <c r="C594" s="118"/>
      <c r="D594" s="119"/>
      <c r="E594" s="119"/>
      <c r="F594" s="119"/>
      <c r="G594" s="100"/>
      <c r="H594" s="100"/>
      <c r="I594" s="100"/>
      <c r="J594" s="100"/>
      <c r="K594" s="100"/>
      <c r="L594" s="100"/>
      <c r="M594" s="100"/>
      <c r="N594" s="100"/>
      <c r="O594" s="100"/>
      <c r="P594" s="100"/>
      <c r="Q594" s="100"/>
      <c r="R594" s="100"/>
      <c r="S594" s="100"/>
      <c r="T594" s="100"/>
      <c r="U594" s="100"/>
      <c r="V594" s="100"/>
      <c r="W594" s="100"/>
      <c r="X594" s="100"/>
      <c r="Y594" s="100"/>
      <c r="Z594" s="100"/>
      <c r="AA594" s="100"/>
      <c r="AB594" s="100"/>
      <c r="AC594" s="100"/>
      <c r="AD594" s="100"/>
    </row>
    <row r="595">
      <c r="A595" s="118"/>
      <c r="B595" s="118"/>
      <c r="C595" s="118"/>
      <c r="D595" s="119"/>
      <c r="E595" s="119"/>
      <c r="F595" s="119"/>
      <c r="G595" s="100"/>
      <c r="H595" s="100"/>
      <c r="I595" s="100"/>
      <c r="J595" s="100"/>
      <c r="K595" s="100"/>
      <c r="L595" s="100"/>
      <c r="M595" s="100"/>
      <c r="N595" s="100"/>
      <c r="O595" s="100"/>
      <c r="P595" s="100"/>
      <c r="Q595" s="100"/>
      <c r="R595" s="100"/>
      <c r="S595" s="100"/>
      <c r="T595" s="100"/>
      <c r="U595" s="100"/>
      <c r="V595" s="100"/>
      <c r="W595" s="100"/>
      <c r="X595" s="100"/>
      <c r="Y595" s="100"/>
      <c r="Z595" s="100"/>
      <c r="AA595" s="100"/>
      <c r="AB595" s="100"/>
      <c r="AC595" s="100"/>
      <c r="AD595" s="100"/>
    </row>
    <row r="596">
      <c r="A596" s="118"/>
      <c r="B596" s="118"/>
      <c r="C596" s="118"/>
      <c r="D596" s="119"/>
      <c r="E596" s="119"/>
      <c r="F596" s="119"/>
      <c r="G596" s="100"/>
      <c r="H596" s="100"/>
      <c r="I596" s="100"/>
      <c r="J596" s="100"/>
      <c r="K596" s="100"/>
      <c r="L596" s="100"/>
      <c r="M596" s="100"/>
      <c r="N596" s="100"/>
      <c r="O596" s="100"/>
      <c r="P596" s="100"/>
      <c r="Q596" s="100"/>
      <c r="R596" s="100"/>
      <c r="S596" s="100"/>
      <c r="T596" s="100"/>
      <c r="U596" s="100"/>
      <c r="V596" s="100"/>
      <c r="W596" s="100"/>
      <c r="X596" s="100"/>
      <c r="Y596" s="100"/>
      <c r="Z596" s="100"/>
      <c r="AA596" s="100"/>
      <c r="AB596" s="100"/>
      <c r="AC596" s="100"/>
      <c r="AD596" s="100"/>
    </row>
    <row r="597">
      <c r="A597" s="118"/>
      <c r="B597" s="118"/>
      <c r="C597" s="118"/>
      <c r="D597" s="119"/>
      <c r="E597" s="119"/>
      <c r="F597" s="119"/>
      <c r="G597" s="100"/>
      <c r="H597" s="100"/>
      <c r="I597" s="100"/>
      <c r="J597" s="100"/>
      <c r="K597" s="100"/>
      <c r="L597" s="100"/>
      <c r="M597" s="100"/>
      <c r="N597" s="100"/>
      <c r="O597" s="100"/>
      <c r="P597" s="100"/>
      <c r="Q597" s="100"/>
      <c r="R597" s="100"/>
      <c r="S597" s="100"/>
      <c r="T597" s="100"/>
      <c r="U597" s="100"/>
      <c r="V597" s="100"/>
      <c r="W597" s="100"/>
      <c r="X597" s="100"/>
      <c r="Y597" s="100"/>
      <c r="Z597" s="100"/>
      <c r="AA597" s="100"/>
      <c r="AB597" s="100"/>
      <c r="AC597" s="100"/>
      <c r="AD597" s="100"/>
    </row>
    <row r="598">
      <c r="A598" s="118"/>
      <c r="B598" s="118"/>
      <c r="C598" s="118"/>
      <c r="D598" s="119"/>
      <c r="E598" s="119"/>
      <c r="F598" s="119"/>
      <c r="G598" s="100"/>
      <c r="H598" s="100"/>
      <c r="I598" s="100"/>
      <c r="J598" s="100"/>
      <c r="K598" s="100"/>
      <c r="L598" s="100"/>
      <c r="M598" s="100"/>
      <c r="N598" s="100"/>
      <c r="O598" s="100"/>
      <c r="P598" s="100"/>
      <c r="Q598" s="100"/>
      <c r="R598" s="100"/>
      <c r="S598" s="100"/>
      <c r="T598" s="100"/>
      <c r="U598" s="100"/>
      <c r="V598" s="100"/>
      <c r="W598" s="100"/>
      <c r="X598" s="100"/>
      <c r="Y598" s="100"/>
      <c r="Z598" s="100"/>
      <c r="AA598" s="100"/>
      <c r="AB598" s="100"/>
      <c r="AC598" s="100"/>
      <c r="AD598" s="100"/>
    </row>
    <row r="599">
      <c r="A599" s="118"/>
      <c r="B599" s="118"/>
      <c r="C599" s="118"/>
      <c r="D599" s="119"/>
      <c r="E599" s="119"/>
      <c r="F599" s="119"/>
      <c r="G599" s="100"/>
      <c r="H599" s="100"/>
      <c r="I599" s="100"/>
      <c r="J599" s="100"/>
      <c r="K599" s="100"/>
      <c r="L599" s="100"/>
      <c r="M599" s="100"/>
      <c r="N599" s="100"/>
      <c r="O599" s="100"/>
      <c r="P599" s="100"/>
      <c r="Q599" s="100"/>
      <c r="R599" s="100"/>
      <c r="S599" s="100"/>
      <c r="T599" s="100"/>
      <c r="U599" s="100"/>
      <c r="V599" s="100"/>
      <c r="W599" s="100"/>
      <c r="X599" s="100"/>
      <c r="Y599" s="100"/>
      <c r="Z599" s="100"/>
      <c r="AA599" s="100"/>
      <c r="AB599" s="100"/>
      <c r="AC599" s="100"/>
      <c r="AD599" s="100"/>
    </row>
    <row r="600">
      <c r="A600" s="118"/>
      <c r="B600" s="118"/>
      <c r="C600" s="118"/>
      <c r="D600" s="119"/>
      <c r="E600" s="119"/>
      <c r="F600" s="119"/>
      <c r="G600" s="100"/>
      <c r="H600" s="100"/>
      <c r="I600" s="100"/>
      <c r="J600" s="100"/>
      <c r="K600" s="100"/>
      <c r="L600" s="100"/>
      <c r="M600" s="100"/>
      <c r="N600" s="100"/>
      <c r="O600" s="100"/>
      <c r="P600" s="100"/>
      <c r="Q600" s="100"/>
      <c r="R600" s="100"/>
      <c r="S600" s="100"/>
      <c r="T600" s="100"/>
      <c r="U600" s="100"/>
      <c r="V600" s="100"/>
      <c r="W600" s="100"/>
      <c r="X600" s="100"/>
      <c r="Y600" s="100"/>
      <c r="Z600" s="100"/>
      <c r="AA600" s="100"/>
      <c r="AB600" s="100"/>
      <c r="AC600" s="100"/>
      <c r="AD600" s="100"/>
    </row>
    <row r="601">
      <c r="A601" s="118"/>
      <c r="B601" s="118"/>
      <c r="C601" s="118"/>
      <c r="D601" s="119"/>
      <c r="E601" s="119"/>
      <c r="F601" s="119"/>
      <c r="G601" s="100"/>
      <c r="H601" s="100"/>
      <c r="I601" s="100"/>
      <c r="J601" s="100"/>
      <c r="K601" s="100"/>
      <c r="L601" s="100"/>
      <c r="M601" s="100"/>
      <c r="N601" s="100"/>
      <c r="O601" s="100"/>
      <c r="P601" s="100"/>
      <c r="Q601" s="100"/>
      <c r="R601" s="100"/>
      <c r="S601" s="100"/>
      <c r="T601" s="100"/>
      <c r="U601" s="100"/>
      <c r="V601" s="100"/>
      <c r="W601" s="100"/>
      <c r="X601" s="100"/>
      <c r="Y601" s="100"/>
      <c r="Z601" s="100"/>
      <c r="AA601" s="100"/>
      <c r="AB601" s="100"/>
      <c r="AC601" s="100"/>
      <c r="AD601" s="100"/>
    </row>
    <row r="602">
      <c r="A602" s="118"/>
      <c r="B602" s="118"/>
      <c r="C602" s="118"/>
      <c r="D602" s="119"/>
      <c r="E602" s="119"/>
      <c r="F602" s="119"/>
      <c r="G602" s="100"/>
      <c r="H602" s="100"/>
      <c r="I602" s="100"/>
      <c r="J602" s="100"/>
      <c r="K602" s="100"/>
      <c r="L602" s="100"/>
      <c r="M602" s="100"/>
      <c r="N602" s="100"/>
      <c r="O602" s="100"/>
      <c r="P602" s="100"/>
      <c r="Q602" s="100"/>
      <c r="R602" s="100"/>
      <c r="S602" s="100"/>
      <c r="T602" s="100"/>
      <c r="U602" s="100"/>
      <c r="V602" s="100"/>
      <c r="W602" s="100"/>
      <c r="X602" s="100"/>
      <c r="Y602" s="100"/>
      <c r="Z602" s="100"/>
      <c r="AA602" s="100"/>
      <c r="AB602" s="100"/>
      <c r="AC602" s="100"/>
      <c r="AD602" s="100"/>
    </row>
    <row r="603">
      <c r="A603" s="118"/>
      <c r="B603" s="118"/>
      <c r="C603" s="118"/>
      <c r="D603" s="119"/>
      <c r="E603" s="119"/>
      <c r="F603" s="119"/>
      <c r="G603" s="100"/>
      <c r="H603" s="100"/>
      <c r="I603" s="100"/>
      <c r="J603" s="100"/>
      <c r="K603" s="100"/>
      <c r="L603" s="100"/>
      <c r="M603" s="100"/>
      <c r="N603" s="100"/>
      <c r="O603" s="100"/>
      <c r="P603" s="100"/>
      <c r="Q603" s="100"/>
      <c r="R603" s="100"/>
      <c r="S603" s="100"/>
      <c r="T603" s="100"/>
      <c r="U603" s="100"/>
      <c r="V603" s="100"/>
      <c r="W603" s="100"/>
      <c r="X603" s="100"/>
      <c r="Y603" s="100"/>
      <c r="Z603" s="100"/>
      <c r="AA603" s="100"/>
      <c r="AB603" s="100"/>
      <c r="AC603" s="100"/>
      <c r="AD603" s="100"/>
    </row>
    <row r="604">
      <c r="A604" s="118"/>
      <c r="B604" s="118"/>
      <c r="C604" s="118"/>
      <c r="D604" s="119"/>
      <c r="E604" s="119"/>
      <c r="F604" s="119"/>
      <c r="G604" s="100"/>
      <c r="H604" s="100"/>
      <c r="I604" s="100"/>
      <c r="J604" s="100"/>
      <c r="K604" s="100"/>
      <c r="L604" s="100"/>
      <c r="M604" s="100"/>
      <c r="N604" s="100"/>
      <c r="O604" s="100"/>
      <c r="P604" s="100"/>
      <c r="Q604" s="100"/>
      <c r="R604" s="100"/>
      <c r="S604" s="100"/>
      <c r="T604" s="100"/>
      <c r="U604" s="100"/>
      <c r="V604" s="100"/>
      <c r="W604" s="100"/>
      <c r="X604" s="100"/>
      <c r="Y604" s="100"/>
      <c r="Z604" s="100"/>
      <c r="AA604" s="100"/>
      <c r="AB604" s="100"/>
      <c r="AC604" s="100"/>
      <c r="AD604" s="100"/>
    </row>
    <row r="605">
      <c r="A605" s="118"/>
      <c r="B605" s="118"/>
      <c r="C605" s="118"/>
      <c r="D605" s="119"/>
      <c r="E605" s="119"/>
      <c r="F605" s="119"/>
      <c r="G605" s="100"/>
      <c r="H605" s="100"/>
      <c r="I605" s="100"/>
      <c r="J605" s="100"/>
      <c r="K605" s="100"/>
      <c r="L605" s="100"/>
      <c r="M605" s="100"/>
      <c r="N605" s="100"/>
      <c r="O605" s="100"/>
      <c r="P605" s="100"/>
      <c r="Q605" s="100"/>
      <c r="R605" s="100"/>
      <c r="S605" s="100"/>
      <c r="T605" s="100"/>
      <c r="U605" s="100"/>
      <c r="V605" s="100"/>
      <c r="W605" s="100"/>
      <c r="X605" s="100"/>
      <c r="Y605" s="100"/>
      <c r="Z605" s="100"/>
      <c r="AA605" s="100"/>
      <c r="AB605" s="100"/>
      <c r="AC605" s="100"/>
      <c r="AD605" s="100"/>
    </row>
    <row r="606">
      <c r="A606" s="118"/>
      <c r="B606" s="118"/>
      <c r="C606" s="118"/>
      <c r="D606" s="119"/>
      <c r="E606" s="119"/>
      <c r="F606" s="119"/>
      <c r="G606" s="100"/>
      <c r="H606" s="100"/>
      <c r="I606" s="100"/>
      <c r="J606" s="100"/>
      <c r="K606" s="100"/>
      <c r="L606" s="100"/>
      <c r="M606" s="100"/>
      <c r="N606" s="100"/>
      <c r="O606" s="100"/>
      <c r="P606" s="100"/>
      <c r="Q606" s="100"/>
      <c r="R606" s="100"/>
      <c r="S606" s="100"/>
      <c r="T606" s="100"/>
      <c r="U606" s="100"/>
      <c r="V606" s="100"/>
      <c r="W606" s="100"/>
      <c r="X606" s="100"/>
      <c r="Y606" s="100"/>
      <c r="Z606" s="100"/>
      <c r="AA606" s="100"/>
      <c r="AB606" s="100"/>
      <c r="AC606" s="100"/>
      <c r="AD606" s="100"/>
    </row>
    <row r="607">
      <c r="A607" s="118"/>
      <c r="B607" s="118"/>
      <c r="C607" s="118"/>
      <c r="D607" s="119"/>
      <c r="E607" s="119"/>
      <c r="F607" s="119"/>
      <c r="G607" s="100"/>
      <c r="H607" s="100"/>
      <c r="I607" s="100"/>
      <c r="J607" s="100"/>
      <c r="K607" s="100"/>
      <c r="L607" s="100"/>
      <c r="M607" s="100"/>
      <c r="N607" s="100"/>
      <c r="O607" s="100"/>
      <c r="P607" s="100"/>
      <c r="Q607" s="100"/>
      <c r="R607" s="100"/>
      <c r="S607" s="100"/>
      <c r="T607" s="100"/>
      <c r="U607" s="100"/>
      <c r="V607" s="100"/>
      <c r="W607" s="100"/>
      <c r="X607" s="100"/>
      <c r="Y607" s="100"/>
      <c r="Z607" s="100"/>
      <c r="AA607" s="100"/>
      <c r="AB607" s="100"/>
      <c r="AC607" s="100"/>
      <c r="AD607" s="100"/>
    </row>
    <row r="608">
      <c r="A608" s="118"/>
      <c r="B608" s="118"/>
      <c r="C608" s="118"/>
      <c r="D608" s="119"/>
      <c r="E608" s="119"/>
      <c r="F608" s="119"/>
      <c r="G608" s="100"/>
      <c r="H608" s="100"/>
      <c r="I608" s="100"/>
      <c r="J608" s="100"/>
      <c r="K608" s="100"/>
      <c r="L608" s="100"/>
      <c r="M608" s="100"/>
      <c r="N608" s="100"/>
      <c r="O608" s="100"/>
      <c r="P608" s="100"/>
      <c r="Q608" s="100"/>
      <c r="R608" s="100"/>
      <c r="S608" s="100"/>
      <c r="T608" s="100"/>
      <c r="U608" s="100"/>
      <c r="V608" s="100"/>
      <c r="W608" s="100"/>
      <c r="X608" s="100"/>
      <c r="Y608" s="100"/>
      <c r="Z608" s="100"/>
      <c r="AA608" s="100"/>
      <c r="AB608" s="100"/>
      <c r="AC608" s="100"/>
      <c r="AD608" s="100"/>
    </row>
    <row r="609">
      <c r="A609" s="118"/>
      <c r="B609" s="118"/>
      <c r="C609" s="118"/>
      <c r="D609" s="119"/>
      <c r="E609" s="119"/>
      <c r="F609" s="119"/>
      <c r="G609" s="100"/>
      <c r="H609" s="100"/>
      <c r="I609" s="100"/>
      <c r="J609" s="100"/>
      <c r="K609" s="100"/>
      <c r="L609" s="100"/>
      <c r="M609" s="100"/>
      <c r="N609" s="100"/>
      <c r="O609" s="100"/>
      <c r="P609" s="100"/>
      <c r="Q609" s="100"/>
      <c r="R609" s="100"/>
      <c r="S609" s="100"/>
      <c r="T609" s="100"/>
      <c r="U609" s="100"/>
      <c r="V609" s="100"/>
      <c r="W609" s="100"/>
      <c r="X609" s="100"/>
      <c r="Y609" s="100"/>
      <c r="Z609" s="100"/>
      <c r="AA609" s="100"/>
      <c r="AB609" s="100"/>
      <c r="AC609" s="100"/>
      <c r="AD609" s="100"/>
    </row>
    <row r="610">
      <c r="A610" s="118"/>
      <c r="B610" s="118"/>
      <c r="C610" s="118"/>
      <c r="D610" s="119"/>
      <c r="E610" s="119"/>
      <c r="F610" s="119"/>
      <c r="G610" s="100"/>
      <c r="H610" s="100"/>
      <c r="I610" s="100"/>
      <c r="J610" s="100"/>
      <c r="K610" s="100"/>
      <c r="L610" s="100"/>
      <c r="M610" s="100"/>
      <c r="N610" s="100"/>
      <c r="O610" s="100"/>
      <c r="P610" s="100"/>
      <c r="Q610" s="100"/>
      <c r="R610" s="100"/>
      <c r="S610" s="100"/>
      <c r="T610" s="100"/>
      <c r="U610" s="100"/>
      <c r="V610" s="100"/>
      <c r="W610" s="100"/>
      <c r="X610" s="100"/>
      <c r="Y610" s="100"/>
      <c r="Z610" s="100"/>
      <c r="AA610" s="100"/>
      <c r="AB610" s="100"/>
      <c r="AC610" s="100"/>
      <c r="AD610" s="100"/>
    </row>
    <row r="611">
      <c r="A611" s="118"/>
      <c r="B611" s="118"/>
      <c r="C611" s="118"/>
      <c r="D611" s="119"/>
      <c r="E611" s="119"/>
      <c r="F611" s="119"/>
      <c r="G611" s="100"/>
      <c r="H611" s="100"/>
      <c r="I611" s="100"/>
      <c r="J611" s="100"/>
      <c r="K611" s="100"/>
      <c r="L611" s="100"/>
      <c r="M611" s="100"/>
      <c r="N611" s="100"/>
      <c r="O611" s="100"/>
      <c r="P611" s="100"/>
      <c r="Q611" s="100"/>
      <c r="R611" s="100"/>
      <c r="S611" s="100"/>
      <c r="T611" s="100"/>
      <c r="U611" s="100"/>
      <c r="V611" s="100"/>
      <c r="W611" s="100"/>
      <c r="X611" s="100"/>
      <c r="Y611" s="100"/>
      <c r="Z611" s="100"/>
      <c r="AA611" s="100"/>
      <c r="AB611" s="100"/>
      <c r="AC611" s="100"/>
      <c r="AD611" s="100"/>
    </row>
    <row r="612">
      <c r="A612" s="118"/>
      <c r="B612" s="118"/>
      <c r="C612" s="118"/>
      <c r="D612" s="119"/>
      <c r="E612" s="119"/>
      <c r="F612" s="119"/>
      <c r="G612" s="100"/>
      <c r="H612" s="100"/>
      <c r="I612" s="100"/>
      <c r="J612" s="100"/>
      <c r="K612" s="100"/>
      <c r="L612" s="100"/>
      <c r="M612" s="100"/>
      <c r="N612" s="100"/>
      <c r="O612" s="100"/>
      <c r="P612" s="100"/>
      <c r="Q612" s="100"/>
      <c r="R612" s="100"/>
      <c r="S612" s="100"/>
      <c r="T612" s="100"/>
      <c r="U612" s="100"/>
      <c r="V612" s="100"/>
      <c r="W612" s="100"/>
      <c r="X612" s="100"/>
      <c r="Y612" s="100"/>
      <c r="Z612" s="100"/>
      <c r="AA612" s="100"/>
      <c r="AB612" s="100"/>
      <c r="AC612" s="100"/>
      <c r="AD612" s="100"/>
    </row>
    <row r="613">
      <c r="A613" s="118"/>
      <c r="B613" s="118"/>
      <c r="C613" s="118"/>
      <c r="D613" s="119"/>
      <c r="E613" s="119"/>
      <c r="F613" s="119"/>
      <c r="G613" s="100"/>
      <c r="H613" s="100"/>
      <c r="I613" s="100"/>
      <c r="J613" s="100"/>
      <c r="K613" s="100"/>
      <c r="L613" s="100"/>
      <c r="M613" s="100"/>
      <c r="N613" s="100"/>
      <c r="O613" s="100"/>
      <c r="P613" s="100"/>
      <c r="Q613" s="100"/>
      <c r="R613" s="100"/>
      <c r="S613" s="100"/>
      <c r="T613" s="100"/>
      <c r="U613" s="100"/>
      <c r="V613" s="100"/>
      <c r="W613" s="100"/>
      <c r="X613" s="100"/>
      <c r="Y613" s="100"/>
      <c r="Z613" s="100"/>
      <c r="AA613" s="100"/>
      <c r="AB613" s="100"/>
      <c r="AC613" s="100"/>
      <c r="AD613" s="100"/>
    </row>
    <row r="614">
      <c r="A614" s="118"/>
      <c r="B614" s="118"/>
      <c r="C614" s="118"/>
      <c r="D614" s="119"/>
      <c r="E614" s="119"/>
      <c r="F614" s="119"/>
      <c r="G614" s="100"/>
      <c r="H614" s="100"/>
      <c r="I614" s="100"/>
      <c r="J614" s="100"/>
      <c r="K614" s="100"/>
      <c r="L614" s="100"/>
      <c r="M614" s="100"/>
      <c r="N614" s="100"/>
      <c r="O614" s="100"/>
      <c r="P614" s="100"/>
      <c r="Q614" s="100"/>
      <c r="R614" s="100"/>
      <c r="S614" s="100"/>
      <c r="T614" s="100"/>
      <c r="U614" s="100"/>
      <c r="V614" s="100"/>
      <c r="W614" s="100"/>
      <c r="X614" s="100"/>
      <c r="Y614" s="100"/>
      <c r="Z614" s="100"/>
      <c r="AA614" s="100"/>
      <c r="AB614" s="100"/>
      <c r="AC614" s="100"/>
      <c r="AD614" s="100"/>
    </row>
    <row r="615">
      <c r="A615" s="118"/>
      <c r="B615" s="118"/>
      <c r="C615" s="118"/>
      <c r="D615" s="119"/>
      <c r="E615" s="119"/>
      <c r="F615" s="119"/>
      <c r="G615" s="100"/>
      <c r="H615" s="100"/>
      <c r="I615" s="100"/>
      <c r="J615" s="100"/>
      <c r="K615" s="100"/>
      <c r="L615" s="100"/>
      <c r="M615" s="100"/>
      <c r="N615" s="100"/>
      <c r="O615" s="100"/>
      <c r="P615" s="100"/>
      <c r="Q615" s="100"/>
      <c r="R615" s="100"/>
      <c r="S615" s="100"/>
      <c r="T615" s="100"/>
      <c r="U615" s="100"/>
      <c r="V615" s="100"/>
      <c r="W615" s="100"/>
      <c r="X615" s="100"/>
      <c r="Y615" s="100"/>
      <c r="Z615" s="100"/>
      <c r="AA615" s="100"/>
      <c r="AB615" s="100"/>
      <c r="AC615" s="100"/>
      <c r="AD615" s="100"/>
    </row>
    <row r="616">
      <c r="A616" s="118"/>
      <c r="B616" s="118"/>
      <c r="C616" s="118"/>
      <c r="D616" s="119"/>
      <c r="E616" s="119"/>
      <c r="F616" s="119"/>
      <c r="G616" s="100"/>
      <c r="H616" s="100"/>
      <c r="I616" s="100"/>
      <c r="J616" s="100"/>
      <c r="K616" s="100"/>
      <c r="L616" s="100"/>
      <c r="M616" s="100"/>
      <c r="N616" s="100"/>
      <c r="O616" s="100"/>
      <c r="P616" s="100"/>
      <c r="Q616" s="100"/>
      <c r="R616" s="100"/>
      <c r="S616" s="100"/>
      <c r="T616" s="100"/>
      <c r="U616" s="100"/>
      <c r="V616" s="100"/>
      <c r="W616" s="100"/>
      <c r="X616" s="100"/>
      <c r="Y616" s="100"/>
      <c r="Z616" s="100"/>
      <c r="AA616" s="100"/>
      <c r="AB616" s="100"/>
      <c r="AC616" s="100"/>
      <c r="AD616" s="100"/>
    </row>
    <row r="617">
      <c r="A617" s="118"/>
      <c r="B617" s="118"/>
      <c r="C617" s="118"/>
      <c r="D617" s="119"/>
      <c r="E617" s="119"/>
      <c r="F617" s="119"/>
      <c r="G617" s="100"/>
      <c r="H617" s="100"/>
      <c r="I617" s="100"/>
      <c r="J617" s="100"/>
      <c r="K617" s="100"/>
      <c r="L617" s="100"/>
      <c r="M617" s="100"/>
      <c r="N617" s="100"/>
      <c r="O617" s="100"/>
      <c r="P617" s="100"/>
      <c r="Q617" s="100"/>
      <c r="R617" s="100"/>
      <c r="S617" s="100"/>
      <c r="T617" s="100"/>
      <c r="U617" s="100"/>
      <c r="V617" s="100"/>
      <c r="W617" s="100"/>
      <c r="X617" s="100"/>
      <c r="Y617" s="100"/>
      <c r="Z617" s="100"/>
      <c r="AA617" s="100"/>
      <c r="AB617" s="100"/>
      <c r="AC617" s="100"/>
      <c r="AD617" s="100"/>
    </row>
    <row r="618">
      <c r="A618" s="118"/>
      <c r="B618" s="118"/>
      <c r="C618" s="118"/>
      <c r="D618" s="119"/>
      <c r="E618" s="119"/>
      <c r="F618" s="119"/>
      <c r="G618" s="100"/>
      <c r="H618" s="100"/>
      <c r="I618" s="100"/>
      <c r="J618" s="100"/>
      <c r="K618" s="100"/>
      <c r="L618" s="100"/>
      <c r="M618" s="100"/>
      <c r="N618" s="100"/>
      <c r="O618" s="100"/>
      <c r="P618" s="100"/>
      <c r="Q618" s="100"/>
      <c r="R618" s="100"/>
      <c r="S618" s="100"/>
      <c r="T618" s="100"/>
      <c r="U618" s="100"/>
      <c r="V618" s="100"/>
      <c r="W618" s="100"/>
      <c r="X618" s="100"/>
      <c r="Y618" s="100"/>
      <c r="Z618" s="100"/>
      <c r="AA618" s="100"/>
      <c r="AB618" s="100"/>
      <c r="AC618" s="100"/>
      <c r="AD618" s="100"/>
    </row>
    <row r="619">
      <c r="A619" s="118"/>
      <c r="B619" s="118"/>
      <c r="C619" s="118"/>
      <c r="D619" s="119"/>
      <c r="E619" s="119"/>
      <c r="F619" s="119"/>
      <c r="G619" s="100"/>
      <c r="H619" s="100"/>
      <c r="I619" s="100"/>
      <c r="J619" s="100"/>
      <c r="K619" s="100"/>
      <c r="L619" s="100"/>
      <c r="M619" s="100"/>
      <c r="N619" s="100"/>
      <c r="O619" s="100"/>
      <c r="P619" s="100"/>
      <c r="Q619" s="100"/>
      <c r="R619" s="100"/>
      <c r="S619" s="100"/>
      <c r="T619" s="100"/>
      <c r="U619" s="100"/>
      <c r="V619" s="100"/>
      <c r="W619" s="100"/>
      <c r="X619" s="100"/>
      <c r="Y619" s="100"/>
      <c r="Z619" s="100"/>
      <c r="AA619" s="100"/>
      <c r="AB619" s="100"/>
      <c r="AC619" s="100"/>
      <c r="AD619" s="100"/>
    </row>
    <row r="620">
      <c r="A620" s="118"/>
      <c r="B620" s="118"/>
      <c r="C620" s="118"/>
      <c r="D620" s="119"/>
      <c r="E620" s="119"/>
      <c r="F620" s="119"/>
      <c r="G620" s="100"/>
      <c r="H620" s="100"/>
      <c r="I620" s="100"/>
      <c r="J620" s="100"/>
      <c r="K620" s="100"/>
      <c r="L620" s="100"/>
      <c r="M620" s="100"/>
      <c r="N620" s="100"/>
      <c r="O620" s="100"/>
      <c r="P620" s="100"/>
      <c r="Q620" s="100"/>
      <c r="R620" s="100"/>
      <c r="S620" s="100"/>
      <c r="T620" s="100"/>
      <c r="U620" s="100"/>
      <c r="V620" s="100"/>
      <c r="W620" s="100"/>
      <c r="X620" s="100"/>
      <c r="Y620" s="100"/>
      <c r="Z620" s="100"/>
      <c r="AA620" s="100"/>
      <c r="AB620" s="100"/>
      <c r="AC620" s="100"/>
      <c r="AD620" s="100"/>
    </row>
    <row r="621">
      <c r="A621" s="118"/>
      <c r="B621" s="118"/>
      <c r="C621" s="118"/>
      <c r="D621" s="119"/>
      <c r="E621" s="119"/>
      <c r="F621" s="119"/>
      <c r="G621" s="100"/>
      <c r="H621" s="100"/>
      <c r="I621" s="100"/>
      <c r="J621" s="100"/>
      <c r="K621" s="100"/>
      <c r="L621" s="100"/>
      <c r="M621" s="100"/>
      <c r="N621" s="100"/>
      <c r="O621" s="100"/>
      <c r="P621" s="100"/>
      <c r="Q621" s="100"/>
      <c r="R621" s="100"/>
      <c r="S621" s="100"/>
      <c r="T621" s="100"/>
      <c r="U621" s="100"/>
      <c r="V621" s="100"/>
      <c r="W621" s="100"/>
      <c r="X621" s="100"/>
      <c r="Y621" s="100"/>
      <c r="Z621" s="100"/>
      <c r="AA621" s="100"/>
      <c r="AB621" s="100"/>
      <c r="AC621" s="100"/>
      <c r="AD621" s="100"/>
    </row>
    <row r="622">
      <c r="A622" s="118"/>
      <c r="B622" s="118"/>
      <c r="C622" s="118"/>
      <c r="D622" s="119"/>
      <c r="E622" s="119"/>
      <c r="F622" s="119"/>
      <c r="G622" s="100"/>
      <c r="H622" s="100"/>
      <c r="I622" s="100"/>
      <c r="J622" s="100"/>
      <c r="K622" s="100"/>
      <c r="L622" s="100"/>
      <c r="M622" s="100"/>
      <c r="N622" s="100"/>
      <c r="O622" s="100"/>
      <c r="P622" s="100"/>
      <c r="Q622" s="100"/>
      <c r="R622" s="100"/>
      <c r="S622" s="100"/>
      <c r="T622" s="100"/>
      <c r="U622" s="100"/>
      <c r="V622" s="100"/>
      <c r="W622" s="100"/>
      <c r="X622" s="100"/>
      <c r="Y622" s="100"/>
      <c r="Z622" s="100"/>
      <c r="AA622" s="100"/>
      <c r="AB622" s="100"/>
      <c r="AC622" s="100"/>
      <c r="AD622" s="100"/>
    </row>
    <row r="623">
      <c r="A623" s="118"/>
      <c r="B623" s="118"/>
      <c r="C623" s="118"/>
      <c r="D623" s="119"/>
      <c r="E623" s="119"/>
      <c r="F623" s="119"/>
      <c r="G623" s="100"/>
      <c r="H623" s="100"/>
      <c r="I623" s="100"/>
      <c r="J623" s="100"/>
      <c r="K623" s="100"/>
      <c r="L623" s="100"/>
      <c r="M623" s="100"/>
      <c r="N623" s="100"/>
      <c r="O623" s="100"/>
      <c r="P623" s="100"/>
      <c r="Q623" s="100"/>
      <c r="R623" s="100"/>
      <c r="S623" s="100"/>
      <c r="T623" s="100"/>
      <c r="U623" s="100"/>
      <c r="V623" s="100"/>
      <c r="W623" s="100"/>
      <c r="X623" s="100"/>
      <c r="Y623" s="100"/>
      <c r="Z623" s="100"/>
      <c r="AA623" s="100"/>
      <c r="AB623" s="100"/>
      <c r="AC623" s="100"/>
      <c r="AD623" s="100"/>
    </row>
    <row r="624">
      <c r="A624" s="118"/>
      <c r="B624" s="118"/>
      <c r="C624" s="118"/>
      <c r="D624" s="119"/>
      <c r="E624" s="119"/>
      <c r="F624" s="119"/>
      <c r="G624" s="100"/>
      <c r="H624" s="100"/>
      <c r="I624" s="100"/>
      <c r="J624" s="100"/>
      <c r="K624" s="100"/>
      <c r="L624" s="100"/>
      <c r="M624" s="100"/>
      <c r="N624" s="100"/>
      <c r="O624" s="100"/>
      <c r="P624" s="100"/>
      <c r="Q624" s="100"/>
      <c r="R624" s="100"/>
      <c r="S624" s="100"/>
      <c r="T624" s="100"/>
      <c r="U624" s="100"/>
      <c r="V624" s="100"/>
      <c r="W624" s="100"/>
      <c r="X624" s="100"/>
      <c r="Y624" s="100"/>
      <c r="Z624" s="100"/>
      <c r="AA624" s="100"/>
      <c r="AB624" s="100"/>
      <c r="AC624" s="100"/>
      <c r="AD624" s="100"/>
    </row>
    <row r="625">
      <c r="A625" s="118"/>
      <c r="B625" s="118"/>
      <c r="C625" s="118"/>
      <c r="D625" s="119"/>
      <c r="E625" s="119"/>
      <c r="F625" s="119"/>
      <c r="G625" s="100"/>
      <c r="H625" s="100"/>
      <c r="I625" s="100"/>
      <c r="J625" s="100"/>
      <c r="K625" s="100"/>
      <c r="L625" s="100"/>
      <c r="M625" s="100"/>
      <c r="N625" s="100"/>
      <c r="O625" s="100"/>
      <c r="P625" s="100"/>
      <c r="Q625" s="100"/>
      <c r="R625" s="100"/>
      <c r="S625" s="100"/>
      <c r="T625" s="100"/>
      <c r="U625" s="100"/>
      <c r="V625" s="100"/>
      <c r="W625" s="100"/>
      <c r="X625" s="100"/>
      <c r="Y625" s="100"/>
      <c r="Z625" s="100"/>
      <c r="AA625" s="100"/>
      <c r="AB625" s="100"/>
      <c r="AC625" s="100"/>
      <c r="AD625" s="100"/>
    </row>
    <row r="626">
      <c r="A626" s="118"/>
      <c r="B626" s="118"/>
      <c r="C626" s="118"/>
      <c r="D626" s="119"/>
      <c r="E626" s="119"/>
      <c r="F626" s="119"/>
      <c r="G626" s="100"/>
      <c r="H626" s="100"/>
      <c r="I626" s="100"/>
      <c r="J626" s="100"/>
      <c r="K626" s="100"/>
      <c r="L626" s="100"/>
      <c r="M626" s="100"/>
      <c r="N626" s="100"/>
      <c r="O626" s="100"/>
      <c r="P626" s="100"/>
      <c r="Q626" s="100"/>
      <c r="R626" s="100"/>
      <c r="S626" s="100"/>
      <c r="T626" s="100"/>
      <c r="U626" s="100"/>
      <c r="V626" s="100"/>
      <c r="W626" s="100"/>
      <c r="X626" s="100"/>
      <c r="Y626" s="100"/>
      <c r="Z626" s="100"/>
      <c r="AA626" s="100"/>
      <c r="AB626" s="100"/>
      <c r="AC626" s="100"/>
      <c r="AD626" s="100"/>
    </row>
    <row r="627">
      <c r="A627" s="118"/>
      <c r="B627" s="118"/>
      <c r="C627" s="118"/>
      <c r="D627" s="119"/>
      <c r="E627" s="119"/>
      <c r="F627" s="119"/>
      <c r="G627" s="100"/>
      <c r="H627" s="100"/>
      <c r="I627" s="100"/>
      <c r="J627" s="100"/>
      <c r="K627" s="100"/>
      <c r="L627" s="100"/>
      <c r="M627" s="100"/>
      <c r="N627" s="100"/>
      <c r="O627" s="100"/>
      <c r="P627" s="100"/>
      <c r="Q627" s="100"/>
      <c r="R627" s="100"/>
      <c r="S627" s="100"/>
      <c r="T627" s="100"/>
      <c r="U627" s="100"/>
      <c r="V627" s="100"/>
      <c r="W627" s="100"/>
      <c r="X627" s="100"/>
      <c r="Y627" s="100"/>
      <c r="Z627" s="100"/>
      <c r="AA627" s="100"/>
      <c r="AB627" s="100"/>
      <c r="AC627" s="100"/>
      <c r="AD627" s="100"/>
    </row>
    <row r="628">
      <c r="A628" s="118"/>
      <c r="B628" s="118"/>
      <c r="C628" s="118"/>
      <c r="D628" s="119"/>
      <c r="E628" s="119"/>
      <c r="F628" s="119"/>
      <c r="G628" s="100"/>
      <c r="H628" s="100"/>
      <c r="I628" s="100"/>
      <c r="J628" s="100"/>
      <c r="K628" s="100"/>
      <c r="L628" s="100"/>
      <c r="M628" s="100"/>
      <c r="N628" s="100"/>
      <c r="O628" s="100"/>
      <c r="P628" s="100"/>
      <c r="Q628" s="100"/>
      <c r="R628" s="100"/>
      <c r="S628" s="100"/>
      <c r="T628" s="100"/>
      <c r="U628" s="100"/>
      <c r="V628" s="100"/>
      <c r="W628" s="100"/>
      <c r="X628" s="100"/>
      <c r="Y628" s="100"/>
      <c r="Z628" s="100"/>
      <c r="AA628" s="100"/>
      <c r="AB628" s="100"/>
      <c r="AC628" s="100"/>
      <c r="AD628" s="100"/>
    </row>
    <row r="629">
      <c r="A629" s="118"/>
      <c r="B629" s="118"/>
      <c r="C629" s="118"/>
      <c r="D629" s="119"/>
      <c r="E629" s="119"/>
      <c r="F629" s="119"/>
      <c r="G629" s="100"/>
      <c r="H629" s="100"/>
      <c r="I629" s="100"/>
      <c r="J629" s="100"/>
      <c r="K629" s="100"/>
      <c r="L629" s="100"/>
      <c r="M629" s="100"/>
      <c r="N629" s="100"/>
      <c r="O629" s="100"/>
      <c r="P629" s="100"/>
      <c r="Q629" s="100"/>
      <c r="R629" s="100"/>
      <c r="S629" s="100"/>
      <c r="T629" s="100"/>
      <c r="U629" s="100"/>
      <c r="V629" s="100"/>
      <c r="W629" s="100"/>
      <c r="X629" s="100"/>
      <c r="Y629" s="100"/>
      <c r="Z629" s="100"/>
      <c r="AA629" s="100"/>
      <c r="AB629" s="100"/>
      <c r="AC629" s="100"/>
      <c r="AD629" s="100"/>
    </row>
    <row r="630">
      <c r="A630" s="118"/>
      <c r="B630" s="118"/>
      <c r="C630" s="118"/>
      <c r="D630" s="119"/>
      <c r="E630" s="119"/>
      <c r="F630" s="119"/>
      <c r="G630" s="100"/>
      <c r="H630" s="100"/>
      <c r="I630" s="100"/>
      <c r="J630" s="100"/>
      <c r="K630" s="100"/>
      <c r="L630" s="100"/>
      <c r="M630" s="100"/>
      <c r="N630" s="100"/>
      <c r="O630" s="100"/>
      <c r="P630" s="100"/>
      <c r="Q630" s="100"/>
      <c r="R630" s="100"/>
      <c r="S630" s="100"/>
      <c r="T630" s="100"/>
      <c r="U630" s="100"/>
      <c r="V630" s="100"/>
      <c r="W630" s="100"/>
      <c r="X630" s="100"/>
      <c r="Y630" s="100"/>
      <c r="Z630" s="100"/>
      <c r="AA630" s="100"/>
      <c r="AB630" s="100"/>
      <c r="AC630" s="100"/>
      <c r="AD630" s="100"/>
    </row>
    <row r="631">
      <c r="A631" s="118"/>
      <c r="B631" s="118"/>
      <c r="C631" s="118"/>
      <c r="D631" s="119"/>
      <c r="E631" s="119"/>
      <c r="F631" s="119"/>
      <c r="G631" s="100"/>
      <c r="H631" s="100"/>
      <c r="I631" s="100"/>
      <c r="J631" s="100"/>
      <c r="K631" s="100"/>
      <c r="L631" s="100"/>
      <c r="M631" s="100"/>
      <c r="N631" s="100"/>
      <c r="O631" s="100"/>
      <c r="P631" s="100"/>
      <c r="Q631" s="100"/>
      <c r="R631" s="100"/>
      <c r="S631" s="100"/>
      <c r="T631" s="100"/>
      <c r="U631" s="100"/>
      <c r="V631" s="100"/>
      <c r="W631" s="100"/>
      <c r="X631" s="100"/>
      <c r="Y631" s="100"/>
      <c r="Z631" s="100"/>
      <c r="AA631" s="100"/>
      <c r="AB631" s="100"/>
      <c r="AC631" s="100"/>
      <c r="AD631" s="100"/>
    </row>
    <row r="632">
      <c r="A632" s="118"/>
      <c r="B632" s="118"/>
      <c r="C632" s="118"/>
      <c r="D632" s="119"/>
      <c r="E632" s="119"/>
      <c r="F632" s="119"/>
      <c r="G632" s="100"/>
      <c r="H632" s="100"/>
      <c r="I632" s="100"/>
      <c r="J632" s="100"/>
      <c r="K632" s="100"/>
      <c r="L632" s="100"/>
      <c r="M632" s="100"/>
      <c r="N632" s="100"/>
      <c r="O632" s="100"/>
      <c r="P632" s="100"/>
      <c r="Q632" s="100"/>
      <c r="R632" s="100"/>
      <c r="S632" s="100"/>
      <c r="T632" s="100"/>
      <c r="U632" s="100"/>
      <c r="V632" s="100"/>
      <c r="W632" s="100"/>
      <c r="X632" s="100"/>
      <c r="Y632" s="100"/>
      <c r="Z632" s="100"/>
      <c r="AA632" s="100"/>
      <c r="AB632" s="100"/>
      <c r="AC632" s="100"/>
      <c r="AD632" s="100"/>
    </row>
    <row r="633">
      <c r="A633" s="118"/>
      <c r="B633" s="118"/>
      <c r="C633" s="118"/>
      <c r="D633" s="119"/>
      <c r="E633" s="119"/>
      <c r="F633" s="119"/>
      <c r="G633" s="100"/>
      <c r="H633" s="100"/>
      <c r="I633" s="100"/>
      <c r="J633" s="100"/>
      <c r="K633" s="100"/>
      <c r="L633" s="100"/>
      <c r="M633" s="100"/>
      <c r="N633" s="100"/>
      <c r="O633" s="100"/>
      <c r="P633" s="100"/>
      <c r="Q633" s="100"/>
      <c r="R633" s="100"/>
      <c r="S633" s="100"/>
      <c r="T633" s="100"/>
      <c r="U633" s="100"/>
      <c r="V633" s="100"/>
      <c r="W633" s="100"/>
      <c r="X633" s="100"/>
      <c r="Y633" s="100"/>
      <c r="Z633" s="100"/>
      <c r="AA633" s="100"/>
      <c r="AB633" s="100"/>
      <c r="AC633" s="100"/>
      <c r="AD633" s="100"/>
    </row>
    <row r="634">
      <c r="A634" s="118"/>
      <c r="B634" s="118"/>
      <c r="C634" s="118"/>
      <c r="D634" s="119"/>
      <c r="E634" s="119"/>
      <c r="F634" s="119"/>
      <c r="G634" s="100"/>
      <c r="H634" s="100"/>
      <c r="I634" s="100"/>
      <c r="J634" s="100"/>
      <c r="K634" s="100"/>
      <c r="L634" s="100"/>
      <c r="M634" s="100"/>
      <c r="N634" s="100"/>
      <c r="O634" s="100"/>
      <c r="P634" s="100"/>
      <c r="Q634" s="100"/>
      <c r="R634" s="100"/>
      <c r="S634" s="100"/>
      <c r="T634" s="100"/>
      <c r="U634" s="100"/>
      <c r="V634" s="100"/>
      <c r="W634" s="100"/>
      <c r="X634" s="100"/>
      <c r="Y634" s="100"/>
      <c r="Z634" s="100"/>
      <c r="AA634" s="100"/>
      <c r="AB634" s="100"/>
      <c r="AC634" s="100"/>
      <c r="AD634" s="100"/>
    </row>
    <row r="635">
      <c r="A635" s="118"/>
      <c r="B635" s="118"/>
      <c r="C635" s="118"/>
      <c r="D635" s="119"/>
      <c r="E635" s="119"/>
      <c r="F635" s="119"/>
      <c r="G635" s="100"/>
      <c r="H635" s="100"/>
      <c r="I635" s="100"/>
      <c r="J635" s="100"/>
      <c r="K635" s="100"/>
      <c r="L635" s="100"/>
      <c r="M635" s="100"/>
      <c r="N635" s="100"/>
      <c r="O635" s="100"/>
      <c r="P635" s="100"/>
      <c r="Q635" s="100"/>
      <c r="R635" s="100"/>
      <c r="S635" s="100"/>
      <c r="T635" s="100"/>
      <c r="U635" s="100"/>
      <c r="V635" s="100"/>
      <c r="W635" s="100"/>
      <c r="X635" s="100"/>
      <c r="Y635" s="100"/>
      <c r="Z635" s="100"/>
      <c r="AA635" s="100"/>
      <c r="AB635" s="100"/>
      <c r="AC635" s="100"/>
      <c r="AD635" s="100"/>
    </row>
    <row r="636">
      <c r="A636" s="118"/>
      <c r="B636" s="118"/>
      <c r="C636" s="118"/>
      <c r="D636" s="119"/>
      <c r="E636" s="119"/>
      <c r="F636" s="119"/>
      <c r="G636" s="100"/>
      <c r="H636" s="100"/>
      <c r="I636" s="100"/>
      <c r="J636" s="100"/>
      <c r="K636" s="100"/>
      <c r="L636" s="100"/>
      <c r="M636" s="100"/>
      <c r="N636" s="100"/>
      <c r="O636" s="100"/>
      <c r="P636" s="100"/>
      <c r="Q636" s="100"/>
      <c r="R636" s="100"/>
      <c r="S636" s="100"/>
      <c r="T636" s="100"/>
      <c r="U636" s="100"/>
      <c r="V636" s="100"/>
      <c r="W636" s="100"/>
      <c r="X636" s="100"/>
      <c r="Y636" s="100"/>
      <c r="Z636" s="100"/>
      <c r="AA636" s="100"/>
      <c r="AB636" s="100"/>
      <c r="AC636" s="100"/>
      <c r="AD636" s="100"/>
    </row>
    <row r="637">
      <c r="A637" s="118"/>
      <c r="B637" s="118"/>
      <c r="C637" s="118"/>
      <c r="D637" s="119"/>
      <c r="E637" s="119"/>
      <c r="F637" s="119"/>
      <c r="G637" s="100"/>
      <c r="H637" s="100"/>
      <c r="I637" s="100"/>
      <c r="J637" s="100"/>
      <c r="K637" s="100"/>
      <c r="L637" s="100"/>
      <c r="M637" s="100"/>
      <c r="N637" s="100"/>
      <c r="O637" s="100"/>
      <c r="P637" s="100"/>
      <c r="Q637" s="100"/>
      <c r="R637" s="100"/>
      <c r="S637" s="100"/>
      <c r="T637" s="100"/>
      <c r="U637" s="100"/>
      <c r="V637" s="100"/>
      <c r="W637" s="100"/>
      <c r="X637" s="100"/>
      <c r="Y637" s="100"/>
      <c r="Z637" s="100"/>
      <c r="AA637" s="100"/>
      <c r="AB637" s="100"/>
      <c r="AC637" s="100"/>
      <c r="AD637" s="100"/>
    </row>
    <row r="638">
      <c r="A638" s="118"/>
      <c r="B638" s="118"/>
      <c r="C638" s="118"/>
      <c r="D638" s="119"/>
      <c r="E638" s="119"/>
      <c r="F638" s="119"/>
      <c r="G638" s="100"/>
      <c r="H638" s="100"/>
      <c r="I638" s="100"/>
      <c r="J638" s="100"/>
      <c r="K638" s="100"/>
      <c r="L638" s="100"/>
      <c r="M638" s="100"/>
      <c r="N638" s="100"/>
      <c r="O638" s="100"/>
      <c r="P638" s="100"/>
      <c r="Q638" s="100"/>
      <c r="R638" s="100"/>
      <c r="S638" s="100"/>
      <c r="T638" s="100"/>
      <c r="U638" s="100"/>
      <c r="V638" s="100"/>
      <c r="W638" s="100"/>
      <c r="X638" s="100"/>
      <c r="Y638" s="100"/>
      <c r="Z638" s="100"/>
      <c r="AA638" s="100"/>
      <c r="AB638" s="100"/>
      <c r="AC638" s="100"/>
      <c r="AD638" s="100"/>
    </row>
    <row r="639">
      <c r="A639" s="118"/>
      <c r="B639" s="118"/>
      <c r="C639" s="118"/>
      <c r="D639" s="119"/>
      <c r="E639" s="119"/>
      <c r="F639" s="119"/>
      <c r="G639" s="100"/>
      <c r="H639" s="100"/>
      <c r="I639" s="100"/>
      <c r="J639" s="100"/>
      <c r="K639" s="100"/>
      <c r="L639" s="100"/>
      <c r="M639" s="100"/>
      <c r="N639" s="100"/>
      <c r="O639" s="100"/>
      <c r="P639" s="100"/>
      <c r="Q639" s="100"/>
      <c r="R639" s="100"/>
      <c r="S639" s="100"/>
      <c r="T639" s="100"/>
      <c r="U639" s="100"/>
      <c r="V639" s="100"/>
      <c r="W639" s="100"/>
      <c r="X639" s="100"/>
      <c r="Y639" s="100"/>
      <c r="Z639" s="100"/>
      <c r="AA639" s="100"/>
      <c r="AB639" s="100"/>
      <c r="AC639" s="100"/>
      <c r="AD639" s="100"/>
    </row>
    <row r="640">
      <c r="A640" s="118"/>
      <c r="B640" s="118"/>
      <c r="C640" s="118"/>
      <c r="D640" s="119"/>
      <c r="E640" s="119"/>
      <c r="F640" s="119"/>
      <c r="G640" s="100"/>
      <c r="H640" s="100"/>
      <c r="I640" s="100"/>
      <c r="J640" s="100"/>
      <c r="K640" s="100"/>
      <c r="L640" s="100"/>
      <c r="M640" s="100"/>
      <c r="N640" s="100"/>
      <c r="O640" s="100"/>
      <c r="P640" s="100"/>
      <c r="Q640" s="100"/>
      <c r="R640" s="100"/>
      <c r="S640" s="100"/>
      <c r="T640" s="100"/>
      <c r="U640" s="100"/>
      <c r="V640" s="100"/>
      <c r="W640" s="100"/>
      <c r="X640" s="100"/>
      <c r="Y640" s="100"/>
      <c r="Z640" s="100"/>
      <c r="AA640" s="100"/>
      <c r="AB640" s="100"/>
      <c r="AC640" s="100"/>
      <c r="AD640" s="100"/>
    </row>
    <row r="641">
      <c r="A641" s="118"/>
      <c r="B641" s="118"/>
      <c r="C641" s="118"/>
      <c r="D641" s="119"/>
      <c r="E641" s="119"/>
      <c r="F641" s="119"/>
      <c r="G641" s="100"/>
      <c r="H641" s="100"/>
      <c r="I641" s="100"/>
      <c r="J641" s="100"/>
      <c r="K641" s="100"/>
      <c r="L641" s="100"/>
      <c r="M641" s="100"/>
      <c r="N641" s="100"/>
      <c r="O641" s="100"/>
      <c r="P641" s="100"/>
      <c r="Q641" s="100"/>
      <c r="R641" s="100"/>
      <c r="S641" s="100"/>
      <c r="T641" s="100"/>
      <c r="U641" s="100"/>
      <c r="V641" s="100"/>
      <c r="W641" s="100"/>
      <c r="X641" s="100"/>
      <c r="Y641" s="100"/>
      <c r="Z641" s="100"/>
      <c r="AA641" s="100"/>
      <c r="AB641" s="100"/>
      <c r="AC641" s="100"/>
      <c r="AD641" s="100"/>
    </row>
    <row r="642">
      <c r="A642" s="118"/>
      <c r="B642" s="118"/>
      <c r="C642" s="118"/>
      <c r="D642" s="119"/>
      <c r="E642" s="119"/>
      <c r="F642" s="119"/>
      <c r="G642" s="100"/>
      <c r="H642" s="100"/>
      <c r="I642" s="100"/>
      <c r="J642" s="100"/>
      <c r="K642" s="100"/>
      <c r="L642" s="100"/>
      <c r="M642" s="100"/>
      <c r="N642" s="100"/>
      <c r="O642" s="100"/>
      <c r="P642" s="100"/>
      <c r="Q642" s="100"/>
      <c r="R642" s="100"/>
      <c r="S642" s="100"/>
      <c r="T642" s="100"/>
      <c r="U642" s="100"/>
      <c r="V642" s="100"/>
      <c r="W642" s="100"/>
      <c r="X642" s="100"/>
      <c r="Y642" s="100"/>
      <c r="Z642" s="100"/>
      <c r="AA642" s="100"/>
      <c r="AB642" s="100"/>
      <c r="AC642" s="100"/>
      <c r="AD642" s="100"/>
    </row>
    <row r="643">
      <c r="A643" s="118"/>
      <c r="B643" s="118"/>
      <c r="C643" s="118"/>
      <c r="D643" s="119"/>
      <c r="E643" s="119"/>
      <c r="F643" s="119"/>
      <c r="G643" s="100"/>
      <c r="H643" s="100"/>
      <c r="I643" s="100"/>
      <c r="J643" s="100"/>
      <c r="K643" s="100"/>
      <c r="L643" s="100"/>
      <c r="M643" s="100"/>
      <c r="N643" s="100"/>
      <c r="O643" s="100"/>
      <c r="P643" s="100"/>
      <c r="Q643" s="100"/>
      <c r="R643" s="100"/>
      <c r="S643" s="100"/>
      <c r="T643" s="100"/>
      <c r="U643" s="100"/>
      <c r="V643" s="100"/>
      <c r="W643" s="100"/>
      <c r="X643" s="100"/>
      <c r="Y643" s="100"/>
      <c r="Z643" s="100"/>
      <c r="AA643" s="100"/>
      <c r="AB643" s="100"/>
      <c r="AC643" s="100"/>
      <c r="AD643" s="100"/>
    </row>
    <row r="644">
      <c r="A644" s="118"/>
      <c r="B644" s="118"/>
      <c r="C644" s="118"/>
      <c r="D644" s="119"/>
      <c r="E644" s="119"/>
      <c r="F644" s="119"/>
      <c r="G644" s="100"/>
      <c r="H644" s="100"/>
      <c r="I644" s="100"/>
      <c r="J644" s="100"/>
      <c r="K644" s="100"/>
      <c r="L644" s="100"/>
      <c r="M644" s="100"/>
      <c r="N644" s="100"/>
      <c r="O644" s="100"/>
      <c r="P644" s="100"/>
      <c r="Q644" s="100"/>
      <c r="R644" s="100"/>
      <c r="S644" s="100"/>
      <c r="T644" s="100"/>
      <c r="U644" s="100"/>
      <c r="V644" s="100"/>
      <c r="W644" s="100"/>
      <c r="X644" s="100"/>
      <c r="Y644" s="100"/>
      <c r="Z644" s="100"/>
      <c r="AA644" s="100"/>
      <c r="AB644" s="100"/>
      <c r="AC644" s="100"/>
      <c r="AD644" s="100"/>
    </row>
    <row r="645">
      <c r="A645" s="118"/>
      <c r="B645" s="118"/>
      <c r="C645" s="118"/>
      <c r="D645" s="119"/>
      <c r="E645" s="119"/>
      <c r="F645" s="119"/>
      <c r="G645" s="100"/>
      <c r="H645" s="100"/>
      <c r="I645" s="100"/>
      <c r="J645" s="100"/>
      <c r="K645" s="100"/>
      <c r="L645" s="100"/>
      <c r="M645" s="100"/>
      <c r="N645" s="100"/>
      <c r="O645" s="100"/>
      <c r="P645" s="100"/>
      <c r="Q645" s="100"/>
      <c r="R645" s="100"/>
      <c r="S645" s="100"/>
      <c r="T645" s="100"/>
      <c r="U645" s="100"/>
      <c r="V645" s="100"/>
      <c r="W645" s="100"/>
      <c r="X645" s="100"/>
      <c r="Y645" s="100"/>
      <c r="Z645" s="100"/>
      <c r="AA645" s="100"/>
      <c r="AB645" s="100"/>
      <c r="AC645" s="100"/>
      <c r="AD645" s="100"/>
    </row>
    <row r="646">
      <c r="A646" s="118"/>
      <c r="B646" s="118"/>
      <c r="C646" s="118"/>
      <c r="D646" s="119"/>
      <c r="E646" s="119"/>
      <c r="F646" s="119"/>
      <c r="G646" s="100"/>
      <c r="H646" s="100"/>
      <c r="I646" s="100"/>
      <c r="J646" s="100"/>
      <c r="K646" s="100"/>
      <c r="L646" s="100"/>
      <c r="M646" s="100"/>
      <c r="N646" s="100"/>
      <c r="O646" s="100"/>
      <c r="P646" s="100"/>
      <c r="Q646" s="100"/>
      <c r="R646" s="100"/>
      <c r="S646" s="100"/>
      <c r="T646" s="100"/>
      <c r="U646" s="100"/>
      <c r="V646" s="100"/>
      <c r="W646" s="100"/>
      <c r="X646" s="100"/>
      <c r="Y646" s="100"/>
      <c r="Z646" s="100"/>
      <c r="AA646" s="100"/>
      <c r="AB646" s="100"/>
      <c r="AC646" s="100"/>
      <c r="AD646" s="100"/>
    </row>
    <row r="647">
      <c r="A647" s="118"/>
      <c r="B647" s="118"/>
      <c r="C647" s="118"/>
      <c r="D647" s="119"/>
      <c r="E647" s="119"/>
      <c r="F647" s="119"/>
      <c r="G647" s="100"/>
      <c r="H647" s="100"/>
      <c r="I647" s="100"/>
      <c r="J647" s="100"/>
      <c r="K647" s="100"/>
      <c r="L647" s="100"/>
      <c r="M647" s="100"/>
      <c r="N647" s="100"/>
      <c r="O647" s="100"/>
      <c r="P647" s="100"/>
      <c r="Q647" s="100"/>
      <c r="R647" s="100"/>
      <c r="S647" s="100"/>
      <c r="T647" s="100"/>
      <c r="U647" s="100"/>
      <c r="V647" s="100"/>
      <c r="W647" s="100"/>
      <c r="X647" s="100"/>
      <c r="Y647" s="100"/>
      <c r="Z647" s="100"/>
      <c r="AA647" s="100"/>
      <c r="AB647" s="100"/>
      <c r="AC647" s="100"/>
      <c r="AD647" s="100"/>
    </row>
    <row r="648">
      <c r="A648" s="118"/>
      <c r="B648" s="118"/>
      <c r="C648" s="118"/>
      <c r="D648" s="119"/>
      <c r="E648" s="119"/>
      <c r="F648" s="119"/>
      <c r="G648" s="100"/>
      <c r="H648" s="100"/>
      <c r="I648" s="100"/>
      <c r="J648" s="100"/>
      <c r="K648" s="100"/>
      <c r="L648" s="100"/>
      <c r="M648" s="100"/>
      <c r="N648" s="100"/>
      <c r="O648" s="100"/>
      <c r="P648" s="100"/>
      <c r="Q648" s="100"/>
      <c r="R648" s="100"/>
      <c r="S648" s="100"/>
      <c r="T648" s="100"/>
      <c r="U648" s="100"/>
      <c r="V648" s="100"/>
      <c r="W648" s="100"/>
      <c r="X648" s="100"/>
      <c r="Y648" s="100"/>
      <c r="Z648" s="100"/>
      <c r="AA648" s="100"/>
      <c r="AB648" s="100"/>
      <c r="AC648" s="100"/>
      <c r="AD648" s="100"/>
    </row>
    <row r="649">
      <c r="A649" s="118"/>
      <c r="B649" s="118"/>
      <c r="C649" s="118"/>
      <c r="D649" s="119"/>
      <c r="E649" s="119"/>
      <c r="F649" s="119"/>
      <c r="G649" s="100"/>
      <c r="H649" s="100"/>
      <c r="I649" s="100"/>
      <c r="J649" s="100"/>
      <c r="K649" s="100"/>
      <c r="L649" s="100"/>
      <c r="M649" s="100"/>
      <c r="N649" s="100"/>
      <c r="O649" s="100"/>
      <c r="P649" s="100"/>
      <c r="Q649" s="100"/>
      <c r="R649" s="100"/>
      <c r="S649" s="100"/>
      <c r="T649" s="100"/>
      <c r="U649" s="100"/>
      <c r="V649" s="100"/>
      <c r="W649" s="100"/>
      <c r="X649" s="100"/>
      <c r="Y649" s="100"/>
      <c r="Z649" s="100"/>
      <c r="AA649" s="100"/>
      <c r="AB649" s="100"/>
      <c r="AC649" s="100"/>
      <c r="AD649" s="100"/>
    </row>
    <row r="650">
      <c r="A650" s="118"/>
      <c r="B650" s="118"/>
      <c r="C650" s="118"/>
      <c r="D650" s="119"/>
      <c r="E650" s="119"/>
      <c r="F650" s="119"/>
      <c r="G650" s="100"/>
      <c r="H650" s="100"/>
      <c r="I650" s="100"/>
      <c r="J650" s="100"/>
      <c r="K650" s="100"/>
      <c r="L650" s="100"/>
      <c r="M650" s="100"/>
      <c r="N650" s="100"/>
      <c r="O650" s="100"/>
      <c r="P650" s="100"/>
      <c r="Q650" s="100"/>
      <c r="R650" s="100"/>
      <c r="S650" s="100"/>
      <c r="T650" s="100"/>
      <c r="U650" s="100"/>
      <c r="V650" s="100"/>
      <c r="W650" s="100"/>
      <c r="X650" s="100"/>
      <c r="Y650" s="100"/>
      <c r="Z650" s="100"/>
      <c r="AA650" s="100"/>
      <c r="AB650" s="100"/>
      <c r="AC650" s="100"/>
      <c r="AD650" s="100"/>
    </row>
    <row r="651">
      <c r="A651" s="118"/>
      <c r="B651" s="118"/>
      <c r="C651" s="118"/>
      <c r="D651" s="119"/>
      <c r="E651" s="119"/>
      <c r="F651" s="119"/>
      <c r="G651" s="100"/>
      <c r="H651" s="100"/>
      <c r="I651" s="100"/>
      <c r="J651" s="100"/>
      <c r="K651" s="100"/>
      <c r="L651" s="100"/>
      <c r="M651" s="100"/>
      <c r="N651" s="100"/>
      <c r="O651" s="100"/>
      <c r="P651" s="100"/>
      <c r="Q651" s="100"/>
      <c r="R651" s="100"/>
      <c r="S651" s="100"/>
      <c r="T651" s="100"/>
      <c r="U651" s="100"/>
      <c r="V651" s="100"/>
      <c r="W651" s="100"/>
      <c r="X651" s="100"/>
      <c r="Y651" s="100"/>
      <c r="Z651" s="100"/>
      <c r="AA651" s="100"/>
      <c r="AB651" s="100"/>
      <c r="AC651" s="100"/>
      <c r="AD651" s="100"/>
    </row>
    <row r="652">
      <c r="A652" s="118"/>
      <c r="B652" s="118"/>
      <c r="C652" s="118"/>
      <c r="D652" s="119"/>
      <c r="E652" s="119"/>
      <c r="F652" s="119"/>
      <c r="G652" s="100"/>
      <c r="H652" s="100"/>
      <c r="I652" s="100"/>
      <c r="J652" s="100"/>
      <c r="K652" s="100"/>
      <c r="L652" s="100"/>
      <c r="M652" s="100"/>
      <c r="N652" s="100"/>
      <c r="O652" s="100"/>
      <c r="P652" s="100"/>
      <c r="Q652" s="100"/>
      <c r="R652" s="100"/>
      <c r="S652" s="100"/>
      <c r="T652" s="100"/>
      <c r="U652" s="100"/>
      <c r="V652" s="100"/>
      <c r="W652" s="100"/>
      <c r="X652" s="100"/>
      <c r="Y652" s="100"/>
      <c r="Z652" s="100"/>
      <c r="AA652" s="100"/>
      <c r="AB652" s="100"/>
      <c r="AC652" s="100"/>
      <c r="AD652" s="100"/>
    </row>
    <row r="653">
      <c r="A653" s="118"/>
      <c r="B653" s="118"/>
      <c r="C653" s="118"/>
      <c r="D653" s="119"/>
      <c r="E653" s="119"/>
      <c r="F653" s="119"/>
      <c r="G653" s="100"/>
      <c r="H653" s="100"/>
      <c r="I653" s="100"/>
      <c r="J653" s="100"/>
      <c r="K653" s="100"/>
      <c r="L653" s="100"/>
      <c r="M653" s="100"/>
      <c r="N653" s="100"/>
      <c r="O653" s="100"/>
      <c r="P653" s="100"/>
      <c r="Q653" s="100"/>
      <c r="R653" s="100"/>
      <c r="S653" s="100"/>
      <c r="T653" s="100"/>
      <c r="U653" s="100"/>
      <c r="V653" s="100"/>
      <c r="W653" s="100"/>
      <c r="X653" s="100"/>
      <c r="Y653" s="100"/>
      <c r="Z653" s="100"/>
      <c r="AA653" s="100"/>
      <c r="AB653" s="100"/>
      <c r="AC653" s="100"/>
      <c r="AD653" s="100"/>
    </row>
    <row r="654">
      <c r="A654" s="118"/>
      <c r="B654" s="118"/>
      <c r="C654" s="118"/>
      <c r="D654" s="119"/>
      <c r="E654" s="119"/>
      <c r="F654" s="119"/>
      <c r="G654" s="100"/>
      <c r="H654" s="100"/>
      <c r="I654" s="100"/>
      <c r="J654" s="100"/>
      <c r="K654" s="100"/>
      <c r="L654" s="100"/>
      <c r="M654" s="100"/>
      <c r="N654" s="100"/>
      <c r="O654" s="100"/>
      <c r="P654" s="100"/>
      <c r="Q654" s="100"/>
      <c r="R654" s="100"/>
      <c r="S654" s="100"/>
      <c r="T654" s="100"/>
      <c r="U654" s="100"/>
      <c r="V654" s="100"/>
      <c r="W654" s="100"/>
      <c r="X654" s="100"/>
      <c r="Y654" s="100"/>
      <c r="Z654" s="100"/>
      <c r="AA654" s="100"/>
      <c r="AB654" s="100"/>
      <c r="AC654" s="100"/>
      <c r="AD654" s="100"/>
    </row>
    <row r="655">
      <c r="A655" s="118"/>
      <c r="B655" s="118"/>
      <c r="C655" s="118"/>
      <c r="D655" s="119"/>
      <c r="E655" s="119"/>
      <c r="F655" s="119"/>
      <c r="G655" s="100"/>
      <c r="H655" s="100"/>
      <c r="I655" s="100"/>
      <c r="J655" s="100"/>
      <c r="K655" s="100"/>
      <c r="L655" s="100"/>
      <c r="M655" s="100"/>
      <c r="N655" s="100"/>
      <c r="O655" s="100"/>
      <c r="P655" s="100"/>
      <c r="Q655" s="100"/>
      <c r="R655" s="100"/>
      <c r="S655" s="100"/>
      <c r="T655" s="100"/>
      <c r="U655" s="100"/>
      <c r="V655" s="100"/>
      <c r="W655" s="100"/>
      <c r="X655" s="100"/>
      <c r="Y655" s="100"/>
      <c r="Z655" s="100"/>
      <c r="AA655" s="100"/>
      <c r="AB655" s="100"/>
      <c r="AC655" s="100"/>
      <c r="AD655" s="100"/>
    </row>
    <row r="656">
      <c r="A656" s="118"/>
      <c r="B656" s="118"/>
      <c r="C656" s="118"/>
      <c r="D656" s="119"/>
      <c r="E656" s="119"/>
      <c r="F656" s="119"/>
      <c r="G656" s="100"/>
      <c r="H656" s="100"/>
      <c r="I656" s="100"/>
      <c r="J656" s="100"/>
      <c r="K656" s="100"/>
      <c r="L656" s="100"/>
      <c r="M656" s="100"/>
      <c r="N656" s="100"/>
      <c r="O656" s="100"/>
      <c r="P656" s="100"/>
      <c r="Q656" s="100"/>
      <c r="R656" s="100"/>
      <c r="S656" s="100"/>
      <c r="T656" s="100"/>
      <c r="U656" s="100"/>
      <c r="V656" s="100"/>
      <c r="W656" s="100"/>
      <c r="X656" s="100"/>
      <c r="Y656" s="100"/>
      <c r="Z656" s="100"/>
      <c r="AA656" s="100"/>
      <c r="AB656" s="100"/>
      <c r="AC656" s="100"/>
      <c r="AD656" s="100"/>
    </row>
    <row r="657">
      <c r="A657" s="118"/>
      <c r="B657" s="118"/>
      <c r="C657" s="118"/>
      <c r="D657" s="119"/>
      <c r="E657" s="119"/>
      <c r="F657" s="119"/>
      <c r="G657" s="100"/>
      <c r="H657" s="100"/>
      <c r="I657" s="100"/>
      <c r="J657" s="100"/>
      <c r="K657" s="100"/>
      <c r="L657" s="100"/>
      <c r="M657" s="100"/>
      <c r="N657" s="100"/>
      <c r="O657" s="100"/>
      <c r="P657" s="100"/>
      <c r="Q657" s="100"/>
      <c r="R657" s="100"/>
      <c r="S657" s="100"/>
      <c r="T657" s="100"/>
      <c r="U657" s="100"/>
      <c r="V657" s="100"/>
      <c r="W657" s="100"/>
      <c r="X657" s="100"/>
      <c r="Y657" s="100"/>
      <c r="Z657" s="100"/>
      <c r="AA657" s="100"/>
      <c r="AB657" s="100"/>
      <c r="AC657" s="100"/>
      <c r="AD657" s="100"/>
    </row>
    <row r="658">
      <c r="A658" s="118"/>
      <c r="B658" s="118"/>
      <c r="C658" s="118"/>
      <c r="D658" s="119"/>
      <c r="E658" s="119"/>
      <c r="F658" s="119"/>
      <c r="G658" s="100"/>
      <c r="H658" s="100"/>
      <c r="I658" s="100"/>
      <c r="J658" s="100"/>
      <c r="K658" s="100"/>
      <c r="L658" s="100"/>
      <c r="M658" s="100"/>
      <c r="N658" s="100"/>
      <c r="O658" s="100"/>
      <c r="P658" s="100"/>
      <c r="Q658" s="100"/>
      <c r="R658" s="100"/>
      <c r="S658" s="100"/>
      <c r="T658" s="100"/>
      <c r="U658" s="100"/>
      <c r="V658" s="100"/>
      <c r="W658" s="100"/>
      <c r="X658" s="100"/>
      <c r="Y658" s="100"/>
      <c r="Z658" s="100"/>
      <c r="AA658" s="100"/>
      <c r="AB658" s="100"/>
      <c r="AC658" s="100"/>
      <c r="AD658" s="100"/>
    </row>
    <row r="659">
      <c r="A659" s="118"/>
      <c r="B659" s="118"/>
      <c r="C659" s="118"/>
      <c r="D659" s="119"/>
      <c r="E659" s="119"/>
      <c r="F659" s="119"/>
      <c r="G659" s="100"/>
      <c r="H659" s="100"/>
      <c r="I659" s="100"/>
      <c r="J659" s="100"/>
      <c r="K659" s="100"/>
      <c r="L659" s="100"/>
      <c r="M659" s="100"/>
      <c r="N659" s="100"/>
      <c r="O659" s="100"/>
      <c r="P659" s="100"/>
      <c r="Q659" s="100"/>
      <c r="R659" s="100"/>
      <c r="S659" s="100"/>
      <c r="T659" s="100"/>
      <c r="U659" s="100"/>
      <c r="V659" s="100"/>
      <c r="W659" s="100"/>
      <c r="X659" s="100"/>
      <c r="Y659" s="100"/>
      <c r="Z659" s="100"/>
      <c r="AA659" s="100"/>
      <c r="AB659" s="100"/>
      <c r="AC659" s="100"/>
      <c r="AD659" s="100"/>
    </row>
    <row r="660">
      <c r="A660" s="118"/>
      <c r="B660" s="118"/>
      <c r="C660" s="118"/>
      <c r="D660" s="119"/>
      <c r="E660" s="119"/>
      <c r="F660" s="119"/>
      <c r="G660" s="100"/>
      <c r="H660" s="100"/>
      <c r="I660" s="100"/>
      <c r="J660" s="100"/>
      <c r="K660" s="100"/>
      <c r="L660" s="100"/>
      <c r="M660" s="100"/>
      <c r="N660" s="100"/>
      <c r="O660" s="100"/>
      <c r="P660" s="100"/>
      <c r="Q660" s="100"/>
      <c r="R660" s="100"/>
      <c r="S660" s="100"/>
      <c r="T660" s="100"/>
      <c r="U660" s="100"/>
      <c r="V660" s="100"/>
      <c r="W660" s="100"/>
      <c r="X660" s="100"/>
      <c r="Y660" s="100"/>
      <c r="Z660" s="100"/>
      <c r="AA660" s="100"/>
      <c r="AB660" s="100"/>
      <c r="AC660" s="100"/>
      <c r="AD660" s="100"/>
    </row>
    <row r="661">
      <c r="A661" s="118"/>
      <c r="B661" s="118"/>
      <c r="C661" s="118"/>
      <c r="D661" s="119"/>
      <c r="E661" s="119"/>
      <c r="F661" s="119"/>
      <c r="G661" s="100"/>
      <c r="H661" s="100"/>
      <c r="I661" s="100"/>
      <c r="J661" s="100"/>
      <c r="K661" s="100"/>
      <c r="L661" s="100"/>
      <c r="M661" s="100"/>
      <c r="N661" s="100"/>
      <c r="O661" s="100"/>
      <c r="P661" s="100"/>
      <c r="Q661" s="100"/>
      <c r="R661" s="100"/>
      <c r="S661" s="100"/>
      <c r="T661" s="100"/>
      <c r="U661" s="100"/>
      <c r="V661" s="100"/>
      <c r="W661" s="100"/>
      <c r="X661" s="100"/>
      <c r="Y661" s="100"/>
      <c r="Z661" s="100"/>
      <c r="AA661" s="100"/>
      <c r="AB661" s="100"/>
      <c r="AC661" s="100"/>
      <c r="AD661" s="100"/>
    </row>
    <row r="662">
      <c r="A662" s="118"/>
      <c r="B662" s="118"/>
      <c r="C662" s="118"/>
      <c r="D662" s="119"/>
      <c r="E662" s="119"/>
      <c r="F662" s="119"/>
      <c r="G662" s="100"/>
      <c r="H662" s="100"/>
      <c r="I662" s="100"/>
      <c r="J662" s="100"/>
      <c r="K662" s="100"/>
      <c r="L662" s="100"/>
      <c r="M662" s="100"/>
      <c r="N662" s="100"/>
      <c r="O662" s="100"/>
      <c r="P662" s="100"/>
      <c r="Q662" s="100"/>
      <c r="R662" s="100"/>
      <c r="S662" s="100"/>
      <c r="T662" s="100"/>
      <c r="U662" s="100"/>
      <c r="V662" s="100"/>
      <c r="W662" s="100"/>
      <c r="X662" s="100"/>
      <c r="Y662" s="100"/>
      <c r="Z662" s="100"/>
      <c r="AA662" s="100"/>
      <c r="AB662" s="100"/>
      <c r="AC662" s="100"/>
      <c r="AD662" s="100"/>
    </row>
    <row r="663">
      <c r="A663" s="118"/>
      <c r="B663" s="118"/>
      <c r="C663" s="118"/>
      <c r="D663" s="119"/>
      <c r="E663" s="119"/>
      <c r="F663" s="119"/>
      <c r="G663" s="100"/>
      <c r="H663" s="100"/>
      <c r="I663" s="100"/>
      <c r="J663" s="100"/>
      <c r="K663" s="100"/>
      <c r="L663" s="100"/>
      <c r="M663" s="100"/>
      <c r="N663" s="100"/>
      <c r="O663" s="100"/>
      <c r="P663" s="100"/>
      <c r="Q663" s="100"/>
      <c r="R663" s="100"/>
      <c r="S663" s="100"/>
      <c r="T663" s="100"/>
      <c r="U663" s="100"/>
      <c r="V663" s="100"/>
      <c r="W663" s="100"/>
      <c r="X663" s="100"/>
      <c r="Y663" s="100"/>
      <c r="Z663" s="100"/>
      <c r="AA663" s="100"/>
      <c r="AB663" s="100"/>
      <c r="AC663" s="100"/>
      <c r="AD663" s="100"/>
    </row>
    <row r="664">
      <c r="A664" s="118"/>
      <c r="B664" s="118"/>
      <c r="C664" s="118"/>
      <c r="D664" s="119"/>
      <c r="E664" s="119"/>
      <c r="F664" s="119"/>
      <c r="G664" s="100"/>
      <c r="H664" s="100"/>
      <c r="I664" s="100"/>
      <c r="J664" s="100"/>
      <c r="K664" s="100"/>
      <c r="L664" s="100"/>
      <c r="M664" s="100"/>
      <c r="N664" s="100"/>
      <c r="O664" s="100"/>
      <c r="P664" s="100"/>
      <c r="Q664" s="100"/>
      <c r="R664" s="100"/>
      <c r="S664" s="100"/>
      <c r="T664" s="100"/>
      <c r="U664" s="100"/>
      <c r="V664" s="100"/>
      <c r="W664" s="100"/>
      <c r="X664" s="100"/>
      <c r="Y664" s="100"/>
      <c r="Z664" s="100"/>
      <c r="AA664" s="100"/>
      <c r="AB664" s="100"/>
      <c r="AC664" s="100"/>
      <c r="AD664" s="100"/>
    </row>
    <row r="665">
      <c r="A665" s="118"/>
      <c r="B665" s="118"/>
      <c r="C665" s="118"/>
      <c r="D665" s="119"/>
      <c r="E665" s="119"/>
      <c r="F665" s="119"/>
      <c r="G665" s="100"/>
      <c r="H665" s="100"/>
      <c r="I665" s="100"/>
      <c r="J665" s="100"/>
      <c r="K665" s="100"/>
      <c r="L665" s="100"/>
      <c r="M665" s="100"/>
      <c r="N665" s="100"/>
      <c r="O665" s="100"/>
      <c r="P665" s="100"/>
      <c r="Q665" s="100"/>
      <c r="R665" s="100"/>
      <c r="S665" s="100"/>
      <c r="T665" s="100"/>
      <c r="U665" s="100"/>
      <c r="V665" s="100"/>
      <c r="W665" s="100"/>
      <c r="X665" s="100"/>
      <c r="Y665" s="100"/>
      <c r="Z665" s="100"/>
      <c r="AA665" s="100"/>
      <c r="AB665" s="100"/>
      <c r="AC665" s="100"/>
      <c r="AD665" s="100"/>
    </row>
    <row r="666">
      <c r="A666" s="118"/>
      <c r="B666" s="118"/>
      <c r="C666" s="118"/>
      <c r="D666" s="119"/>
      <c r="E666" s="119"/>
      <c r="F666" s="119"/>
      <c r="G666" s="100"/>
      <c r="H666" s="100"/>
      <c r="I666" s="100"/>
      <c r="J666" s="100"/>
      <c r="K666" s="100"/>
      <c r="L666" s="100"/>
      <c r="M666" s="100"/>
      <c r="N666" s="100"/>
      <c r="O666" s="100"/>
      <c r="P666" s="100"/>
      <c r="Q666" s="100"/>
      <c r="R666" s="100"/>
      <c r="S666" s="100"/>
      <c r="T666" s="100"/>
      <c r="U666" s="100"/>
      <c r="V666" s="100"/>
      <c r="W666" s="100"/>
      <c r="X666" s="100"/>
      <c r="Y666" s="100"/>
      <c r="Z666" s="100"/>
      <c r="AA666" s="100"/>
      <c r="AB666" s="100"/>
      <c r="AC666" s="100"/>
      <c r="AD666" s="100"/>
    </row>
    <row r="667">
      <c r="A667" s="118"/>
      <c r="B667" s="118"/>
      <c r="C667" s="118"/>
      <c r="D667" s="119"/>
      <c r="E667" s="119"/>
      <c r="F667" s="119"/>
      <c r="G667" s="100"/>
      <c r="H667" s="100"/>
      <c r="I667" s="100"/>
      <c r="J667" s="100"/>
      <c r="K667" s="100"/>
      <c r="L667" s="100"/>
      <c r="M667" s="100"/>
      <c r="N667" s="100"/>
      <c r="O667" s="100"/>
      <c r="P667" s="100"/>
      <c r="Q667" s="100"/>
      <c r="R667" s="100"/>
      <c r="S667" s="100"/>
      <c r="T667" s="100"/>
      <c r="U667" s="100"/>
      <c r="V667" s="100"/>
      <c r="W667" s="100"/>
      <c r="X667" s="100"/>
      <c r="Y667" s="100"/>
      <c r="Z667" s="100"/>
      <c r="AA667" s="100"/>
      <c r="AB667" s="100"/>
      <c r="AC667" s="100"/>
      <c r="AD667" s="100"/>
    </row>
    <row r="668">
      <c r="A668" s="118"/>
      <c r="B668" s="118"/>
      <c r="C668" s="118"/>
      <c r="D668" s="119"/>
      <c r="E668" s="119"/>
      <c r="F668" s="119"/>
      <c r="G668" s="100"/>
      <c r="H668" s="100"/>
      <c r="I668" s="100"/>
      <c r="J668" s="100"/>
      <c r="K668" s="100"/>
      <c r="L668" s="100"/>
      <c r="M668" s="100"/>
      <c r="N668" s="100"/>
      <c r="O668" s="100"/>
      <c r="P668" s="100"/>
      <c r="Q668" s="100"/>
      <c r="R668" s="100"/>
      <c r="S668" s="100"/>
      <c r="T668" s="100"/>
      <c r="U668" s="100"/>
      <c r="V668" s="100"/>
      <c r="W668" s="100"/>
      <c r="X668" s="100"/>
      <c r="Y668" s="100"/>
      <c r="Z668" s="100"/>
      <c r="AA668" s="100"/>
      <c r="AB668" s="100"/>
      <c r="AC668" s="100"/>
      <c r="AD668" s="100"/>
    </row>
    <row r="669">
      <c r="A669" s="118"/>
      <c r="B669" s="118"/>
      <c r="C669" s="118"/>
      <c r="D669" s="119"/>
      <c r="E669" s="119"/>
      <c r="F669" s="119"/>
      <c r="G669" s="100"/>
      <c r="H669" s="100"/>
      <c r="I669" s="100"/>
      <c r="J669" s="100"/>
      <c r="K669" s="100"/>
      <c r="L669" s="100"/>
      <c r="M669" s="100"/>
      <c r="N669" s="100"/>
      <c r="O669" s="100"/>
      <c r="P669" s="100"/>
      <c r="Q669" s="100"/>
      <c r="R669" s="100"/>
      <c r="S669" s="100"/>
      <c r="T669" s="100"/>
      <c r="U669" s="100"/>
      <c r="V669" s="100"/>
      <c r="W669" s="100"/>
      <c r="X669" s="100"/>
      <c r="Y669" s="100"/>
      <c r="Z669" s="100"/>
      <c r="AA669" s="100"/>
      <c r="AB669" s="100"/>
      <c r="AC669" s="100"/>
      <c r="AD669" s="100"/>
    </row>
    <row r="670">
      <c r="A670" s="118"/>
      <c r="B670" s="118"/>
      <c r="C670" s="118"/>
      <c r="D670" s="119"/>
      <c r="E670" s="119"/>
      <c r="F670" s="119"/>
      <c r="G670" s="100"/>
      <c r="H670" s="100"/>
      <c r="I670" s="100"/>
      <c r="J670" s="100"/>
      <c r="K670" s="100"/>
      <c r="L670" s="100"/>
      <c r="M670" s="100"/>
      <c r="N670" s="100"/>
      <c r="O670" s="100"/>
      <c r="P670" s="100"/>
      <c r="Q670" s="100"/>
      <c r="R670" s="100"/>
      <c r="S670" s="100"/>
      <c r="T670" s="100"/>
      <c r="U670" s="100"/>
      <c r="V670" s="100"/>
      <c r="W670" s="100"/>
      <c r="X670" s="100"/>
      <c r="Y670" s="100"/>
      <c r="Z670" s="100"/>
      <c r="AA670" s="100"/>
      <c r="AB670" s="100"/>
      <c r="AC670" s="100"/>
      <c r="AD670" s="100"/>
    </row>
    <row r="671">
      <c r="A671" s="118"/>
      <c r="B671" s="118"/>
      <c r="C671" s="118"/>
      <c r="D671" s="119"/>
      <c r="E671" s="119"/>
      <c r="F671" s="119"/>
      <c r="G671" s="100"/>
      <c r="H671" s="100"/>
      <c r="I671" s="100"/>
      <c r="J671" s="100"/>
      <c r="K671" s="100"/>
      <c r="L671" s="100"/>
      <c r="M671" s="100"/>
      <c r="N671" s="100"/>
      <c r="O671" s="100"/>
      <c r="P671" s="100"/>
      <c r="Q671" s="100"/>
      <c r="R671" s="100"/>
      <c r="S671" s="100"/>
      <c r="T671" s="100"/>
      <c r="U671" s="100"/>
      <c r="V671" s="100"/>
      <c r="W671" s="100"/>
      <c r="X671" s="100"/>
      <c r="Y671" s="100"/>
      <c r="Z671" s="100"/>
      <c r="AA671" s="100"/>
      <c r="AB671" s="100"/>
      <c r="AC671" s="100"/>
      <c r="AD671" s="100"/>
    </row>
    <row r="672">
      <c r="A672" s="118"/>
      <c r="B672" s="118"/>
      <c r="C672" s="118"/>
      <c r="D672" s="119"/>
      <c r="E672" s="119"/>
      <c r="F672" s="119"/>
      <c r="G672" s="100"/>
      <c r="H672" s="100"/>
      <c r="I672" s="100"/>
      <c r="J672" s="100"/>
      <c r="K672" s="100"/>
      <c r="L672" s="100"/>
      <c r="M672" s="100"/>
      <c r="N672" s="100"/>
      <c r="O672" s="100"/>
      <c r="P672" s="100"/>
      <c r="Q672" s="100"/>
      <c r="R672" s="100"/>
      <c r="S672" s="100"/>
      <c r="T672" s="100"/>
      <c r="U672" s="100"/>
      <c r="V672" s="100"/>
      <c r="W672" s="100"/>
      <c r="X672" s="100"/>
      <c r="Y672" s="100"/>
      <c r="Z672" s="100"/>
      <c r="AA672" s="100"/>
      <c r="AB672" s="100"/>
      <c r="AC672" s="100"/>
      <c r="AD672" s="100"/>
    </row>
    <row r="673">
      <c r="A673" s="118"/>
      <c r="B673" s="118"/>
      <c r="C673" s="118"/>
      <c r="D673" s="119"/>
      <c r="E673" s="119"/>
      <c r="F673" s="119"/>
      <c r="G673" s="100"/>
      <c r="H673" s="100"/>
      <c r="I673" s="100"/>
      <c r="J673" s="100"/>
      <c r="K673" s="100"/>
      <c r="L673" s="100"/>
      <c r="M673" s="100"/>
      <c r="N673" s="100"/>
      <c r="O673" s="100"/>
      <c r="P673" s="100"/>
      <c r="Q673" s="100"/>
      <c r="R673" s="100"/>
      <c r="S673" s="100"/>
      <c r="T673" s="100"/>
      <c r="U673" s="100"/>
      <c r="V673" s="100"/>
      <c r="W673" s="100"/>
      <c r="X673" s="100"/>
      <c r="Y673" s="100"/>
      <c r="Z673" s="100"/>
      <c r="AA673" s="100"/>
      <c r="AB673" s="100"/>
      <c r="AC673" s="100"/>
      <c r="AD673" s="100"/>
    </row>
    <row r="674">
      <c r="A674" s="118"/>
      <c r="B674" s="118"/>
      <c r="C674" s="118"/>
      <c r="D674" s="119"/>
      <c r="E674" s="119"/>
      <c r="F674" s="119"/>
      <c r="G674" s="100"/>
      <c r="H674" s="100"/>
      <c r="I674" s="100"/>
      <c r="J674" s="100"/>
      <c r="K674" s="100"/>
      <c r="L674" s="100"/>
      <c r="M674" s="100"/>
      <c r="N674" s="100"/>
      <c r="O674" s="100"/>
      <c r="P674" s="100"/>
      <c r="Q674" s="100"/>
      <c r="R674" s="100"/>
      <c r="S674" s="100"/>
      <c r="T674" s="100"/>
      <c r="U674" s="100"/>
      <c r="V674" s="100"/>
      <c r="W674" s="100"/>
      <c r="X674" s="100"/>
      <c r="Y674" s="100"/>
      <c r="Z674" s="100"/>
      <c r="AA674" s="100"/>
      <c r="AB674" s="100"/>
      <c r="AC674" s="100"/>
      <c r="AD674" s="100"/>
    </row>
    <row r="675">
      <c r="A675" s="118"/>
      <c r="B675" s="118"/>
      <c r="C675" s="118"/>
      <c r="D675" s="119"/>
      <c r="E675" s="119"/>
      <c r="F675" s="119"/>
      <c r="G675" s="100"/>
      <c r="H675" s="100"/>
      <c r="I675" s="100"/>
      <c r="J675" s="100"/>
      <c r="K675" s="100"/>
      <c r="L675" s="100"/>
      <c r="M675" s="100"/>
      <c r="N675" s="100"/>
      <c r="O675" s="100"/>
      <c r="P675" s="100"/>
      <c r="Q675" s="100"/>
      <c r="R675" s="100"/>
      <c r="S675" s="100"/>
      <c r="T675" s="100"/>
      <c r="U675" s="100"/>
      <c r="V675" s="100"/>
      <c r="W675" s="100"/>
      <c r="X675" s="100"/>
      <c r="Y675" s="100"/>
      <c r="Z675" s="100"/>
      <c r="AA675" s="100"/>
      <c r="AB675" s="100"/>
      <c r="AC675" s="100"/>
      <c r="AD675" s="100"/>
    </row>
    <row r="676">
      <c r="A676" s="118"/>
      <c r="B676" s="118"/>
      <c r="C676" s="118"/>
      <c r="D676" s="119"/>
      <c r="E676" s="119"/>
      <c r="F676" s="119"/>
      <c r="G676" s="100"/>
      <c r="H676" s="100"/>
      <c r="I676" s="100"/>
      <c r="J676" s="100"/>
      <c r="K676" s="100"/>
      <c r="L676" s="100"/>
      <c r="M676" s="100"/>
      <c r="N676" s="100"/>
      <c r="O676" s="100"/>
      <c r="P676" s="100"/>
      <c r="Q676" s="100"/>
      <c r="R676" s="100"/>
      <c r="S676" s="100"/>
      <c r="T676" s="100"/>
      <c r="U676" s="100"/>
      <c r="V676" s="100"/>
      <c r="W676" s="100"/>
      <c r="X676" s="100"/>
      <c r="Y676" s="100"/>
      <c r="Z676" s="100"/>
      <c r="AA676" s="100"/>
      <c r="AB676" s="100"/>
      <c r="AC676" s="100"/>
      <c r="AD676" s="100"/>
    </row>
    <row r="677">
      <c r="A677" s="118"/>
      <c r="B677" s="118"/>
      <c r="C677" s="118"/>
      <c r="D677" s="119"/>
      <c r="E677" s="119"/>
      <c r="F677" s="119"/>
      <c r="G677" s="100"/>
      <c r="H677" s="100"/>
      <c r="I677" s="100"/>
      <c r="J677" s="100"/>
      <c r="K677" s="100"/>
      <c r="L677" s="100"/>
      <c r="M677" s="100"/>
      <c r="N677" s="100"/>
      <c r="O677" s="100"/>
      <c r="P677" s="100"/>
      <c r="Q677" s="100"/>
      <c r="R677" s="100"/>
      <c r="S677" s="100"/>
      <c r="T677" s="100"/>
      <c r="U677" s="100"/>
      <c r="V677" s="100"/>
      <c r="W677" s="100"/>
      <c r="X677" s="100"/>
      <c r="Y677" s="100"/>
      <c r="Z677" s="100"/>
      <c r="AA677" s="100"/>
      <c r="AB677" s="100"/>
      <c r="AC677" s="100"/>
      <c r="AD677" s="100"/>
    </row>
    <row r="678">
      <c r="A678" s="118"/>
      <c r="B678" s="118"/>
      <c r="C678" s="118"/>
      <c r="D678" s="119"/>
      <c r="E678" s="119"/>
      <c r="F678" s="119"/>
      <c r="G678" s="100"/>
      <c r="H678" s="100"/>
      <c r="I678" s="100"/>
      <c r="J678" s="100"/>
      <c r="K678" s="100"/>
      <c r="L678" s="100"/>
      <c r="M678" s="100"/>
      <c r="N678" s="100"/>
      <c r="O678" s="100"/>
      <c r="P678" s="100"/>
      <c r="Q678" s="100"/>
      <c r="R678" s="100"/>
      <c r="S678" s="100"/>
      <c r="T678" s="100"/>
      <c r="U678" s="100"/>
      <c r="V678" s="100"/>
      <c r="W678" s="100"/>
      <c r="X678" s="100"/>
      <c r="Y678" s="100"/>
      <c r="Z678" s="100"/>
      <c r="AA678" s="100"/>
      <c r="AB678" s="100"/>
      <c r="AC678" s="100"/>
      <c r="AD678" s="100"/>
    </row>
    <row r="679">
      <c r="A679" s="118"/>
      <c r="B679" s="118"/>
      <c r="C679" s="118"/>
      <c r="D679" s="119"/>
      <c r="E679" s="119"/>
      <c r="F679" s="119"/>
      <c r="G679" s="100"/>
      <c r="H679" s="100"/>
      <c r="I679" s="100"/>
      <c r="J679" s="100"/>
      <c r="K679" s="100"/>
      <c r="L679" s="100"/>
      <c r="M679" s="100"/>
      <c r="N679" s="100"/>
      <c r="O679" s="100"/>
      <c r="P679" s="100"/>
      <c r="Q679" s="100"/>
      <c r="R679" s="100"/>
      <c r="S679" s="100"/>
      <c r="T679" s="100"/>
      <c r="U679" s="100"/>
      <c r="V679" s="100"/>
      <c r="W679" s="100"/>
      <c r="X679" s="100"/>
      <c r="Y679" s="100"/>
      <c r="Z679" s="100"/>
      <c r="AA679" s="100"/>
      <c r="AB679" s="100"/>
      <c r="AC679" s="100"/>
      <c r="AD679" s="100"/>
    </row>
    <row r="680">
      <c r="A680" s="118"/>
      <c r="B680" s="118"/>
      <c r="C680" s="118"/>
      <c r="D680" s="119"/>
      <c r="E680" s="119"/>
      <c r="F680" s="119"/>
      <c r="G680" s="100"/>
      <c r="H680" s="100"/>
      <c r="I680" s="100"/>
      <c r="J680" s="100"/>
      <c r="K680" s="100"/>
      <c r="L680" s="100"/>
      <c r="M680" s="100"/>
      <c r="N680" s="100"/>
      <c r="O680" s="100"/>
      <c r="P680" s="100"/>
      <c r="Q680" s="100"/>
      <c r="R680" s="100"/>
      <c r="S680" s="100"/>
      <c r="T680" s="100"/>
      <c r="U680" s="100"/>
      <c r="V680" s="100"/>
      <c r="W680" s="100"/>
      <c r="X680" s="100"/>
      <c r="Y680" s="100"/>
      <c r="Z680" s="100"/>
      <c r="AA680" s="100"/>
      <c r="AB680" s="100"/>
      <c r="AC680" s="100"/>
      <c r="AD680" s="100"/>
    </row>
    <row r="681">
      <c r="A681" s="118"/>
      <c r="B681" s="118"/>
      <c r="C681" s="118"/>
      <c r="D681" s="119"/>
      <c r="E681" s="119"/>
      <c r="F681" s="119"/>
      <c r="G681" s="100"/>
      <c r="H681" s="100"/>
      <c r="I681" s="100"/>
      <c r="J681" s="100"/>
      <c r="K681" s="100"/>
      <c r="L681" s="100"/>
      <c r="M681" s="100"/>
      <c r="N681" s="100"/>
      <c r="O681" s="100"/>
      <c r="P681" s="100"/>
      <c r="Q681" s="100"/>
      <c r="R681" s="100"/>
      <c r="S681" s="100"/>
      <c r="T681" s="100"/>
      <c r="U681" s="100"/>
      <c r="V681" s="100"/>
      <c r="W681" s="100"/>
      <c r="X681" s="100"/>
      <c r="Y681" s="100"/>
      <c r="Z681" s="100"/>
      <c r="AA681" s="100"/>
      <c r="AB681" s="100"/>
      <c r="AC681" s="100"/>
      <c r="AD681" s="100"/>
    </row>
    <row r="682">
      <c r="A682" s="118"/>
      <c r="B682" s="118"/>
      <c r="C682" s="118"/>
      <c r="D682" s="119"/>
      <c r="E682" s="119"/>
      <c r="F682" s="119"/>
      <c r="G682" s="100"/>
      <c r="H682" s="100"/>
      <c r="I682" s="100"/>
      <c r="J682" s="100"/>
      <c r="K682" s="100"/>
      <c r="L682" s="100"/>
      <c r="M682" s="100"/>
      <c r="N682" s="100"/>
      <c r="O682" s="100"/>
      <c r="P682" s="100"/>
      <c r="Q682" s="100"/>
      <c r="R682" s="100"/>
      <c r="S682" s="100"/>
      <c r="T682" s="100"/>
      <c r="U682" s="100"/>
      <c r="V682" s="100"/>
      <c r="W682" s="100"/>
      <c r="X682" s="100"/>
      <c r="Y682" s="100"/>
      <c r="Z682" s="100"/>
      <c r="AA682" s="100"/>
      <c r="AB682" s="100"/>
      <c r="AC682" s="100"/>
      <c r="AD682" s="100"/>
    </row>
    <row r="683">
      <c r="A683" s="118"/>
      <c r="B683" s="118"/>
      <c r="C683" s="118"/>
      <c r="D683" s="119"/>
      <c r="E683" s="119"/>
      <c r="F683" s="119"/>
      <c r="G683" s="100"/>
      <c r="H683" s="100"/>
      <c r="I683" s="100"/>
      <c r="J683" s="100"/>
      <c r="K683" s="100"/>
      <c r="L683" s="100"/>
      <c r="M683" s="100"/>
      <c r="N683" s="100"/>
      <c r="O683" s="100"/>
      <c r="P683" s="100"/>
      <c r="Q683" s="100"/>
      <c r="R683" s="100"/>
      <c r="S683" s="100"/>
      <c r="T683" s="100"/>
      <c r="U683" s="100"/>
      <c r="V683" s="100"/>
      <c r="W683" s="100"/>
      <c r="X683" s="100"/>
      <c r="Y683" s="100"/>
      <c r="Z683" s="100"/>
      <c r="AA683" s="100"/>
      <c r="AB683" s="100"/>
      <c r="AC683" s="100"/>
      <c r="AD683" s="100"/>
    </row>
    <row r="684">
      <c r="A684" s="118"/>
      <c r="B684" s="118"/>
      <c r="C684" s="118"/>
      <c r="D684" s="119"/>
      <c r="E684" s="119"/>
      <c r="F684" s="119"/>
      <c r="G684" s="100"/>
      <c r="H684" s="100"/>
      <c r="I684" s="100"/>
      <c r="J684" s="100"/>
      <c r="K684" s="100"/>
      <c r="L684" s="100"/>
      <c r="M684" s="100"/>
      <c r="N684" s="100"/>
      <c r="O684" s="100"/>
      <c r="P684" s="100"/>
      <c r="Q684" s="100"/>
      <c r="R684" s="100"/>
      <c r="S684" s="100"/>
      <c r="T684" s="100"/>
      <c r="U684" s="100"/>
      <c r="V684" s="100"/>
      <c r="W684" s="100"/>
      <c r="X684" s="100"/>
      <c r="Y684" s="100"/>
      <c r="Z684" s="100"/>
      <c r="AA684" s="100"/>
      <c r="AB684" s="100"/>
      <c r="AC684" s="100"/>
      <c r="AD684" s="100"/>
    </row>
    <row r="685">
      <c r="A685" s="118"/>
      <c r="B685" s="118"/>
      <c r="C685" s="118"/>
      <c r="D685" s="119"/>
      <c r="E685" s="119"/>
      <c r="F685" s="119"/>
      <c r="G685" s="100"/>
      <c r="H685" s="100"/>
      <c r="I685" s="100"/>
      <c r="J685" s="100"/>
      <c r="K685" s="100"/>
      <c r="L685" s="100"/>
      <c r="M685" s="100"/>
      <c r="N685" s="100"/>
      <c r="O685" s="100"/>
      <c r="P685" s="100"/>
      <c r="Q685" s="100"/>
      <c r="R685" s="100"/>
      <c r="S685" s="100"/>
      <c r="T685" s="100"/>
      <c r="U685" s="100"/>
      <c r="V685" s="100"/>
      <c r="W685" s="100"/>
      <c r="X685" s="100"/>
      <c r="Y685" s="100"/>
      <c r="Z685" s="100"/>
      <c r="AA685" s="100"/>
      <c r="AB685" s="100"/>
      <c r="AC685" s="100"/>
      <c r="AD685" s="100"/>
    </row>
    <row r="686">
      <c r="A686" s="118"/>
      <c r="B686" s="118"/>
      <c r="C686" s="118"/>
      <c r="D686" s="119"/>
      <c r="E686" s="119"/>
      <c r="F686" s="119"/>
      <c r="G686" s="100"/>
      <c r="H686" s="100"/>
      <c r="I686" s="100"/>
      <c r="J686" s="100"/>
      <c r="K686" s="100"/>
      <c r="L686" s="100"/>
      <c r="M686" s="100"/>
      <c r="N686" s="100"/>
      <c r="O686" s="100"/>
      <c r="P686" s="100"/>
      <c r="Q686" s="100"/>
      <c r="R686" s="100"/>
      <c r="S686" s="100"/>
      <c r="T686" s="100"/>
      <c r="U686" s="100"/>
      <c r="V686" s="100"/>
      <c r="W686" s="100"/>
      <c r="X686" s="100"/>
      <c r="Y686" s="100"/>
      <c r="Z686" s="100"/>
      <c r="AA686" s="100"/>
      <c r="AB686" s="100"/>
      <c r="AC686" s="100"/>
      <c r="AD686" s="100"/>
    </row>
    <row r="687">
      <c r="A687" s="118"/>
      <c r="B687" s="118"/>
      <c r="C687" s="118"/>
      <c r="D687" s="119"/>
      <c r="E687" s="119"/>
      <c r="F687" s="119"/>
      <c r="G687" s="100"/>
      <c r="H687" s="100"/>
      <c r="I687" s="100"/>
      <c r="J687" s="100"/>
      <c r="K687" s="100"/>
      <c r="L687" s="100"/>
      <c r="M687" s="100"/>
      <c r="N687" s="100"/>
      <c r="O687" s="100"/>
      <c r="P687" s="100"/>
      <c r="Q687" s="100"/>
      <c r="R687" s="100"/>
      <c r="S687" s="100"/>
      <c r="T687" s="100"/>
      <c r="U687" s="100"/>
      <c r="V687" s="100"/>
      <c r="W687" s="100"/>
      <c r="X687" s="100"/>
      <c r="Y687" s="100"/>
      <c r="Z687" s="100"/>
      <c r="AA687" s="100"/>
      <c r="AB687" s="100"/>
      <c r="AC687" s="100"/>
      <c r="AD687" s="100"/>
    </row>
    <row r="688">
      <c r="A688" s="118"/>
      <c r="B688" s="118"/>
      <c r="C688" s="118"/>
      <c r="D688" s="119"/>
      <c r="E688" s="119"/>
      <c r="F688" s="119"/>
      <c r="G688" s="100"/>
      <c r="H688" s="100"/>
      <c r="I688" s="100"/>
      <c r="J688" s="100"/>
      <c r="K688" s="100"/>
      <c r="L688" s="100"/>
      <c r="M688" s="100"/>
      <c r="N688" s="100"/>
      <c r="O688" s="100"/>
      <c r="P688" s="100"/>
      <c r="Q688" s="100"/>
      <c r="R688" s="100"/>
      <c r="S688" s="100"/>
      <c r="T688" s="100"/>
      <c r="U688" s="100"/>
      <c r="V688" s="100"/>
      <c r="W688" s="100"/>
      <c r="X688" s="100"/>
      <c r="Y688" s="100"/>
      <c r="Z688" s="100"/>
      <c r="AA688" s="100"/>
      <c r="AB688" s="100"/>
      <c r="AC688" s="100"/>
      <c r="AD688" s="100"/>
    </row>
    <row r="689">
      <c r="A689" s="118"/>
      <c r="B689" s="118"/>
      <c r="C689" s="118"/>
      <c r="D689" s="119"/>
      <c r="E689" s="119"/>
      <c r="F689" s="119"/>
      <c r="G689" s="100"/>
      <c r="H689" s="100"/>
      <c r="I689" s="100"/>
      <c r="J689" s="100"/>
      <c r="K689" s="100"/>
      <c r="L689" s="100"/>
      <c r="M689" s="100"/>
      <c r="N689" s="100"/>
      <c r="O689" s="100"/>
      <c r="P689" s="100"/>
      <c r="Q689" s="100"/>
      <c r="R689" s="100"/>
      <c r="S689" s="100"/>
      <c r="T689" s="100"/>
      <c r="U689" s="100"/>
      <c r="V689" s="100"/>
      <c r="W689" s="100"/>
      <c r="X689" s="100"/>
      <c r="Y689" s="100"/>
      <c r="Z689" s="100"/>
      <c r="AA689" s="100"/>
      <c r="AB689" s="100"/>
      <c r="AC689" s="100"/>
      <c r="AD689" s="100"/>
    </row>
    <row r="690">
      <c r="A690" s="118"/>
      <c r="B690" s="118"/>
      <c r="C690" s="118"/>
      <c r="D690" s="119"/>
      <c r="E690" s="119"/>
      <c r="F690" s="119"/>
      <c r="G690" s="100"/>
      <c r="H690" s="100"/>
      <c r="I690" s="100"/>
      <c r="J690" s="100"/>
      <c r="K690" s="100"/>
      <c r="L690" s="100"/>
      <c r="M690" s="100"/>
      <c r="N690" s="100"/>
      <c r="O690" s="100"/>
      <c r="P690" s="100"/>
      <c r="Q690" s="100"/>
      <c r="R690" s="100"/>
      <c r="S690" s="100"/>
      <c r="T690" s="100"/>
      <c r="U690" s="100"/>
      <c r="V690" s="100"/>
      <c r="W690" s="100"/>
      <c r="X690" s="100"/>
      <c r="Y690" s="100"/>
      <c r="Z690" s="100"/>
      <c r="AA690" s="100"/>
      <c r="AB690" s="100"/>
      <c r="AC690" s="100"/>
      <c r="AD690" s="100"/>
    </row>
    <row r="691">
      <c r="A691" s="118"/>
      <c r="B691" s="118"/>
      <c r="C691" s="118"/>
      <c r="D691" s="119"/>
      <c r="E691" s="119"/>
      <c r="F691" s="119"/>
      <c r="G691" s="100"/>
      <c r="H691" s="100"/>
      <c r="I691" s="100"/>
      <c r="J691" s="100"/>
      <c r="K691" s="100"/>
      <c r="L691" s="100"/>
      <c r="M691" s="100"/>
      <c r="N691" s="100"/>
      <c r="O691" s="100"/>
      <c r="P691" s="100"/>
      <c r="Q691" s="100"/>
      <c r="R691" s="100"/>
      <c r="S691" s="100"/>
      <c r="T691" s="100"/>
      <c r="U691" s="100"/>
      <c r="V691" s="100"/>
      <c r="W691" s="100"/>
      <c r="X691" s="100"/>
      <c r="Y691" s="100"/>
      <c r="Z691" s="100"/>
      <c r="AA691" s="100"/>
      <c r="AB691" s="100"/>
      <c r="AC691" s="100"/>
      <c r="AD691" s="100"/>
    </row>
    <row r="692">
      <c r="A692" s="118"/>
      <c r="B692" s="118"/>
      <c r="C692" s="118"/>
      <c r="D692" s="119"/>
      <c r="E692" s="119"/>
      <c r="F692" s="119"/>
      <c r="G692" s="100"/>
      <c r="H692" s="100"/>
      <c r="I692" s="100"/>
      <c r="J692" s="100"/>
      <c r="K692" s="100"/>
      <c r="L692" s="100"/>
      <c r="M692" s="100"/>
      <c r="N692" s="100"/>
      <c r="O692" s="100"/>
      <c r="P692" s="100"/>
      <c r="Q692" s="100"/>
      <c r="R692" s="100"/>
      <c r="S692" s="100"/>
      <c r="T692" s="100"/>
      <c r="U692" s="100"/>
      <c r="V692" s="100"/>
      <c r="W692" s="100"/>
      <c r="X692" s="100"/>
      <c r="Y692" s="100"/>
      <c r="Z692" s="100"/>
      <c r="AA692" s="100"/>
      <c r="AB692" s="100"/>
      <c r="AC692" s="100"/>
      <c r="AD692" s="100"/>
    </row>
    <row r="693">
      <c r="A693" s="118"/>
      <c r="B693" s="118"/>
      <c r="C693" s="118"/>
      <c r="D693" s="119"/>
      <c r="E693" s="119"/>
      <c r="F693" s="119"/>
      <c r="G693" s="100"/>
      <c r="H693" s="100"/>
      <c r="I693" s="100"/>
      <c r="J693" s="100"/>
      <c r="K693" s="100"/>
      <c r="L693" s="100"/>
      <c r="M693" s="100"/>
      <c r="N693" s="100"/>
      <c r="O693" s="100"/>
      <c r="P693" s="100"/>
      <c r="Q693" s="100"/>
      <c r="R693" s="100"/>
      <c r="S693" s="100"/>
      <c r="T693" s="100"/>
      <c r="U693" s="100"/>
      <c r="V693" s="100"/>
      <c r="W693" s="100"/>
      <c r="X693" s="100"/>
      <c r="Y693" s="100"/>
      <c r="Z693" s="100"/>
      <c r="AA693" s="100"/>
      <c r="AB693" s="100"/>
      <c r="AC693" s="100"/>
      <c r="AD693" s="100"/>
    </row>
    <row r="694">
      <c r="A694" s="118"/>
      <c r="B694" s="118"/>
      <c r="C694" s="118"/>
      <c r="D694" s="119"/>
      <c r="E694" s="119"/>
      <c r="F694" s="119"/>
      <c r="G694" s="100"/>
      <c r="H694" s="100"/>
      <c r="I694" s="100"/>
      <c r="J694" s="100"/>
      <c r="K694" s="100"/>
      <c r="L694" s="100"/>
      <c r="M694" s="100"/>
      <c r="N694" s="100"/>
      <c r="O694" s="100"/>
      <c r="P694" s="100"/>
      <c r="Q694" s="100"/>
      <c r="R694" s="100"/>
      <c r="S694" s="100"/>
      <c r="T694" s="100"/>
      <c r="U694" s="100"/>
      <c r="V694" s="100"/>
      <c r="W694" s="100"/>
      <c r="X694" s="100"/>
      <c r="Y694" s="100"/>
      <c r="Z694" s="100"/>
      <c r="AA694" s="100"/>
      <c r="AB694" s="100"/>
      <c r="AC694" s="100"/>
      <c r="AD694" s="100"/>
    </row>
    <row r="695">
      <c r="A695" s="118"/>
      <c r="B695" s="118"/>
      <c r="C695" s="118"/>
      <c r="D695" s="119"/>
      <c r="E695" s="119"/>
      <c r="F695" s="119"/>
      <c r="G695" s="100"/>
      <c r="H695" s="100"/>
      <c r="I695" s="100"/>
      <c r="J695" s="100"/>
      <c r="K695" s="100"/>
      <c r="L695" s="100"/>
      <c r="M695" s="100"/>
      <c r="N695" s="100"/>
      <c r="O695" s="100"/>
      <c r="P695" s="100"/>
      <c r="Q695" s="100"/>
      <c r="R695" s="100"/>
      <c r="S695" s="100"/>
      <c r="T695" s="100"/>
      <c r="U695" s="100"/>
      <c r="V695" s="100"/>
      <c r="W695" s="100"/>
      <c r="X695" s="100"/>
      <c r="Y695" s="100"/>
      <c r="Z695" s="100"/>
      <c r="AA695" s="100"/>
      <c r="AB695" s="100"/>
      <c r="AC695" s="100"/>
      <c r="AD695" s="100"/>
    </row>
    <row r="696">
      <c r="A696" s="118"/>
      <c r="B696" s="118"/>
      <c r="C696" s="118"/>
      <c r="D696" s="119"/>
      <c r="E696" s="119"/>
      <c r="F696" s="119"/>
      <c r="G696" s="100"/>
      <c r="H696" s="100"/>
      <c r="I696" s="100"/>
      <c r="J696" s="100"/>
      <c r="K696" s="100"/>
      <c r="L696" s="100"/>
      <c r="M696" s="100"/>
      <c r="N696" s="100"/>
      <c r="O696" s="100"/>
      <c r="P696" s="100"/>
      <c r="Q696" s="100"/>
      <c r="R696" s="100"/>
      <c r="S696" s="100"/>
      <c r="T696" s="100"/>
      <c r="U696" s="100"/>
      <c r="V696" s="100"/>
      <c r="W696" s="100"/>
      <c r="X696" s="100"/>
      <c r="Y696" s="100"/>
      <c r="Z696" s="100"/>
      <c r="AA696" s="100"/>
      <c r="AB696" s="100"/>
      <c r="AC696" s="100"/>
      <c r="AD696" s="100"/>
    </row>
    <row r="697">
      <c r="A697" s="118"/>
      <c r="B697" s="118"/>
      <c r="C697" s="118"/>
      <c r="D697" s="119"/>
      <c r="E697" s="119"/>
      <c r="F697" s="119"/>
      <c r="G697" s="100"/>
      <c r="H697" s="100"/>
      <c r="I697" s="100"/>
      <c r="J697" s="100"/>
      <c r="K697" s="100"/>
      <c r="L697" s="100"/>
      <c r="M697" s="100"/>
      <c r="N697" s="100"/>
      <c r="O697" s="100"/>
      <c r="P697" s="100"/>
      <c r="Q697" s="100"/>
      <c r="R697" s="100"/>
      <c r="S697" s="100"/>
      <c r="T697" s="100"/>
      <c r="U697" s="100"/>
      <c r="V697" s="100"/>
      <c r="W697" s="100"/>
      <c r="X697" s="100"/>
      <c r="Y697" s="100"/>
      <c r="Z697" s="100"/>
      <c r="AA697" s="100"/>
      <c r="AB697" s="100"/>
      <c r="AC697" s="100"/>
      <c r="AD697" s="100"/>
    </row>
    <row r="698">
      <c r="A698" s="118"/>
      <c r="B698" s="118"/>
      <c r="C698" s="118"/>
      <c r="D698" s="119"/>
      <c r="E698" s="119"/>
      <c r="F698" s="119"/>
      <c r="G698" s="100"/>
      <c r="H698" s="100"/>
      <c r="I698" s="100"/>
      <c r="J698" s="100"/>
      <c r="K698" s="100"/>
      <c r="L698" s="100"/>
      <c r="M698" s="100"/>
      <c r="N698" s="100"/>
      <c r="O698" s="100"/>
      <c r="P698" s="100"/>
      <c r="Q698" s="100"/>
      <c r="R698" s="100"/>
      <c r="S698" s="100"/>
      <c r="T698" s="100"/>
      <c r="U698" s="100"/>
      <c r="V698" s="100"/>
      <c r="W698" s="100"/>
      <c r="X698" s="100"/>
      <c r="Y698" s="100"/>
      <c r="Z698" s="100"/>
      <c r="AA698" s="100"/>
      <c r="AB698" s="100"/>
      <c r="AC698" s="100"/>
      <c r="AD698" s="100"/>
    </row>
    <row r="699">
      <c r="A699" s="118"/>
      <c r="B699" s="118"/>
      <c r="C699" s="118"/>
      <c r="D699" s="119"/>
      <c r="E699" s="119"/>
      <c r="F699" s="119"/>
      <c r="G699" s="100"/>
      <c r="H699" s="100"/>
      <c r="I699" s="100"/>
      <c r="J699" s="100"/>
      <c r="K699" s="100"/>
      <c r="L699" s="100"/>
      <c r="M699" s="100"/>
      <c r="N699" s="100"/>
      <c r="O699" s="100"/>
      <c r="P699" s="100"/>
      <c r="Q699" s="100"/>
      <c r="R699" s="100"/>
      <c r="S699" s="100"/>
      <c r="T699" s="100"/>
      <c r="U699" s="100"/>
      <c r="V699" s="100"/>
      <c r="W699" s="100"/>
      <c r="X699" s="100"/>
      <c r="Y699" s="100"/>
      <c r="Z699" s="100"/>
      <c r="AA699" s="100"/>
      <c r="AB699" s="100"/>
      <c r="AC699" s="100"/>
      <c r="AD699" s="100"/>
    </row>
    <row r="700">
      <c r="A700" s="118"/>
      <c r="B700" s="118"/>
      <c r="C700" s="118"/>
      <c r="D700" s="119"/>
      <c r="E700" s="119"/>
      <c r="F700" s="119"/>
      <c r="G700" s="100"/>
      <c r="H700" s="100"/>
      <c r="I700" s="100"/>
      <c r="J700" s="100"/>
      <c r="K700" s="100"/>
      <c r="L700" s="100"/>
      <c r="M700" s="100"/>
      <c r="N700" s="100"/>
      <c r="O700" s="100"/>
      <c r="P700" s="100"/>
      <c r="Q700" s="100"/>
      <c r="R700" s="100"/>
      <c r="S700" s="100"/>
      <c r="T700" s="100"/>
      <c r="U700" s="100"/>
      <c r="V700" s="100"/>
      <c r="W700" s="100"/>
      <c r="X700" s="100"/>
      <c r="Y700" s="100"/>
      <c r="Z700" s="100"/>
      <c r="AA700" s="100"/>
      <c r="AB700" s="100"/>
      <c r="AC700" s="100"/>
      <c r="AD700" s="100"/>
    </row>
    <row r="701">
      <c r="A701" s="118"/>
      <c r="B701" s="118"/>
      <c r="C701" s="118"/>
      <c r="D701" s="119"/>
      <c r="E701" s="119"/>
      <c r="F701" s="119"/>
      <c r="G701" s="100"/>
      <c r="H701" s="100"/>
      <c r="I701" s="100"/>
      <c r="J701" s="100"/>
      <c r="K701" s="100"/>
      <c r="L701" s="100"/>
      <c r="M701" s="100"/>
      <c r="N701" s="100"/>
      <c r="O701" s="100"/>
      <c r="P701" s="100"/>
      <c r="Q701" s="100"/>
      <c r="R701" s="100"/>
      <c r="S701" s="100"/>
      <c r="T701" s="100"/>
      <c r="U701" s="100"/>
      <c r="V701" s="100"/>
      <c r="W701" s="100"/>
      <c r="X701" s="100"/>
      <c r="Y701" s="100"/>
      <c r="Z701" s="100"/>
      <c r="AA701" s="100"/>
      <c r="AB701" s="100"/>
      <c r="AC701" s="100"/>
      <c r="AD701" s="100"/>
    </row>
    <row r="702">
      <c r="A702" s="118"/>
      <c r="B702" s="118"/>
      <c r="C702" s="118"/>
      <c r="D702" s="119"/>
      <c r="E702" s="119"/>
      <c r="F702" s="119"/>
      <c r="G702" s="100"/>
      <c r="H702" s="100"/>
      <c r="I702" s="100"/>
      <c r="J702" s="100"/>
      <c r="K702" s="100"/>
      <c r="L702" s="100"/>
      <c r="M702" s="100"/>
      <c r="N702" s="100"/>
      <c r="O702" s="100"/>
      <c r="P702" s="100"/>
      <c r="Q702" s="100"/>
      <c r="R702" s="100"/>
      <c r="S702" s="100"/>
      <c r="T702" s="100"/>
      <c r="U702" s="100"/>
      <c r="V702" s="100"/>
      <c r="W702" s="100"/>
      <c r="X702" s="100"/>
      <c r="Y702" s="100"/>
      <c r="Z702" s="100"/>
      <c r="AA702" s="100"/>
      <c r="AB702" s="100"/>
      <c r="AC702" s="100"/>
      <c r="AD702" s="100"/>
    </row>
    <row r="703">
      <c r="A703" s="118"/>
      <c r="B703" s="118"/>
      <c r="C703" s="118"/>
      <c r="D703" s="119"/>
      <c r="E703" s="119"/>
      <c r="F703" s="119"/>
      <c r="G703" s="100"/>
      <c r="H703" s="100"/>
      <c r="I703" s="100"/>
      <c r="J703" s="100"/>
      <c r="K703" s="100"/>
      <c r="L703" s="100"/>
      <c r="M703" s="100"/>
      <c r="N703" s="100"/>
      <c r="O703" s="100"/>
      <c r="P703" s="100"/>
      <c r="Q703" s="100"/>
      <c r="R703" s="100"/>
      <c r="S703" s="100"/>
      <c r="T703" s="100"/>
      <c r="U703" s="100"/>
      <c r="V703" s="100"/>
      <c r="W703" s="100"/>
      <c r="X703" s="100"/>
      <c r="Y703" s="100"/>
      <c r="Z703" s="100"/>
      <c r="AA703" s="100"/>
      <c r="AB703" s="100"/>
      <c r="AC703" s="100"/>
      <c r="AD703" s="100"/>
    </row>
    <row r="704">
      <c r="A704" s="118"/>
      <c r="B704" s="118"/>
      <c r="C704" s="118"/>
      <c r="D704" s="119"/>
      <c r="E704" s="119"/>
      <c r="F704" s="119"/>
      <c r="G704" s="100"/>
      <c r="H704" s="100"/>
      <c r="I704" s="100"/>
      <c r="J704" s="100"/>
      <c r="K704" s="100"/>
      <c r="L704" s="100"/>
      <c r="M704" s="100"/>
      <c r="N704" s="100"/>
      <c r="O704" s="100"/>
      <c r="P704" s="100"/>
      <c r="Q704" s="100"/>
      <c r="R704" s="100"/>
      <c r="S704" s="100"/>
      <c r="T704" s="100"/>
      <c r="U704" s="100"/>
      <c r="V704" s="100"/>
      <c r="W704" s="100"/>
      <c r="X704" s="100"/>
      <c r="Y704" s="100"/>
      <c r="Z704" s="100"/>
      <c r="AA704" s="100"/>
      <c r="AB704" s="100"/>
      <c r="AC704" s="100"/>
      <c r="AD704" s="100"/>
    </row>
    <row r="705">
      <c r="A705" s="118"/>
      <c r="B705" s="118"/>
      <c r="C705" s="118"/>
      <c r="D705" s="119"/>
      <c r="E705" s="119"/>
      <c r="F705" s="119"/>
      <c r="G705" s="100"/>
      <c r="H705" s="100"/>
      <c r="I705" s="100"/>
      <c r="J705" s="100"/>
      <c r="K705" s="100"/>
      <c r="L705" s="100"/>
      <c r="M705" s="100"/>
      <c r="N705" s="100"/>
      <c r="O705" s="100"/>
      <c r="P705" s="100"/>
      <c r="Q705" s="100"/>
      <c r="R705" s="100"/>
      <c r="S705" s="100"/>
      <c r="T705" s="100"/>
      <c r="U705" s="100"/>
      <c r="V705" s="100"/>
      <c r="W705" s="100"/>
      <c r="X705" s="100"/>
      <c r="Y705" s="100"/>
      <c r="Z705" s="100"/>
      <c r="AA705" s="100"/>
      <c r="AB705" s="100"/>
      <c r="AC705" s="100"/>
      <c r="AD705" s="100"/>
    </row>
    <row r="706">
      <c r="A706" s="118"/>
      <c r="B706" s="118"/>
      <c r="C706" s="118"/>
      <c r="D706" s="119"/>
      <c r="E706" s="119"/>
      <c r="F706" s="119"/>
      <c r="G706" s="100"/>
      <c r="H706" s="100"/>
      <c r="I706" s="100"/>
      <c r="J706" s="100"/>
      <c r="K706" s="100"/>
      <c r="L706" s="100"/>
      <c r="M706" s="100"/>
      <c r="N706" s="100"/>
      <c r="O706" s="100"/>
      <c r="P706" s="100"/>
      <c r="Q706" s="100"/>
      <c r="R706" s="100"/>
      <c r="S706" s="100"/>
      <c r="T706" s="100"/>
      <c r="U706" s="100"/>
      <c r="V706" s="100"/>
      <c r="W706" s="100"/>
      <c r="X706" s="100"/>
      <c r="Y706" s="100"/>
      <c r="Z706" s="100"/>
      <c r="AA706" s="100"/>
      <c r="AB706" s="100"/>
      <c r="AC706" s="100"/>
      <c r="AD706" s="100"/>
    </row>
    <row r="707">
      <c r="A707" s="118"/>
      <c r="B707" s="118"/>
      <c r="C707" s="118"/>
      <c r="D707" s="119"/>
      <c r="E707" s="119"/>
      <c r="F707" s="119"/>
      <c r="G707" s="100"/>
      <c r="H707" s="100"/>
      <c r="I707" s="100"/>
      <c r="J707" s="100"/>
      <c r="K707" s="100"/>
      <c r="L707" s="100"/>
      <c r="M707" s="100"/>
      <c r="N707" s="100"/>
      <c r="O707" s="100"/>
      <c r="P707" s="100"/>
      <c r="Q707" s="100"/>
      <c r="R707" s="100"/>
      <c r="S707" s="100"/>
      <c r="T707" s="100"/>
      <c r="U707" s="100"/>
      <c r="V707" s="100"/>
      <c r="W707" s="100"/>
      <c r="X707" s="100"/>
      <c r="Y707" s="100"/>
      <c r="Z707" s="100"/>
      <c r="AA707" s="100"/>
      <c r="AB707" s="100"/>
      <c r="AC707" s="100"/>
      <c r="AD707" s="100"/>
    </row>
    <row r="708">
      <c r="A708" s="118"/>
      <c r="B708" s="118"/>
      <c r="C708" s="118"/>
      <c r="D708" s="119"/>
      <c r="E708" s="119"/>
      <c r="F708" s="119"/>
      <c r="G708" s="100"/>
      <c r="H708" s="100"/>
      <c r="I708" s="100"/>
      <c r="J708" s="100"/>
      <c r="K708" s="100"/>
      <c r="L708" s="100"/>
      <c r="M708" s="100"/>
      <c r="N708" s="100"/>
      <c r="O708" s="100"/>
      <c r="P708" s="100"/>
      <c r="Q708" s="100"/>
      <c r="R708" s="100"/>
      <c r="S708" s="100"/>
      <c r="T708" s="100"/>
      <c r="U708" s="100"/>
      <c r="V708" s="100"/>
      <c r="W708" s="100"/>
      <c r="X708" s="100"/>
      <c r="Y708" s="100"/>
      <c r="Z708" s="100"/>
      <c r="AA708" s="100"/>
      <c r="AB708" s="100"/>
      <c r="AC708" s="100"/>
      <c r="AD708" s="100"/>
    </row>
    <row r="709">
      <c r="A709" s="118"/>
      <c r="B709" s="118"/>
      <c r="C709" s="118"/>
      <c r="D709" s="119"/>
      <c r="E709" s="119"/>
      <c r="F709" s="119"/>
      <c r="G709" s="100"/>
      <c r="H709" s="100"/>
      <c r="I709" s="100"/>
      <c r="J709" s="100"/>
      <c r="K709" s="100"/>
      <c r="L709" s="100"/>
      <c r="M709" s="100"/>
      <c r="N709" s="100"/>
      <c r="O709" s="100"/>
      <c r="P709" s="100"/>
      <c r="Q709" s="100"/>
      <c r="R709" s="100"/>
      <c r="S709" s="100"/>
      <c r="T709" s="100"/>
      <c r="U709" s="100"/>
      <c r="V709" s="100"/>
      <c r="W709" s="100"/>
      <c r="X709" s="100"/>
      <c r="Y709" s="100"/>
      <c r="Z709" s="100"/>
      <c r="AA709" s="100"/>
      <c r="AB709" s="100"/>
      <c r="AC709" s="100"/>
      <c r="AD709" s="100"/>
    </row>
    <row r="710">
      <c r="A710" s="118"/>
      <c r="B710" s="118"/>
      <c r="C710" s="118"/>
      <c r="D710" s="119"/>
      <c r="E710" s="119"/>
      <c r="F710" s="119"/>
      <c r="G710" s="100"/>
      <c r="H710" s="100"/>
      <c r="I710" s="100"/>
      <c r="J710" s="100"/>
      <c r="K710" s="100"/>
      <c r="L710" s="100"/>
      <c r="M710" s="100"/>
      <c r="N710" s="100"/>
      <c r="O710" s="100"/>
      <c r="P710" s="100"/>
      <c r="Q710" s="100"/>
      <c r="R710" s="100"/>
      <c r="S710" s="100"/>
      <c r="T710" s="100"/>
      <c r="U710" s="100"/>
      <c r="V710" s="100"/>
      <c r="W710" s="100"/>
      <c r="X710" s="100"/>
      <c r="Y710" s="100"/>
      <c r="Z710" s="100"/>
      <c r="AA710" s="100"/>
      <c r="AB710" s="100"/>
      <c r="AC710" s="100"/>
      <c r="AD710" s="100"/>
    </row>
    <row r="711">
      <c r="A711" s="118"/>
      <c r="B711" s="118"/>
      <c r="C711" s="118"/>
      <c r="D711" s="119"/>
      <c r="E711" s="119"/>
      <c r="F711" s="119"/>
      <c r="G711" s="100"/>
      <c r="H711" s="100"/>
      <c r="I711" s="100"/>
      <c r="J711" s="100"/>
      <c r="K711" s="100"/>
      <c r="L711" s="100"/>
      <c r="M711" s="100"/>
      <c r="N711" s="100"/>
      <c r="O711" s="100"/>
      <c r="P711" s="100"/>
      <c r="Q711" s="100"/>
      <c r="R711" s="100"/>
      <c r="S711" s="100"/>
      <c r="T711" s="100"/>
      <c r="U711" s="100"/>
      <c r="V711" s="100"/>
      <c r="W711" s="100"/>
      <c r="X711" s="100"/>
      <c r="Y711" s="100"/>
      <c r="Z711" s="100"/>
      <c r="AA711" s="100"/>
      <c r="AB711" s="100"/>
      <c r="AC711" s="100"/>
      <c r="AD711" s="100"/>
    </row>
    <row r="712">
      <c r="A712" s="118"/>
      <c r="B712" s="118"/>
      <c r="C712" s="118"/>
      <c r="D712" s="119"/>
      <c r="E712" s="119"/>
      <c r="F712" s="119"/>
      <c r="G712" s="100"/>
      <c r="H712" s="100"/>
      <c r="I712" s="100"/>
      <c r="J712" s="100"/>
      <c r="K712" s="100"/>
      <c r="L712" s="100"/>
      <c r="M712" s="100"/>
      <c r="N712" s="100"/>
      <c r="O712" s="100"/>
      <c r="P712" s="100"/>
      <c r="Q712" s="100"/>
      <c r="R712" s="100"/>
      <c r="S712" s="100"/>
      <c r="T712" s="100"/>
      <c r="U712" s="100"/>
      <c r="V712" s="100"/>
      <c r="W712" s="100"/>
      <c r="X712" s="100"/>
      <c r="Y712" s="100"/>
      <c r="Z712" s="100"/>
      <c r="AA712" s="100"/>
      <c r="AB712" s="100"/>
      <c r="AC712" s="100"/>
      <c r="AD712" s="100"/>
    </row>
    <row r="713">
      <c r="A713" s="118"/>
      <c r="B713" s="118"/>
      <c r="C713" s="118"/>
      <c r="D713" s="119"/>
      <c r="E713" s="119"/>
      <c r="F713" s="119"/>
      <c r="G713" s="100"/>
      <c r="H713" s="100"/>
      <c r="I713" s="100"/>
      <c r="J713" s="100"/>
      <c r="K713" s="100"/>
      <c r="L713" s="100"/>
      <c r="M713" s="100"/>
      <c r="N713" s="100"/>
      <c r="O713" s="100"/>
      <c r="P713" s="100"/>
      <c r="Q713" s="100"/>
      <c r="R713" s="100"/>
      <c r="S713" s="100"/>
      <c r="T713" s="100"/>
      <c r="U713" s="100"/>
      <c r="V713" s="100"/>
      <c r="W713" s="100"/>
      <c r="X713" s="100"/>
      <c r="Y713" s="100"/>
      <c r="Z713" s="100"/>
      <c r="AA713" s="100"/>
      <c r="AB713" s="100"/>
      <c r="AC713" s="100"/>
      <c r="AD713" s="100"/>
    </row>
    <row r="714">
      <c r="A714" s="118"/>
      <c r="B714" s="118"/>
      <c r="C714" s="118"/>
      <c r="D714" s="119"/>
      <c r="E714" s="119"/>
      <c r="F714" s="119"/>
      <c r="G714" s="100"/>
      <c r="H714" s="100"/>
      <c r="I714" s="100"/>
      <c r="J714" s="100"/>
      <c r="K714" s="100"/>
      <c r="L714" s="100"/>
      <c r="M714" s="100"/>
      <c r="N714" s="100"/>
      <c r="O714" s="100"/>
      <c r="P714" s="100"/>
      <c r="Q714" s="100"/>
      <c r="R714" s="100"/>
      <c r="S714" s="100"/>
      <c r="T714" s="100"/>
      <c r="U714" s="100"/>
      <c r="V714" s="100"/>
      <c r="W714" s="100"/>
      <c r="X714" s="100"/>
      <c r="Y714" s="100"/>
      <c r="Z714" s="100"/>
      <c r="AA714" s="100"/>
      <c r="AB714" s="100"/>
      <c r="AC714" s="100"/>
      <c r="AD714" s="100"/>
    </row>
    <row r="715">
      <c r="A715" s="118"/>
      <c r="B715" s="118"/>
      <c r="C715" s="118"/>
      <c r="D715" s="119"/>
      <c r="E715" s="119"/>
      <c r="F715" s="119"/>
      <c r="G715" s="100"/>
      <c r="H715" s="100"/>
      <c r="I715" s="100"/>
      <c r="J715" s="100"/>
      <c r="K715" s="100"/>
      <c r="L715" s="100"/>
      <c r="M715" s="100"/>
      <c r="N715" s="100"/>
      <c r="O715" s="100"/>
      <c r="P715" s="100"/>
      <c r="Q715" s="100"/>
      <c r="R715" s="100"/>
      <c r="S715" s="100"/>
      <c r="T715" s="100"/>
      <c r="U715" s="100"/>
      <c r="V715" s="100"/>
      <c r="W715" s="100"/>
      <c r="X715" s="100"/>
      <c r="Y715" s="100"/>
      <c r="Z715" s="100"/>
      <c r="AA715" s="100"/>
      <c r="AB715" s="100"/>
      <c r="AC715" s="100"/>
      <c r="AD715" s="100"/>
    </row>
    <row r="716">
      <c r="A716" s="118"/>
      <c r="B716" s="118"/>
      <c r="C716" s="118"/>
      <c r="D716" s="119"/>
      <c r="E716" s="119"/>
      <c r="F716" s="119"/>
      <c r="G716" s="100"/>
      <c r="H716" s="100"/>
      <c r="I716" s="100"/>
      <c r="J716" s="100"/>
      <c r="K716" s="100"/>
      <c r="L716" s="100"/>
      <c r="M716" s="100"/>
      <c r="N716" s="100"/>
      <c r="O716" s="100"/>
      <c r="P716" s="100"/>
      <c r="Q716" s="100"/>
      <c r="R716" s="100"/>
      <c r="S716" s="100"/>
      <c r="T716" s="100"/>
      <c r="U716" s="100"/>
      <c r="V716" s="100"/>
      <c r="W716" s="100"/>
      <c r="X716" s="100"/>
      <c r="Y716" s="100"/>
      <c r="Z716" s="100"/>
      <c r="AA716" s="100"/>
      <c r="AB716" s="100"/>
      <c r="AC716" s="100"/>
      <c r="AD716" s="100"/>
    </row>
    <row r="717">
      <c r="A717" s="118"/>
      <c r="B717" s="118"/>
      <c r="C717" s="118"/>
      <c r="D717" s="119"/>
      <c r="E717" s="119"/>
      <c r="F717" s="119"/>
      <c r="G717" s="100"/>
      <c r="H717" s="100"/>
      <c r="I717" s="100"/>
      <c r="J717" s="100"/>
      <c r="K717" s="100"/>
      <c r="L717" s="100"/>
      <c r="M717" s="100"/>
      <c r="N717" s="100"/>
      <c r="O717" s="100"/>
      <c r="P717" s="100"/>
      <c r="Q717" s="100"/>
      <c r="R717" s="100"/>
      <c r="S717" s="100"/>
      <c r="T717" s="100"/>
      <c r="U717" s="100"/>
      <c r="V717" s="100"/>
      <c r="W717" s="100"/>
      <c r="X717" s="100"/>
      <c r="Y717" s="100"/>
      <c r="Z717" s="100"/>
      <c r="AA717" s="100"/>
      <c r="AB717" s="100"/>
      <c r="AC717" s="100"/>
      <c r="AD717" s="100"/>
    </row>
    <row r="718">
      <c r="A718" s="118"/>
      <c r="B718" s="118"/>
      <c r="C718" s="118"/>
      <c r="D718" s="119"/>
      <c r="E718" s="119"/>
      <c r="F718" s="119"/>
      <c r="G718" s="100"/>
      <c r="H718" s="100"/>
      <c r="I718" s="100"/>
      <c r="J718" s="100"/>
      <c r="K718" s="100"/>
      <c r="L718" s="100"/>
      <c r="M718" s="100"/>
      <c r="N718" s="100"/>
      <c r="O718" s="100"/>
      <c r="P718" s="100"/>
      <c r="Q718" s="100"/>
      <c r="R718" s="100"/>
      <c r="S718" s="100"/>
      <c r="T718" s="100"/>
      <c r="U718" s="100"/>
      <c r="V718" s="100"/>
      <c r="W718" s="100"/>
      <c r="X718" s="100"/>
      <c r="Y718" s="100"/>
      <c r="Z718" s="100"/>
      <c r="AA718" s="100"/>
      <c r="AB718" s="100"/>
      <c r="AC718" s="100"/>
      <c r="AD718" s="100"/>
    </row>
    <row r="719">
      <c r="A719" s="118"/>
      <c r="B719" s="118"/>
      <c r="C719" s="118"/>
      <c r="D719" s="119"/>
      <c r="E719" s="119"/>
      <c r="F719" s="119"/>
      <c r="G719" s="100"/>
      <c r="H719" s="100"/>
      <c r="I719" s="100"/>
      <c r="J719" s="100"/>
      <c r="K719" s="100"/>
      <c r="L719" s="100"/>
      <c r="M719" s="100"/>
      <c r="N719" s="100"/>
      <c r="O719" s="100"/>
      <c r="P719" s="100"/>
      <c r="Q719" s="100"/>
      <c r="R719" s="100"/>
      <c r="S719" s="100"/>
      <c r="T719" s="100"/>
      <c r="U719" s="100"/>
      <c r="V719" s="100"/>
      <c r="W719" s="100"/>
      <c r="X719" s="100"/>
      <c r="Y719" s="100"/>
      <c r="Z719" s="100"/>
      <c r="AA719" s="100"/>
      <c r="AB719" s="100"/>
      <c r="AC719" s="100"/>
      <c r="AD719" s="100"/>
    </row>
    <row r="720">
      <c r="A720" s="118"/>
      <c r="B720" s="118"/>
      <c r="C720" s="118"/>
      <c r="D720" s="119"/>
      <c r="E720" s="119"/>
      <c r="F720" s="119"/>
      <c r="G720" s="100"/>
      <c r="H720" s="100"/>
      <c r="I720" s="100"/>
      <c r="J720" s="100"/>
      <c r="K720" s="100"/>
      <c r="L720" s="100"/>
      <c r="M720" s="100"/>
      <c r="N720" s="100"/>
      <c r="O720" s="100"/>
      <c r="P720" s="100"/>
      <c r="Q720" s="100"/>
      <c r="R720" s="100"/>
      <c r="S720" s="100"/>
      <c r="T720" s="100"/>
      <c r="U720" s="100"/>
      <c r="V720" s="100"/>
      <c r="W720" s="100"/>
      <c r="X720" s="100"/>
      <c r="Y720" s="100"/>
      <c r="Z720" s="100"/>
      <c r="AA720" s="100"/>
      <c r="AB720" s="100"/>
      <c r="AC720" s="100"/>
      <c r="AD720" s="100"/>
    </row>
    <row r="721">
      <c r="A721" s="118"/>
      <c r="B721" s="118"/>
      <c r="C721" s="118"/>
      <c r="D721" s="119"/>
      <c r="E721" s="119"/>
      <c r="F721" s="119"/>
      <c r="G721" s="100"/>
      <c r="H721" s="100"/>
      <c r="I721" s="100"/>
      <c r="J721" s="100"/>
      <c r="K721" s="100"/>
      <c r="L721" s="100"/>
      <c r="M721" s="100"/>
      <c r="N721" s="100"/>
      <c r="O721" s="100"/>
      <c r="P721" s="100"/>
      <c r="Q721" s="100"/>
      <c r="R721" s="100"/>
      <c r="S721" s="100"/>
      <c r="T721" s="100"/>
      <c r="U721" s="100"/>
      <c r="V721" s="100"/>
      <c r="W721" s="100"/>
      <c r="X721" s="100"/>
      <c r="Y721" s="100"/>
      <c r="Z721" s="100"/>
      <c r="AA721" s="100"/>
      <c r="AB721" s="100"/>
      <c r="AC721" s="100"/>
      <c r="AD721" s="100"/>
    </row>
    <row r="722">
      <c r="A722" s="118"/>
      <c r="B722" s="118"/>
      <c r="C722" s="118"/>
      <c r="D722" s="119"/>
      <c r="E722" s="119"/>
      <c r="F722" s="119"/>
      <c r="G722" s="100"/>
      <c r="H722" s="100"/>
      <c r="I722" s="100"/>
      <c r="J722" s="100"/>
      <c r="K722" s="100"/>
      <c r="L722" s="100"/>
      <c r="M722" s="100"/>
      <c r="N722" s="100"/>
      <c r="O722" s="100"/>
      <c r="P722" s="100"/>
      <c r="Q722" s="100"/>
      <c r="R722" s="100"/>
      <c r="S722" s="100"/>
      <c r="T722" s="100"/>
      <c r="U722" s="100"/>
      <c r="V722" s="100"/>
      <c r="W722" s="100"/>
      <c r="X722" s="100"/>
      <c r="Y722" s="100"/>
      <c r="Z722" s="100"/>
      <c r="AA722" s="100"/>
      <c r="AB722" s="100"/>
      <c r="AC722" s="100"/>
      <c r="AD722" s="100"/>
    </row>
    <row r="723">
      <c r="A723" s="118"/>
      <c r="B723" s="118"/>
      <c r="C723" s="118"/>
      <c r="D723" s="119"/>
      <c r="E723" s="119"/>
      <c r="F723" s="119"/>
      <c r="G723" s="100"/>
      <c r="H723" s="100"/>
      <c r="I723" s="100"/>
      <c r="J723" s="100"/>
      <c r="K723" s="100"/>
      <c r="L723" s="100"/>
      <c r="M723" s="100"/>
      <c r="N723" s="100"/>
      <c r="O723" s="100"/>
      <c r="P723" s="100"/>
      <c r="Q723" s="100"/>
      <c r="R723" s="100"/>
      <c r="S723" s="100"/>
      <c r="T723" s="100"/>
      <c r="U723" s="100"/>
      <c r="V723" s="100"/>
      <c r="W723" s="100"/>
      <c r="X723" s="100"/>
      <c r="Y723" s="100"/>
      <c r="Z723" s="100"/>
      <c r="AA723" s="100"/>
      <c r="AB723" s="100"/>
      <c r="AC723" s="100"/>
      <c r="AD723" s="100"/>
    </row>
    <row r="724">
      <c r="A724" s="118"/>
      <c r="B724" s="118"/>
      <c r="C724" s="118"/>
      <c r="D724" s="119"/>
      <c r="E724" s="119"/>
      <c r="F724" s="119"/>
      <c r="G724" s="100"/>
      <c r="H724" s="100"/>
      <c r="I724" s="100"/>
      <c r="J724" s="100"/>
      <c r="K724" s="100"/>
      <c r="L724" s="100"/>
      <c r="M724" s="100"/>
      <c r="N724" s="100"/>
      <c r="O724" s="100"/>
      <c r="P724" s="100"/>
      <c r="Q724" s="100"/>
      <c r="R724" s="100"/>
      <c r="S724" s="100"/>
      <c r="T724" s="100"/>
      <c r="U724" s="100"/>
      <c r="V724" s="100"/>
      <c r="W724" s="100"/>
      <c r="X724" s="100"/>
      <c r="Y724" s="100"/>
      <c r="Z724" s="100"/>
      <c r="AA724" s="100"/>
      <c r="AB724" s="100"/>
      <c r="AC724" s="100"/>
      <c r="AD724" s="100"/>
    </row>
    <row r="725">
      <c r="A725" s="118"/>
      <c r="B725" s="118"/>
      <c r="C725" s="118"/>
      <c r="D725" s="119"/>
      <c r="E725" s="119"/>
      <c r="F725" s="119"/>
      <c r="G725" s="100"/>
      <c r="H725" s="100"/>
      <c r="I725" s="100"/>
      <c r="J725" s="100"/>
      <c r="K725" s="100"/>
      <c r="L725" s="100"/>
      <c r="M725" s="100"/>
      <c r="N725" s="100"/>
      <c r="O725" s="100"/>
      <c r="P725" s="100"/>
      <c r="Q725" s="100"/>
      <c r="R725" s="100"/>
      <c r="S725" s="100"/>
      <c r="T725" s="100"/>
      <c r="U725" s="100"/>
      <c r="V725" s="100"/>
      <c r="W725" s="100"/>
      <c r="X725" s="100"/>
      <c r="Y725" s="100"/>
      <c r="Z725" s="100"/>
      <c r="AA725" s="100"/>
      <c r="AB725" s="100"/>
      <c r="AC725" s="100"/>
      <c r="AD725" s="100"/>
    </row>
    <row r="726">
      <c r="A726" s="118"/>
      <c r="B726" s="118"/>
      <c r="C726" s="118"/>
      <c r="D726" s="119"/>
      <c r="E726" s="119"/>
      <c r="F726" s="119"/>
      <c r="G726" s="100"/>
      <c r="H726" s="100"/>
      <c r="I726" s="100"/>
      <c r="J726" s="100"/>
      <c r="K726" s="100"/>
      <c r="L726" s="100"/>
      <c r="M726" s="100"/>
      <c r="N726" s="100"/>
      <c r="O726" s="100"/>
      <c r="P726" s="100"/>
      <c r="Q726" s="100"/>
      <c r="R726" s="100"/>
      <c r="S726" s="100"/>
      <c r="T726" s="100"/>
      <c r="U726" s="100"/>
      <c r="V726" s="100"/>
      <c r="W726" s="100"/>
      <c r="X726" s="100"/>
      <c r="Y726" s="100"/>
      <c r="Z726" s="100"/>
      <c r="AA726" s="100"/>
      <c r="AB726" s="100"/>
      <c r="AC726" s="100"/>
      <c r="AD726" s="100"/>
    </row>
    <row r="727">
      <c r="A727" s="118"/>
      <c r="B727" s="118"/>
      <c r="C727" s="118"/>
      <c r="D727" s="119"/>
      <c r="E727" s="119"/>
      <c r="F727" s="119"/>
      <c r="G727" s="100"/>
      <c r="H727" s="100"/>
      <c r="I727" s="100"/>
      <c r="J727" s="100"/>
      <c r="K727" s="100"/>
      <c r="L727" s="100"/>
      <c r="M727" s="100"/>
      <c r="N727" s="100"/>
      <c r="O727" s="100"/>
      <c r="P727" s="100"/>
      <c r="Q727" s="100"/>
      <c r="R727" s="100"/>
      <c r="S727" s="100"/>
      <c r="T727" s="100"/>
      <c r="U727" s="100"/>
      <c r="V727" s="100"/>
      <c r="W727" s="100"/>
      <c r="X727" s="100"/>
      <c r="Y727" s="100"/>
      <c r="Z727" s="100"/>
      <c r="AA727" s="100"/>
      <c r="AB727" s="100"/>
      <c r="AC727" s="100"/>
      <c r="AD727" s="100"/>
    </row>
    <row r="728">
      <c r="A728" s="118"/>
      <c r="B728" s="118"/>
      <c r="C728" s="118"/>
      <c r="D728" s="119"/>
      <c r="E728" s="119"/>
      <c r="F728" s="119"/>
      <c r="G728" s="100"/>
      <c r="H728" s="100"/>
      <c r="I728" s="100"/>
      <c r="J728" s="100"/>
      <c r="K728" s="100"/>
      <c r="L728" s="100"/>
      <c r="M728" s="100"/>
      <c r="N728" s="100"/>
      <c r="O728" s="100"/>
      <c r="P728" s="100"/>
      <c r="Q728" s="100"/>
      <c r="R728" s="100"/>
      <c r="S728" s="100"/>
      <c r="T728" s="100"/>
      <c r="U728" s="100"/>
      <c r="V728" s="100"/>
      <c r="W728" s="100"/>
      <c r="X728" s="100"/>
      <c r="Y728" s="100"/>
      <c r="Z728" s="100"/>
      <c r="AA728" s="100"/>
      <c r="AB728" s="100"/>
      <c r="AC728" s="100"/>
      <c r="AD728" s="100"/>
    </row>
    <row r="729">
      <c r="A729" s="118"/>
      <c r="B729" s="118"/>
      <c r="C729" s="118"/>
      <c r="D729" s="119"/>
      <c r="E729" s="119"/>
      <c r="F729" s="119"/>
      <c r="G729" s="100"/>
      <c r="H729" s="100"/>
      <c r="I729" s="100"/>
      <c r="J729" s="100"/>
      <c r="K729" s="100"/>
      <c r="L729" s="100"/>
      <c r="M729" s="100"/>
      <c r="N729" s="100"/>
      <c r="O729" s="100"/>
      <c r="P729" s="100"/>
      <c r="Q729" s="100"/>
      <c r="R729" s="100"/>
      <c r="S729" s="100"/>
      <c r="T729" s="100"/>
      <c r="U729" s="100"/>
      <c r="V729" s="100"/>
      <c r="W729" s="100"/>
      <c r="X729" s="100"/>
      <c r="Y729" s="100"/>
      <c r="Z729" s="100"/>
      <c r="AA729" s="100"/>
      <c r="AB729" s="100"/>
      <c r="AC729" s="100"/>
      <c r="AD729" s="100"/>
    </row>
    <row r="730">
      <c r="A730" s="118"/>
      <c r="B730" s="118"/>
      <c r="C730" s="118"/>
      <c r="D730" s="119"/>
      <c r="E730" s="119"/>
      <c r="F730" s="119"/>
      <c r="G730" s="100"/>
      <c r="H730" s="100"/>
      <c r="I730" s="100"/>
      <c r="J730" s="100"/>
      <c r="K730" s="100"/>
      <c r="L730" s="100"/>
      <c r="M730" s="100"/>
      <c r="N730" s="100"/>
      <c r="O730" s="100"/>
      <c r="P730" s="100"/>
      <c r="Q730" s="100"/>
      <c r="R730" s="100"/>
      <c r="S730" s="100"/>
      <c r="T730" s="100"/>
      <c r="U730" s="100"/>
      <c r="V730" s="100"/>
      <c r="W730" s="100"/>
      <c r="X730" s="100"/>
      <c r="Y730" s="100"/>
      <c r="Z730" s="100"/>
      <c r="AA730" s="100"/>
      <c r="AB730" s="100"/>
      <c r="AC730" s="100"/>
      <c r="AD730" s="100"/>
    </row>
    <row r="731">
      <c r="A731" s="118"/>
      <c r="B731" s="118"/>
      <c r="C731" s="118"/>
      <c r="D731" s="119"/>
      <c r="E731" s="119"/>
      <c r="F731" s="119"/>
      <c r="G731" s="100"/>
      <c r="H731" s="100"/>
      <c r="I731" s="100"/>
      <c r="J731" s="100"/>
      <c r="K731" s="100"/>
      <c r="L731" s="100"/>
      <c r="M731" s="100"/>
      <c r="N731" s="100"/>
      <c r="O731" s="100"/>
      <c r="P731" s="100"/>
      <c r="Q731" s="100"/>
      <c r="R731" s="100"/>
      <c r="S731" s="100"/>
      <c r="T731" s="100"/>
      <c r="U731" s="100"/>
      <c r="V731" s="100"/>
      <c r="W731" s="100"/>
      <c r="X731" s="100"/>
      <c r="Y731" s="100"/>
      <c r="Z731" s="100"/>
      <c r="AA731" s="100"/>
      <c r="AB731" s="100"/>
      <c r="AC731" s="100"/>
      <c r="AD731" s="100"/>
    </row>
    <row r="732">
      <c r="A732" s="118"/>
      <c r="B732" s="118"/>
      <c r="C732" s="118"/>
      <c r="D732" s="119"/>
      <c r="E732" s="119"/>
      <c r="F732" s="119"/>
      <c r="G732" s="100"/>
      <c r="H732" s="100"/>
      <c r="I732" s="100"/>
      <c r="J732" s="100"/>
      <c r="K732" s="100"/>
      <c r="L732" s="100"/>
      <c r="M732" s="100"/>
      <c r="N732" s="100"/>
      <c r="O732" s="100"/>
      <c r="P732" s="100"/>
      <c r="Q732" s="100"/>
      <c r="R732" s="100"/>
      <c r="S732" s="100"/>
      <c r="T732" s="100"/>
      <c r="U732" s="100"/>
      <c r="V732" s="100"/>
      <c r="W732" s="100"/>
      <c r="X732" s="100"/>
      <c r="Y732" s="100"/>
      <c r="Z732" s="100"/>
      <c r="AA732" s="100"/>
      <c r="AB732" s="100"/>
      <c r="AC732" s="100"/>
      <c r="AD732" s="100"/>
    </row>
    <row r="733">
      <c r="A733" s="118"/>
      <c r="B733" s="118"/>
      <c r="C733" s="118"/>
      <c r="D733" s="119"/>
      <c r="E733" s="119"/>
      <c r="F733" s="119"/>
      <c r="G733" s="100"/>
      <c r="H733" s="100"/>
      <c r="I733" s="100"/>
      <c r="J733" s="100"/>
      <c r="K733" s="100"/>
      <c r="L733" s="100"/>
      <c r="M733" s="100"/>
      <c r="N733" s="100"/>
      <c r="O733" s="100"/>
      <c r="P733" s="100"/>
      <c r="Q733" s="100"/>
      <c r="R733" s="100"/>
      <c r="S733" s="100"/>
      <c r="T733" s="100"/>
      <c r="U733" s="100"/>
      <c r="V733" s="100"/>
      <c r="W733" s="100"/>
      <c r="X733" s="100"/>
      <c r="Y733" s="100"/>
      <c r="Z733" s="100"/>
      <c r="AA733" s="100"/>
      <c r="AB733" s="100"/>
      <c r="AC733" s="100"/>
      <c r="AD733" s="100"/>
    </row>
    <row r="734">
      <c r="A734" s="118"/>
      <c r="B734" s="118"/>
      <c r="C734" s="118"/>
      <c r="D734" s="119"/>
      <c r="E734" s="119"/>
      <c r="F734" s="119"/>
      <c r="G734" s="100"/>
      <c r="H734" s="100"/>
      <c r="I734" s="100"/>
      <c r="J734" s="100"/>
      <c r="K734" s="100"/>
      <c r="L734" s="100"/>
      <c r="M734" s="100"/>
      <c r="N734" s="100"/>
      <c r="O734" s="100"/>
      <c r="P734" s="100"/>
      <c r="Q734" s="100"/>
      <c r="R734" s="100"/>
      <c r="S734" s="100"/>
      <c r="T734" s="100"/>
      <c r="U734" s="100"/>
      <c r="V734" s="100"/>
      <c r="W734" s="100"/>
      <c r="X734" s="100"/>
      <c r="Y734" s="100"/>
      <c r="Z734" s="100"/>
      <c r="AA734" s="100"/>
      <c r="AB734" s="100"/>
      <c r="AC734" s="100"/>
      <c r="AD734" s="100"/>
    </row>
    <row r="735">
      <c r="A735" s="118"/>
      <c r="B735" s="118"/>
      <c r="C735" s="118"/>
      <c r="D735" s="119"/>
      <c r="E735" s="119"/>
      <c r="F735" s="119"/>
      <c r="G735" s="100"/>
      <c r="H735" s="100"/>
      <c r="I735" s="100"/>
      <c r="J735" s="100"/>
      <c r="K735" s="100"/>
      <c r="L735" s="100"/>
      <c r="M735" s="100"/>
      <c r="N735" s="100"/>
      <c r="O735" s="100"/>
      <c r="P735" s="100"/>
      <c r="Q735" s="100"/>
      <c r="R735" s="100"/>
      <c r="S735" s="100"/>
      <c r="T735" s="100"/>
      <c r="U735" s="100"/>
      <c r="V735" s="100"/>
      <c r="W735" s="100"/>
      <c r="X735" s="100"/>
      <c r="Y735" s="100"/>
      <c r="Z735" s="100"/>
      <c r="AA735" s="100"/>
      <c r="AB735" s="100"/>
      <c r="AC735" s="100"/>
      <c r="AD735" s="100"/>
    </row>
    <row r="736">
      <c r="A736" s="118"/>
      <c r="B736" s="118"/>
      <c r="C736" s="118"/>
      <c r="D736" s="119"/>
      <c r="E736" s="119"/>
      <c r="F736" s="119"/>
      <c r="G736" s="100"/>
      <c r="H736" s="100"/>
      <c r="I736" s="100"/>
      <c r="J736" s="100"/>
      <c r="K736" s="100"/>
      <c r="L736" s="100"/>
      <c r="M736" s="100"/>
      <c r="N736" s="100"/>
      <c r="O736" s="100"/>
      <c r="P736" s="100"/>
      <c r="Q736" s="100"/>
      <c r="R736" s="100"/>
      <c r="S736" s="100"/>
      <c r="T736" s="100"/>
      <c r="U736" s="100"/>
      <c r="V736" s="100"/>
      <c r="W736" s="100"/>
      <c r="X736" s="100"/>
      <c r="Y736" s="100"/>
      <c r="Z736" s="100"/>
      <c r="AA736" s="100"/>
      <c r="AB736" s="100"/>
      <c r="AC736" s="100"/>
      <c r="AD736" s="100"/>
    </row>
    <row r="737">
      <c r="A737" s="118"/>
      <c r="B737" s="118"/>
      <c r="C737" s="118"/>
      <c r="D737" s="119"/>
      <c r="E737" s="119"/>
      <c r="F737" s="119"/>
      <c r="G737" s="100"/>
      <c r="H737" s="100"/>
      <c r="I737" s="100"/>
      <c r="J737" s="100"/>
      <c r="K737" s="100"/>
      <c r="L737" s="100"/>
      <c r="M737" s="100"/>
      <c r="N737" s="100"/>
      <c r="O737" s="100"/>
      <c r="P737" s="100"/>
      <c r="Q737" s="100"/>
      <c r="R737" s="100"/>
      <c r="S737" s="100"/>
      <c r="T737" s="100"/>
      <c r="U737" s="100"/>
      <c r="V737" s="100"/>
      <c r="W737" s="100"/>
      <c r="X737" s="100"/>
      <c r="Y737" s="100"/>
      <c r="Z737" s="100"/>
      <c r="AA737" s="100"/>
      <c r="AB737" s="100"/>
      <c r="AC737" s="100"/>
      <c r="AD737" s="100"/>
    </row>
    <row r="738">
      <c r="A738" s="118"/>
      <c r="B738" s="118"/>
      <c r="C738" s="118"/>
      <c r="D738" s="119"/>
      <c r="E738" s="119"/>
      <c r="F738" s="119"/>
      <c r="G738" s="100"/>
      <c r="H738" s="100"/>
      <c r="I738" s="100"/>
      <c r="J738" s="100"/>
      <c r="K738" s="100"/>
      <c r="L738" s="100"/>
      <c r="M738" s="100"/>
      <c r="N738" s="100"/>
      <c r="O738" s="100"/>
      <c r="P738" s="100"/>
      <c r="Q738" s="100"/>
      <c r="R738" s="100"/>
      <c r="S738" s="100"/>
      <c r="T738" s="100"/>
      <c r="U738" s="100"/>
      <c r="V738" s="100"/>
      <c r="W738" s="100"/>
      <c r="X738" s="100"/>
      <c r="Y738" s="100"/>
      <c r="Z738" s="100"/>
      <c r="AA738" s="100"/>
      <c r="AB738" s="100"/>
      <c r="AC738" s="100"/>
      <c r="AD738" s="100"/>
    </row>
    <row r="739">
      <c r="A739" s="118"/>
      <c r="B739" s="118"/>
      <c r="C739" s="118"/>
      <c r="D739" s="119"/>
      <c r="E739" s="119"/>
      <c r="F739" s="119"/>
      <c r="G739" s="100"/>
      <c r="H739" s="100"/>
      <c r="I739" s="100"/>
      <c r="J739" s="100"/>
      <c r="K739" s="100"/>
      <c r="L739" s="100"/>
      <c r="M739" s="100"/>
      <c r="N739" s="100"/>
      <c r="O739" s="100"/>
      <c r="P739" s="100"/>
      <c r="Q739" s="100"/>
      <c r="R739" s="100"/>
      <c r="S739" s="100"/>
      <c r="T739" s="100"/>
      <c r="U739" s="100"/>
      <c r="V739" s="100"/>
      <c r="W739" s="100"/>
      <c r="X739" s="100"/>
      <c r="Y739" s="100"/>
      <c r="Z739" s="100"/>
      <c r="AA739" s="100"/>
      <c r="AB739" s="100"/>
      <c r="AC739" s="100"/>
      <c r="AD739" s="100"/>
    </row>
    <row r="740">
      <c r="A740" s="118"/>
      <c r="B740" s="118"/>
      <c r="C740" s="118"/>
      <c r="D740" s="119"/>
      <c r="E740" s="119"/>
      <c r="F740" s="119"/>
      <c r="G740" s="100"/>
      <c r="H740" s="100"/>
      <c r="I740" s="100"/>
      <c r="J740" s="100"/>
      <c r="K740" s="100"/>
      <c r="L740" s="100"/>
      <c r="M740" s="100"/>
      <c r="N740" s="100"/>
      <c r="O740" s="100"/>
      <c r="P740" s="100"/>
      <c r="Q740" s="100"/>
      <c r="R740" s="100"/>
      <c r="S740" s="100"/>
      <c r="T740" s="100"/>
      <c r="U740" s="100"/>
      <c r="V740" s="100"/>
      <c r="W740" s="100"/>
      <c r="X740" s="100"/>
      <c r="Y740" s="100"/>
      <c r="Z740" s="100"/>
      <c r="AA740" s="100"/>
      <c r="AB740" s="100"/>
      <c r="AC740" s="100"/>
      <c r="AD740" s="100"/>
    </row>
    <row r="741">
      <c r="A741" s="118"/>
      <c r="B741" s="118"/>
      <c r="C741" s="118"/>
      <c r="D741" s="119"/>
      <c r="E741" s="119"/>
      <c r="F741" s="119"/>
      <c r="G741" s="100"/>
      <c r="H741" s="100"/>
      <c r="I741" s="100"/>
      <c r="J741" s="100"/>
      <c r="K741" s="100"/>
      <c r="L741" s="100"/>
      <c r="M741" s="100"/>
      <c r="N741" s="100"/>
      <c r="O741" s="100"/>
      <c r="P741" s="100"/>
      <c r="Q741" s="100"/>
      <c r="R741" s="100"/>
      <c r="S741" s="100"/>
      <c r="T741" s="100"/>
      <c r="U741" s="100"/>
      <c r="V741" s="100"/>
      <c r="W741" s="100"/>
      <c r="X741" s="100"/>
      <c r="Y741" s="100"/>
      <c r="Z741" s="100"/>
      <c r="AA741" s="100"/>
      <c r="AB741" s="100"/>
      <c r="AC741" s="100"/>
      <c r="AD741" s="100"/>
    </row>
    <row r="742">
      <c r="A742" s="118"/>
      <c r="B742" s="118"/>
      <c r="C742" s="118"/>
      <c r="D742" s="119"/>
      <c r="E742" s="119"/>
      <c r="F742" s="119"/>
      <c r="G742" s="100"/>
      <c r="H742" s="100"/>
      <c r="I742" s="100"/>
      <c r="J742" s="100"/>
      <c r="K742" s="100"/>
      <c r="L742" s="100"/>
      <c r="M742" s="100"/>
      <c r="N742" s="100"/>
      <c r="O742" s="100"/>
      <c r="P742" s="100"/>
      <c r="Q742" s="100"/>
      <c r="R742" s="100"/>
      <c r="S742" s="100"/>
      <c r="T742" s="100"/>
      <c r="U742" s="100"/>
      <c r="V742" s="100"/>
      <c r="W742" s="100"/>
      <c r="X742" s="100"/>
      <c r="Y742" s="100"/>
      <c r="Z742" s="100"/>
      <c r="AA742" s="100"/>
      <c r="AB742" s="100"/>
      <c r="AC742" s="100"/>
      <c r="AD742" s="100"/>
    </row>
    <row r="743">
      <c r="A743" s="118"/>
      <c r="B743" s="118"/>
      <c r="C743" s="118"/>
      <c r="D743" s="119"/>
      <c r="E743" s="119"/>
      <c r="F743" s="119"/>
      <c r="G743" s="100"/>
      <c r="H743" s="100"/>
      <c r="I743" s="100"/>
      <c r="J743" s="100"/>
      <c r="K743" s="100"/>
      <c r="L743" s="100"/>
      <c r="M743" s="100"/>
      <c r="N743" s="100"/>
      <c r="O743" s="100"/>
      <c r="P743" s="100"/>
      <c r="Q743" s="100"/>
      <c r="R743" s="100"/>
      <c r="S743" s="100"/>
      <c r="T743" s="100"/>
      <c r="U743" s="100"/>
      <c r="V743" s="100"/>
      <c r="W743" s="100"/>
      <c r="X743" s="100"/>
      <c r="Y743" s="100"/>
      <c r="Z743" s="100"/>
      <c r="AA743" s="100"/>
      <c r="AB743" s="100"/>
      <c r="AC743" s="100"/>
      <c r="AD743" s="100"/>
    </row>
    <row r="744">
      <c r="A744" s="118"/>
      <c r="B744" s="118"/>
      <c r="C744" s="118"/>
      <c r="D744" s="119"/>
      <c r="E744" s="119"/>
      <c r="F744" s="119"/>
      <c r="G744" s="100"/>
      <c r="H744" s="100"/>
      <c r="I744" s="100"/>
      <c r="J744" s="100"/>
      <c r="K744" s="100"/>
      <c r="L744" s="100"/>
      <c r="M744" s="100"/>
      <c r="N744" s="100"/>
      <c r="O744" s="100"/>
      <c r="P744" s="100"/>
      <c r="Q744" s="100"/>
      <c r="R744" s="100"/>
      <c r="S744" s="100"/>
      <c r="T744" s="100"/>
      <c r="U744" s="100"/>
      <c r="V744" s="100"/>
      <c r="W744" s="100"/>
      <c r="X744" s="100"/>
      <c r="Y744" s="100"/>
      <c r="Z744" s="100"/>
      <c r="AA744" s="100"/>
      <c r="AB744" s="100"/>
      <c r="AC744" s="100"/>
      <c r="AD744" s="100"/>
    </row>
    <row r="745">
      <c r="A745" s="118"/>
      <c r="B745" s="118"/>
      <c r="C745" s="118"/>
      <c r="D745" s="119"/>
      <c r="E745" s="119"/>
      <c r="F745" s="119"/>
      <c r="G745" s="100"/>
      <c r="H745" s="100"/>
      <c r="I745" s="100"/>
      <c r="J745" s="100"/>
      <c r="K745" s="100"/>
      <c r="L745" s="100"/>
      <c r="M745" s="100"/>
      <c r="N745" s="100"/>
      <c r="O745" s="100"/>
      <c r="P745" s="100"/>
      <c r="Q745" s="100"/>
      <c r="R745" s="100"/>
      <c r="S745" s="100"/>
      <c r="T745" s="100"/>
      <c r="U745" s="100"/>
      <c r="V745" s="100"/>
      <c r="W745" s="100"/>
      <c r="X745" s="100"/>
      <c r="Y745" s="100"/>
      <c r="Z745" s="100"/>
      <c r="AA745" s="100"/>
      <c r="AB745" s="100"/>
      <c r="AC745" s="100"/>
      <c r="AD745" s="100"/>
    </row>
    <row r="746">
      <c r="A746" s="118"/>
      <c r="B746" s="118"/>
      <c r="C746" s="118"/>
      <c r="D746" s="119"/>
      <c r="E746" s="119"/>
      <c r="F746" s="119"/>
      <c r="G746" s="100"/>
      <c r="H746" s="100"/>
      <c r="I746" s="100"/>
      <c r="J746" s="100"/>
      <c r="K746" s="100"/>
      <c r="L746" s="100"/>
      <c r="M746" s="100"/>
      <c r="N746" s="100"/>
      <c r="O746" s="100"/>
      <c r="P746" s="100"/>
      <c r="Q746" s="100"/>
      <c r="R746" s="100"/>
      <c r="S746" s="100"/>
      <c r="T746" s="100"/>
      <c r="U746" s="100"/>
      <c r="V746" s="100"/>
      <c r="W746" s="100"/>
      <c r="X746" s="100"/>
      <c r="Y746" s="100"/>
      <c r="Z746" s="100"/>
      <c r="AA746" s="100"/>
      <c r="AB746" s="100"/>
      <c r="AC746" s="100"/>
      <c r="AD746" s="100"/>
    </row>
    <row r="747">
      <c r="A747" s="118"/>
      <c r="B747" s="118"/>
      <c r="C747" s="118"/>
      <c r="D747" s="119"/>
      <c r="E747" s="119"/>
      <c r="F747" s="119"/>
      <c r="G747" s="100"/>
      <c r="H747" s="100"/>
      <c r="I747" s="100"/>
      <c r="J747" s="100"/>
      <c r="K747" s="100"/>
      <c r="L747" s="100"/>
      <c r="M747" s="100"/>
      <c r="N747" s="100"/>
      <c r="O747" s="100"/>
      <c r="P747" s="100"/>
      <c r="Q747" s="100"/>
      <c r="R747" s="100"/>
      <c r="S747" s="100"/>
      <c r="T747" s="100"/>
      <c r="U747" s="100"/>
      <c r="V747" s="100"/>
      <c r="W747" s="100"/>
      <c r="X747" s="100"/>
      <c r="Y747" s="100"/>
      <c r="Z747" s="100"/>
      <c r="AA747" s="100"/>
      <c r="AB747" s="100"/>
      <c r="AC747" s="100"/>
      <c r="AD747" s="100"/>
    </row>
    <row r="748">
      <c r="A748" s="118"/>
      <c r="B748" s="118"/>
      <c r="C748" s="118"/>
      <c r="D748" s="119"/>
      <c r="E748" s="119"/>
      <c r="F748" s="119"/>
      <c r="G748" s="100"/>
      <c r="H748" s="100"/>
      <c r="I748" s="100"/>
      <c r="J748" s="100"/>
      <c r="K748" s="100"/>
      <c r="L748" s="100"/>
      <c r="M748" s="100"/>
      <c r="N748" s="100"/>
      <c r="O748" s="100"/>
      <c r="P748" s="100"/>
      <c r="Q748" s="100"/>
      <c r="R748" s="100"/>
      <c r="S748" s="100"/>
      <c r="T748" s="100"/>
      <c r="U748" s="100"/>
      <c r="V748" s="100"/>
      <c r="W748" s="100"/>
      <c r="X748" s="100"/>
      <c r="Y748" s="100"/>
      <c r="Z748" s="100"/>
      <c r="AA748" s="100"/>
      <c r="AB748" s="100"/>
      <c r="AC748" s="100"/>
      <c r="AD748" s="100"/>
    </row>
    <row r="749">
      <c r="A749" s="118"/>
      <c r="B749" s="118"/>
      <c r="C749" s="118"/>
      <c r="D749" s="119"/>
      <c r="E749" s="119"/>
      <c r="F749" s="119"/>
      <c r="G749" s="100"/>
      <c r="H749" s="100"/>
      <c r="I749" s="100"/>
      <c r="J749" s="100"/>
      <c r="K749" s="100"/>
      <c r="L749" s="100"/>
      <c r="M749" s="100"/>
      <c r="N749" s="100"/>
      <c r="O749" s="100"/>
      <c r="P749" s="100"/>
      <c r="Q749" s="100"/>
      <c r="R749" s="100"/>
      <c r="S749" s="100"/>
      <c r="T749" s="100"/>
      <c r="U749" s="100"/>
      <c r="V749" s="100"/>
      <c r="W749" s="100"/>
      <c r="X749" s="100"/>
      <c r="Y749" s="100"/>
      <c r="Z749" s="100"/>
      <c r="AA749" s="100"/>
      <c r="AB749" s="100"/>
      <c r="AC749" s="100"/>
      <c r="AD749" s="100"/>
    </row>
    <row r="750">
      <c r="A750" s="118"/>
      <c r="B750" s="118"/>
      <c r="C750" s="118"/>
      <c r="D750" s="119"/>
      <c r="E750" s="119"/>
      <c r="F750" s="119"/>
      <c r="G750" s="100"/>
      <c r="H750" s="100"/>
      <c r="I750" s="100"/>
      <c r="J750" s="100"/>
      <c r="K750" s="100"/>
      <c r="L750" s="100"/>
      <c r="M750" s="100"/>
      <c r="N750" s="100"/>
      <c r="O750" s="100"/>
      <c r="P750" s="100"/>
      <c r="Q750" s="100"/>
      <c r="R750" s="100"/>
      <c r="S750" s="100"/>
      <c r="T750" s="100"/>
      <c r="U750" s="100"/>
      <c r="V750" s="100"/>
      <c r="W750" s="100"/>
      <c r="X750" s="100"/>
      <c r="Y750" s="100"/>
      <c r="Z750" s="100"/>
      <c r="AA750" s="100"/>
      <c r="AB750" s="100"/>
      <c r="AC750" s="100"/>
      <c r="AD750" s="100"/>
    </row>
    <row r="751">
      <c r="A751" s="118"/>
      <c r="B751" s="118"/>
      <c r="C751" s="118"/>
      <c r="D751" s="119"/>
      <c r="E751" s="119"/>
      <c r="F751" s="119"/>
      <c r="G751" s="100"/>
      <c r="H751" s="100"/>
      <c r="I751" s="100"/>
      <c r="J751" s="100"/>
      <c r="K751" s="100"/>
      <c r="L751" s="100"/>
      <c r="M751" s="100"/>
      <c r="N751" s="100"/>
      <c r="O751" s="100"/>
      <c r="P751" s="100"/>
      <c r="Q751" s="100"/>
      <c r="R751" s="100"/>
      <c r="S751" s="100"/>
      <c r="T751" s="100"/>
      <c r="U751" s="100"/>
      <c r="V751" s="100"/>
      <c r="W751" s="100"/>
      <c r="X751" s="100"/>
      <c r="Y751" s="100"/>
      <c r="Z751" s="100"/>
      <c r="AA751" s="100"/>
      <c r="AB751" s="100"/>
      <c r="AC751" s="100"/>
      <c r="AD751" s="100"/>
    </row>
    <row r="752">
      <c r="A752" s="118"/>
      <c r="B752" s="118"/>
      <c r="C752" s="118"/>
      <c r="D752" s="119"/>
      <c r="E752" s="119"/>
      <c r="F752" s="119"/>
      <c r="G752" s="100"/>
      <c r="H752" s="100"/>
      <c r="I752" s="100"/>
      <c r="J752" s="100"/>
      <c r="K752" s="100"/>
      <c r="L752" s="100"/>
      <c r="M752" s="100"/>
      <c r="N752" s="100"/>
      <c r="O752" s="100"/>
      <c r="P752" s="100"/>
      <c r="Q752" s="100"/>
      <c r="R752" s="100"/>
      <c r="S752" s="100"/>
      <c r="T752" s="100"/>
      <c r="U752" s="100"/>
      <c r="V752" s="100"/>
      <c r="W752" s="100"/>
      <c r="X752" s="100"/>
      <c r="Y752" s="100"/>
      <c r="Z752" s="100"/>
      <c r="AA752" s="100"/>
      <c r="AB752" s="100"/>
      <c r="AC752" s="100"/>
      <c r="AD752" s="100"/>
    </row>
    <row r="753">
      <c r="A753" s="118"/>
      <c r="B753" s="118"/>
      <c r="C753" s="118"/>
      <c r="D753" s="119"/>
      <c r="E753" s="119"/>
      <c r="F753" s="119"/>
      <c r="G753" s="100"/>
      <c r="H753" s="100"/>
      <c r="I753" s="100"/>
      <c r="J753" s="100"/>
      <c r="K753" s="100"/>
      <c r="L753" s="100"/>
      <c r="M753" s="100"/>
      <c r="N753" s="100"/>
      <c r="O753" s="100"/>
      <c r="P753" s="100"/>
      <c r="Q753" s="100"/>
      <c r="R753" s="100"/>
      <c r="S753" s="100"/>
      <c r="T753" s="100"/>
      <c r="U753" s="100"/>
      <c r="V753" s="100"/>
      <c r="W753" s="100"/>
      <c r="X753" s="100"/>
      <c r="Y753" s="100"/>
      <c r="Z753" s="100"/>
      <c r="AA753" s="100"/>
      <c r="AB753" s="100"/>
      <c r="AC753" s="100"/>
      <c r="AD753" s="100"/>
    </row>
    <row r="754">
      <c r="A754" s="118"/>
      <c r="B754" s="118"/>
      <c r="C754" s="118"/>
      <c r="D754" s="119"/>
      <c r="E754" s="119"/>
      <c r="F754" s="119"/>
      <c r="G754" s="100"/>
      <c r="H754" s="100"/>
      <c r="I754" s="100"/>
      <c r="J754" s="100"/>
      <c r="K754" s="100"/>
      <c r="L754" s="100"/>
      <c r="M754" s="100"/>
      <c r="N754" s="100"/>
      <c r="O754" s="100"/>
      <c r="P754" s="100"/>
      <c r="Q754" s="100"/>
      <c r="R754" s="100"/>
      <c r="S754" s="100"/>
      <c r="T754" s="100"/>
      <c r="U754" s="100"/>
      <c r="V754" s="100"/>
      <c r="W754" s="100"/>
      <c r="X754" s="100"/>
      <c r="Y754" s="100"/>
      <c r="Z754" s="100"/>
      <c r="AA754" s="100"/>
      <c r="AB754" s="100"/>
      <c r="AC754" s="100"/>
      <c r="AD754" s="100"/>
    </row>
    <row r="755">
      <c r="A755" s="118"/>
      <c r="B755" s="118"/>
      <c r="C755" s="118"/>
      <c r="D755" s="119"/>
      <c r="E755" s="119"/>
      <c r="F755" s="119"/>
      <c r="G755" s="100"/>
      <c r="H755" s="100"/>
      <c r="I755" s="100"/>
      <c r="J755" s="100"/>
      <c r="K755" s="100"/>
      <c r="L755" s="100"/>
      <c r="M755" s="100"/>
      <c r="N755" s="100"/>
      <c r="O755" s="100"/>
      <c r="P755" s="100"/>
      <c r="Q755" s="100"/>
      <c r="R755" s="100"/>
      <c r="S755" s="100"/>
      <c r="T755" s="100"/>
      <c r="U755" s="100"/>
      <c r="V755" s="100"/>
      <c r="W755" s="100"/>
      <c r="X755" s="100"/>
      <c r="Y755" s="100"/>
      <c r="Z755" s="100"/>
      <c r="AA755" s="100"/>
      <c r="AB755" s="100"/>
      <c r="AC755" s="100"/>
      <c r="AD755" s="100"/>
    </row>
    <row r="756">
      <c r="A756" s="118"/>
      <c r="B756" s="118"/>
      <c r="C756" s="118"/>
      <c r="D756" s="119"/>
      <c r="E756" s="119"/>
      <c r="F756" s="119"/>
      <c r="G756" s="100"/>
      <c r="H756" s="100"/>
      <c r="I756" s="100"/>
      <c r="J756" s="100"/>
      <c r="K756" s="100"/>
      <c r="L756" s="100"/>
      <c r="M756" s="100"/>
      <c r="N756" s="100"/>
      <c r="O756" s="100"/>
      <c r="P756" s="100"/>
      <c r="Q756" s="100"/>
      <c r="R756" s="100"/>
      <c r="S756" s="100"/>
      <c r="T756" s="100"/>
      <c r="U756" s="100"/>
      <c r="V756" s="100"/>
      <c r="W756" s="100"/>
      <c r="X756" s="100"/>
      <c r="Y756" s="100"/>
      <c r="Z756" s="100"/>
      <c r="AA756" s="100"/>
      <c r="AB756" s="100"/>
      <c r="AC756" s="100"/>
      <c r="AD756" s="100"/>
    </row>
    <row r="757">
      <c r="A757" s="118"/>
      <c r="B757" s="118"/>
      <c r="C757" s="118"/>
      <c r="D757" s="119"/>
      <c r="E757" s="119"/>
      <c r="F757" s="119"/>
      <c r="G757" s="100"/>
      <c r="H757" s="100"/>
      <c r="I757" s="100"/>
      <c r="J757" s="100"/>
      <c r="K757" s="100"/>
      <c r="L757" s="100"/>
      <c r="M757" s="100"/>
      <c r="N757" s="100"/>
      <c r="O757" s="100"/>
      <c r="P757" s="100"/>
      <c r="Q757" s="100"/>
      <c r="R757" s="100"/>
      <c r="S757" s="100"/>
      <c r="T757" s="100"/>
      <c r="U757" s="100"/>
      <c r="V757" s="100"/>
      <c r="W757" s="100"/>
      <c r="X757" s="100"/>
      <c r="Y757" s="100"/>
      <c r="Z757" s="100"/>
      <c r="AA757" s="100"/>
      <c r="AB757" s="100"/>
      <c r="AC757" s="100"/>
      <c r="AD757" s="100"/>
    </row>
    <row r="758">
      <c r="A758" s="118"/>
      <c r="B758" s="118"/>
      <c r="C758" s="118"/>
      <c r="D758" s="119"/>
      <c r="E758" s="119"/>
      <c r="F758" s="119"/>
      <c r="G758" s="100"/>
      <c r="H758" s="100"/>
      <c r="I758" s="100"/>
      <c r="J758" s="100"/>
      <c r="K758" s="100"/>
      <c r="L758" s="100"/>
      <c r="M758" s="100"/>
      <c r="N758" s="100"/>
      <c r="O758" s="100"/>
      <c r="P758" s="100"/>
      <c r="Q758" s="100"/>
      <c r="R758" s="100"/>
      <c r="S758" s="100"/>
      <c r="T758" s="100"/>
      <c r="U758" s="100"/>
      <c r="V758" s="100"/>
      <c r="W758" s="100"/>
      <c r="X758" s="100"/>
      <c r="Y758" s="100"/>
      <c r="Z758" s="100"/>
      <c r="AA758" s="100"/>
      <c r="AB758" s="100"/>
      <c r="AC758" s="100"/>
      <c r="AD758" s="100"/>
    </row>
    <row r="759">
      <c r="A759" s="118"/>
      <c r="B759" s="118"/>
      <c r="C759" s="118"/>
      <c r="D759" s="119"/>
      <c r="E759" s="119"/>
      <c r="F759" s="119"/>
      <c r="G759" s="100"/>
      <c r="H759" s="100"/>
      <c r="I759" s="100"/>
      <c r="J759" s="100"/>
      <c r="K759" s="100"/>
      <c r="L759" s="100"/>
      <c r="M759" s="100"/>
      <c r="N759" s="100"/>
      <c r="O759" s="100"/>
      <c r="P759" s="100"/>
      <c r="Q759" s="100"/>
      <c r="R759" s="100"/>
      <c r="S759" s="100"/>
      <c r="T759" s="100"/>
      <c r="U759" s="100"/>
      <c r="V759" s="100"/>
      <c r="W759" s="100"/>
      <c r="X759" s="100"/>
      <c r="Y759" s="100"/>
      <c r="Z759" s="100"/>
      <c r="AA759" s="100"/>
      <c r="AB759" s="100"/>
      <c r="AC759" s="100"/>
      <c r="AD759" s="100"/>
    </row>
    <row r="760">
      <c r="A760" s="118"/>
      <c r="B760" s="118"/>
      <c r="C760" s="118"/>
      <c r="D760" s="119"/>
      <c r="E760" s="119"/>
      <c r="F760" s="119"/>
      <c r="G760" s="100"/>
      <c r="H760" s="100"/>
      <c r="I760" s="100"/>
      <c r="J760" s="100"/>
      <c r="K760" s="100"/>
      <c r="L760" s="100"/>
      <c r="M760" s="100"/>
      <c r="N760" s="100"/>
      <c r="O760" s="100"/>
      <c r="P760" s="100"/>
      <c r="Q760" s="100"/>
      <c r="R760" s="100"/>
      <c r="S760" s="100"/>
      <c r="T760" s="100"/>
      <c r="U760" s="100"/>
      <c r="V760" s="100"/>
      <c r="W760" s="100"/>
      <c r="X760" s="100"/>
      <c r="Y760" s="100"/>
      <c r="Z760" s="100"/>
      <c r="AA760" s="100"/>
      <c r="AB760" s="100"/>
      <c r="AC760" s="100"/>
      <c r="AD760" s="100"/>
    </row>
    <row r="761">
      <c r="A761" s="118"/>
      <c r="B761" s="118"/>
      <c r="C761" s="118"/>
      <c r="D761" s="119"/>
      <c r="E761" s="119"/>
      <c r="F761" s="119"/>
      <c r="G761" s="100"/>
      <c r="H761" s="100"/>
      <c r="I761" s="100"/>
      <c r="J761" s="100"/>
      <c r="K761" s="100"/>
      <c r="L761" s="100"/>
      <c r="M761" s="100"/>
      <c r="N761" s="100"/>
      <c r="O761" s="100"/>
      <c r="P761" s="100"/>
      <c r="Q761" s="100"/>
      <c r="R761" s="100"/>
      <c r="S761" s="100"/>
      <c r="T761" s="100"/>
      <c r="U761" s="100"/>
      <c r="V761" s="100"/>
      <c r="W761" s="100"/>
      <c r="X761" s="100"/>
      <c r="Y761" s="100"/>
      <c r="Z761" s="100"/>
      <c r="AA761" s="100"/>
      <c r="AB761" s="100"/>
      <c r="AC761" s="100"/>
      <c r="AD761" s="100"/>
    </row>
    <row r="762">
      <c r="A762" s="118"/>
      <c r="B762" s="118"/>
      <c r="C762" s="118"/>
      <c r="D762" s="119"/>
      <c r="E762" s="119"/>
      <c r="F762" s="119"/>
      <c r="G762" s="100"/>
      <c r="H762" s="100"/>
      <c r="I762" s="100"/>
      <c r="J762" s="100"/>
      <c r="K762" s="100"/>
      <c r="L762" s="100"/>
      <c r="M762" s="100"/>
      <c r="N762" s="100"/>
      <c r="O762" s="100"/>
      <c r="P762" s="100"/>
      <c r="Q762" s="100"/>
      <c r="R762" s="100"/>
      <c r="S762" s="100"/>
      <c r="T762" s="100"/>
      <c r="U762" s="100"/>
      <c r="V762" s="100"/>
      <c r="W762" s="100"/>
      <c r="X762" s="100"/>
      <c r="Y762" s="100"/>
      <c r="Z762" s="100"/>
      <c r="AA762" s="100"/>
      <c r="AB762" s="100"/>
      <c r="AC762" s="100"/>
      <c r="AD762" s="100"/>
    </row>
    <row r="763">
      <c r="A763" s="118"/>
      <c r="B763" s="118"/>
      <c r="C763" s="118"/>
      <c r="D763" s="119"/>
      <c r="E763" s="119"/>
      <c r="F763" s="119"/>
      <c r="G763" s="100"/>
      <c r="H763" s="100"/>
      <c r="I763" s="100"/>
      <c r="J763" s="100"/>
      <c r="K763" s="100"/>
      <c r="L763" s="100"/>
      <c r="M763" s="100"/>
      <c r="N763" s="100"/>
      <c r="O763" s="100"/>
      <c r="P763" s="100"/>
      <c r="Q763" s="100"/>
      <c r="R763" s="100"/>
      <c r="S763" s="100"/>
      <c r="T763" s="100"/>
      <c r="U763" s="100"/>
      <c r="V763" s="100"/>
      <c r="W763" s="100"/>
      <c r="X763" s="100"/>
      <c r="Y763" s="100"/>
      <c r="Z763" s="100"/>
      <c r="AA763" s="100"/>
      <c r="AB763" s="100"/>
      <c r="AC763" s="100"/>
      <c r="AD763" s="100"/>
    </row>
    <row r="764">
      <c r="A764" s="118"/>
      <c r="B764" s="118"/>
      <c r="C764" s="118"/>
      <c r="D764" s="119"/>
      <c r="E764" s="119"/>
      <c r="F764" s="119"/>
      <c r="G764" s="100"/>
      <c r="H764" s="100"/>
      <c r="I764" s="100"/>
      <c r="J764" s="100"/>
      <c r="K764" s="100"/>
      <c r="L764" s="100"/>
      <c r="M764" s="100"/>
      <c r="N764" s="100"/>
      <c r="O764" s="100"/>
      <c r="P764" s="100"/>
      <c r="Q764" s="100"/>
      <c r="R764" s="100"/>
      <c r="S764" s="100"/>
      <c r="T764" s="100"/>
      <c r="U764" s="100"/>
      <c r="V764" s="100"/>
      <c r="W764" s="100"/>
      <c r="X764" s="100"/>
      <c r="Y764" s="100"/>
      <c r="Z764" s="100"/>
      <c r="AA764" s="100"/>
      <c r="AB764" s="100"/>
      <c r="AC764" s="100"/>
      <c r="AD764" s="100"/>
    </row>
    <row r="765">
      <c r="A765" s="118"/>
      <c r="B765" s="118"/>
      <c r="C765" s="118"/>
      <c r="D765" s="119"/>
      <c r="E765" s="119"/>
      <c r="F765" s="119"/>
      <c r="G765" s="100"/>
      <c r="H765" s="100"/>
      <c r="I765" s="100"/>
      <c r="J765" s="100"/>
      <c r="K765" s="100"/>
      <c r="L765" s="100"/>
      <c r="M765" s="100"/>
      <c r="N765" s="100"/>
      <c r="O765" s="100"/>
      <c r="P765" s="100"/>
      <c r="Q765" s="100"/>
      <c r="R765" s="100"/>
      <c r="S765" s="100"/>
      <c r="T765" s="100"/>
      <c r="U765" s="100"/>
      <c r="V765" s="100"/>
      <c r="W765" s="100"/>
      <c r="X765" s="100"/>
      <c r="Y765" s="100"/>
      <c r="Z765" s="100"/>
      <c r="AA765" s="100"/>
      <c r="AB765" s="100"/>
      <c r="AC765" s="100"/>
      <c r="AD765" s="100"/>
    </row>
    <row r="766">
      <c r="A766" s="118"/>
      <c r="B766" s="118"/>
      <c r="C766" s="118"/>
      <c r="D766" s="119"/>
      <c r="E766" s="119"/>
      <c r="F766" s="119"/>
      <c r="G766" s="100"/>
      <c r="H766" s="100"/>
      <c r="I766" s="100"/>
      <c r="J766" s="100"/>
      <c r="K766" s="100"/>
      <c r="L766" s="100"/>
      <c r="M766" s="100"/>
      <c r="N766" s="100"/>
      <c r="O766" s="100"/>
      <c r="P766" s="100"/>
      <c r="Q766" s="100"/>
      <c r="R766" s="100"/>
      <c r="S766" s="100"/>
      <c r="T766" s="100"/>
      <c r="U766" s="100"/>
      <c r="V766" s="100"/>
      <c r="W766" s="100"/>
      <c r="X766" s="100"/>
      <c r="Y766" s="100"/>
      <c r="Z766" s="100"/>
      <c r="AA766" s="100"/>
      <c r="AB766" s="100"/>
      <c r="AC766" s="100"/>
      <c r="AD766" s="100"/>
    </row>
    <row r="767">
      <c r="A767" s="118"/>
      <c r="B767" s="118"/>
      <c r="C767" s="118"/>
      <c r="D767" s="119"/>
      <c r="E767" s="119"/>
      <c r="F767" s="119"/>
      <c r="G767" s="100"/>
      <c r="H767" s="100"/>
      <c r="I767" s="100"/>
      <c r="J767" s="100"/>
      <c r="K767" s="100"/>
      <c r="L767" s="100"/>
      <c r="M767" s="100"/>
      <c r="N767" s="100"/>
      <c r="O767" s="100"/>
      <c r="P767" s="100"/>
      <c r="Q767" s="100"/>
      <c r="R767" s="100"/>
      <c r="S767" s="100"/>
      <c r="T767" s="100"/>
      <c r="U767" s="100"/>
      <c r="V767" s="100"/>
      <c r="W767" s="100"/>
      <c r="X767" s="100"/>
      <c r="Y767" s="100"/>
      <c r="Z767" s="100"/>
      <c r="AA767" s="100"/>
      <c r="AB767" s="100"/>
      <c r="AC767" s="100"/>
      <c r="AD767" s="100"/>
    </row>
    <row r="768">
      <c r="A768" s="118"/>
      <c r="B768" s="118"/>
      <c r="C768" s="118"/>
      <c r="D768" s="119"/>
      <c r="E768" s="119"/>
      <c r="F768" s="119"/>
      <c r="G768" s="100"/>
      <c r="H768" s="100"/>
      <c r="I768" s="100"/>
      <c r="J768" s="100"/>
      <c r="K768" s="100"/>
      <c r="L768" s="100"/>
      <c r="M768" s="100"/>
      <c r="N768" s="100"/>
      <c r="O768" s="100"/>
      <c r="P768" s="100"/>
      <c r="Q768" s="100"/>
      <c r="R768" s="100"/>
      <c r="S768" s="100"/>
      <c r="T768" s="100"/>
      <c r="U768" s="100"/>
      <c r="V768" s="100"/>
      <c r="W768" s="100"/>
      <c r="X768" s="100"/>
      <c r="Y768" s="100"/>
      <c r="Z768" s="100"/>
      <c r="AA768" s="100"/>
      <c r="AB768" s="100"/>
      <c r="AC768" s="100"/>
      <c r="AD768" s="100"/>
    </row>
    <row r="769">
      <c r="A769" s="118"/>
      <c r="B769" s="118"/>
      <c r="C769" s="118"/>
      <c r="D769" s="119"/>
      <c r="E769" s="119"/>
      <c r="F769" s="119"/>
      <c r="G769" s="100"/>
      <c r="H769" s="100"/>
      <c r="I769" s="100"/>
      <c r="J769" s="100"/>
      <c r="K769" s="100"/>
      <c r="L769" s="100"/>
      <c r="M769" s="100"/>
      <c r="N769" s="100"/>
      <c r="O769" s="100"/>
      <c r="P769" s="100"/>
      <c r="Q769" s="100"/>
      <c r="R769" s="100"/>
      <c r="S769" s="100"/>
      <c r="T769" s="100"/>
      <c r="U769" s="100"/>
      <c r="V769" s="100"/>
      <c r="W769" s="100"/>
      <c r="X769" s="100"/>
      <c r="Y769" s="100"/>
      <c r="Z769" s="100"/>
      <c r="AA769" s="100"/>
      <c r="AB769" s="100"/>
      <c r="AC769" s="100"/>
      <c r="AD769" s="100"/>
    </row>
    <row r="770">
      <c r="A770" s="118"/>
      <c r="B770" s="118"/>
      <c r="C770" s="118"/>
      <c r="D770" s="119"/>
      <c r="E770" s="119"/>
      <c r="F770" s="119"/>
      <c r="G770" s="100"/>
      <c r="H770" s="100"/>
      <c r="I770" s="100"/>
      <c r="J770" s="100"/>
      <c r="K770" s="100"/>
      <c r="L770" s="100"/>
      <c r="M770" s="100"/>
      <c r="N770" s="100"/>
      <c r="O770" s="100"/>
      <c r="P770" s="100"/>
      <c r="Q770" s="100"/>
      <c r="R770" s="100"/>
      <c r="S770" s="100"/>
      <c r="T770" s="100"/>
      <c r="U770" s="100"/>
      <c r="V770" s="100"/>
      <c r="W770" s="100"/>
      <c r="X770" s="100"/>
      <c r="Y770" s="100"/>
      <c r="Z770" s="100"/>
      <c r="AA770" s="100"/>
      <c r="AB770" s="100"/>
      <c r="AC770" s="100"/>
      <c r="AD770" s="100"/>
    </row>
    <row r="771">
      <c r="A771" s="118"/>
      <c r="B771" s="118"/>
      <c r="C771" s="118"/>
      <c r="D771" s="119"/>
      <c r="E771" s="119"/>
      <c r="F771" s="119"/>
      <c r="G771" s="100"/>
      <c r="H771" s="100"/>
      <c r="I771" s="100"/>
      <c r="J771" s="100"/>
      <c r="K771" s="100"/>
      <c r="L771" s="100"/>
      <c r="M771" s="100"/>
      <c r="N771" s="100"/>
      <c r="O771" s="100"/>
      <c r="P771" s="100"/>
      <c r="Q771" s="100"/>
      <c r="R771" s="100"/>
      <c r="S771" s="100"/>
      <c r="T771" s="100"/>
      <c r="U771" s="100"/>
      <c r="V771" s="100"/>
      <c r="W771" s="100"/>
      <c r="X771" s="100"/>
      <c r="Y771" s="100"/>
      <c r="Z771" s="100"/>
      <c r="AA771" s="100"/>
      <c r="AB771" s="100"/>
      <c r="AC771" s="100"/>
      <c r="AD771" s="100"/>
    </row>
    <row r="772">
      <c r="A772" s="118"/>
      <c r="B772" s="118"/>
      <c r="C772" s="118"/>
      <c r="D772" s="119"/>
      <c r="E772" s="119"/>
      <c r="F772" s="119"/>
      <c r="G772" s="100"/>
      <c r="H772" s="100"/>
      <c r="I772" s="100"/>
      <c r="J772" s="100"/>
      <c r="K772" s="100"/>
      <c r="L772" s="100"/>
      <c r="M772" s="100"/>
      <c r="N772" s="100"/>
      <c r="O772" s="100"/>
      <c r="P772" s="100"/>
      <c r="Q772" s="100"/>
      <c r="R772" s="100"/>
      <c r="S772" s="100"/>
      <c r="T772" s="100"/>
      <c r="U772" s="100"/>
      <c r="V772" s="100"/>
      <c r="W772" s="100"/>
      <c r="X772" s="100"/>
      <c r="Y772" s="100"/>
      <c r="Z772" s="100"/>
      <c r="AA772" s="100"/>
      <c r="AB772" s="100"/>
      <c r="AC772" s="100"/>
      <c r="AD772" s="100"/>
    </row>
    <row r="773">
      <c r="A773" s="118"/>
      <c r="B773" s="118"/>
      <c r="C773" s="118"/>
      <c r="D773" s="119"/>
      <c r="E773" s="119"/>
      <c r="F773" s="119"/>
      <c r="G773" s="100"/>
      <c r="H773" s="100"/>
      <c r="I773" s="100"/>
      <c r="J773" s="100"/>
      <c r="K773" s="100"/>
      <c r="L773" s="100"/>
      <c r="M773" s="100"/>
      <c r="N773" s="100"/>
      <c r="O773" s="100"/>
      <c r="P773" s="100"/>
      <c r="Q773" s="100"/>
      <c r="R773" s="100"/>
      <c r="S773" s="100"/>
      <c r="T773" s="100"/>
      <c r="U773" s="100"/>
      <c r="V773" s="100"/>
      <c r="W773" s="100"/>
      <c r="X773" s="100"/>
      <c r="Y773" s="100"/>
      <c r="Z773" s="100"/>
      <c r="AA773" s="100"/>
      <c r="AB773" s="100"/>
      <c r="AC773" s="100"/>
      <c r="AD773" s="100"/>
    </row>
    <row r="774">
      <c r="A774" s="118"/>
      <c r="B774" s="118"/>
      <c r="C774" s="118"/>
      <c r="D774" s="119"/>
      <c r="E774" s="119"/>
      <c r="F774" s="119"/>
      <c r="G774" s="100"/>
      <c r="H774" s="100"/>
      <c r="I774" s="100"/>
      <c r="J774" s="100"/>
      <c r="K774" s="100"/>
      <c r="L774" s="100"/>
      <c r="M774" s="100"/>
      <c r="N774" s="100"/>
      <c r="O774" s="100"/>
      <c r="P774" s="100"/>
      <c r="Q774" s="100"/>
      <c r="R774" s="100"/>
      <c r="S774" s="100"/>
      <c r="T774" s="100"/>
      <c r="U774" s="100"/>
      <c r="V774" s="100"/>
      <c r="W774" s="100"/>
      <c r="X774" s="100"/>
      <c r="Y774" s="100"/>
      <c r="Z774" s="100"/>
      <c r="AA774" s="100"/>
      <c r="AB774" s="100"/>
      <c r="AC774" s="100"/>
      <c r="AD774" s="100"/>
    </row>
    <row r="775">
      <c r="A775" s="118"/>
      <c r="B775" s="118"/>
      <c r="C775" s="118"/>
      <c r="D775" s="119"/>
      <c r="E775" s="119"/>
      <c r="F775" s="119"/>
      <c r="G775" s="100"/>
      <c r="H775" s="100"/>
      <c r="I775" s="100"/>
      <c r="J775" s="100"/>
      <c r="K775" s="100"/>
      <c r="L775" s="100"/>
      <c r="M775" s="100"/>
      <c r="N775" s="100"/>
      <c r="O775" s="100"/>
      <c r="P775" s="100"/>
      <c r="Q775" s="100"/>
      <c r="R775" s="100"/>
      <c r="S775" s="100"/>
      <c r="T775" s="100"/>
      <c r="U775" s="100"/>
      <c r="V775" s="100"/>
      <c r="W775" s="100"/>
      <c r="X775" s="100"/>
      <c r="Y775" s="100"/>
      <c r="Z775" s="100"/>
      <c r="AA775" s="100"/>
      <c r="AB775" s="100"/>
      <c r="AC775" s="100"/>
      <c r="AD775" s="100"/>
    </row>
    <row r="776">
      <c r="A776" s="118"/>
      <c r="B776" s="118"/>
      <c r="C776" s="118"/>
      <c r="D776" s="119"/>
      <c r="E776" s="119"/>
      <c r="F776" s="119"/>
      <c r="G776" s="100"/>
      <c r="H776" s="100"/>
      <c r="I776" s="100"/>
      <c r="J776" s="100"/>
      <c r="K776" s="100"/>
      <c r="L776" s="100"/>
      <c r="M776" s="100"/>
      <c r="N776" s="100"/>
      <c r="O776" s="100"/>
      <c r="P776" s="100"/>
      <c r="Q776" s="100"/>
      <c r="R776" s="100"/>
      <c r="S776" s="100"/>
      <c r="T776" s="100"/>
      <c r="U776" s="100"/>
      <c r="V776" s="100"/>
      <c r="W776" s="100"/>
      <c r="X776" s="100"/>
      <c r="Y776" s="100"/>
      <c r="Z776" s="100"/>
      <c r="AA776" s="100"/>
      <c r="AB776" s="100"/>
      <c r="AC776" s="100"/>
      <c r="AD776" s="100"/>
    </row>
    <row r="777">
      <c r="A777" s="118"/>
      <c r="B777" s="118"/>
      <c r="C777" s="118"/>
      <c r="D777" s="119"/>
      <c r="E777" s="119"/>
      <c r="F777" s="119"/>
      <c r="G777" s="100"/>
      <c r="H777" s="100"/>
      <c r="I777" s="100"/>
      <c r="J777" s="100"/>
      <c r="K777" s="100"/>
      <c r="L777" s="100"/>
      <c r="M777" s="100"/>
      <c r="N777" s="100"/>
      <c r="O777" s="100"/>
      <c r="P777" s="100"/>
      <c r="Q777" s="100"/>
      <c r="R777" s="100"/>
      <c r="S777" s="100"/>
      <c r="T777" s="100"/>
      <c r="U777" s="100"/>
      <c r="V777" s="100"/>
      <c r="W777" s="100"/>
      <c r="X777" s="100"/>
      <c r="Y777" s="100"/>
      <c r="Z777" s="100"/>
      <c r="AA777" s="100"/>
      <c r="AB777" s="100"/>
      <c r="AC777" s="100"/>
      <c r="AD777" s="100"/>
    </row>
    <row r="778">
      <c r="A778" s="118"/>
      <c r="B778" s="118"/>
      <c r="C778" s="118"/>
      <c r="D778" s="119"/>
      <c r="E778" s="119"/>
      <c r="F778" s="119"/>
      <c r="G778" s="100"/>
      <c r="H778" s="100"/>
      <c r="I778" s="100"/>
      <c r="J778" s="100"/>
      <c r="K778" s="100"/>
      <c r="L778" s="100"/>
      <c r="M778" s="100"/>
      <c r="N778" s="100"/>
      <c r="O778" s="100"/>
      <c r="P778" s="100"/>
      <c r="Q778" s="100"/>
      <c r="R778" s="100"/>
      <c r="S778" s="100"/>
      <c r="T778" s="100"/>
      <c r="U778" s="100"/>
      <c r="V778" s="100"/>
      <c r="W778" s="100"/>
      <c r="X778" s="100"/>
      <c r="Y778" s="100"/>
      <c r="Z778" s="100"/>
      <c r="AA778" s="100"/>
      <c r="AB778" s="100"/>
      <c r="AC778" s="100"/>
      <c r="AD778" s="100"/>
    </row>
    <row r="779">
      <c r="A779" s="118"/>
      <c r="B779" s="118"/>
      <c r="C779" s="118"/>
      <c r="D779" s="119"/>
      <c r="E779" s="119"/>
      <c r="F779" s="119"/>
      <c r="G779" s="100"/>
      <c r="H779" s="100"/>
      <c r="I779" s="100"/>
      <c r="J779" s="100"/>
      <c r="K779" s="100"/>
      <c r="L779" s="100"/>
      <c r="M779" s="100"/>
      <c r="N779" s="100"/>
      <c r="O779" s="100"/>
      <c r="P779" s="100"/>
      <c r="Q779" s="100"/>
      <c r="R779" s="100"/>
      <c r="S779" s="100"/>
      <c r="T779" s="100"/>
      <c r="U779" s="100"/>
      <c r="V779" s="100"/>
      <c r="W779" s="100"/>
      <c r="X779" s="100"/>
      <c r="Y779" s="100"/>
      <c r="Z779" s="100"/>
      <c r="AA779" s="100"/>
      <c r="AB779" s="100"/>
      <c r="AC779" s="100"/>
      <c r="AD779" s="100"/>
    </row>
    <row r="780">
      <c r="A780" s="118"/>
      <c r="B780" s="118"/>
      <c r="C780" s="118"/>
      <c r="D780" s="119"/>
      <c r="E780" s="119"/>
      <c r="F780" s="119"/>
      <c r="G780" s="100"/>
      <c r="H780" s="100"/>
      <c r="I780" s="100"/>
      <c r="J780" s="100"/>
      <c r="K780" s="100"/>
      <c r="L780" s="100"/>
      <c r="M780" s="100"/>
      <c r="N780" s="100"/>
      <c r="O780" s="100"/>
      <c r="P780" s="100"/>
      <c r="Q780" s="100"/>
      <c r="R780" s="100"/>
      <c r="S780" s="100"/>
      <c r="T780" s="100"/>
      <c r="U780" s="100"/>
      <c r="V780" s="100"/>
      <c r="W780" s="100"/>
      <c r="X780" s="100"/>
      <c r="Y780" s="100"/>
      <c r="Z780" s="100"/>
      <c r="AA780" s="100"/>
      <c r="AB780" s="100"/>
      <c r="AC780" s="100"/>
      <c r="AD780" s="100"/>
    </row>
    <row r="781">
      <c r="A781" s="118"/>
      <c r="B781" s="118"/>
      <c r="C781" s="118"/>
      <c r="D781" s="119"/>
      <c r="E781" s="119"/>
      <c r="F781" s="119"/>
      <c r="G781" s="100"/>
      <c r="H781" s="100"/>
      <c r="I781" s="100"/>
      <c r="J781" s="100"/>
      <c r="K781" s="100"/>
      <c r="L781" s="100"/>
      <c r="M781" s="100"/>
      <c r="N781" s="100"/>
      <c r="O781" s="100"/>
      <c r="P781" s="100"/>
      <c r="Q781" s="100"/>
      <c r="R781" s="100"/>
      <c r="S781" s="100"/>
      <c r="T781" s="100"/>
      <c r="U781" s="100"/>
      <c r="V781" s="100"/>
      <c r="W781" s="100"/>
      <c r="X781" s="100"/>
      <c r="Y781" s="100"/>
      <c r="Z781" s="100"/>
      <c r="AA781" s="100"/>
      <c r="AB781" s="100"/>
      <c r="AC781" s="100"/>
      <c r="AD781" s="100"/>
    </row>
    <row r="782">
      <c r="A782" s="118"/>
      <c r="B782" s="118"/>
      <c r="C782" s="118"/>
      <c r="D782" s="119"/>
      <c r="E782" s="119"/>
      <c r="F782" s="119"/>
      <c r="G782" s="100"/>
      <c r="H782" s="100"/>
      <c r="I782" s="100"/>
      <c r="J782" s="100"/>
      <c r="K782" s="100"/>
      <c r="L782" s="100"/>
      <c r="M782" s="100"/>
      <c r="N782" s="100"/>
      <c r="O782" s="100"/>
      <c r="P782" s="100"/>
      <c r="Q782" s="100"/>
      <c r="R782" s="100"/>
      <c r="S782" s="100"/>
      <c r="T782" s="100"/>
      <c r="U782" s="100"/>
      <c r="V782" s="100"/>
      <c r="W782" s="100"/>
      <c r="X782" s="100"/>
      <c r="Y782" s="100"/>
      <c r="Z782" s="100"/>
      <c r="AA782" s="100"/>
      <c r="AB782" s="100"/>
      <c r="AC782" s="100"/>
      <c r="AD782" s="100"/>
    </row>
    <row r="783">
      <c r="A783" s="118"/>
      <c r="B783" s="118"/>
      <c r="C783" s="118"/>
      <c r="D783" s="119"/>
      <c r="E783" s="119"/>
      <c r="F783" s="119"/>
      <c r="G783" s="100"/>
      <c r="H783" s="100"/>
      <c r="I783" s="100"/>
      <c r="J783" s="100"/>
      <c r="K783" s="100"/>
      <c r="L783" s="100"/>
      <c r="M783" s="100"/>
      <c r="N783" s="100"/>
      <c r="O783" s="100"/>
      <c r="P783" s="100"/>
      <c r="Q783" s="100"/>
      <c r="R783" s="100"/>
      <c r="S783" s="100"/>
      <c r="T783" s="100"/>
      <c r="U783" s="100"/>
      <c r="V783" s="100"/>
      <c r="W783" s="100"/>
      <c r="X783" s="100"/>
      <c r="Y783" s="100"/>
      <c r="Z783" s="100"/>
      <c r="AA783" s="100"/>
      <c r="AB783" s="100"/>
      <c r="AC783" s="100"/>
      <c r="AD783" s="100"/>
    </row>
    <row r="784">
      <c r="A784" s="118"/>
      <c r="B784" s="118"/>
      <c r="C784" s="118"/>
      <c r="D784" s="119"/>
      <c r="E784" s="119"/>
      <c r="F784" s="119"/>
      <c r="G784" s="100"/>
      <c r="H784" s="100"/>
      <c r="I784" s="100"/>
      <c r="J784" s="100"/>
      <c r="K784" s="100"/>
      <c r="L784" s="100"/>
      <c r="M784" s="100"/>
      <c r="N784" s="100"/>
      <c r="O784" s="100"/>
      <c r="P784" s="100"/>
      <c r="Q784" s="100"/>
      <c r="R784" s="100"/>
      <c r="S784" s="100"/>
      <c r="T784" s="100"/>
      <c r="U784" s="100"/>
      <c r="V784" s="100"/>
      <c r="W784" s="100"/>
      <c r="X784" s="100"/>
      <c r="Y784" s="100"/>
      <c r="Z784" s="100"/>
      <c r="AA784" s="100"/>
      <c r="AB784" s="100"/>
      <c r="AC784" s="100"/>
      <c r="AD784" s="100"/>
    </row>
    <row r="785">
      <c r="A785" s="118"/>
      <c r="B785" s="118"/>
      <c r="C785" s="118"/>
      <c r="D785" s="119"/>
      <c r="E785" s="119"/>
      <c r="F785" s="119"/>
      <c r="G785" s="100"/>
      <c r="H785" s="100"/>
      <c r="I785" s="100"/>
      <c r="J785" s="100"/>
      <c r="K785" s="100"/>
      <c r="L785" s="100"/>
      <c r="M785" s="100"/>
      <c r="N785" s="100"/>
      <c r="O785" s="100"/>
      <c r="P785" s="100"/>
      <c r="Q785" s="100"/>
      <c r="R785" s="100"/>
      <c r="S785" s="100"/>
      <c r="T785" s="100"/>
      <c r="U785" s="100"/>
      <c r="V785" s="100"/>
      <c r="W785" s="100"/>
      <c r="X785" s="100"/>
      <c r="Y785" s="100"/>
      <c r="Z785" s="100"/>
      <c r="AA785" s="100"/>
      <c r="AB785" s="100"/>
      <c r="AC785" s="100"/>
      <c r="AD785" s="100"/>
    </row>
    <row r="786">
      <c r="A786" s="118"/>
      <c r="B786" s="118"/>
      <c r="C786" s="118"/>
      <c r="D786" s="119"/>
      <c r="E786" s="119"/>
      <c r="F786" s="119"/>
      <c r="G786" s="100"/>
      <c r="H786" s="100"/>
      <c r="I786" s="100"/>
      <c r="J786" s="100"/>
      <c r="K786" s="100"/>
      <c r="L786" s="100"/>
      <c r="M786" s="100"/>
      <c r="N786" s="100"/>
      <c r="O786" s="100"/>
      <c r="P786" s="100"/>
      <c r="Q786" s="100"/>
      <c r="R786" s="100"/>
      <c r="S786" s="100"/>
      <c r="T786" s="100"/>
      <c r="U786" s="100"/>
      <c r="V786" s="100"/>
      <c r="W786" s="100"/>
      <c r="X786" s="100"/>
      <c r="Y786" s="100"/>
      <c r="Z786" s="100"/>
      <c r="AA786" s="100"/>
      <c r="AB786" s="100"/>
      <c r="AC786" s="100"/>
      <c r="AD786" s="100"/>
    </row>
    <row r="787">
      <c r="A787" s="118"/>
      <c r="B787" s="118"/>
      <c r="C787" s="118"/>
      <c r="D787" s="119"/>
      <c r="E787" s="119"/>
      <c r="F787" s="119"/>
      <c r="G787" s="100"/>
      <c r="H787" s="100"/>
      <c r="I787" s="100"/>
      <c r="J787" s="100"/>
      <c r="K787" s="100"/>
      <c r="L787" s="100"/>
      <c r="M787" s="100"/>
      <c r="N787" s="100"/>
      <c r="O787" s="100"/>
      <c r="P787" s="100"/>
      <c r="Q787" s="100"/>
      <c r="R787" s="100"/>
      <c r="S787" s="100"/>
      <c r="T787" s="100"/>
      <c r="U787" s="100"/>
      <c r="V787" s="100"/>
      <c r="W787" s="100"/>
      <c r="X787" s="100"/>
      <c r="Y787" s="100"/>
      <c r="Z787" s="100"/>
      <c r="AA787" s="100"/>
      <c r="AB787" s="100"/>
      <c r="AC787" s="100"/>
      <c r="AD787" s="100"/>
    </row>
    <row r="788">
      <c r="A788" s="118"/>
      <c r="B788" s="118"/>
      <c r="C788" s="118"/>
      <c r="D788" s="119"/>
      <c r="E788" s="119"/>
      <c r="F788" s="119"/>
      <c r="G788" s="100"/>
      <c r="H788" s="100"/>
      <c r="I788" s="100"/>
      <c r="J788" s="100"/>
      <c r="K788" s="100"/>
      <c r="L788" s="100"/>
      <c r="M788" s="100"/>
      <c r="N788" s="100"/>
      <c r="O788" s="100"/>
      <c r="P788" s="100"/>
      <c r="Q788" s="100"/>
      <c r="R788" s="100"/>
      <c r="S788" s="100"/>
      <c r="T788" s="100"/>
      <c r="U788" s="100"/>
      <c r="V788" s="100"/>
      <c r="W788" s="100"/>
      <c r="X788" s="100"/>
      <c r="Y788" s="100"/>
      <c r="Z788" s="100"/>
      <c r="AA788" s="100"/>
      <c r="AB788" s="100"/>
      <c r="AC788" s="100"/>
      <c r="AD788" s="100"/>
    </row>
    <row r="789">
      <c r="A789" s="118"/>
      <c r="B789" s="118"/>
      <c r="C789" s="118"/>
      <c r="D789" s="119"/>
      <c r="E789" s="119"/>
      <c r="F789" s="119"/>
      <c r="G789" s="100"/>
      <c r="H789" s="100"/>
      <c r="I789" s="100"/>
      <c r="J789" s="100"/>
      <c r="K789" s="100"/>
      <c r="L789" s="100"/>
      <c r="M789" s="100"/>
      <c r="N789" s="100"/>
      <c r="O789" s="100"/>
      <c r="P789" s="100"/>
      <c r="Q789" s="100"/>
      <c r="R789" s="100"/>
      <c r="S789" s="100"/>
      <c r="T789" s="100"/>
      <c r="U789" s="100"/>
      <c r="V789" s="100"/>
      <c r="W789" s="100"/>
      <c r="X789" s="100"/>
      <c r="Y789" s="100"/>
      <c r="Z789" s="100"/>
      <c r="AA789" s="100"/>
      <c r="AB789" s="100"/>
      <c r="AC789" s="100"/>
      <c r="AD789" s="100"/>
    </row>
    <row r="790">
      <c r="A790" s="118"/>
      <c r="B790" s="118"/>
      <c r="C790" s="118"/>
      <c r="D790" s="119"/>
      <c r="E790" s="119"/>
      <c r="F790" s="119"/>
      <c r="G790" s="100"/>
      <c r="H790" s="100"/>
      <c r="I790" s="100"/>
      <c r="J790" s="100"/>
      <c r="K790" s="100"/>
      <c r="L790" s="100"/>
      <c r="M790" s="100"/>
      <c r="N790" s="100"/>
      <c r="O790" s="100"/>
      <c r="P790" s="100"/>
      <c r="Q790" s="100"/>
      <c r="R790" s="100"/>
      <c r="S790" s="100"/>
      <c r="T790" s="100"/>
      <c r="U790" s="100"/>
      <c r="V790" s="100"/>
      <c r="W790" s="100"/>
      <c r="X790" s="100"/>
      <c r="Y790" s="100"/>
      <c r="Z790" s="100"/>
      <c r="AA790" s="100"/>
      <c r="AB790" s="100"/>
      <c r="AC790" s="100"/>
      <c r="AD790" s="100"/>
    </row>
    <row r="791">
      <c r="A791" s="118"/>
      <c r="B791" s="118"/>
      <c r="C791" s="118"/>
      <c r="D791" s="119"/>
      <c r="E791" s="119"/>
      <c r="F791" s="119"/>
      <c r="G791" s="100"/>
      <c r="H791" s="100"/>
      <c r="I791" s="100"/>
      <c r="J791" s="100"/>
      <c r="K791" s="100"/>
      <c r="L791" s="100"/>
      <c r="M791" s="100"/>
      <c r="N791" s="100"/>
      <c r="O791" s="100"/>
      <c r="P791" s="100"/>
      <c r="Q791" s="100"/>
      <c r="R791" s="100"/>
      <c r="S791" s="100"/>
      <c r="T791" s="100"/>
      <c r="U791" s="100"/>
      <c r="V791" s="100"/>
      <c r="W791" s="100"/>
      <c r="X791" s="100"/>
      <c r="Y791" s="100"/>
      <c r="Z791" s="100"/>
      <c r="AA791" s="100"/>
      <c r="AB791" s="100"/>
      <c r="AC791" s="100"/>
      <c r="AD791" s="100"/>
    </row>
    <row r="792">
      <c r="A792" s="118"/>
      <c r="B792" s="118"/>
      <c r="C792" s="118"/>
      <c r="D792" s="119"/>
      <c r="E792" s="119"/>
      <c r="F792" s="119"/>
      <c r="G792" s="100"/>
      <c r="H792" s="100"/>
      <c r="I792" s="100"/>
      <c r="J792" s="100"/>
      <c r="K792" s="100"/>
      <c r="L792" s="100"/>
      <c r="M792" s="100"/>
      <c r="N792" s="100"/>
      <c r="O792" s="100"/>
      <c r="P792" s="100"/>
      <c r="Q792" s="100"/>
      <c r="R792" s="100"/>
      <c r="S792" s="100"/>
      <c r="T792" s="100"/>
      <c r="U792" s="100"/>
      <c r="V792" s="100"/>
      <c r="W792" s="100"/>
      <c r="X792" s="100"/>
      <c r="Y792" s="100"/>
      <c r="Z792" s="100"/>
      <c r="AA792" s="100"/>
      <c r="AB792" s="100"/>
      <c r="AC792" s="100"/>
      <c r="AD792" s="100"/>
    </row>
    <row r="793">
      <c r="A793" s="118"/>
      <c r="B793" s="118"/>
      <c r="C793" s="118"/>
      <c r="D793" s="119"/>
      <c r="E793" s="119"/>
      <c r="F793" s="119"/>
      <c r="G793" s="100"/>
      <c r="H793" s="100"/>
      <c r="I793" s="100"/>
      <c r="J793" s="100"/>
      <c r="K793" s="100"/>
      <c r="L793" s="100"/>
      <c r="M793" s="100"/>
      <c r="N793" s="100"/>
      <c r="O793" s="100"/>
      <c r="P793" s="100"/>
      <c r="Q793" s="100"/>
      <c r="R793" s="100"/>
      <c r="S793" s="100"/>
      <c r="T793" s="100"/>
      <c r="U793" s="100"/>
      <c r="V793" s="100"/>
      <c r="W793" s="100"/>
      <c r="X793" s="100"/>
      <c r="Y793" s="100"/>
      <c r="Z793" s="100"/>
      <c r="AA793" s="100"/>
      <c r="AB793" s="100"/>
      <c r="AC793" s="100"/>
      <c r="AD793" s="100"/>
    </row>
    <row r="794">
      <c r="A794" s="118"/>
      <c r="B794" s="118"/>
      <c r="C794" s="118"/>
      <c r="D794" s="119"/>
      <c r="E794" s="119"/>
      <c r="F794" s="119"/>
      <c r="G794" s="100"/>
      <c r="H794" s="100"/>
      <c r="I794" s="100"/>
      <c r="J794" s="100"/>
      <c r="K794" s="100"/>
      <c r="L794" s="100"/>
      <c r="M794" s="100"/>
      <c r="N794" s="100"/>
      <c r="O794" s="100"/>
      <c r="P794" s="100"/>
      <c r="Q794" s="100"/>
      <c r="R794" s="100"/>
      <c r="S794" s="100"/>
      <c r="T794" s="100"/>
      <c r="U794" s="100"/>
      <c r="V794" s="100"/>
      <c r="W794" s="100"/>
      <c r="X794" s="100"/>
      <c r="Y794" s="100"/>
      <c r="Z794" s="100"/>
      <c r="AA794" s="100"/>
      <c r="AB794" s="100"/>
      <c r="AC794" s="100"/>
      <c r="AD794" s="100"/>
    </row>
    <row r="795">
      <c r="A795" s="118"/>
      <c r="B795" s="118"/>
      <c r="C795" s="118"/>
      <c r="D795" s="119"/>
      <c r="E795" s="119"/>
      <c r="F795" s="119"/>
      <c r="G795" s="100"/>
      <c r="H795" s="100"/>
      <c r="I795" s="100"/>
      <c r="J795" s="100"/>
      <c r="K795" s="100"/>
      <c r="L795" s="100"/>
      <c r="M795" s="100"/>
      <c r="N795" s="100"/>
      <c r="O795" s="100"/>
      <c r="P795" s="100"/>
      <c r="Q795" s="100"/>
      <c r="R795" s="100"/>
      <c r="S795" s="100"/>
      <c r="T795" s="100"/>
      <c r="U795" s="100"/>
      <c r="V795" s="100"/>
      <c r="W795" s="100"/>
      <c r="X795" s="100"/>
      <c r="Y795" s="100"/>
      <c r="Z795" s="100"/>
      <c r="AA795" s="100"/>
      <c r="AB795" s="100"/>
      <c r="AC795" s="100"/>
      <c r="AD795" s="100"/>
    </row>
    <row r="796">
      <c r="A796" s="118"/>
      <c r="B796" s="118"/>
      <c r="C796" s="118"/>
      <c r="D796" s="119"/>
      <c r="E796" s="119"/>
      <c r="F796" s="119"/>
      <c r="G796" s="100"/>
      <c r="H796" s="100"/>
      <c r="I796" s="100"/>
      <c r="J796" s="100"/>
      <c r="K796" s="100"/>
      <c r="L796" s="100"/>
      <c r="M796" s="100"/>
      <c r="N796" s="100"/>
      <c r="O796" s="100"/>
      <c r="P796" s="100"/>
      <c r="Q796" s="100"/>
      <c r="R796" s="100"/>
      <c r="S796" s="100"/>
      <c r="T796" s="100"/>
      <c r="U796" s="100"/>
      <c r="V796" s="100"/>
      <c r="W796" s="100"/>
      <c r="X796" s="100"/>
      <c r="Y796" s="100"/>
      <c r="Z796" s="100"/>
      <c r="AA796" s="100"/>
      <c r="AB796" s="100"/>
      <c r="AC796" s="100"/>
      <c r="AD796" s="100"/>
    </row>
    <row r="797">
      <c r="A797" s="118"/>
      <c r="B797" s="118"/>
      <c r="C797" s="118"/>
      <c r="D797" s="119"/>
      <c r="E797" s="119"/>
      <c r="F797" s="119"/>
      <c r="G797" s="100"/>
      <c r="H797" s="100"/>
      <c r="I797" s="100"/>
      <c r="J797" s="100"/>
      <c r="K797" s="100"/>
      <c r="L797" s="100"/>
      <c r="M797" s="100"/>
      <c r="N797" s="100"/>
      <c r="O797" s="100"/>
      <c r="P797" s="100"/>
      <c r="Q797" s="100"/>
      <c r="R797" s="100"/>
      <c r="S797" s="100"/>
      <c r="T797" s="100"/>
      <c r="U797" s="100"/>
      <c r="V797" s="100"/>
      <c r="W797" s="100"/>
      <c r="X797" s="100"/>
      <c r="Y797" s="100"/>
      <c r="Z797" s="100"/>
      <c r="AA797" s="100"/>
      <c r="AB797" s="100"/>
      <c r="AC797" s="100"/>
      <c r="AD797" s="100"/>
    </row>
    <row r="798">
      <c r="A798" s="118"/>
      <c r="B798" s="118"/>
      <c r="C798" s="118"/>
      <c r="D798" s="119"/>
      <c r="E798" s="119"/>
      <c r="F798" s="119"/>
      <c r="G798" s="100"/>
      <c r="H798" s="100"/>
      <c r="I798" s="100"/>
      <c r="J798" s="100"/>
      <c r="K798" s="100"/>
      <c r="L798" s="100"/>
      <c r="M798" s="100"/>
      <c r="N798" s="100"/>
      <c r="O798" s="100"/>
      <c r="P798" s="100"/>
      <c r="Q798" s="100"/>
      <c r="R798" s="100"/>
      <c r="S798" s="100"/>
      <c r="T798" s="100"/>
      <c r="U798" s="100"/>
      <c r="V798" s="100"/>
      <c r="W798" s="100"/>
      <c r="X798" s="100"/>
      <c r="Y798" s="100"/>
      <c r="Z798" s="100"/>
      <c r="AA798" s="100"/>
      <c r="AB798" s="100"/>
      <c r="AC798" s="100"/>
      <c r="AD798" s="100"/>
    </row>
    <row r="799">
      <c r="A799" s="118"/>
      <c r="B799" s="118"/>
      <c r="C799" s="118"/>
      <c r="D799" s="119"/>
      <c r="E799" s="119"/>
      <c r="F799" s="119"/>
      <c r="G799" s="100"/>
      <c r="H799" s="100"/>
      <c r="I799" s="100"/>
      <c r="J799" s="100"/>
      <c r="K799" s="100"/>
      <c r="L799" s="100"/>
      <c r="M799" s="100"/>
      <c r="N799" s="100"/>
      <c r="O799" s="100"/>
      <c r="P799" s="100"/>
      <c r="Q799" s="100"/>
      <c r="R799" s="100"/>
      <c r="S799" s="100"/>
      <c r="T799" s="100"/>
      <c r="U799" s="100"/>
      <c r="V799" s="100"/>
      <c r="W799" s="100"/>
      <c r="X799" s="100"/>
      <c r="Y799" s="100"/>
      <c r="Z799" s="100"/>
      <c r="AA799" s="100"/>
      <c r="AB799" s="100"/>
      <c r="AC799" s="100"/>
      <c r="AD799" s="100"/>
    </row>
    <row r="800">
      <c r="A800" s="118"/>
      <c r="B800" s="118"/>
      <c r="C800" s="118"/>
      <c r="D800" s="119"/>
      <c r="E800" s="119"/>
      <c r="F800" s="119"/>
      <c r="G800" s="100"/>
      <c r="H800" s="100"/>
      <c r="I800" s="100"/>
      <c r="J800" s="100"/>
      <c r="K800" s="100"/>
      <c r="L800" s="100"/>
      <c r="M800" s="100"/>
      <c r="N800" s="100"/>
      <c r="O800" s="100"/>
      <c r="P800" s="100"/>
      <c r="Q800" s="100"/>
      <c r="R800" s="100"/>
      <c r="S800" s="100"/>
      <c r="T800" s="100"/>
      <c r="U800" s="100"/>
      <c r="V800" s="100"/>
      <c r="W800" s="100"/>
      <c r="X800" s="100"/>
      <c r="Y800" s="100"/>
      <c r="Z800" s="100"/>
      <c r="AA800" s="100"/>
      <c r="AB800" s="100"/>
      <c r="AC800" s="100"/>
      <c r="AD800" s="100"/>
    </row>
    <row r="801">
      <c r="A801" s="118"/>
      <c r="B801" s="118"/>
      <c r="C801" s="118"/>
      <c r="D801" s="119"/>
      <c r="E801" s="119"/>
      <c r="F801" s="119"/>
      <c r="G801" s="100"/>
      <c r="H801" s="100"/>
      <c r="I801" s="100"/>
      <c r="J801" s="100"/>
      <c r="K801" s="100"/>
      <c r="L801" s="100"/>
      <c r="M801" s="100"/>
      <c r="N801" s="100"/>
      <c r="O801" s="100"/>
      <c r="P801" s="100"/>
      <c r="Q801" s="100"/>
      <c r="R801" s="100"/>
      <c r="S801" s="100"/>
      <c r="T801" s="100"/>
      <c r="U801" s="100"/>
      <c r="V801" s="100"/>
      <c r="W801" s="100"/>
      <c r="X801" s="100"/>
      <c r="Y801" s="100"/>
      <c r="Z801" s="100"/>
      <c r="AA801" s="100"/>
      <c r="AB801" s="100"/>
      <c r="AC801" s="100"/>
      <c r="AD801" s="100"/>
    </row>
    <row r="802">
      <c r="A802" s="118"/>
      <c r="B802" s="118"/>
      <c r="C802" s="118"/>
      <c r="D802" s="119"/>
      <c r="E802" s="119"/>
      <c r="F802" s="119"/>
      <c r="G802" s="100"/>
      <c r="H802" s="100"/>
      <c r="I802" s="100"/>
      <c r="J802" s="100"/>
      <c r="K802" s="100"/>
      <c r="L802" s="100"/>
      <c r="M802" s="100"/>
      <c r="N802" s="100"/>
      <c r="O802" s="100"/>
      <c r="P802" s="100"/>
      <c r="Q802" s="100"/>
      <c r="R802" s="100"/>
      <c r="S802" s="100"/>
      <c r="T802" s="100"/>
      <c r="U802" s="100"/>
      <c r="V802" s="100"/>
      <c r="W802" s="100"/>
      <c r="X802" s="100"/>
      <c r="Y802" s="100"/>
      <c r="Z802" s="100"/>
      <c r="AA802" s="100"/>
      <c r="AB802" s="100"/>
      <c r="AC802" s="100"/>
      <c r="AD802" s="100"/>
    </row>
    <row r="803">
      <c r="A803" s="118"/>
      <c r="B803" s="118"/>
      <c r="C803" s="118"/>
      <c r="D803" s="119"/>
      <c r="E803" s="119"/>
      <c r="F803" s="119"/>
      <c r="G803" s="100"/>
      <c r="H803" s="100"/>
      <c r="I803" s="100"/>
      <c r="J803" s="100"/>
      <c r="K803" s="100"/>
      <c r="L803" s="100"/>
      <c r="M803" s="100"/>
      <c r="N803" s="100"/>
      <c r="O803" s="100"/>
      <c r="P803" s="100"/>
      <c r="Q803" s="100"/>
      <c r="R803" s="100"/>
      <c r="S803" s="100"/>
      <c r="T803" s="100"/>
      <c r="U803" s="100"/>
      <c r="V803" s="100"/>
      <c r="W803" s="100"/>
      <c r="X803" s="100"/>
      <c r="Y803" s="100"/>
      <c r="Z803" s="100"/>
      <c r="AA803" s="100"/>
      <c r="AB803" s="100"/>
      <c r="AC803" s="100"/>
      <c r="AD803" s="100"/>
    </row>
    <row r="804">
      <c r="A804" s="118"/>
      <c r="B804" s="118"/>
      <c r="C804" s="118"/>
      <c r="D804" s="119"/>
      <c r="E804" s="119"/>
      <c r="F804" s="119"/>
      <c r="G804" s="100"/>
      <c r="H804" s="100"/>
      <c r="I804" s="100"/>
      <c r="J804" s="100"/>
      <c r="K804" s="100"/>
      <c r="L804" s="100"/>
      <c r="M804" s="100"/>
      <c r="N804" s="100"/>
      <c r="O804" s="100"/>
      <c r="P804" s="100"/>
      <c r="Q804" s="100"/>
      <c r="R804" s="100"/>
      <c r="S804" s="100"/>
      <c r="T804" s="100"/>
      <c r="U804" s="100"/>
      <c r="V804" s="100"/>
      <c r="W804" s="100"/>
      <c r="X804" s="100"/>
      <c r="Y804" s="100"/>
      <c r="Z804" s="100"/>
      <c r="AA804" s="100"/>
      <c r="AB804" s="100"/>
      <c r="AC804" s="100"/>
      <c r="AD804" s="100"/>
    </row>
    <row r="805">
      <c r="A805" s="118"/>
      <c r="B805" s="118"/>
      <c r="C805" s="118"/>
      <c r="D805" s="119"/>
      <c r="E805" s="119"/>
      <c r="F805" s="119"/>
      <c r="G805" s="100"/>
      <c r="H805" s="100"/>
      <c r="I805" s="100"/>
      <c r="J805" s="100"/>
      <c r="K805" s="100"/>
      <c r="L805" s="100"/>
      <c r="M805" s="100"/>
      <c r="N805" s="100"/>
      <c r="O805" s="100"/>
      <c r="P805" s="100"/>
      <c r="Q805" s="100"/>
      <c r="R805" s="100"/>
      <c r="S805" s="100"/>
      <c r="T805" s="100"/>
      <c r="U805" s="100"/>
      <c r="V805" s="100"/>
      <c r="W805" s="100"/>
      <c r="X805" s="100"/>
      <c r="Y805" s="100"/>
      <c r="Z805" s="100"/>
      <c r="AA805" s="100"/>
      <c r="AB805" s="100"/>
      <c r="AC805" s="100"/>
      <c r="AD805" s="100"/>
    </row>
    <row r="806">
      <c r="A806" s="118"/>
      <c r="B806" s="118"/>
      <c r="C806" s="118"/>
      <c r="D806" s="119"/>
      <c r="E806" s="119"/>
      <c r="F806" s="119"/>
      <c r="G806" s="100"/>
      <c r="H806" s="100"/>
      <c r="I806" s="100"/>
      <c r="J806" s="100"/>
      <c r="K806" s="100"/>
      <c r="L806" s="100"/>
      <c r="M806" s="100"/>
      <c r="N806" s="100"/>
      <c r="O806" s="100"/>
      <c r="P806" s="100"/>
      <c r="Q806" s="100"/>
      <c r="R806" s="100"/>
      <c r="S806" s="100"/>
      <c r="T806" s="100"/>
      <c r="U806" s="100"/>
      <c r="V806" s="100"/>
      <c r="W806" s="100"/>
      <c r="X806" s="100"/>
      <c r="Y806" s="100"/>
      <c r="Z806" s="100"/>
      <c r="AA806" s="100"/>
      <c r="AB806" s="100"/>
      <c r="AC806" s="100"/>
      <c r="AD806" s="100"/>
    </row>
    <row r="807">
      <c r="A807" s="118"/>
      <c r="B807" s="118"/>
      <c r="C807" s="118"/>
      <c r="D807" s="119"/>
      <c r="E807" s="119"/>
      <c r="F807" s="119"/>
      <c r="G807" s="100"/>
      <c r="H807" s="100"/>
      <c r="I807" s="100"/>
      <c r="J807" s="100"/>
      <c r="K807" s="100"/>
      <c r="L807" s="100"/>
      <c r="M807" s="100"/>
      <c r="N807" s="100"/>
      <c r="O807" s="100"/>
      <c r="P807" s="100"/>
      <c r="Q807" s="100"/>
      <c r="R807" s="100"/>
      <c r="S807" s="100"/>
      <c r="T807" s="100"/>
      <c r="U807" s="100"/>
      <c r="V807" s="100"/>
      <c r="W807" s="100"/>
      <c r="X807" s="100"/>
      <c r="Y807" s="100"/>
      <c r="Z807" s="100"/>
      <c r="AA807" s="100"/>
      <c r="AB807" s="100"/>
      <c r="AC807" s="100"/>
      <c r="AD807" s="100"/>
    </row>
    <row r="808">
      <c r="A808" s="118"/>
      <c r="B808" s="118"/>
      <c r="C808" s="118"/>
      <c r="D808" s="119"/>
      <c r="E808" s="119"/>
      <c r="F808" s="119"/>
      <c r="G808" s="100"/>
      <c r="H808" s="100"/>
      <c r="I808" s="100"/>
      <c r="J808" s="100"/>
      <c r="K808" s="100"/>
      <c r="L808" s="100"/>
      <c r="M808" s="100"/>
      <c r="N808" s="100"/>
      <c r="O808" s="100"/>
      <c r="P808" s="100"/>
      <c r="Q808" s="100"/>
      <c r="R808" s="100"/>
      <c r="S808" s="100"/>
      <c r="T808" s="100"/>
      <c r="U808" s="100"/>
      <c r="V808" s="100"/>
      <c r="W808" s="100"/>
      <c r="X808" s="100"/>
      <c r="Y808" s="100"/>
      <c r="Z808" s="100"/>
      <c r="AA808" s="100"/>
      <c r="AB808" s="100"/>
      <c r="AC808" s="100"/>
      <c r="AD808" s="100"/>
    </row>
    <row r="809">
      <c r="A809" s="118"/>
      <c r="B809" s="118"/>
      <c r="C809" s="118"/>
      <c r="D809" s="119"/>
      <c r="E809" s="119"/>
      <c r="F809" s="119"/>
      <c r="G809" s="100"/>
      <c r="H809" s="100"/>
      <c r="I809" s="100"/>
      <c r="J809" s="100"/>
      <c r="K809" s="100"/>
      <c r="L809" s="100"/>
      <c r="M809" s="100"/>
      <c r="N809" s="100"/>
      <c r="O809" s="100"/>
      <c r="P809" s="100"/>
      <c r="Q809" s="100"/>
      <c r="R809" s="100"/>
      <c r="S809" s="100"/>
      <c r="T809" s="100"/>
      <c r="U809" s="100"/>
      <c r="V809" s="100"/>
      <c r="W809" s="100"/>
      <c r="X809" s="100"/>
      <c r="Y809" s="100"/>
      <c r="Z809" s="100"/>
      <c r="AA809" s="100"/>
      <c r="AB809" s="100"/>
      <c r="AC809" s="100"/>
      <c r="AD809" s="100"/>
    </row>
    <row r="810">
      <c r="A810" s="118"/>
      <c r="B810" s="118"/>
      <c r="C810" s="118"/>
      <c r="D810" s="119"/>
      <c r="E810" s="119"/>
      <c r="F810" s="119"/>
      <c r="G810" s="100"/>
      <c r="H810" s="100"/>
      <c r="I810" s="100"/>
      <c r="J810" s="100"/>
      <c r="K810" s="100"/>
      <c r="L810" s="100"/>
      <c r="M810" s="100"/>
      <c r="N810" s="100"/>
      <c r="O810" s="100"/>
      <c r="P810" s="100"/>
      <c r="Q810" s="100"/>
      <c r="R810" s="100"/>
      <c r="S810" s="100"/>
      <c r="T810" s="100"/>
      <c r="U810" s="100"/>
      <c r="V810" s="100"/>
      <c r="W810" s="100"/>
      <c r="X810" s="100"/>
      <c r="Y810" s="100"/>
      <c r="Z810" s="100"/>
      <c r="AA810" s="100"/>
      <c r="AB810" s="100"/>
      <c r="AC810" s="100"/>
      <c r="AD810" s="100"/>
    </row>
    <row r="811">
      <c r="A811" s="118"/>
      <c r="B811" s="118"/>
      <c r="C811" s="118"/>
      <c r="D811" s="119"/>
      <c r="E811" s="119"/>
      <c r="F811" s="119"/>
      <c r="G811" s="100"/>
      <c r="H811" s="100"/>
      <c r="I811" s="100"/>
      <c r="J811" s="100"/>
      <c r="K811" s="100"/>
      <c r="L811" s="100"/>
      <c r="M811" s="100"/>
      <c r="N811" s="100"/>
      <c r="O811" s="100"/>
      <c r="P811" s="100"/>
      <c r="Q811" s="100"/>
      <c r="R811" s="100"/>
      <c r="S811" s="100"/>
      <c r="T811" s="100"/>
      <c r="U811" s="100"/>
      <c r="V811" s="100"/>
      <c r="W811" s="100"/>
      <c r="X811" s="100"/>
      <c r="Y811" s="100"/>
      <c r="Z811" s="100"/>
      <c r="AA811" s="100"/>
      <c r="AB811" s="100"/>
      <c r="AC811" s="100"/>
      <c r="AD811" s="100"/>
    </row>
    <row r="812">
      <c r="A812" s="118"/>
      <c r="B812" s="118"/>
      <c r="C812" s="118"/>
      <c r="D812" s="119"/>
      <c r="E812" s="119"/>
      <c r="F812" s="119"/>
      <c r="G812" s="100"/>
      <c r="H812" s="100"/>
      <c r="I812" s="100"/>
      <c r="J812" s="100"/>
      <c r="K812" s="100"/>
      <c r="L812" s="100"/>
      <c r="M812" s="100"/>
      <c r="N812" s="100"/>
      <c r="O812" s="100"/>
      <c r="P812" s="100"/>
      <c r="Q812" s="100"/>
      <c r="R812" s="100"/>
      <c r="S812" s="100"/>
      <c r="T812" s="100"/>
      <c r="U812" s="100"/>
      <c r="V812" s="100"/>
      <c r="W812" s="100"/>
      <c r="X812" s="100"/>
      <c r="Y812" s="100"/>
      <c r="Z812" s="100"/>
      <c r="AA812" s="100"/>
      <c r="AB812" s="100"/>
      <c r="AC812" s="100"/>
      <c r="AD812" s="100"/>
    </row>
    <row r="813">
      <c r="A813" s="118"/>
      <c r="B813" s="118"/>
      <c r="C813" s="118"/>
      <c r="D813" s="119"/>
      <c r="E813" s="119"/>
      <c r="F813" s="119"/>
      <c r="G813" s="100"/>
      <c r="H813" s="100"/>
      <c r="I813" s="100"/>
      <c r="J813" s="100"/>
      <c r="K813" s="100"/>
      <c r="L813" s="100"/>
      <c r="M813" s="100"/>
      <c r="N813" s="100"/>
      <c r="O813" s="100"/>
      <c r="P813" s="100"/>
      <c r="Q813" s="100"/>
      <c r="R813" s="100"/>
      <c r="S813" s="100"/>
      <c r="T813" s="100"/>
      <c r="U813" s="100"/>
      <c r="V813" s="100"/>
      <c r="W813" s="100"/>
      <c r="X813" s="100"/>
      <c r="Y813" s="100"/>
      <c r="Z813" s="100"/>
      <c r="AA813" s="100"/>
      <c r="AB813" s="100"/>
      <c r="AC813" s="100"/>
      <c r="AD813" s="100"/>
    </row>
    <row r="814">
      <c r="A814" s="118"/>
      <c r="B814" s="118"/>
      <c r="C814" s="118"/>
      <c r="D814" s="119"/>
      <c r="E814" s="119"/>
      <c r="F814" s="119"/>
      <c r="G814" s="100"/>
      <c r="H814" s="100"/>
      <c r="I814" s="100"/>
      <c r="J814" s="100"/>
      <c r="K814" s="100"/>
      <c r="L814" s="100"/>
      <c r="M814" s="100"/>
      <c r="N814" s="100"/>
      <c r="O814" s="100"/>
      <c r="P814" s="100"/>
      <c r="Q814" s="100"/>
      <c r="R814" s="100"/>
      <c r="S814" s="100"/>
      <c r="T814" s="100"/>
      <c r="U814" s="100"/>
      <c r="V814" s="100"/>
      <c r="W814" s="100"/>
      <c r="X814" s="100"/>
      <c r="Y814" s="100"/>
      <c r="Z814" s="100"/>
      <c r="AA814" s="100"/>
      <c r="AB814" s="100"/>
      <c r="AC814" s="100"/>
      <c r="AD814" s="100"/>
    </row>
    <row r="815">
      <c r="A815" s="118"/>
      <c r="B815" s="118"/>
      <c r="C815" s="118"/>
      <c r="D815" s="119"/>
      <c r="E815" s="119"/>
      <c r="F815" s="119"/>
      <c r="G815" s="100"/>
      <c r="H815" s="100"/>
      <c r="I815" s="100"/>
      <c r="J815" s="100"/>
      <c r="K815" s="100"/>
      <c r="L815" s="100"/>
      <c r="M815" s="100"/>
      <c r="N815" s="100"/>
      <c r="O815" s="100"/>
      <c r="P815" s="100"/>
      <c r="Q815" s="100"/>
      <c r="R815" s="100"/>
      <c r="S815" s="100"/>
      <c r="T815" s="100"/>
      <c r="U815" s="100"/>
      <c r="V815" s="100"/>
      <c r="W815" s="100"/>
      <c r="X815" s="100"/>
      <c r="Y815" s="100"/>
      <c r="Z815" s="100"/>
      <c r="AA815" s="100"/>
      <c r="AB815" s="100"/>
      <c r="AC815" s="100"/>
      <c r="AD815" s="100"/>
    </row>
    <row r="816">
      <c r="A816" s="118"/>
      <c r="B816" s="118"/>
      <c r="C816" s="118"/>
      <c r="D816" s="119"/>
      <c r="E816" s="119"/>
      <c r="F816" s="119"/>
      <c r="G816" s="100"/>
      <c r="H816" s="100"/>
      <c r="I816" s="100"/>
      <c r="J816" s="100"/>
      <c r="K816" s="100"/>
      <c r="L816" s="100"/>
      <c r="M816" s="100"/>
      <c r="N816" s="100"/>
      <c r="O816" s="100"/>
      <c r="P816" s="100"/>
      <c r="Q816" s="100"/>
      <c r="R816" s="100"/>
      <c r="S816" s="100"/>
      <c r="T816" s="100"/>
      <c r="U816" s="100"/>
      <c r="V816" s="100"/>
      <c r="W816" s="100"/>
      <c r="X816" s="100"/>
      <c r="Y816" s="100"/>
      <c r="Z816" s="100"/>
      <c r="AA816" s="100"/>
      <c r="AB816" s="100"/>
      <c r="AC816" s="100"/>
      <c r="AD816" s="100"/>
    </row>
    <row r="817">
      <c r="A817" s="118"/>
      <c r="B817" s="118"/>
      <c r="C817" s="118"/>
      <c r="D817" s="119"/>
      <c r="E817" s="119"/>
      <c r="F817" s="119"/>
      <c r="G817" s="100"/>
      <c r="H817" s="100"/>
      <c r="I817" s="100"/>
      <c r="J817" s="100"/>
      <c r="K817" s="100"/>
      <c r="L817" s="100"/>
      <c r="M817" s="100"/>
      <c r="N817" s="100"/>
      <c r="O817" s="100"/>
      <c r="P817" s="100"/>
      <c r="Q817" s="100"/>
      <c r="R817" s="100"/>
      <c r="S817" s="100"/>
      <c r="T817" s="100"/>
      <c r="U817" s="100"/>
      <c r="V817" s="100"/>
      <c r="W817" s="100"/>
      <c r="X817" s="100"/>
      <c r="Y817" s="100"/>
      <c r="Z817" s="100"/>
      <c r="AA817" s="100"/>
      <c r="AB817" s="100"/>
      <c r="AC817" s="100"/>
      <c r="AD817" s="100"/>
    </row>
    <row r="818">
      <c r="A818" s="118"/>
      <c r="B818" s="118"/>
      <c r="C818" s="118"/>
      <c r="D818" s="119"/>
      <c r="E818" s="119"/>
      <c r="F818" s="119"/>
      <c r="G818" s="100"/>
      <c r="H818" s="100"/>
      <c r="I818" s="100"/>
      <c r="J818" s="100"/>
      <c r="K818" s="100"/>
      <c r="L818" s="100"/>
      <c r="M818" s="100"/>
      <c r="N818" s="100"/>
      <c r="O818" s="100"/>
      <c r="P818" s="100"/>
      <c r="Q818" s="100"/>
      <c r="R818" s="100"/>
      <c r="S818" s="100"/>
      <c r="T818" s="100"/>
      <c r="U818" s="100"/>
      <c r="V818" s="100"/>
      <c r="W818" s="100"/>
      <c r="X818" s="100"/>
      <c r="Y818" s="100"/>
      <c r="Z818" s="100"/>
      <c r="AA818" s="100"/>
      <c r="AB818" s="100"/>
      <c r="AC818" s="100"/>
      <c r="AD818" s="100"/>
    </row>
    <row r="819">
      <c r="A819" s="118"/>
      <c r="B819" s="118"/>
      <c r="C819" s="118"/>
      <c r="D819" s="119"/>
      <c r="E819" s="119"/>
      <c r="F819" s="119"/>
      <c r="G819" s="100"/>
      <c r="H819" s="100"/>
      <c r="I819" s="100"/>
      <c r="J819" s="100"/>
      <c r="K819" s="100"/>
      <c r="L819" s="100"/>
      <c r="M819" s="100"/>
      <c r="N819" s="100"/>
      <c r="O819" s="100"/>
      <c r="P819" s="100"/>
      <c r="Q819" s="100"/>
      <c r="R819" s="100"/>
      <c r="S819" s="100"/>
      <c r="T819" s="100"/>
      <c r="U819" s="100"/>
      <c r="V819" s="100"/>
      <c r="W819" s="100"/>
      <c r="X819" s="100"/>
      <c r="Y819" s="100"/>
      <c r="Z819" s="100"/>
      <c r="AA819" s="100"/>
      <c r="AB819" s="100"/>
      <c r="AC819" s="100"/>
      <c r="AD819" s="100"/>
    </row>
    <row r="820">
      <c r="A820" s="118"/>
      <c r="B820" s="118"/>
      <c r="C820" s="118"/>
      <c r="D820" s="119"/>
      <c r="E820" s="119"/>
      <c r="F820" s="119"/>
      <c r="G820" s="100"/>
      <c r="H820" s="100"/>
      <c r="I820" s="100"/>
      <c r="J820" s="100"/>
      <c r="K820" s="100"/>
      <c r="L820" s="100"/>
      <c r="M820" s="100"/>
      <c r="N820" s="100"/>
      <c r="O820" s="100"/>
      <c r="P820" s="100"/>
      <c r="Q820" s="100"/>
      <c r="R820" s="100"/>
      <c r="S820" s="100"/>
      <c r="T820" s="100"/>
      <c r="U820" s="100"/>
      <c r="V820" s="100"/>
      <c r="W820" s="100"/>
      <c r="X820" s="100"/>
      <c r="Y820" s="100"/>
      <c r="Z820" s="100"/>
      <c r="AA820" s="100"/>
      <c r="AB820" s="100"/>
      <c r="AC820" s="100"/>
      <c r="AD820" s="100"/>
    </row>
    <row r="821">
      <c r="A821" s="118"/>
      <c r="B821" s="118"/>
      <c r="C821" s="118"/>
      <c r="D821" s="119"/>
      <c r="E821" s="119"/>
      <c r="F821" s="119"/>
      <c r="G821" s="100"/>
      <c r="H821" s="100"/>
      <c r="I821" s="100"/>
      <c r="J821" s="100"/>
      <c r="K821" s="100"/>
      <c r="L821" s="100"/>
      <c r="M821" s="100"/>
      <c r="N821" s="100"/>
      <c r="O821" s="100"/>
      <c r="P821" s="100"/>
      <c r="Q821" s="100"/>
      <c r="R821" s="100"/>
      <c r="S821" s="100"/>
      <c r="T821" s="100"/>
      <c r="U821" s="100"/>
      <c r="V821" s="100"/>
      <c r="W821" s="100"/>
      <c r="X821" s="100"/>
      <c r="Y821" s="100"/>
      <c r="Z821" s="100"/>
      <c r="AA821" s="100"/>
      <c r="AB821" s="100"/>
      <c r="AC821" s="100"/>
      <c r="AD821" s="100"/>
    </row>
    <row r="822">
      <c r="A822" s="118"/>
      <c r="B822" s="118"/>
      <c r="C822" s="118"/>
      <c r="D822" s="119"/>
      <c r="E822" s="119"/>
      <c r="F822" s="119"/>
      <c r="G822" s="100"/>
      <c r="H822" s="100"/>
      <c r="I822" s="100"/>
      <c r="J822" s="100"/>
      <c r="K822" s="100"/>
      <c r="L822" s="100"/>
      <c r="M822" s="100"/>
      <c r="N822" s="100"/>
      <c r="O822" s="100"/>
      <c r="P822" s="100"/>
      <c r="Q822" s="100"/>
      <c r="R822" s="100"/>
      <c r="S822" s="100"/>
      <c r="T822" s="100"/>
      <c r="U822" s="100"/>
      <c r="V822" s="100"/>
      <c r="W822" s="100"/>
      <c r="X822" s="100"/>
      <c r="Y822" s="100"/>
      <c r="Z822" s="100"/>
      <c r="AA822" s="100"/>
      <c r="AB822" s="100"/>
      <c r="AC822" s="100"/>
      <c r="AD822" s="100"/>
    </row>
    <row r="823">
      <c r="A823" s="118"/>
      <c r="B823" s="118"/>
      <c r="C823" s="118"/>
      <c r="D823" s="119"/>
      <c r="E823" s="119"/>
      <c r="F823" s="119"/>
      <c r="G823" s="100"/>
      <c r="H823" s="100"/>
      <c r="I823" s="100"/>
      <c r="J823" s="100"/>
      <c r="K823" s="100"/>
      <c r="L823" s="100"/>
      <c r="M823" s="100"/>
      <c r="N823" s="100"/>
      <c r="O823" s="100"/>
      <c r="P823" s="100"/>
      <c r="Q823" s="100"/>
      <c r="R823" s="100"/>
      <c r="S823" s="100"/>
      <c r="T823" s="100"/>
      <c r="U823" s="100"/>
      <c r="V823" s="100"/>
      <c r="W823" s="100"/>
      <c r="X823" s="100"/>
      <c r="Y823" s="100"/>
      <c r="Z823" s="100"/>
      <c r="AA823" s="100"/>
      <c r="AB823" s="100"/>
      <c r="AC823" s="100"/>
      <c r="AD823" s="100"/>
    </row>
    <row r="824">
      <c r="A824" s="118"/>
      <c r="B824" s="118"/>
      <c r="C824" s="118"/>
      <c r="D824" s="119"/>
      <c r="E824" s="119"/>
      <c r="F824" s="119"/>
      <c r="G824" s="100"/>
      <c r="H824" s="100"/>
      <c r="I824" s="100"/>
      <c r="J824" s="100"/>
      <c r="K824" s="100"/>
      <c r="L824" s="100"/>
      <c r="M824" s="100"/>
      <c r="N824" s="100"/>
      <c r="O824" s="100"/>
      <c r="P824" s="100"/>
      <c r="Q824" s="100"/>
      <c r="R824" s="100"/>
      <c r="S824" s="100"/>
      <c r="T824" s="100"/>
      <c r="U824" s="100"/>
      <c r="V824" s="100"/>
      <c r="W824" s="100"/>
      <c r="X824" s="100"/>
      <c r="Y824" s="100"/>
      <c r="Z824" s="100"/>
      <c r="AA824" s="100"/>
      <c r="AB824" s="100"/>
      <c r="AC824" s="100"/>
      <c r="AD824" s="100"/>
    </row>
    <row r="825">
      <c r="A825" s="118"/>
      <c r="B825" s="118"/>
      <c r="C825" s="118"/>
      <c r="D825" s="119"/>
      <c r="E825" s="119"/>
      <c r="F825" s="119"/>
      <c r="G825" s="100"/>
      <c r="H825" s="100"/>
      <c r="I825" s="100"/>
      <c r="J825" s="100"/>
      <c r="K825" s="100"/>
      <c r="L825" s="100"/>
      <c r="M825" s="100"/>
      <c r="N825" s="100"/>
      <c r="O825" s="100"/>
      <c r="P825" s="100"/>
      <c r="Q825" s="100"/>
      <c r="R825" s="100"/>
      <c r="S825" s="100"/>
      <c r="T825" s="100"/>
      <c r="U825" s="100"/>
      <c r="V825" s="100"/>
      <c r="W825" s="100"/>
      <c r="X825" s="100"/>
      <c r="Y825" s="100"/>
      <c r="Z825" s="100"/>
      <c r="AA825" s="100"/>
      <c r="AB825" s="100"/>
      <c r="AC825" s="100"/>
      <c r="AD825" s="100"/>
    </row>
    <row r="826">
      <c r="A826" s="118"/>
      <c r="B826" s="118"/>
      <c r="C826" s="118"/>
      <c r="D826" s="119"/>
      <c r="E826" s="119"/>
      <c r="F826" s="119"/>
      <c r="G826" s="100"/>
      <c r="H826" s="100"/>
      <c r="I826" s="100"/>
      <c r="J826" s="100"/>
      <c r="K826" s="100"/>
      <c r="L826" s="100"/>
      <c r="M826" s="100"/>
      <c r="N826" s="100"/>
      <c r="O826" s="100"/>
      <c r="P826" s="100"/>
      <c r="Q826" s="100"/>
      <c r="R826" s="100"/>
      <c r="S826" s="100"/>
      <c r="T826" s="100"/>
      <c r="U826" s="100"/>
      <c r="V826" s="100"/>
      <c r="W826" s="100"/>
      <c r="X826" s="100"/>
      <c r="Y826" s="100"/>
      <c r="Z826" s="100"/>
      <c r="AA826" s="100"/>
      <c r="AB826" s="100"/>
      <c r="AC826" s="100"/>
      <c r="AD826" s="100"/>
    </row>
    <row r="827">
      <c r="A827" s="118"/>
      <c r="B827" s="118"/>
      <c r="C827" s="118"/>
      <c r="D827" s="119"/>
      <c r="E827" s="119"/>
      <c r="F827" s="119"/>
      <c r="G827" s="100"/>
      <c r="H827" s="100"/>
      <c r="I827" s="100"/>
      <c r="J827" s="100"/>
      <c r="K827" s="100"/>
      <c r="L827" s="100"/>
      <c r="M827" s="100"/>
      <c r="N827" s="100"/>
      <c r="O827" s="100"/>
      <c r="P827" s="100"/>
      <c r="Q827" s="100"/>
      <c r="R827" s="100"/>
      <c r="S827" s="100"/>
      <c r="T827" s="100"/>
      <c r="U827" s="100"/>
      <c r="V827" s="100"/>
      <c r="W827" s="100"/>
      <c r="X827" s="100"/>
      <c r="Y827" s="100"/>
      <c r="Z827" s="100"/>
      <c r="AA827" s="100"/>
      <c r="AB827" s="100"/>
      <c r="AC827" s="100"/>
      <c r="AD827" s="100"/>
    </row>
    <row r="828">
      <c r="A828" s="118"/>
      <c r="B828" s="118"/>
      <c r="C828" s="118"/>
      <c r="D828" s="119"/>
      <c r="E828" s="119"/>
      <c r="F828" s="119"/>
      <c r="G828" s="100"/>
      <c r="H828" s="100"/>
      <c r="I828" s="100"/>
      <c r="J828" s="100"/>
      <c r="K828" s="100"/>
      <c r="L828" s="100"/>
      <c r="M828" s="100"/>
      <c r="N828" s="100"/>
      <c r="O828" s="100"/>
      <c r="P828" s="100"/>
      <c r="Q828" s="100"/>
      <c r="R828" s="100"/>
      <c r="S828" s="100"/>
      <c r="T828" s="100"/>
      <c r="U828" s="100"/>
      <c r="V828" s="100"/>
      <c r="W828" s="100"/>
      <c r="X828" s="100"/>
      <c r="Y828" s="100"/>
      <c r="Z828" s="100"/>
      <c r="AA828" s="100"/>
      <c r="AB828" s="100"/>
      <c r="AC828" s="100"/>
      <c r="AD828" s="100"/>
    </row>
    <row r="829">
      <c r="A829" s="118"/>
      <c r="B829" s="118"/>
      <c r="C829" s="118"/>
      <c r="D829" s="119"/>
      <c r="E829" s="119"/>
      <c r="F829" s="119"/>
      <c r="G829" s="100"/>
      <c r="H829" s="100"/>
      <c r="I829" s="100"/>
      <c r="J829" s="100"/>
      <c r="K829" s="100"/>
      <c r="L829" s="100"/>
      <c r="M829" s="100"/>
      <c r="N829" s="100"/>
      <c r="O829" s="100"/>
      <c r="P829" s="100"/>
      <c r="Q829" s="100"/>
      <c r="R829" s="100"/>
      <c r="S829" s="100"/>
      <c r="T829" s="100"/>
      <c r="U829" s="100"/>
      <c r="V829" s="100"/>
      <c r="W829" s="100"/>
      <c r="X829" s="100"/>
      <c r="Y829" s="100"/>
      <c r="Z829" s="100"/>
      <c r="AA829" s="100"/>
      <c r="AB829" s="100"/>
      <c r="AC829" s="100"/>
      <c r="AD829" s="100"/>
    </row>
    <row r="830">
      <c r="A830" s="118"/>
      <c r="B830" s="118"/>
      <c r="C830" s="118"/>
      <c r="D830" s="119"/>
      <c r="E830" s="119"/>
      <c r="F830" s="119"/>
      <c r="G830" s="100"/>
      <c r="H830" s="100"/>
      <c r="I830" s="100"/>
      <c r="J830" s="100"/>
      <c r="K830" s="100"/>
      <c r="L830" s="100"/>
      <c r="M830" s="100"/>
      <c r="N830" s="100"/>
      <c r="O830" s="100"/>
      <c r="P830" s="100"/>
      <c r="Q830" s="100"/>
      <c r="R830" s="100"/>
      <c r="S830" s="100"/>
      <c r="T830" s="100"/>
      <c r="U830" s="100"/>
      <c r="V830" s="100"/>
      <c r="W830" s="100"/>
      <c r="X830" s="100"/>
      <c r="Y830" s="100"/>
      <c r="Z830" s="100"/>
      <c r="AA830" s="100"/>
      <c r="AB830" s="100"/>
      <c r="AC830" s="100"/>
      <c r="AD830" s="100"/>
    </row>
    <row r="831">
      <c r="A831" s="118"/>
      <c r="B831" s="118"/>
      <c r="C831" s="118"/>
      <c r="D831" s="119"/>
      <c r="E831" s="119"/>
      <c r="F831" s="119"/>
      <c r="G831" s="100"/>
      <c r="H831" s="100"/>
      <c r="I831" s="100"/>
      <c r="J831" s="100"/>
      <c r="K831" s="100"/>
      <c r="L831" s="100"/>
      <c r="M831" s="100"/>
      <c r="N831" s="100"/>
      <c r="O831" s="100"/>
      <c r="P831" s="100"/>
      <c r="Q831" s="100"/>
      <c r="R831" s="100"/>
      <c r="S831" s="100"/>
      <c r="T831" s="100"/>
      <c r="U831" s="100"/>
      <c r="V831" s="100"/>
      <c r="W831" s="100"/>
      <c r="X831" s="100"/>
      <c r="Y831" s="100"/>
      <c r="Z831" s="100"/>
      <c r="AA831" s="100"/>
      <c r="AB831" s="100"/>
      <c r="AC831" s="100"/>
      <c r="AD831" s="100"/>
    </row>
    <row r="832">
      <c r="A832" s="118"/>
      <c r="B832" s="118"/>
      <c r="C832" s="118"/>
      <c r="D832" s="119"/>
      <c r="E832" s="119"/>
      <c r="F832" s="119"/>
      <c r="G832" s="100"/>
      <c r="H832" s="100"/>
      <c r="I832" s="100"/>
      <c r="J832" s="100"/>
      <c r="K832" s="100"/>
      <c r="L832" s="100"/>
      <c r="M832" s="100"/>
      <c r="N832" s="100"/>
      <c r="O832" s="100"/>
      <c r="P832" s="100"/>
      <c r="Q832" s="100"/>
      <c r="R832" s="100"/>
      <c r="S832" s="100"/>
      <c r="T832" s="100"/>
      <c r="U832" s="100"/>
      <c r="V832" s="100"/>
      <c r="W832" s="100"/>
      <c r="X832" s="100"/>
      <c r="Y832" s="100"/>
      <c r="Z832" s="100"/>
      <c r="AA832" s="100"/>
      <c r="AB832" s="100"/>
      <c r="AC832" s="100"/>
      <c r="AD832" s="100"/>
    </row>
    <row r="833">
      <c r="A833" s="118"/>
      <c r="B833" s="118"/>
      <c r="C833" s="118"/>
      <c r="D833" s="119"/>
      <c r="E833" s="119"/>
      <c r="F833" s="119"/>
      <c r="G833" s="100"/>
      <c r="H833" s="100"/>
      <c r="I833" s="100"/>
      <c r="J833" s="100"/>
      <c r="K833" s="100"/>
      <c r="L833" s="100"/>
      <c r="M833" s="100"/>
      <c r="N833" s="100"/>
      <c r="O833" s="100"/>
      <c r="P833" s="100"/>
      <c r="Q833" s="100"/>
      <c r="R833" s="100"/>
      <c r="S833" s="100"/>
      <c r="T833" s="100"/>
      <c r="U833" s="100"/>
      <c r="V833" s="100"/>
      <c r="W833" s="100"/>
      <c r="X833" s="100"/>
      <c r="Y833" s="100"/>
      <c r="Z833" s="100"/>
      <c r="AA833" s="100"/>
      <c r="AB833" s="100"/>
      <c r="AC833" s="100"/>
      <c r="AD833" s="100"/>
    </row>
    <row r="834">
      <c r="A834" s="118"/>
      <c r="B834" s="118"/>
      <c r="C834" s="118"/>
      <c r="D834" s="119"/>
      <c r="E834" s="119"/>
      <c r="F834" s="119"/>
      <c r="G834" s="100"/>
      <c r="H834" s="100"/>
      <c r="I834" s="100"/>
      <c r="J834" s="100"/>
      <c r="K834" s="100"/>
      <c r="L834" s="100"/>
      <c r="M834" s="100"/>
      <c r="N834" s="100"/>
      <c r="O834" s="100"/>
      <c r="P834" s="100"/>
      <c r="Q834" s="100"/>
      <c r="R834" s="100"/>
      <c r="S834" s="100"/>
      <c r="T834" s="100"/>
      <c r="U834" s="100"/>
      <c r="V834" s="100"/>
      <c r="W834" s="100"/>
      <c r="X834" s="100"/>
      <c r="Y834" s="100"/>
      <c r="Z834" s="100"/>
      <c r="AA834" s="100"/>
      <c r="AB834" s="100"/>
      <c r="AC834" s="100"/>
      <c r="AD834" s="100"/>
    </row>
    <row r="835">
      <c r="A835" s="118"/>
      <c r="B835" s="118"/>
      <c r="C835" s="118"/>
      <c r="D835" s="119"/>
      <c r="E835" s="119"/>
      <c r="F835" s="119"/>
      <c r="G835" s="100"/>
      <c r="H835" s="100"/>
      <c r="I835" s="100"/>
      <c r="J835" s="100"/>
      <c r="K835" s="100"/>
      <c r="L835" s="100"/>
      <c r="M835" s="100"/>
      <c r="N835" s="100"/>
      <c r="O835" s="100"/>
      <c r="P835" s="100"/>
      <c r="Q835" s="100"/>
      <c r="R835" s="100"/>
      <c r="S835" s="100"/>
      <c r="T835" s="100"/>
      <c r="U835" s="100"/>
      <c r="V835" s="100"/>
      <c r="W835" s="100"/>
      <c r="X835" s="100"/>
      <c r="Y835" s="100"/>
      <c r="Z835" s="100"/>
      <c r="AA835" s="100"/>
      <c r="AB835" s="100"/>
      <c r="AC835" s="100"/>
      <c r="AD835" s="100"/>
    </row>
    <row r="836">
      <c r="A836" s="118"/>
      <c r="B836" s="118"/>
      <c r="C836" s="118"/>
      <c r="D836" s="119"/>
      <c r="E836" s="119"/>
      <c r="F836" s="119"/>
      <c r="G836" s="100"/>
      <c r="H836" s="100"/>
      <c r="I836" s="100"/>
      <c r="J836" s="100"/>
      <c r="K836" s="100"/>
      <c r="L836" s="100"/>
      <c r="M836" s="100"/>
      <c r="N836" s="100"/>
      <c r="O836" s="100"/>
      <c r="P836" s="100"/>
      <c r="Q836" s="100"/>
      <c r="R836" s="100"/>
      <c r="S836" s="100"/>
      <c r="T836" s="100"/>
      <c r="U836" s="100"/>
      <c r="V836" s="100"/>
      <c r="W836" s="100"/>
      <c r="X836" s="100"/>
      <c r="Y836" s="100"/>
      <c r="Z836" s="100"/>
      <c r="AA836" s="100"/>
      <c r="AB836" s="100"/>
      <c r="AC836" s="100"/>
      <c r="AD836" s="100"/>
    </row>
    <row r="837">
      <c r="A837" s="118"/>
      <c r="B837" s="118"/>
      <c r="C837" s="118"/>
      <c r="D837" s="119"/>
      <c r="E837" s="119"/>
      <c r="F837" s="119"/>
      <c r="G837" s="100"/>
      <c r="H837" s="100"/>
      <c r="I837" s="100"/>
      <c r="J837" s="100"/>
      <c r="K837" s="100"/>
      <c r="L837" s="100"/>
      <c r="M837" s="100"/>
      <c r="N837" s="100"/>
      <c r="O837" s="100"/>
      <c r="P837" s="100"/>
      <c r="Q837" s="100"/>
      <c r="R837" s="100"/>
      <c r="S837" s="100"/>
      <c r="T837" s="100"/>
      <c r="U837" s="100"/>
      <c r="V837" s="100"/>
      <c r="W837" s="100"/>
      <c r="X837" s="100"/>
      <c r="Y837" s="100"/>
      <c r="Z837" s="100"/>
      <c r="AA837" s="100"/>
      <c r="AB837" s="100"/>
      <c r="AC837" s="100"/>
      <c r="AD837" s="100"/>
    </row>
    <row r="838">
      <c r="A838" s="118"/>
      <c r="B838" s="118"/>
      <c r="C838" s="118"/>
      <c r="D838" s="119"/>
      <c r="E838" s="119"/>
      <c r="F838" s="119"/>
      <c r="G838" s="100"/>
      <c r="H838" s="100"/>
      <c r="I838" s="100"/>
      <c r="J838" s="100"/>
      <c r="K838" s="100"/>
      <c r="L838" s="100"/>
      <c r="M838" s="100"/>
      <c r="N838" s="100"/>
      <c r="O838" s="100"/>
      <c r="P838" s="100"/>
      <c r="Q838" s="100"/>
      <c r="R838" s="100"/>
      <c r="S838" s="100"/>
      <c r="T838" s="100"/>
      <c r="U838" s="100"/>
      <c r="V838" s="100"/>
      <c r="W838" s="100"/>
      <c r="X838" s="100"/>
      <c r="Y838" s="100"/>
      <c r="Z838" s="100"/>
      <c r="AA838" s="100"/>
      <c r="AB838" s="100"/>
      <c r="AC838" s="100"/>
      <c r="AD838" s="100"/>
    </row>
    <row r="839">
      <c r="A839" s="118"/>
      <c r="B839" s="118"/>
      <c r="C839" s="118"/>
      <c r="D839" s="119"/>
      <c r="E839" s="119"/>
      <c r="F839" s="119"/>
      <c r="G839" s="100"/>
      <c r="H839" s="100"/>
      <c r="I839" s="100"/>
      <c r="J839" s="100"/>
      <c r="K839" s="100"/>
      <c r="L839" s="100"/>
      <c r="M839" s="100"/>
      <c r="N839" s="100"/>
      <c r="O839" s="100"/>
      <c r="P839" s="100"/>
      <c r="Q839" s="100"/>
      <c r="R839" s="100"/>
      <c r="S839" s="100"/>
      <c r="T839" s="100"/>
      <c r="U839" s="100"/>
      <c r="V839" s="100"/>
      <c r="W839" s="100"/>
      <c r="X839" s="100"/>
      <c r="Y839" s="100"/>
      <c r="Z839" s="100"/>
      <c r="AA839" s="100"/>
      <c r="AB839" s="100"/>
      <c r="AC839" s="100"/>
      <c r="AD839" s="100"/>
    </row>
    <row r="840">
      <c r="A840" s="118"/>
      <c r="B840" s="118"/>
      <c r="C840" s="118"/>
      <c r="D840" s="119"/>
      <c r="E840" s="119"/>
      <c r="F840" s="119"/>
      <c r="G840" s="100"/>
      <c r="H840" s="100"/>
      <c r="I840" s="100"/>
      <c r="J840" s="100"/>
      <c r="K840" s="100"/>
      <c r="L840" s="100"/>
      <c r="M840" s="100"/>
      <c r="N840" s="100"/>
      <c r="O840" s="100"/>
      <c r="P840" s="100"/>
      <c r="Q840" s="100"/>
      <c r="R840" s="100"/>
      <c r="S840" s="100"/>
      <c r="T840" s="100"/>
      <c r="U840" s="100"/>
      <c r="V840" s="100"/>
      <c r="W840" s="100"/>
      <c r="X840" s="100"/>
      <c r="Y840" s="100"/>
      <c r="Z840" s="100"/>
      <c r="AA840" s="100"/>
      <c r="AB840" s="100"/>
      <c r="AC840" s="100"/>
      <c r="AD840" s="100"/>
    </row>
    <row r="841">
      <c r="A841" s="118"/>
      <c r="B841" s="118"/>
      <c r="C841" s="118"/>
      <c r="D841" s="119"/>
      <c r="E841" s="119"/>
      <c r="F841" s="119"/>
      <c r="G841" s="100"/>
      <c r="H841" s="100"/>
      <c r="I841" s="100"/>
      <c r="J841" s="100"/>
      <c r="K841" s="100"/>
      <c r="L841" s="100"/>
      <c r="M841" s="100"/>
      <c r="N841" s="100"/>
      <c r="O841" s="100"/>
      <c r="P841" s="100"/>
      <c r="Q841" s="100"/>
      <c r="R841" s="100"/>
      <c r="S841" s="100"/>
      <c r="T841" s="100"/>
      <c r="U841" s="100"/>
      <c r="V841" s="100"/>
      <c r="W841" s="100"/>
      <c r="X841" s="100"/>
      <c r="Y841" s="100"/>
      <c r="Z841" s="100"/>
      <c r="AA841" s="100"/>
      <c r="AB841" s="100"/>
      <c r="AC841" s="100"/>
      <c r="AD841" s="100"/>
    </row>
    <row r="842">
      <c r="A842" s="118"/>
      <c r="B842" s="118"/>
      <c r="C842" s="118"/>
      <c r="D842" s="119"/>
      <c r="E842" s="119"/>
      <c r="F842" s="119"/>
      <c r="G842" s="100"/>
      <c r="H842" s="100"/>
      <c r="I842" s="100"/>
      <c r="J842" s="100"/>
      <c r="K842" s="100"/>
      <c r="L842" s="100"/>
      <c r="M842" s="100"/>
      <c r="N842" s="100"/>
      <c r="O842" s="100"/>
      <c r="P842" s="100"/>
      <c r="Q842" s="100"/>
      <c r="R842" s="100"/>
      <c r="S842" s="100"/>
      <c r="T842" s="100"/>
      <c r="U842" s="100"/>
      <c r="V842" s="100"/>
      <c r="W842" s="100"/>
      <c r="X842" s="100"/>
      <c r="Y842" s="100"/>
      <c r="Z842" s="100"/>
      <c r="AA842" s="100"/>
      <c r="AB842" s="100"/>
      <c r="AC842" s="100"/>
      <c r="AD842" s="100"/>
    </row>
    <row r="843">
      <c r="A843" s="118"/>
      <c r="B843" s="118"/>
      <c r="C843" s="118"/>
      <c r="D843" s="119"/>
      <c r="E843" s="119"/>
      <c r="F843" s="119"/>
      <c r="G843" s="100"/>
      <c r="H843" s="100"/>
      <c r="I843" s="100"/>
      <c r="J843" s="100"/>
      <c r="K843" s="100"/>
      <c r="L843" s="100"/>
      <c r="M843" s="100"/>
      <c r="N843" s="100"/>
      <c r="O843" s="100"/>
      <c r="P843" s="100"/>
      <c r="Q843" s="100"/>
      <c r="R843" s="100"/>
      <c r="S843" s="100"/>
      <c r="T843" s="100"/>
      <c r="U843" s="100"/>
      <c r="V843" s="100"/>
      <c r="W843" s="100"/>
      <c r="X843" s="100"/>
      <c r="Y843" s="100"/>
      <c r="Z843" s="100"/>
      <c r="AA843" s="100"/>
      <c r="AB843" s="100"/>
      <c r="AC843" s="100"/>
      <c r="AD843" s="100"/>
    </row>
    <row r="844">
      <c r="A844" s="118"/>
      <c r="B844" s="118"/>
      <c r="C844" s="118"/>
      <c r="D844" s="119"/>
      <c r="E844" s="119"/>
      <c r="F844" s="119"/>
      <c r="G844" s="100"/>
      <c r="H844" s="100"/>
      <c r="I844" s="100"/>
      <c r="J844" s="100"/>
      <c r="K844" s="100"/>
      <c r="L844" s="100"/>
      <c r="M844" s="100"/>
      <c r="N844" s="100"/>
      <c r="O844" s="100"/>
      <c r="P844" s="100"/>
      <c r="Q844" s="100"/>
      <c r="R844" s="100"/>
      <c r="S844" s="100"/>
      <c r="T844" s="100"/>
      <c r="U844" s="100"/>
      <c r="V844" s="100"/>
      <c r="W844" s="100"/>
      <c r="X844" s="100"/>
      <c r="Y844" s="100"/>
      <c r="Z844" s="100"/>
      <c r="AA844" s="100"/>
      <c r="AB844" s="100"/>
      <c r="AC844" s="100"/>
      <c r="AD844" s="100"/>
    </row>
    <row r="845">
      <c r="A845" s="118"/>
      <c r="B845" s="118"/>
      <c r="C845" s="118"/>
      <c r="D845" s="119"/>
      <c r="E845" s="119"/>
      <c r="F845" s="119"/>
      <c r="G845" s="100"/>
      <c r="H845" s="100"/>
      <c r="I845" s="100"/>
      <c r="J845" s="100"/>
      <c r="K845" s="100"/>
      <c r="L845" s="100"/>
      <c r="M845" s="100"/>
      <c r="N845" s="100"/>
      <c r="O845" s="100"/>
      <c r="P845" s="100"/>
      <c r="Q845" s="100"/>
      <c r="R845" s="100"/>
      <c r="S845" s="100"/>
      <c r="T845" s="100"/>
      <c r="U845" s="100"/>
      <c r="V845" s="100"/>
      <c r="W845" s="100"/>
      <c r="X845" s="100"/>
      <c r="Y845" s="100"/>
      <c r="Z845" s="100"/>
      <c r="AA845" s="100"/>
      <c r="AB845" s="100"/>
      <c r="AC845" s="100"/>
      <c r="AD845" s="100"/>
    </row>
    <row r="846">
      <c r="A846" s="118"/>
      <c r="B846" s="118"/>
      <c r="C846" s="118"/>
      <c r="D846" s="119"/>
      <c r="E846" s="119"/>
      <c r="F846" s="119"/>
      <c r="G846" s="100"/>
      <c r="H846" s="100"/>
      <c r="I846" s="100"/>
      <c r="J846" s="100"/>
      <c r="K846" s="100"/>
      <c r="L846" s="100"/>
      <c r="M846" s="100"/>
      <c r="N846" s="100"/>
      <c r="O846" s="100"/>
      <c r="P846" s="100"/>
      <c r="Q846" s="100"/>
      <c r="R846" s="100"/>
      <c r="S846" s="100"/>
      <c r="T846" s="100"/>
      <c r="U846" s="100"/>
      <c r="V846" s="100"/>
      <c r="W846" s="100"/>
      <c r="X846" s="100"/>
      <c r="Y846" s="100"/>
      <c r="Z846" s="100"/>
      <c r="AA846" s="100"/>
      <c r="AB846" s="100"/>
      <c r="AC846" s="100"/>
      <c r="AD846" s="100"/>
    </row>
    <row r="847">
      <c r="A847" s="118"/>
      <c r="B847" s="118"/>
      <c r="C847" s="118"/>
      <c r="D847" s="119"/>
      <c r="E847" s="119"/>
      <c r="F847" s="119"/>
      <c r="G847" s="100"/>
      <c r="H847" s="100"/>
      <c r="I847" s="100"/>
      <c r="J847" s="100"/>
      <c r="K847" s="100"/>
      <c r="L847" s="100"/>
      <c r="M847" s="100"/>
      <c r="N847" s="100"/>
      <c r="O847" s="100"/>
      <c r="P847" s="100"/>
      <c r="Q847" s="100"/>
      <c r="R847" s="100"/>
      <c r="S847" s="100"/>
      <c r="T847" s="100"/>
      <c r="U847" s="100"/>
      <c r="V847" s="100"/>
      <c r="W847" s="100"/>
      <c r="X847" s="100"/>
      <c r="Y847" s="100"/>
      <c r="Z847" s="100"/>
      <c r="AA847" s="100"/>
      <c r="AB847" s="100"/>
      <c r="AC847" s="100"/>
      <c r="AD847" s="100"/>
    </row>
    <row r="848">
      <c r="A848" s="118"/>
      <c r="B848" s="118"/>
      <c r="C848" s="118"/>
      <c r="D848" s="119"/>
      <c r="E848" s="119"/>
      <c r="F848" s="119"/>
      <c r="G848" s="100"/>
      <c r="H848" s="100"/>
      <c r="I848" s="100"/>
      <c r="J848" s="100"/>
      <c r="K848" s="100"/>
      <c r="L848" s="100"/>
      <c r="M848" s="100"/>
      <c r="N848" s="100"/>
      <c r="O848" s="100"/>
      <c r="P848" s="100"/>
      <c r="Q848" s="100"/>
      <c r="R848" s="100"/>
      <c r="S848" s="100"/>
      <c r="T848" s="100"/>
      <c r="U848" s="100"/>
      <c r="V848" s="100"/>
      <c r="W848" s="100"/>
      <c r="X848" s="100"/>
      <c r="Y848" s="100"/>
      <c r="Z848" s="100"/>
      <c r="AA848" s="100"/>
      <c r="AB848" s="100"/>
      <c r="AC848" s="100"/>
      <c r="AD848" s="100"/>
    </row>
    <row r="849">
      <c r="A849" s="118"/>
      <c r="B849" s="118"/>
      <c r="C849" s="118"/>
      <c r="D849" s="119"/>
      <c r="E849" s="119"/>
      <c r="F849" s="119"/>
      <c r="G849" s="100"/>
      <c r="H849" s="100"/>
      <c r="I849" s="100"/>
      <c r="J849" s="100"/>
      <c r="K849" s="100"/>
      <c r="L849" s="100"/>
      <c r="M849" s="100"/>
      <c r="N849" s="100"/>
      <c r="O849" s="100"/>
      <c r="P849" s="100"/>
      <c r="Q849" s="100"/>
      <c r="R849" s="100"/>
      <c r="S849" s="100"/>
      <c r="T849" s="100"/>
      <c r="U849" s="100"/>
      <c r="V849" s="100"/>
      <c r="W849" s="100"/>
      <c r="X849" s="100"/>
      <c r="Y849" s="100"/>
      <c r="Z849" s="100"/>
      <c r="AA849" s="100"/>
      <c r="AB849" s="100"/>
      <c r="AC849" s="100"/>
      <c r="AD849" s="100"/>
    </row>
    <row r="850">
      <c r="A850" s="118"/>
      <c r="B850" s="118"/>
      <c r="C850" s="118"/>
      <c r="D850" s="119"/>
      <c r="E850" s="119"/>
      <c r="F850" s="119"/>
      <c r="G850" s="100"/>
      <c r="H850" s="100"/>
      <c r="I850" s="100"/>
      <c r="J850" s="100"/>
      <c r="K850" s="100"/>
      <c r="L850" s="100"/>
      <c r="M850" s="100"/>
      <c r="N850" s="100"/>
      <c r="O850" s="100"/>
      <c r="P850" s="100"/>
      <c r="Q850" s="100"/>
      <c r="R850" s="100"/>
      <c r="S850" s="100"/>
      <c r="T850" s="100"/>
      <c r="U850" s="100"/>
      <c r="V850" s="100"/>
      <c r="W850" s="100"/>
      <c r="X850" s="100"/>
      <c r="Y850" s="100"/>
      <c r="Z850" s="100"/>
      <c r="AA850" s="100"/>
      <c r="AB850" s="100"/>
      <c r="AC850" s="100"/>
      <c r="AD850" s="100"/>
    </row>
    <row r="851">
      <c r="A851" s="118"/>
      <c r="B851" s="118"/>
      <c r="C851" s="118"/>
      <c r="D851" s="119"/>
      <c r="E851" s="119"/>
      <c r="F851" s="119"/>
      <c r="G851" s="100"/>
      <c r="H851" s="100"/>
      <c r="I851" s="100"/>
      <c r="J851" s="100"/>
      <c r="K851" s="100"/>
      <c r="L851" s="100"/>
      <c r="M851" s="100"/>
      <c r="N851" s="100"/>
      <c r="O851" s="100"/>
      <c r="P851" s="100"/>
      <c r="Q851" s="100"/>
      <c r="R851" s="100"/>
      <c r="S851" s="100"/>
      <c r="T851" s="100"/>
      <c r="U851" s="100"/>
      <c r="V851" s="100"/>
      <c r="W851" s="100"/>
      <c r="X851" s="100"/>
      <c r="Y851" s="100"/>
      <c r="Z851" s="100"/>
      <c r="AA851" s="100"/>
      <c r="AB851" s="100"/>
      <c r="AC851" s="100"/>
      <c r="AD851" s="100"/>
    </row>
    <row r="852">
      <c r="A852" s="118"/>
      <c r="B852" s="118"/>
      <c r="C852" s="118"/>
      <c r="D852" s="119"/>
      <c r="E852" s="119"/>
      <c r="F852" s="119"/>
      <c r="G852" s="100"/>
      <c r="H852" s="100"/>
      <c r="I852" s="100"/>
      <c r="J852" s="100"/>
      <c r="K852" s="100"/>
      <c r="L852" s="100"/>
      <c r="M852" s="100"/>
      <c r="N852" s="100"/>
      <c r="O852" s="100"/>
      <c r="P852" s="100"/>
      <c r="Q852" s="100"/>
      <c r="R852" s="100"/>
      <c r="S852" s="100"/>
      <c r="T852" s="100"/>
      <c r="U852" s="100"/>
      <c r="V852" s="100"/>
      <c r="W852" s="100"/>
      <c r="X852" s="100"/>
      <c r="Y852" s="100"/>
      <c r="Z852" s="100"/>
      <c r="AA852" s="100"/>
      <c r="AB852" s="100"/>
      <c r="AC852" s="100"/>
      <c r="AD852" s="100"/>
    </row>
    <row r="853">
      <c r="A853" s="118"/>
      <c r="B853" s="118"/>
      <c r="C853" s="118"/>
      <c r="D853" s="119"/>
      <c r="E853" s="119"/>
      <c r="F853" s="119"/>
      <c r="G853" s="100"/>
      <c r="H853" s="100"/>
      <c r="I853" s="100"/>
      <c r="J853" s="100"/>
      <c r="K853" s="100"/>
      <c r="L853" s="100"/>
      <c r="M853" s="100"/>
      <c r="N853" s="100"/>
      <c r="O853" s="100"/>
      <c r="P853" s="100"/>
      <c r="Q853" s="100"/>
      <c r="R853" s="100"/>
      <c r="S853" s="100"/>
      <c r="T853" s="100"/>
      <c r="U853" s="100"/>
      <c r="V853" s="100"/>
      <c r="W853" s="100"/>
      <c r="X853" s="100"/>
      <c r="Y853" s="100"/>
      <c r="Z853" s="100"/>
      <c r="AA853" s="100"/>
      <c r="AB853" s="100"/>
      <c r="AC853" s="100"/>
      <c r="AD853" s="100"/>
    </row>
    <row r="854">
      <c r="A854" s="118"/>
      <c r="B854" s="118"/>
      <c r="C854" s="118"/>
      <c r="D854" s="119"/>
      <c r="E854" s="119"/>
      <c r="F854" s="119"/>
      <c r="G854" s="100"/>
      <c r="H854" s="100"/>
      <c r="I854" s="100"/>
      <c r="J854" s="100"/>
      <c r="K854" s="100"/>
      <c r="L854" s="100"/>
      <c r="M854" s="100"/>
      <c r="N854" s="100"/>
      <c r="O854" s="100"/>
      <c r="P854" s="100"/>
      <c r="Q854" s="100"/>
      <c r="R854" s="100"/>
      <c r="S854" s="100"/>
      <c r="T854" s="100"/>
      <c r="U854" s="100"/>
      <c r="V854" s="100"/>
      <c r="W854" s="100"/>
      <c r="X854" s="100"/>
      <c r="Y854" s="100"/>
      <c r="Z854" s="100"/>
      <c r="AA854" s="100"/>
      <c r="AB854" s="100"/>
      <c r="AC854" s="100"/>
      <c r="AD854" s="100"/>
    </row>
    <row r="855">
      <c r="A855" s="118"/>
      <c r="B855" s="118"/>
      <c r="C855" s="118"/>
      <c r="D855" s="119"/>
      <c r="E855" s="119"/>
      <c r="F855" s="119"/>
      <c r="G855" s="100"/>
      <c r="H855" s="100"/>
      <c r="I855" s="100"/>
      <c r="J855" s="100"/>
      <c r="K855" s="100"/>
      <c r="L855" s="100"/>
      <c r="M855" s="100"/>
      <c r="N855" s="100"/>
      <c r="O855" s="100"/>
      <c r="P855" s="100"/>
      <c r="Q855" s="100"/>
      <c r="R855" s="100"/>
      <c r="S855" s="100"/>
      <c r="T855" s="100"/>
      <c r="U855" s="100"/>
      <c r="V855" s="100"/>
      <c r="W855" s="100"/>
      <c r="X855" s="100"/>
      <c r="Y855" s="100"/>
      <c r="Z855" s="100"/>
      <c r="AA855" s="100"/>
      <c r="AB855" s="100"/>
      <c r="AC855" s="100"/>
      <c r="AD855" s="100"/>
    </row>
    <row r="856">
      <c r="A856" s="118"/>
      <c r="B856" s="118"/>
      <c r="C856" s="118"/>
      <c r="D856" s="119"/>
      <c r="E856" s="119"/>
      <c r="F856" s="119"/>
      <c r="G856" s="100"/>
      <c r="H856" s="100"/>
      <c r="I856" s="100"/>
      <c r="J856" s="100"/>
      <c r="K856" s="100"/>
      <c r="L856" s="100"/>
      <c r="M856" s="100"/>
      <c r="N856" s="100"/>
      <c r="O856" s="100"/>
      <c r="P856" s="100"/>
      <c r="Q856" s="100"/>
      <c r="R856" s="100"/>
      <c r="S856" s="100"/>
      <c r="T856" s="100"/>
      <c r="U856" s="100"/>
      <c r="V856" s="100"/>
      <c r="W856" s="100"/>
      <c r="X856" s="100"/>
      <c r="Y856" s="100"/>
      <c r="Z856" s="100"/>
      <c r="AA856" s="100"/>
      <c r="AB856" s="100"/>
      <c r="AC856" s="100"/>
      <c r="AD856" s="100"/>
    </row>
    <row r="857">
      <c r="A857" s="118"/>
      <c r="B857" s="118"/>
      <c r="C857" s="118"/>
      <c r="D857" s="119"/>
      <c r="E857" s="119"/>
      <c r="F857" s="119"/>
      <c r="G857" s="100"/>
      <c r="H857" s="100"/>
      <c r="I857" s="100"/>
      <c r="J857" s="100"/>
      <c r="K857" s="100"/>
      <c r="L857" s="100"/>
      <c r="M857" s="100"/>
      <c r="N857" s="100"/>
      <c r="O857" s="100"/>
      <c r="P857" s="100"/>
      <c r="Q857" s="100"/>
      <c r="R857" s="100"/>
      <c r="S857" s="100"/>
      <c r="T857" s="100"/>
      <c r="U857" s="100"/>
      <c r="V857" s="100"/>
      <c r="W857" s="100"/>
      <c r="X857" s="100"/>
      <c r="Y857" s="100"/>
      <c r="Z857" s="100"/>
      <c r="AA857" s="100"/>
      <c r="AB857" s="100"/>
      <c r="AC857" s="100"/>
      <c r="AD857" s="100"/>
    </row>
    <row r="858">
      <c r="A858" s="118"/>
      <c r="B858" s="118"/>
      <c r="C858" s="118"/>
      <c r="D858" s="119"/>
      <c r="E858" s="119"/>
      <c r="F858" s="119"/>
      <c r="G858" s="100"/>
      <c r="H858" s="100"/>
      <c r="I858" s="100"/>
      <c r="J858" s="100"/>
      <c r="K858" s="100"/>
      <c r="L858" s="100"/>
      <c r="M858" s="100"/>
      <c r="N858" s="100"/>
      <c r="O858" s="100"/>
      <c r="P858" s="100"/>
      <c r="Q858" s="100"/>
      <c r="R858" s="100"/>
      <c r="S858" s="100"/>
      <c r="T858" s="100"/>
      <c r="U858" s="100"/>
      <c r="V858" s="100"/>
      <c r="W858" s="100"/>
      <c r="X858" s="100"/>
      <c r="Y858" s="100"/>
      <c r="Z858" s="100"/>
      <c r="AA858" s="100"/>
      <c r="AB858" s="100"/>
      <c r="AC858" s="100"/>
      <c r="AD858" s="100"/>
    </row>
    <row r="859">
      <c r="A859" s="118"/>
      <c r="B859" s="118"/>
      <c r="C859" s="118"/>
      <c r="D859" s="119"/>
      <c r="E859" s="119"/>
      <c r="F859" s="119"/>
      <c r="G859" s="100"/>
      <c r="H859" s="100"/>
      <c r="I859" s="100"/>
      <c r="J859" s="100"/>
      <c r="K859" s="100"/>
      <c r="L859" s="100"/>
      <c r="M859" s="100"/>
      <c r="N859" s="100"/>
      <c r="O859" s="100"/>
      <c r="P859" s="100"/>
      <c r="Q859" s="100"/>
      <c r="R859" s="100"/>
      <c r="S859" s="100"/>
      <c r="T859" s="100"/>
      <c r="U859" s="100"/>
      <c r="V859" s="100"/>
      <c r="W859" s="100"/>
      <c r="X859" s="100"/>
      <c r="Y859" s="100"/>
      <c r="Z859" s="100"/>
      <c r="AA859" s="100"/>
      <c r="AB859" s="100"/>
      <c r="AC859" s="100"/>
      <c r="AD859" s="100"/>
    </row>
    <row r="860">
      <c r="A860" s="118"/>
      <c r="B860" s="118"/>
      <c r="C860" s="118"/>
      <c r="D860" s="119"/>
      <c r="E860" s="119"/>
      <c r="F860" s="119"/>
      <c r="G860" s="100"/>
      <c r="H860" s="100"/>
      <c r="I860" s="100"/>
      <c r="J860" s="100"/>
      <c r="K860" s="100"/>
      <c r="L860" s="100"/>
      <c r="M860" s="100"/>
      <c r="N860" s="100"/>
      <c r="O860" s="100"/>
      <c r="P860" s="100"/>
      <c r="Q860" s="100"/>
      <c r="R860" s="100"/>
      <c r="S860" s="100"/>
      <c r="T860" s="100"/>
      <c r="U860" s="100"/>
      <c r="V860" s="100"/>
      <c r="W860" s="100"/>
      <c r="X860" s="100"/>
      <c r="Y860" s="100"/>
      <c r="Z860" s="100"/>
      <c r="AA860" s="100"/>
      <c r="AB860" s="100"/>
      <c r="AC860" s="100"/>
      <c r="AD860" s="100"/>
    </row>
    <row r="861">
      <c r="A861" s="118"/>
      <c r="B861" s="118"/>
      <c r="C861" s="118"/>
      <c r="D861" s="119"/>
      <c r="E861" s="119"/>
      <c r="F861" s="119"/>
      <c r="G861" s="100"/>
      <c r="H861" s="100"/>
      <c r="I861" s="100"/>
      <c r="J861" s="100"/>
      <c r="K861" s="100"/>
      <c r="L861" s="100"/>
      <c r="M861" s="100"/>
      <c r="N861" s="100"/>
      <c r="O861" s="100"/>
      <c r="P861" s="100"/>
      <c r="Q861" s="100"/>
      <c r="R861" s="100"/>
      <c r="S861" s="100"/>
      <c r="T861" s="100"/>
      <c r="U861" s="100"/>
      <c r="V861" s="100"/>
      <c r="W861" s="100"/>
      <c r="X861" s="100"/>
      <c r="Y861" s="100"/>
      <c r="Z861" s="100"/>
      <c r="AA861" s="100"/>
      <c r="AB861" s="100"/>
      <c r="AC861" s="100"/>
      <c r="AD861" s="100"/>
    </row>
    <row r="862">
      <c r="A862" s="118"/>
      <c r="B862" s="118"/>
      <c r="C862" s="118"/>
      <c r="D862" s="119"/>
      <c r="E862" s="119"/>
      <c r="F862" s="119"/>
      <c r="G862" s="100"/>
      <c r="H862" s="100"/>
      <c r="I862" s="100"/>
      <c r="J862" s="100"/>
      <c r="K862" s="100"/>
      <c r="L862" s="100"/>
      <c r="M862" s="100"/>
      <c r="N862" s="100"/>
      <c r="O862" s="100"/>
      <c r="P862" s="100"/>
      <c r="Q862" s="100"/>
      <c r="R862" s="100"/>
      <c r="S862" s="100"/>
      <c r="T862" s="100"/>
      <c r="U862" s="100"/>
      <c r="V862" s="100"/>
      <c r="W862" s="100"/>
      <c r="X862" s="100"/>
      <c r="Y862" s="100"/>
      <c r="Z862" s="100"/>
      <c r="AA862" s="100"/>
      <c r="AB862" s="100"/>
      <c r="AC862" s="100"/>
      <c r="AD862" s="100"/>
    </row>
    <row r="863">
      <c r="A863" s="118"/>
      <c r="B863" s="118"/>
      <c r="C863" s="118"/>
      <c r="D863" s="119"/>
      <c r="E863" s="119"/>
      <c r="F863" s="119"/>
      <c r="G863" s="100"/>
      <c r="H863" s="100"/>
      <c r="I863" s="100"/>
      <c r="J863" s="100"/>
      <c r="K863" s="100"/>
      <c r="L863" s="100"/>
      <c r="M863" s="100"/>
      <c r="N863" s="100"/>
      <c r="O863" s="100"/>
      <c r="P863" s="100"/>
      <c r="Q863" s="100"/>
      <c r="R863" s="100"/>
      <c r="S863" s="100"/>
      <c r="T863" s="100"/>
      <c r="U863" s="100"/>
      <c r="V863" s="100"/>
      <c r="W863" s="100"/>
      <c r="X863" s="100"/>
      <c r="Y863" s="100"/>
      <c r="Z863" s="100"/>
      <c r="AA863" s="100"/>
      <c r="AB863" s="100"/>
      <c r="AC863" s="100"/>
      <c r="AD863" s="100"/>
    </row>
    <row r="864">
      <c r="A864" s="118"/>
      <c r="B864" s="118"/>
      <c r="C864" s="118"/>
      <c r="D864" s="119"/>
      <c r="E864" s="119"/>
      <c r="F864" s="119"/>
      <c r="G864" s="100"/>
      <c r="H864" s="100"/>
      <c r="I864" s="100"/>
      <c r="J864" s="100"/>
      <c r="K864" s="100"/>
      <c r="L864" s="100"/>
      <c r="M864" s="100"/>
      <c r="N864" s="100"/>
      <c r="O864" s="100"/>
      <c r="P864" s="100"/>
      <c r="Q864" s="100"/>
      <c r="R864" s="100"/>
      <c r="S864" s="100"/>
      <c r="T864" s="100"/>
      <c r="U864" s="100"/>
      <c r="V864" s="100"/>
      <c r="W864" s="100"/>
      <c r="X864" s="100"/>
      <c r="Y864" s="100"/>
      <c r="Z864" s="100"/>
      <c r="AA864" s="100"/>
      <c r="AB864" s="100"/>
      <c r="AC864" s="100"/>
      <c r="AD864" s="100"/>
    </row>
    <row r="865">
      <c r="A865" s="118"/>
      <c r="B865" s="118"/>
      <c r="C865" s="118"/>
      <c r="D865" s="119"/>
      <c r="E865" s="119"/>
      <c r="F865" s="119"/>
      <c r="G865" s="100"/>
      <c r="H865" s="100"/>
      <c r="I865" s="100"/>
      <c r="J865" s="100"/>
      <c r="K865" s="100"/>
      <c r="L865" s="100"/>
      <c r="M865" s="100"/>
      <c r="N865" s="100"/>
      <c r="O865" s="100"/>
      <c r="P865" s="100"/>
      <c r="Q865" s="100"/>
      <c r="R865" s="100"/>
      <c r="S865" s="100"/>
      <c r="T865" s="100"/>
      <c r="U865" s="100"/>
      <c r="V865" s="100"/>
      <c r="W865" s="100"/>
      <c r="X865" s="100"/>
      <c r="Y865" s="100"/>
      <c r="Z865" s="100"/>
      <c r="AA865" s="100"/>
      <c r="AB865" s="100"/>
      <c r="AC865" s="100"/>
      <c r="AD865" s="100"/>
    </row>
    <row r="866">
      <c r="A866" s="118"/>
      <c r="B866" s="118"/>
      <c r="C866" s="118"/>
      <c r="D866" s="119"/>
      <c r="E866" s="119"/>
      <c r="F866" s="119"/>
      <c r="G866" s="100"/>
      <c r="H866" s="100"/>
      <c r="I866" s="100"/>
      <c r="J866" s="100"/>
      <c r="K866" s="100"/>
      <c r="L866" s="100"/>
      <c r="M866" s="100"/>
      <c r="N866" s="100"/>
      <c r="O866" s="100"/>
      <c r="P866" s="100"/>
      <c r="Q866" s="100"/>
      <c r="R866" s="100"/>
      <c r="S866" s="100"/>
      <c r="T866" s="100"/>
      <c r="U866" s="100"/>
      <c r="V866" s="100"/>
      <c r="W866" s="100"/>
      <c r="X866" s="100"/>
      <c r="Y866" s="100"/>
      <c r="Z866" s="100"/>
      <c r="AA866" s="100"/>
      <c r="AB866" s="100"/>
      <c r="AC866" s="100"/>
      <c r="AD866" s="100"/>
    </row>
    <row r="867">
      <c r="A867" s="118"/>
      <c r="B867" s="118"/>
      <c r="C867" s="118"/>
      <c r="D867" s="119"/>
      <c r="E867" s="119"/>
      <c r="F867" s="119"/>
      <c r="G867" s="100"/>
      <c r="H867" s="100"/>
      <c r="I867" s="100"/>
      <c r="J867" s="100"/>
      <c r="K867" s="100"/>
      <c r="L867" s="100"/>
      <c r="M867" s="100"/>
      <c r="N867" s="100"/>
      <c r="O867" s="100"/>
      <c r="P867" s="100"/>
      <c r="Q867" s="100"/>
      <c r="R867" s="100"/>
      <c r="S867" s="100"/>
      <c r="T867" s="100"/>
      <c r="U867" s="100"/>
      <c r="V867" s="100"/>
      <c r="W867" s="100"/>
      <c r="X867" s="100"/>
      <c r="Y867" s="100"/>
      <c r="Z867" s="100"/>
      <c r="AA867" s="100"/>
      <c r="AB867" s="100"/>
      <c r="AC867" s="100"/>
      <c r="AD867" s="100"/>
    </row>
    <row r="868">
      <c r="A868" s="118"/>
      <c r="B868" s="118"/>
      <c r="C868" s="118"/>
      <c r="D868" s="119"/>
      <c r="E868" s="119"/>
      <c r="F868" s="119"/>
      <c r="G868" s="100"/>
      <c r="H868" s="100"/>
      <c r="I868" s="100"/>
      <c r="J868" s="100"/>
      <c r="K868" s="100"/>
      <c r="L868" s="100"/>
      <c r="M868" s="100"/>
      <c r="N868" s="100"/>
      <c r="O868" s="100"/>
      <c r="P868" s="100"/>
      <c r="Q868" s="100"/>
      <c r="R868" s="100"/>
      <c r="S868" s="100"/>
      <c r="T868" s="100"/>
      <c r="U868" s="100"/>
      <c r="V868" s="100"/>
      <c r="W868" s="100"/>
      <c r="X868" s="100"/>
      <c r="Y868" s="100"/>
      <c r="Z868" s="100"/>
      <c r="AA868" s="100"/>
      <c r="AB868" s="100"/>
      <c r="AC868" s="100"/>
      <c r="AD868" s="100"/>
    </row>
    <row r="869">
      <c r="A869" s="118"/>
      <c r="B869" s="118"/>
      <c r="C869" s="118"/>
      <c r="D869" s="119"/>
      <c r="E869" s="119"/>
      <c r="F869" s="119"/>
      <c r="G869" s="100"/>
      <c r="H869" s="100"/>
      <c r="I869" s="100"/>
      <c r="J869" s="100"/>
      <c r="K869" s="100"/>
      <c r="L869" s="100"/>
      <c r="M869" s="100"/>
      <c r="N869" s="100"/>
      <c r="O869" s="100"/>
      <c r="P869" s="100"/>
      <c r="Q869" s="100"/>
      <c r="R869" s="100"/>
      <c r="S869" s="100"/>
      <c r="T869" s="100"/>
      <c r="U869" s="100"/>
      <c r="V869" s="100"/>
      <c r="W869" s="100"/>
      <c r="X869" s="100"/>
      <c r="Y869" s="100"/>
      <c r="Z869" s="100"/>
      <c r="AA869" s="100"/>
      <c r="AB869" s="100"/>
      <c r="AC869" s="100"/>
      <c r="AD869" s="100"/>
    </row>
    <row r="870">
      <c r="A870" s="118"/>
      <c r="B870" s="118"/>
      <c r="C870" s="118"/>
      <c r="D870" s="119"/>
      <c r="E870" s="119"/>
      <c r="F870" s="119"/>
      <c r="G870" s="100"/>
      <c r="H870" s="100"/>
      <c r="I870" s="100"/>
      <c r="J870" s="100"/>
      <c r="K870" s="100"/>
      <c r="L870" s="100"/>
      <c r="M870" s="100"/>
      <c r="N870" s="100"/>
      <c r="O870" s="100"/>
      <c r="P870" s="100"/>
      <c r="Q870" s="100"/>
      <c r="R870" s="100"/>
      <c r="S870" s="100"/>
      <c r="T870" s="100"/>
      <c r="U870" s="100"/>
      <c r="V870" s="100"/>
      <c r="W870" s="100"/>
      <c r="X870" s="100"/>
      <c r="Y870" s="100"/>
      <c r="Z870" s="100"/>
      <c r="AA870" s="100"/>
      <c r="AB870" s="100"/>
      <c r="AC870" s="100"/>
      <c r="AD870" s="100"/>
    </row>
    <row r="871">
      <c r="A871" s="118"/>
      <c r="B871" s="118"/>
      <c r="C871" s="118"/>
      <c r="D871" s="119"/>
      <c r="E871" s="119"/>
      <c r="F871" s="119"/>
      <c r="G871" s="100"/>
      <c r="H871" s="100"/>
      <c r="I871" s="100"/>
      <c r="J871" s="100"/>
      <c r="K871" s="100"/>
      <c r="L871" s="100"/>
      <c r="M871" s="100"/>
      <c r="N871" s="100"/>
      <c r="O871" s="100"/>
      <c r="P871" s="100"/>
      <c r="Q871" s="100"/>
      <c r="R871" s="100"/>
      <c r="S871" s="100"/>
      <c r="T871" s="100"/>
      <c r="U871" s="100"/>
      <c r="V871" s="100"/>
      <c r="W871" s="100"/>
      <c r="X871" s="100"/>
      <c r="Y871" s="100"/>
      <c r="Z871" s="100"/>
      <c r="AA871" s="100"/>
      <c r="AB871" s="100"/>
      <c r="AC871" s="100"/>
      <c r="AD871" s="100"/>
    </row>
    <row r="872">
      <c r="A872" s="118"/>
      <c r="B872" s="118"/>
      <c r="C872" s="118"/>
      <c r="D872" s="119"/>
      <c r="E872" s="119"/>
      <c r="F872" s="119"/>
      <c r="G872" s="100"/>
      <c r="H872" s="100"/>
      <c r="I872" s="100"/>
      <c r="J872" s="100"/>
      <c r="K872" s="100"/>
      <c r="L872" s="100"/>
      <c r="M872" s="100"/>
      <c r="N872" s="100"/>
      <c r="O872" s="100"/>
      <c r="P872" s="100"/>
      <c r="Q872" s="100"/>
      <c r="R872" s="100"/>
      <c r="S872" s="100"/>
      <c r="T872" s="100"/>
      <c r="U872" s="100"/>
      <c r="V872" s="100"/>
      <c r="W872" s="100"/>
      <c r="X872" s="100"/>
      <c r="Y872" s="100"/>
      <c r="Z872" s="100"/>
      <c r="AA872" s="100"/>
      <c r="AB872" s="100"/>
      <c r="AC872" s="100"/>
      <c r="AD872" s="100"/>
    </row>
    <row r="873">
      <c r="A873" s="118"/>
      <c r="B873" s="118"/>
      <c r="C873" s="118"/>
      <c r="D873" s="119"/>
      <c r="E873" s="119"/>
      <c r="F873" s="119"/>
      <c r="G873" s="100"/>
      <c r="H873" s="100"/>
      <c r="I873" s="100"/>
      <c r="J873" s="100"/>
      <c r="K873" s="100"/>
      <c r="L873" s="100"/>
      <c r="M873" s="100"/>
      <c r="N873" s="100"/>
      <c r="O873" s="100"/>
      <c r="P873" s="100"/>
      <c r="Q873" s="100"/>
      <c r="R873" s="100"/>
      <c r="S873" s="100"/>
      <c r="T873" s="100"/>
      <c r="U873" s="100"/>
      <c r="V873" s="100"/>
      <c r="W873" s="100"/>
      <c r="X873" s="100"/>
      <c r="Y873" s="100"/>
      <c r="Z873" s="100"/>
      <c r="AA873" s="100"/>
      <c r="AB873" s="100"/>
      <c r="AC873" s="100"/>
      <c r="AD873" s="100"/>
    </row>
    <row r="874">
      <c r="A874" s="118"/>
      <c r="B874" s="118"/>
      <c r="C874" s="118"/>
      <c r="D874" s="119"/>
      <c r="E874" s="119"/>
      <c r="F874" s="119"/>
      <c r="G874" s="100"/>
      <c r="H874" s="100"/>
      <c r="I874" s="100"/>
      <c r="J874" s="100"/>
      <c r="K874" s="100"/>
      <c r="L874" s="100"/>
      <c r="M874" s="100"/>
      <c r="N874" s="100"/>
      <c r="O874" s="100"/>
      <c r="P874" s="100"/>
      <c r="Q874" s="100"/>
      <c r="R874" s="100"/>
      <c r="S874" s="100"/>
      <c r="T874" s="100"/>
      <c r="U874" s="100"/>
      <c r="V874" s="100"/>
      <c r="W874" s="100"/>
      <c r="X874" s="100"/>
      <c r="Y874" s="100"/>
      <c r="Z874" s="100"/>
      <c r="AA874" s="100"/>
      <c r="AB874" s="100"/>
      <c r="AC874" s="100"/>
      <c r="AD874" s="100"/>
    </row>
    <row r="875">
      <c r="A875" s="118"/>
      <c r="B875" s="118"/>
      <c r="C875" s="118"/>
      <c r="D875" s="119"/>
      <c r="E875" s="119"/>
      <c r="F875" s="119"/>
      <c r="G875" s="100"/>
      <c r="H875" s="100"/>
      <c r="I875" s="100"/>
      <c r="J875" s="100"/>
      <c r="K875" s="100"/>
      <c r="L875" s="100"/>
      <c r="M875" s="100"/>
      <c r="N875" s="100"/>
      <c r="O875" s="100"/>
      <c r="P875" s="100"/>
      <c r="Q875" s="100"/>
      <c r="R875" s="100"/>
      <c r="S875" s="100"/>
      <c r="T875" s="100"/>
      <c r="U875" s="100"/>
      <c r="V875" s="100"/>
      <c r="W875" s="100"/>
      <c r="X875" s="100"/>
      <c r="Y875" s="100"/>
      <c r="Z875" s="100"/>
      <c r="AA875" s="100"/>
      <c r="AB875" s="100"/>
      <c r="AC875" s="100"/>
      <c r="AD875" s="100"/>
    </row>
    <row r="876">
      <c r="A876" s="118"/>
      <c r="B876" s="118"/>
      <c r="C876" s="118"/>
      <c r="D876" s="119"/>
      <c r="E876" s="119"/>
      <c r="F876" s="119"/>
      <c r="G876" s="100"/>
      <c r="H876" s="100"/>
      <c r="I876" s="100"/>
      <c r="J876" s="100"/>
      <c r="K876" s="100"/>
      <c r="L876" s="100"/>
      <c r="M876" s="100"/>
      <c r="N876" s="100"/>
      <c r="O876" s="100"/>
      <c r="P876" s="100"/>
      <c r="Q876" s="100"/>
      <c r="R876" s="100"/>
      <c r="S876" s="100"/>
      <c r="T876" s="100"/>
      <c r="U876" s="100"/>
      <c r="V876" s="100"/>
      <c r="W876" s="100"/>
      <c r="X876" s="100"/>
      <c r="Y876" s="100"/>
      <c r="Z876" s="100"/>
      <c r="AA876" s="100"/>
      <c r="AB876" s="100"/>
      <c r="AC876" s="100"/>
      <c r="AD876" s="100"/>
    </row>
    <row r="877">
      <c r="A877" s="118"/>
      <c r="B877" s="118"/>
      <c r="C877" s="118"/>
      <c r="D877" s="119"/>
      <c r="E877" s="119"/>
      <c r="F877" s="119"/>
      <c r="G877" s="100"/>
      <c r="H877" s="100"/>
      <c r="I877" s="100"/>
      <c r="J877" s="100"/>
      <c r="K877" s="100"/>
      <c r="L877" s="100"/>
      <c r="M877" s="100"/>
      <c r="N877" s="100"/>
      <c r="O877" s="100"/>
      <c r="P877" s="100"/>
      <c r="Q877" s="100"/>
      <c r="R877" s="100"/>
      <c r="S877" s="100"/>
      <c r="T877" s="100"/>
      <c r="U877" s="100"/>
      <c r="V877" s="100"/>
      <c r="W877" s="100"/>
      <c r="X877" s="100"/>
      <c r="Y877" s="100"/>
      <c r="Z877" s="100"/>
      <c r="AA877" s="100"/>
      <c r="AB877" s="100"/>
      <c r="AC877" s="100"/>
      <c r="AD877" s="100"/>
    </row>
    <row r="878">
      <c r="A878" s="118"/>
      <c r="B878" s="118"/>
      <c r="C878" s="118"/>
      <c r="D878" s="119"/>
      <c r="E878" s="119"/>
      <c r="F878" s="119"/>
      <c r="G878" s="100"/>
      <c r="H878" s="100"/>
      <c r="I878" s="100"/>
      <c r="J878" s="100"/>
      <c r="K878" s="100"/>
      <c r="L878" s="100"/>
      <c r="M878" s="100"/>
      <c r="N878" s="100"/>
      <c r="O878" s="100"/>
      <c r="P878" s="100"/>
      <c r="Q878" s="100"/>
      <c r="R878" s="100"/>
      <c r="S878" s="100"/>
      <c r="T878" s="100"/>
      <c r="U878" s="100"/>
      <c r="V878" s="100"/>
      <c r="W878" s="100"/>
      <c r="X878" s="100"/>
      <c r="Y878" s="100"/>
      <c r="Z878" s="100"/>
      <c r="AA878" s="100"/>
      <c r="AB878" s="100"/>
      <c r="AC878" s="100"/>
      <c r="AD878" s="100"/>
    </row>
    <row r="879">
      <c r="A879" s="118"/>
      <c r="B879" s="118"/>
      <c r="C879" s="118"/>
      <c r="D879" s="119"/>
      <c r="E879" s="119"/>
      <c r="F879" s="119"/>
      <c r="G879" s="100"/>
      <c r="H879" s="100"/>
      <c r="I879" s="100"/>
      <c r="J879" s="100"/>
      <c r="K879" s="100"/>
      <c r="L879" s="100"/>
      <c r="M879" s="100"/>
      <c r="N879" s="100"/>
      <c r="O879" s="100"/>
      <c r="P879" s="100"/>
      <c r="Q879" s="100"/>
      <c r="R879" s="100"/>
      <c r="S879" s="100"/>
      <c r="T879" s="100"/>
      <c r="U879" s="100"/>
      <c r="V879" s="100"/>
      <c r="W879" s="100"/>
      <c r="X879" s="100"/>
      <c r="Y879" s="100"/>
      <c r="Z879" s="100"/>
      <c r="AA879" s="100"/>
      <c r="AB879" s="100"/>
      <c r="AC879" s="100"/>
      <c r="AD879" s="100"/>
    </row>
    <row r="880">
      <c r="A880" s="118"/>
      <c r="B880" s="118"/>
      <c r="C880" s="118"/>
      <c r="D880" s="119"/>
      <c r="E880" s="119"/>
      <c r="F880" s="119"/>
      <c r="G880" s="100"/>
      <c r="H880" s="100"/>
      <c r="I880" s="100"/>
      <c r="J880" s="100"/>
      <c r="K880" s="100"/>
      <c r="L880" s="100"/>
      <c r="M880" s="100"/>
      <c r="N880" s="100"/>
      <c r="O880" s="100"/>
      <c r="P880" s="100"/>
      <c r="Q880" s="100"/>
      <c r="R880" s="100"/>
      <c r="S880" s="100"/>
      <c r="T880" s="100"/>
      <c r="U880" s="100"/>
      <c r="V880" s="100"/>
      <c r="W880" s="100"/>
      <c r="X880" s="100"/>
      <c r="Y880" s="100"/>
      <c r="Z880" s="100"/>
      <c r="AA880" s="100"/>
      <c r="AB880" s="100"/>
      <c r="AC880" s="100"/>
      <c r="AD880" s="100"/>
    </row>
    <row r="881">
      <c r="A881" s="118"/>
      <c r="B881" s="118"/>
      <c r="C881" s="118"/>
      <c r="D881" s="119"/>
      <c r="E881" s="119"/>
      <c r="F881" s="119"/>
      <c r="G881" s="100"/>
      <c r="H881" s="100"/>
      <c r="I881" s="100"/>
      <c r="J881" s="100"/>
      <c r="K881" s="100"/>
      <c r="L881" s="100"/>
      <c r="M881" s="100"/>
      <c r="N881" s="100"/>
      <c r="O881" s="100"/>
      <c r="P881" s="100"/>
      <c r="Q881" s="100"/>
      <c r="R881" s="100"/>
      <c r="S881" s="100"/>
      <c r="T881" s="100"/>
      <c r="U881" s="100"/>
      <c r="V881" s="100"/>
      <c r="W881" s="100"/>
      <c r="X881" s="100"/>
      <c r="Y881" s="100"/>
      <c r="Z881" s="100"/>
      <c r="AA881" s="100"/>
      <c r="AB881" s="100"/>
      <c r="AC881" s="100"/>
      <c r="AD881" s="100"/>
    </row>
    <row r="882">
      <c r="A882" s="118"/>
      <c r="B882" s="118"/>
      <c r="C882" s="118"/>
      <c r="D882" s="119"/>
      <c r="E882" s="119"/>
      <c r="F882" s="119"/>
      <c r="G882" s="100"/>
      <c r="H882" s="100"/>
      <c r="I882" s="100"/>
      <c r="J882" s="100"/>
      <c r="K882" s="100"/>
      <c r="L882" s="100"/>
      <c r="M882" s="100"/>
      <c r="N882" s="100"/>
      <c r="O882" s="100"/>
      <c r="P882" s="100"/>
      <c r="Q882" s="100"/>
      <c r="R882" s="100"/>
      <c r="S882" s="100"/>
      <c r="T882" s="100"/>
      <c r="U882" s="100"/>
      <c r="V882" s="100"/>
      <c r="W882" s="100"/>
      <c r="X882" s="100"/>
      <c r="Y882" s="100"/>
      <c r="Z882" s="100"/>
      <c r="AA882" s="100"/>
      <c r="AB882" s="100"/>
      <c r="AC882" s="100"/>
      <c r="AD882" s="100"/>
    </row>
    <row r="883">
      <c r="A883" s="118"/>
      <c r="B883" s="118"/>
      <c r="C883" s="118"/>
      <c r="D883" s="119"/>
      <c r="E883" s="119"/>
      <c r="F883" s="119"/>
      <c r="G883" s="100"/>
      <c r="H883" s="100"/>
      <c r="I883" s="100"/>
      <c r="J883" s="100"/>
      <c r="K883" s="100"/>
      <c r="L883" s="100"/>
      <c r="M883" s="100"/>
      <c r="N883" s="100"/>
      <c r="O883" s="100"/>
      <c r="P883" s="100"/>
      <c r="Q883" s="100"/>
      <c r="R883" s="100"/>
      <c r="S883" s="100"/>
      <c r="T883" s="100"/>
      <c r="U883" s="100"/>
      <c r="V883" s="100"/>
      <c r="W883" s="100"/>
      <c r="X883" s="100"/>
      <c r="Y883" s="100"/>
      <c r="Z883" s="100"/>
      <c r="AA883" s="100"/>
      <c r="AB883" s="100"/>
      <c r="AC883" s="100"/>
      <c r="AD883" s="100"/>
    </row>
    <row r="884">
      <c r="A884" s="118"/>
      <c r="B884" s="118"/>
      <c r="C884" s="118"/>
      <c r="D884" s="119"/>
      <c r="E884" s="119"/>
      <c r="F884" s="119"/>
      <c r="G884" s="100"/>
      <c r="H884" s="100"/>
      <c r="I884" s="100"/>
      <c r="J884" s="100"/>
      <c r="K884" s="100"/>
      <c r="L884" s="100"/>
      <c r="M884" s="100"/>
      <c r="N884" s="100"/>
      <c r="O884" s="100"/>
      <c r="P884" s="100"/>
      <c r="Q884" s="100"/>
      <c r="R884" s="100"/>
      <c r="S884" s="100"/>
      <c r="T884" s="100"/>
      <c r="U884" s="100"/>
      <c r="V884" s="100"/>
      <c r="W884" s="100"/>
      <c r="X884" s="100"/>
      <c r="Y884" s="100"/>
      <c r="Z884" s="100"/>
      <c r="AA884" s="100"/>
      <c r="AB884" s="100"/>
      <c r="AC884" s="100"/>
      <c r="AD884" s="100"/>
    </row>
    <row r="885">
      <c r="A885" s="118"/>
      <c r="B885" s="118"/>
      <c r="C885" s="118"/>
      <c r="D885" s="119"/>
      <c r="E885" s="119"/>
      <c r="F885" s="119"/>
      <c r="G885" s="100"/>
      <c r="H885" s="100"/>
      <c r="I885" s="100"/>
      <c r="J885" s="100"/>
      <c r="K885" s="100"/>
      <c r="L885" s="100"/>
      <c r="M885" s="100"/>
      <c r="N885" s="100"/>
      <c r="O885" s="100"/>
      <c r="P885" s="100"/>
      <c r="Q885" s="100"/>
      <c r="R885" s="100"/>
      <c r="S885" s="100"/>
      <c r="T885" s="100"/>
      <c r="U885" s="100"/>
      <c r="V885" s="100"/>
      <c r="W885" s="100"/>
      <c r="X885" s="100"/>
      <c r="Y885" s="100"/>
      <c r="Z885" s="100"/>
      <c r="AA885" s="100"/>
      <c r="AB885" s="100"/>
      <c r="AC885" s="100"/>
      <c r="AD885" s="100"/>
    </row>
    <row r="886">
      <c r="A886" s="118"/>
      <c r="B886" s="118"/>
      <c r="C886" s="118"/>
      <c r="D886" s="119"/>
      <c r="E886" s="119"/>
      <c r="F886" s="119"/>
      <c r="G886" s="100"/>
      <c r="H886" s="100"/>
      <c r="I886" s="100"/>
      <c r="J886" s="100"/>
      <c r="K886" s="100"/>
      <c r="L886" s="100"/>
      <c r="M886" s="100"/>
      <c r="N886" s="100"/>
      <c r="O886" s="100"/>
      <c r="P886" s="100"/>
      <c r="Q886" s="100"/>
      <c r="R886" s="100"/>
      <c r="S886" s="100"/>
      <c r="T886" s="100"/>
      <c r="U886" s="100"/>
      <c r="V886" s="100"/>
      <c r="W886" s="100"/>
      <c r="X886" s="100"/>
      <c r="Y886" s="100"/>
      <c r="Z886" s="100"/>
      <c r="AA886" s="100"/>
      <c r="AB886" s="100"/>
      <c r="AC886" s="100"/>
      <c r="AD886" s="100"/>
    </row>
    <row r="887">
      <c r="A887" s="118"/>
      <c r="B887" s="118"/>
      <c r="C887" s="118"/>
      <c r="D887" s="119"/>
      <c r="E887" s="119"/>
      <c r="F887" s="119"/>
      <c r="G887" s="100"/>
      <c r="H887" s="100"/>
      <c r="I887" s="100"/>
      <c r="J887" s="100"/>
      <c r="K887" s="100"/>
      <c r="L887" s="100"/>
      <c r="M887" s="100"/>
      <c r="N887" s="100"/>
      <c r="O887" s="100"/>
      <c r="P887" s="100"/>
      <c r="Q887" s="100"/>
      <c r="R887" s="100"/>
      <c r="S887" s="100"/>
      <c r="T887" s="100"/>
      <c r="U887" s="100"/>
      <c r="V887" s="100"/>
      <c r="W887" s="100"/>
      <c r="X887" s="100"/>
      <c r="Y887" s="100"/>
      <c r="Z887" s="100"/>
      <c r="AA887" s="100"/>
      <c r="AB887" s="100"/>
      <c r="AC887" s="100"/>
      <c r="AD887" s="100"/>
    </row>
    <row r="888">
      <c r="A888" s="118"/>
      <c r="B888" s="118"/>
      <c r="C888" s="118"/>
      <c r="D888" s="119"/>
      <c r="E888" s="119"/>
      <c r="F888" s="119"/>
      <c r="G888" s="100"/>
      <c r="H888" s="100"/>
      <c r="I888" s="100"/>
      <c r="J888" s="100"/>
      <c r="K888" s="100"/>
      <c r="L888" s="100"/>
      <c r="M888" s="100"/>
      <c r="N888" s="100"/>
      <c r="O888" s="100"/>
      <c r="P888" s="100"/>
      <c r="Q888" s="100"/>
      <c r="R888" s="100"/>
      <c r="S888" s="100"/>
      <c r="T888" s="100"/>
      <c r="U888" s="100"/>
      <c r="V888" s="100"/>
      <c r="W888" s="100"/>
      <c r="X888" s="100"/>
      <c r="Y888" s="100"/>
      <c r="Z888" s="100"/>
      <c r="AA888" s="100"/>
      <c r="AB888" s="100"/>
      <c r="AC888" s="100"/>
      <c r="AD888" s="100"/>
    </row>
    <row r="889">
      <c r="A889" s="118"/>
      <c r="B889" s="118"/>
      <c r="C889" s="118"/>
      <c r="D889" s="119"/>
      <c r="E889" s="119"/>
      <c r="F889" s="119"/>
      <c r="G889" s="100"/>
      <c r="H889" s="100"/>
      <c r="I889" s="100"/>
      <c r="J889" s="100"/>
      <c r="K889" s="100"/>
      <c r="L889" s="100"/>
      <c r="M889" s="100"/>
      <c r="N889" s="100"/>
      <c r="O889" s="100"/>
      <c r="P889" s="100"/>
      <c r="Q889" s="100"/>
      <c r="R889" s="100"/>
      <c r="S889" s="100"/>
      <c r="T889" s="100"/>
      <c r="U889" s="100"/>
      <c r="V889" s="100"/>
      <c r="W889" s="100"/>
      <c r="X889" s="100"/>
      <c r="Y889" s="100"/>
      <c r="Z889" s="100"/>
      <c r="AA889" s="100"/>
      <c r="AB889" s="100"/>
      <c r="AC889" s="100"/>
      <c r="AD889" s="100"/>
    </row>
    <row r="890">
      <c r="A890" s="118"/>
      <c r="B890" s="118"/>
      <c r="C890" s="118"/>
      <c r="D890" s="119"/>
      <c r="E890" s="119"/>
      <c r="F890" s="119"/>
      <c r="G890" s="100"/>
      <c r="H890" s="100"/>
      <c r="I890" s="100"/>
      <c r="J890" s="100"/>
      <c r="K890" s="100"/>
      <c r="L890" s="100"/>
      <c r="M890" s="100"/>
      <c r="N890" s="100"/>
      <c r="O890" s="100"/>
      <c r="P890" s="100"/>
      <c r="Q890" s="100"/>
      <c r="R890" s="100"/>
      <c r="S890" s="100"/>
      <c r="T890" s="100"/>
      <c r="U890" s="100"/>
      <c r="V890" s="100"/>
      <c r="W890" s="100"/>
      <c r="X890" s="100"/>
      <c r="Y890" s="100"/>
      <c r="Z890" s="100"/>
      <c r="AA890" s="100"/>
      <c r="AB890" s="100"/>
      <c r="AC890" s="100"/>
      <c r="AD890" s="100"/>
    </row>
    <row r="891">
      <c r="A891" s="118"/>
      <c r="B891" s="118"/>
      <c r="C891" s="118"/>
      <c r="D891" s="119"/>
      <c r="E891" s="119"/>
      <c r="F891" s="119"/>
      <c r="G891" s="100"/>
      <c r="H891" s="100"/>
      <c r="I891" s="100"/>
      <c r="J891" s="100"/>
      <c r="K891" s="100"/>
      <c r="L891" s="100"/>
      <c r="M891" s="100"/>
      <c r="N891" s="100"/>
      <c r="O891" s="100"/>
      <c r="P891" s="100"/>
      <c r="Q891" s="100"/>
      <c r="R891" s="100"/>
      <c r="S891" s="100"/>
      <c r="T891" s="100"/>
      <c r="U891" s="100"/>
      <c r="V891" s="100"/>
      <c r="W891" s="100"/>
      <c r="X891" s="100"/>
      <c r="Y891" s="100"/>
      <c r="Z891" s="100"/>
      <c r="AA891" s="100"/>
      <c r="AB891" s="100"/>
      <c r="AC891" s="100"/>
      <c r="AD891" s="100"/>
    </row>
    <row r="892">
      <c r="A892" s="118"/>
      <c r="B892" s="118"/>
      <c r="C892" s="118"/>
      <c r="D892" s="119"/>
      <c r="E892" s="119"/>
      <c r="F892" s="119"/>
      <c r="G892" s="100"/>
      <c r="H892" s="100"/>
      <c r="I892" s="100"/>
      <c r="J892" s="100"/>
      <c r="K892" s="100"/>
      <c r="L892" s="100"/>
      <c r="M892" s="100"/>
      <c r="N892" s="100"/>
      <c r="O892" s="100"/>
      <c r="P892" s="100"/>
      <c r="Q892" s="100"/>
      <c r="R892" s="100"/>
      <c r="S892" s="100"/>
      <c r="T892" s="100"/>
      <c r="U892" s="100"/>
      <c r="V892" s="100"/>
      <c r="W892" s="100"/>
      <c r="X892" s="100"/>
      <c r="Y892" s="100"/>
      <c r="Z892" s="100"/>
      <c r="AA892" s="100"/>
      <c r="AB892" s="100"/>
      <c r="AC892" s="100"/>
      <c r="AD892" s="100"/>
    </row>
    <row r="893">
      <c r="A893" s="118"/>
      <c r="B893" s="118"/>
      <c r="C893" s="118"/>
      <c r="D893" s="119"/>
      <c r="E893" s="119"/>
      <c r="F893" s="119"/>
      <c r="G893" s="100"/>
      <c r="H893" s="100"/>
      <c r="I893" s="100"/>
      <c r="J893" s="100"/>
      <c r="K893" s="100"/>
      <c r="L893" s="100"/>
      <c r="M893" s="100"/>
      <c r="N893" s="100"/>
      <c r="O893" s="100"/>
      <c r="P893" s="100"/>
      <c r="Q893" s="100"/>
      <c r="R893" s="100"/>
      <c r="S893" s="100"/>
      <c r="T893" s="100"/>
      <c r="U893" s="100"/>
      <c r="V893" s="100"/>
      <c r="W893" s="100"/>
      <c r="X893" s="100"/>
      <c r="Y893" s="100"/>
      <c r="Z893" s="100"/>
      <c r="AA893" s="100"/>
      <c r="AB893" s="100"/>
      <c r="AC893" s="100"/>
      <c r="AD893" s="100"/>
    </row>
    <row r="894">
      <c r="A894" s="118"/>
      <c r="B894" s="118"/>
      <c r="C894" s="118"/>
      <c r="D894" s="119"/>
      <c r="E894" s="119"/>
      <c r="F894" s="119"/>
      <c r="G894" s="100"/>
      <c r="H894" s="100"/>
      <c r="I894" s="100"/>
      <c r="J894" s="100"/>
      <c r="K894" s="100"/>
      <c r="L894" s="100"/>
      <c r="M894" s="100"/>
      <c r="N894" s="100"/>
      <c r="O894" s="100"/>
      <c r="P894" s="100"/>
      <c r="Q894" s="100"/>
      <c r="R894" s="100"/>
      <c r="S894" s="100"/>
      <c r="T894" s="100"/>
      <c r="U894" s="100"/>
      <c r="V894" s="100"/>
      <c r="W894" s="100"/>
      <c r="X894" s="100"/>
      <c r="Y894" s="100"/>
      <c r="Z894" s="100"/>
      <c r="AA894" s="100"/>
      <c r="AB894" s="100"/>
      <c r="AC894" s="100"/>
      <c r="AD894" s="100"/>
    </row>
    <row r="895">
      <c r="A895" s="118"/>
      <c r="B895" s="118"/>
      <c r="C895" s="118"/>
      <c r="D895" s="119"/>
      <c r="E895" s="119"/>
      <c r="F895" s="119"/>
      <c r="G895" s="100"/>
      <c r="H895" s="100"/>
      <c r="I895" s="100"/>
      <c r="J895" s="100"/>
      <c r="K895" s="100"/>
      <c r="L895" s="100"/>
      <c r="M895" s="100"/>
      <c r="N895" s="100"/>
      <c r="O895" s="100"/>
      <c r="P895" s="100"/>
      <c r="Q895" s="100"/>
      <c r="R895" s="100"/>
      <c r="S895" s="100"/>
      <c r="T895" s="100"/>
      <c r="U895" s="100"/>
      <c r="V895" s="100"/>
      <c r="W895" s="100"/>
      <c r="X895" s="100"/>
      <c r="Y895" s="100"/>
      <c r="Z895" s="100"/>
      <c r="AA895" s="100"/>
      <c r="AB895" s="100"/>
      <c r="AC895" s="100"/>
      <c r="AD895" s="100"/>
    </row>
    <row r="896">
      <c r="A896" s="118"/>
      <c r="B896" s="118"/>
      <c r="C896" s="118"/>
      <c r="D896" s="119"/>
      <c r="E896" s="119"/>
      <c r="F896" s="119"/>
      <c r="G896" s="100"/>
      <c r="H896" s="100"/>
      <c r="I896" s="100"/>
      <c r="J896" s="100"/>
      <c r="K896" s="100"/>
      <c r="L896" s="100"/>
      <c r="M896" s="100"/>
      <c r="N896" s="100"/>
      <c r="O896" s="100"/>
      <c r="P896" s="100"/>
      <c r="Q896" s="100"/>
      <c r="R896" s="100"/>
      <c r="S896" s="100"/>
      <c r="T896" s="100"/>
      <c r="U896" s="100"/>
      <c r="V896" s="100"/>
      <c r="W896" s="100"/>
      <c r="X896" s="100"/>
      <c r="Y896" s="100"/>
      <c r="Z896" s="100"/>
      <c r="AA896" s="100"/>
      <c r="AB896" s="100"/>
      <c r="AC896" s="100"/>
      <c r="AD896" s="100"/>
    </row>
    <row r="897">
      <c r="A897" s="118"/>
      <c r="B897" s="118"/>
      <c r="C897" s="118"/>
      <c r="D897" s="119"/>
      <c r="E897" s="119"/>
      <c r="F897" s="119"/>
      <c r="G897" s="100"/>
      <c r="H897" s="100"/>
      <c r="I897" s="100"/>
      <c r="J897" s="100"/>
      <c r="K897" s="100"/>
      <c r="L897" s="100"/>
      <c r="M897" s="100"/>
      <c r="N897" s="100"/>
      <c r="O897" s="100"/>
      <c r="P897" s="100"/>
      <c r="Q897" s="100"/>
      <c r="R897" s="100"/>
      <c r="S897" s="100"/>
      <c r="T897" s="100"/>
      <c r="U897" s="100"/>
      <c r="V897" s="100"/>
      <c r="W897" s="100"/>
      <c r="X897" s="100"/>
      <c r="Y897" s="100"/>
      <c r="Z897" s="100"/>
      <c r="AA897" s="100"/>
      <c r="AB897" s="100"/>
      <c r="AC897" s="100"/>
      <c r="AD897" s="100"/>
    </row>
    <row r="898">
      <c r="A898" s="118"/>
      <c r="B898" s="118"/>
      <c r="C898" s="118"/>
      <c r="D898" s="119"/>
      <c r="E898" s="119"/>
      <c r="F898" s="119"/>
      <c r="G898" s="100"/>
      <c r="H898" s="100"/>
      <c r="I898" s="100"/>
      <c r="J898" s="100"/>
      <c r="K898" s="100"/>
      <c r="L898" s="100"/>
      <c r="M898" s="100"/>
      <c r="N898" s="100"/>
      <c r="O898" s="100"/>
      <c r="P898" s="100"/>
      <c r="Q898" s="100"/>
      <c r="R898" s="100"/>
      <c r="S898" s="100"/>
      <c r="T898" s="100"/>
      <c r="U898" s="100"/>
      <c r="V898" s="100"/>
      <c r="W898" s="100"/>
      <c r="X898" s="100"/>
      <c r="Y898" s="100"/>
      <c r="Z898" s="100"/>
      <c r="AA898" s="100"/>
      <c r="AB898" s="100"/>
      <c r="AC898" s="100"/>
      <c r="AD898" s="100"/>
    </row>
    <row r="899">
      <c r="A899" s="118"/>
      <c r="B899" s="118"/>
      <c r="C899" s="118"/>
      <c r="D899" s="119"/>
      <c r="E899" s="119"/>
      <c r="F899" s="119"/>
      <c r="G899" s="100"/>
      <c r="H899" s="100"/>
      <c r="I899" s="100"/>
      <c r="J899" s="100"/>
      <c r="K899" s="100"/>
      <c r="L899" s="100"/>
      <c r="M899" s="100"/>
      <c r="N899" s="100"/>
      <c r="O899" s="100"/>
      <c r="P899" s="100"/>
      <c r="Q899" s="100"/>
      <c r="R899" s="100"/>
      <c r="S899" s="100"/>
      <c r="T899" s="100"/>
      <c r="U899" s="100"/>
      <c r="V899" s="100"/>
      <c r="W899" s="100"/>
      <c r="X899" s="100"/>
      <c r="Y899" s="100"/>
      <c r="Z899" s="100"/>
      <c r="AA899" s="100"/>
      <c r="AB899" s="100"/>
      <c r="AC899" s="100"/>
      <c r="AD899" s="100"/>
    </row>
    <row r="900">
      <c r="A900" s="118"/>
      <c r="B900" s="118"/>
      <c r="C900" s="118"/>
      <c r="D900" s="119"/>
      <c r="E900" s="119"/>
      <c r="F900" s="119"/>
      <c r="G900" s="100"/>
      <c r="H900" s="100"/>
      <c r="I900" s="100"/>
      <c r="J900" s="100"/>
      <c r="K900" s="100"/>
      <c r="L900" s="100"/>
      <c r="M900" s="100"/>
      <c r="N900" s="100"/>
      <c r="O900" s="100"/>
      <c r="P900" s="100"/>
      <c r="Q900" s="100"/>
      <c r="R900" s="100"/>
      <c r="S900" s="100"/>
      <c r="T900" s="100"/>
      <c r="U900" s="100"/>
      <c r="V900" s="100"/>
      <c r="W900" s="100"/>
      <c r="X900" s="100"/>
      <c r="Y900" s="100"/>
      <c r="Z900" s="100"/>
      <c r="AA900" s="100"/>
      <c r="AB900" s="100"/>
      <c r="AC900" s="100"/>
      <c r="AD900" s="100"/>
    </row>
    <row r="901">
      <c r="A901" s="118"/>
      <c r="B901" s="118"/>
      <c r="C901" s="118"/>
      <c r="D901" s="119"/>
      <c r="E901" s="119"/>
      <c r="F901" s="119"/>
      <c r="G901" s="100"/>
      <c r="H901" s="100"/>
      <c r="I901" s="100"/>
      <c r="J901" s="100"/>
      <c r="K901" s="100"/>
      <c r="L901" s="100"/>
      <c r="M901" s="100"/>
      <c r="N901" s="100"/>
      <c r="O901" s="100"/>
      <c r="P901" s="100"/>
      <c r="Q901" s="100"/>
      <c r="R901" s="100"/>
      <c r="S901" s="100"/>
      <c r="T901" s="100"/>
      <c r="U901" s="100"/>
      <c r="V901" s="100"/>
      <c r="W901" s="100"/>
      <c r="X901" s="100"/>
      <c r="Y901" s="100"/>
      <c r="Z901" s="100"/>
      <c r="AA901" s="100"/>
      <c r="AB901" s="100"/>
      <c r="AC901" s="100"/>
      <c r="AD901" s="100"/>
    </row>
    <row r="902">
      <c r="A902" s="118"/>
      <c r="B902" s="118"/>
      <c r="C902" s="118"/>
      <c r="D902" s="119"/>
      <c r="E902" s="119"/>
      <c r="F902" s="119"/>
      <c r="G902" s="100"/>
      <c r="H902" s="100"/>
      <c r="I902" s="100"/>
      <c r="J902" s="100"/>
      <c r="K902" s="100"/>
      <c r="L902" s="100"/>
      <c r="M902" s="100"/>
      <c r="N902" s="100"/>
      <c r="O902" s="100"/>
      <c r="P902" s="100"/>
      <c r="Q902" s="100"/>
      <c r="R902" s="100"/>
      <c r="S902" s="100"/>
      <c r="T902" s="100"/>
      <c r="U902" s="100"/>
      <c r="V902" s="100"/>
      <c r="W902" s="100"/>
      <c r="X902" s="100"/>
      <c r="Y902" s="100"/>
      <c r="Z902" s="100"/>
      <c r="AA902" s="100"/>
      <c r="AB902" s="100"/>
      <c r="AC902" s="100"/>
      <c r="AD902" s="100"/>
    </row>
    <row r="903">
      <c r="A903" s="118"/>
      <c r="B903" s="118"/>
      <c r="C903" s="118"/>
      <c r="D903" s="119"/>
      <c r="E903" s="119"/>
      <c r="F903" s="119"/>
      <c r="G903" s="100"/>
      <c r="H903" s="100"/>
      <c r="I903" s="100"/>
      <c r="J903" s="100"/>
      <c r="K903" s="100"/>
      <c r="L903" s="100"/>
      <c r="M903" s="100"/>
      <c r="N903" s="100"/>
      <c r="O903" s="100"/>
      <c r="P903" s="100"/>
      <c r="Q903" s="100"/>
      <c r="R903" s="100"/>
      <c r="S903" s="100"/>
      <c r="T903" s="100"/>
      <c r="U903" s="100"/>
      <c r="V903" s="100"/>
      <c r="W903" s="100"/>
      <c r="X903" s="100"/>
      <c r="Y903" s="100"/>
      <c r="Z903" s="100"/>
      <c r="AA903" s="100"/>
      <c r="AB903" s="100"/>
      <c r="AC903" s="100"/>
      <c r="AD903" s="100"/>
    </row>
    <row r="904">
      <c r="A904" s="118"/>
      <c r="B904" s="118"/>
      <c r="C904" s="118"/>
      <c r="D904" s="119"/>
      <c r="E904" s="119"/>
      <c r="F904" s="119"/>
      <c r="G904" s="100"/>
      <c r="H904" s="100"/>
      <c r="I904" s="100"/>
      <c r="J904" s="100"/>
      <c r="K904" s="100"/>
      <c r="L904" s="100"/>
      <c r="M904" s="100"/>
      <c r="N904" s="100"/>
      <c r="O904" s="100"/>
      <c r="P904" s="100"/>
      <c r="Q904" s="100"/>
      <c r="R904" s="100"/>
      <c r="S904" s="100"/>
      <c r="T904" s="100"/>
      <c r="U904" s="100"/>
      <c r="V904" s="100"/>
      <c r="W904" s="100"/>
      <c r="X904" s="100"/>
      <c r="Y904" s="100"/>
      <c r="Z904" s="100"/>
      <c r="AA904" s="100"/>
      <c r="AB904" s="100"/>
      <c r="AC904" s="100"/>
      <c r="AD904" s="100"/>
    </row>
    <row r="905">
      <c r="A905" s="118"/>
      <c r="B905" s="118"/>
      <c r="C905" s="118"/>
      <c r="D905" s="119"/>
      <c r="E905" s="119"/>
      <c r="F905" s="119"/>
      <c r="G905" s="100"/>
      <c r="H905" s="100"/>
      <c r="I905" s="100"/>
      <c r="J905" s="100"/>
      <c r="K905" s="100"/>
      <c r="L905" s="100"/>
      <c r="M905" s="100"/>
      <c r="N905" s="100"/>
      <c r="O905" s="100"/>
      <c r="P905" s="100"/>
      <c r="Q905" s="100"/>
      <c r="R905" s="100"/>
      <c r="S905" s="100"/>
      <c r="T905" s="100"/>
      <c r="U905" s="100"/>
      <c r="V905" s="100"/>
      <c r="W905" s="100"/>
      <c r="X905" s="100"/>
      <c r="Y905" s="100"/>
      <c r="Z905" s="100"/>
      <c r="AA905" s="100"/>
      <c r="AB905" s="100"/>
      <c r="AC905" s="100"/>
      <c r="AD905" s="100"/>
    </row>
    <row r="906">
      <c r="A906" s="118"/>
      <c r="B906" s="118"/>
      <c r="C906" s="118"/>
      <c r="D906" s="119"/>
      <c r="E906" s="119"/>
      <c r="F906" s="119"/>
      <c r="G906" s="100"/>
      <c r="H906" s="100"/>
      <c r="I906" s="100"/>
      <c r="J906" s="100"/>
      <c r="K906" s="100"/>
      <c r="L906" s="100"/>
      <c r="M906" s="100"/>
      <c r="N906" s="100"/>
      <c r="O906" s="100"/>
      <c r="P906" s="100"/>
      <c r="Q906" s="100"/>
      <c r="R906" s="100"/>
      <c r="S906" s="100"/>
      <c r="T906" s="100"/>
      <c r="U906" s="100"/>
      <c r="V906" s="100"/>
      <c r="W906" s="100"/>
      <c r="X906" s="100"/>
      <c r="Y906" s="100"/>
      <c r="Z906" s="100"/>
      <c r="AA906" s="100"/>
      <c r="AB906" s="100"/>
      <c r="AC906" s="100"/>
      <c r="AD906" s="100"/>
    </row>
    <row r="907">
      <c r="A907" s="118"/>
      <c r="B907" s="118"/>
      <c r="C907" s="118"/>
      <c r="D907" s="119"/>
      <c r="E907" s="119"/>
      <c r="F907" s="119"/>
      <c r="G907" s="100"/>
      <c r="H907" s="100"/>
      <c r="I907" s="100"/>
      <c r="J907" s="100"/>
      <c r="K907" s="100"/>
      <c r="L907" s="100"/>
      <c r="M907" s="100"/>
      <c r="N907" s="100"/>
      <c r="O907" s="100"/>
      <c r="P907" s="100"/>
      <c r="Q907" s="100"/>
      <c r="R907" s="100"/>
      <c r="S907" s="100"/>
      <c r="T907" s="100"/>
      <c r="U907" s="100"/>
      <c r="V907" s="100"/>
      <c r="W907" s="100"/>
      <c r="X907" s="100"/>
      <c r="Y907" s="100"/>
      <c r="Z907" s="100"/>
      <c r="AA907" s="100"/>
      <c r="AB907" s="100"/>
      <c r="AC907" s="100"/>
      <c r="AD907" s="100"/>
    </row>
    <row r="908">
      <c r="A908" s="118"/>
      <c r="B908" s="118"/>
      <c r="C908" s="118"/>
      <c r="D908" s="119"/>
      <c r="E908" s="119"/>
      <c r="F908" s="119"/>
      <c r="G908" s="100"/>
      <c r="H908" s="100"/>
      <c r="I908" s="100"/>
      <c r="J908" s="100"/>
      <c r="K908" s="100"/>
      <c r="L908" s="100"/>
      <c r="M908" s="100"/>
      <c r="N908" s="100"/>
      <c r="O908" s="100"/>
      <c r="P908" s="100"/>
      <c r="Q908" s="100"/>
      <c r="R908" s="100"/>
      <c r="S908" s="100"/>
      <c r="T908" s="100"/>
      <c r="U908" s="100"/>
      <c r="V908" s="100"/>
      <c r="W908" s="100"/>
      <c r="X908" s="100"/>
      <c r="Y908" s="100"/>
      <c r="Z908" s="100"/>
      <c r="AA908" s="100"/>
      <c r="AB908" s="100"/>
      <c r="AC908" s="100"/>
      <c r="AD908" s="100"/>
    </row>
    <row r="909">
      <c r="A909" s="118"/>
      <c r="B909" s="118"/>
      <c r="C909" s="118"/>
      <c r="D909" s="119"/>
      <c r="E909" s="119"/>
      <c r="F909" s="119"/>
      <c r="G909" s="100"/>
      <c r="H909" s="100"/>
      <c r="I909" s="100"/>
      <c r="J909" s="100"/>
      <c r="K909" s="100"/>
      <c r="L909" s="100"/>
      <c r="M909" s="100"/>
      <c r="N909" s="100"/>
      <c r="O909" s="100"/>
      <c r="P909" s="100"/>
      <c r="Q909" s="100"/>
      <c r="R909" s="100"/>
      <c r="S909" s="100"/>
      <c r="T909" s="100"/>
      <c r="U909" s="100"/>
      <c r="V909" s="100"/>
      <c r="W909" s="100"/>
      <c r="X909" s="100"/>
      <c r="Y909" s="100"/>
      <c r="Z909" s="100"/>
      <c r="AA909" s="100"/>
      <c r="AB909" s="100"/>
      <c r="AC909" s="100"/>
      <c r="AD909" s="100"/>
    </row>
    <row r="910">
      <c r="A910" s="118"/>
      <c r="B910" s="118"/>
      <c r="C910" s="118"/>
      <c r="D910" s="119"/>
      <c r="E910" s="119"/>
      <c r="F910" s="119"/>
      <c r="G910" s="100"/>
      <c r="H910" s="100"/>
      <c r="I910" s="100"/>
      <c r="J910" s="100"/>
      <c r="K910" s="100"/>
      <c r="L910" s="100"/>
      <c r="M910" s="100"/>
      <c r="N910" s="100"/>
      <c r="O910" s="100"/>
      <c r="P910" s="100"/>
      <c r="Q910" s="100"/>
      <c r="R910" s="100"/>
      <c r="S910" s="100"/>
      <c r="T910" s="100"/>
      <c r="U910" s="100"/>
      <c r="V910" s="100"/>
      <c r="W910" s="100"/>
      <c r="X910" s="100"/>
      <c r="Y910" s="100"/>
      <c r="Z910" s="100"/>
      <c r="AA910" s="100"/>
      <c r="AB910" s="100"/>
      <c r="AC910" s="100"/>
      <c r="AD910" s="100"/>
    </row>
    <row r="911">
      <c r="A911" s="118"/>
      <c r="B911" s="118"/>
      <c r="C911" s="118"/>
      <c r="D911" s="119"/>
      <c r="E911" s="119"/>
      <c r="F911" s="119"/>
      <c r="G911" s="100"/>
      <c r="H911" s="100"/>
      <c r="I911" s="100"/>
      <c r="J911" s="100"/>
      <c r="K911" s="100"/>
      <c r="L911" s="100"/>
      <c r="M911" s="100"/>
      <c r="N911" s="100"/>
      <c r="O911" s="100"/>
      <c r="P911" s="100"/>
      <c r="Q911" s="100"/>
      <c r="R911" s="100"/>
      <c r="S911" s="100"/>
      <c r="T911" s="100"/>
      <c r="U911" s="100"/>
      <c r="V911" s="100"/>
      <c r="W911" s="100"/>
      <c r="X911" s="100"/>
      <c r="Y911" s="100"/>
      <c r="Z911" s="100"/>
      <c r="AA911" s="100"/>
      <c r="AB911" s="100"/>
      <c r="AC911" s="100"/>
      <c r="AD911" s="100"/>
    </row>
    <row r="912">
      <c r="A912" s="118"/>
      <c r="B912" s="118"/>
      <c r="C912" s="118"/>
      <c r="D912" s="119"/>
      <c r="E912" s="119"/>
      <c r="F912" s="119"/>
      <c r="G912" s="100"/>
      <c r="H912" s="100"/>
      <c r="I912" s="100"/>
      <c r="J912" s="100"/>
      <c r="K912" s="100"/>
      <c r="L912" s="100"/>
      <c r="M912" s="100"/>
      <c r="N912" s="100"/>
      <c r="O912" s="100"/>
      <c r="P912" s="100"/>
      <c r="Q912" s="100"/>
      <c r="R912" s="100"/>
      <c r="S912" s="100"/>
      <c r="T912" s="100"/>
      <c r="U912" s="100"/>
      <c r="V912" s="100"/>
      <c r="W912" s="100"/>
      <c r="X912" s="100"/>
      <c r="Y912" s="100"/>
      <c r="Z912" s="100"/>
      <c r="AA912" s="100"/>
      <c r="AB912" s="100"/>
      <c r="AC912" s="100"/>
      <c r="AD912" s="100"/>
    </row>
    <row r="913">
      <c r="A913" s="118"/>
      <c r="B913" s="118"/>
      <c r="C913" s="118"/>
      <c r="D913" s="119"/>
      <c r="E913" s="119"/>
      <c r="F913" s="119"/>
      <c r="G913" s="100"/>
      <c r="H913" s="100"/>
      <c r="I913" s="100"/>
      <c r="J913" s="100"/>
      <c r="K913" s="100"/>
      <c r="L913" s="100"/>
      <c r="M913" s="100"/>
      <c r="N913" s="100"/>
      <c r="O913" s="100"/>
      <c r="P913" s="100"/>
      <c r="Q913" s="100"/>
      <c r="R913" s="100"/>
      <c r="S913" s="100"/>
      <c r="T913" s="100"/>
      <c r="U913" s="100"/>
      <c r="V913" s="100"/>
      <c r="W913" s="100"/>
      <c r="X913" s="100"/>
      <c r="Y913" s="100"/>
      <c r="Z913" s="100"/>
      <c r="AA913" s="100"/>
      <c r="AB913" s="100"/>
      <c r="AC913" s="100"/>
      <c r="AD913" s="100"/>
    </row>
    <row r="914">
      <c r="A914" s="118"/>
      <c r="B914" s="118"/>
      <c r="C914" s="118"/>
      <c r="D914" s="119"/>
      <c r="E914" s="119"/>
      <c r="F914" s="119"/>
      <c r="G914" s="100"/>
      <c r="H914" s="100"/>
      <c r="I914" s="100"/>
      <c r="J914" s="100"/>
      <c r="K914" s="100"/>
      <c r="L914" s="100"/>
      <c r="M914" s="100"/>
      <c r="N914" s="100"/>
      <c r="O914" s="100"/>
      <c r="P914" s="100"/>
      <c r="Q914" s="100"/>
      <c r="R914" s="100"/>
      <c r="S914" s="100"/>
      <c r="T914" s="100"/>
      <c r="U914" s="100"/>
      <c r="V914" s="100"/>
      <c r="W914" s="100"/>
      <c r="X914" s="100"/>
      <c r="Y914" s="100"/>
      <c r="Z914" s="100"/>
      <c r="AA914" s="100"/>
      <c r="AB914" s="100"/>
      <c r="AC914" s="100"/>
      <c r="AD914" s="100"/>
    </row>
    <row r="915">
      <c r="A915" s="118"/>
      <c r="B915" s="118"/>
      <c r="C915" s="118"/>
      <c r="D915" s="119"/>
      <c r="E915" s="119"/>
      <c r="F915" s="119"/>
      <c r="G915" s="100"/>
      <c r="H915" s="100"/>
      <c r="I915" s="100"/>
      <c r="J915" s="100"/>
      <c r="K915" s="100"/>
      <c r="L915" s="100"/>
      <c r="M915" s="100"/>
      <c r="N915" s="100"/>
      <c r="O915" s="100"/>
      <c r="P915" s="100"/>
      <c r="Q915" s="100"/>
      <c r="R915" s="100"/>
      <c r="S915" s="100"/>
      <c r="T915" s="100"/>
      <c r="U915" s="100"/>
      <c r="V915" s="100"/>
      <c r="W915" s="100"/>
      <c r="X915" s="100"/>
      <c r="Y915" s="100"/>
      <c r="Z915" s="100"/>
      <c r="AA915" s="100"/>
      <c r="AB915" s="100"/>
      <c r="AC915" s="100"/>
      <c r="AD915" s="100"/>
    </row>
    <row r="916">
      <c r="A916" s="118"/>
      <c r="B916" s="118"/>
      <c r="C916" s="118"/>
      <c r="D916" s="119"/>
      <c r="E916" s="119"/>
      <c r="F916" s="119"/>
      <c r="G916" s="100"/>
      <c r="H916" s="100"/>
      <c r="I916" s="100"/>
      <c r="J916" s="100"/>
      <c r="K916" s="100"/>
      <c r="L916" s="100"/>
      <c r="M916" s="100"/>
      <c r="N916" s="100"/>
      <c r="O916" s="100"/>
      <c r="P916" s="100"/>
      <c r="Q916" s="100"/>
      <c r="R916" s="100"/>
      <c r="S916" s="100"/>
      <c r="T916" s="100"/>
      <c r="U916" s="100"/>
      <c r="V916" s="100"/>
      <c r="W916" s="100"/>
      <c r="X916" s="100"/>
      <c r="Y916" s="100"/>
      <c r="Z916" s="100"/>
      <c r="AA916" s="100"/>
      <c r="AB916" s="100"/>
      <c r="AC916" s="100"/>
      <c r="AD916" s="100"/>
    </row>
    <row r="917">
      <c r="A917" s="118"/>
      <c r="B917" s="118"/>
      <c r="C917" s="118"/>
      <c r="D917" s="119"/>
      <c r="E917" s="119"/>
      <c r="F917" s="119"/>
      <c r="G917" s="100"/>
      <c r="H917" s="100"/>
      <c r="I917" s="100"/>
      <c r="J917" s="100"/>
      <c r="K917" s="100"/>
      <c r="L917" s="100"/>
      <c r="M917" s="100"/>
      <c r="N917" s="100"/>
      <c r="O917" s="100"/>
      <c r="P917" s="100"/>
      <c r="Q917" s="100"/>
      <c r="R917" s="100"/>
      <c r="S917" s="100"/>
      <c r="T917" s="100"/>
      <c r="U917" s="100"/>
      <c r="V917" s="100"/>
      <c r="W917" s="100"/>
      <c r="X917" s="100"/>
      <c r="Y917" s="100"/>
      <c r="Z917" s="100"/>
      <c r="AA917" s="100"/>
      <c r="AB917" s="100"/>
      <c r="AC917" s="100"/>
      <c r="AD917" s="100"/>
    </row>
    <row r="918">
      <c r="A918" s="118"/>
      <c r="B918" s="118"/>
      <c r="C918" s="118"/>
      <c r="D918" s="119"/>
      <c r="E918" s="119"/>
      <c r="F918" s="119"/>
      <c r="G918" s="100"/>
      <c r="H918" s="100"/>
      <c r="I918" s="100"/>
      <c r="J918" s="100"/>
      <c r="K918" s="100"/>
      <c r="L918" s="100"/>
      <c r="M918" s="100"/>
      <c r="N918" s="100"/>
      <c r="O918" s="100"/>
      <c r="P918" s="100"/>
      <c r="Q918" s="100"/>
      <c r="R918" s="100"/>
      <c r="S918" s="100"/>
      <c r="T918" s="100"/>
      <c r="U918" s="100"/>
      <c r="V918" s="100"/>
      <c r="W918" s="100"/>
      <c r="X918" s="100"/>
      <c r="Y918" s="100"/>
      <c r="Z918" s="100"/>
      <c r="AA918" s="100"/>
      <c r="AB918" s="100"/>
      <c r="AC918" s="100"/>
      <c r="AD918" s="100"/>
    </row>
    <row r="919">
      <c r="A919" s="118"/>
      <c r="B919" s="118"/>
      <c r="C919" s="118"/>
      <c r="D919" s="119"/>
      <c r="E919" s="119"/>
      <c r="F919" s="119"/>
      <c r="G919" s="100"/>
      <c r="H919" s="100"/>
      <c r="I919" s="100"/>
      <c r="J919" s="100"/>
      <c r="K919" s="100"/>
      <c r="L919" s="100"/>
      <c r="M919" s="100"/>
      <c r="N919" s="100"/>
      <c r="O919" s="100"/>
      <c r="P919" s="100"/>
      <c r="Q919" s="100"/>
      <c r="R919" s="100"/>
      <c r="S919" s="100"/>
      <c r="T919" s="100"/>
      <c r="U919" s="100"/>
      <c r="V919" s="100"/>
      <c r="W919" s="100"/>
      <c r="X919" s="100"/>
      <c r="Y919" s="100"/>
      <c r="Z919" s="100"/>
      <c r="AA919" s="100"/>
      <c r="AB919" s="100"/>
      <c r="AC919" s="100"/>
      <c r="AD919" s="100"/>
    </row>
    <row r="920">
      <c r="A920" s="118"/>
      <c r="B920" s="118"/>
      <c r="C920" s="118"/>
      <c r="D920" s="119"/>
      <c r="E920" s="119"/>
      <c r="F920" s="119"/>
      <c r="G920" s="100"/>
      <c r="H920" s="100"/>
      <c r="I920" s="100"/>
      <c r="J920" s="100"/>
      <c r="K920" s="100"/>
      <c r="L920" s="100"/>
      <c r="M920" s="100"/>
      <c r="N920" s="100"/>
      <c r="O920" s="100"/>
      <c r="P920" s="100"/>
      <c r="Q920" s="100"/>
      <c r="R920" s="100"/>
      <c r="S920" s="100"/>
      <c r="T920" s="100"/>
      <c r="U920" s="100"/>
      <c r="V920" s="100"/>
      <c r="W920" s="100"/>
      <c r="X920" s="100"/>
      <c r="Y920" s="100"/>
      <c r="Z920" s="100"/>
      <c r="AA920" s="100"/>
      <c r="AB920" s="100"/>
      <c r="AC920" s="100"/>
      <c r="AD920" s="100"/>
    </row>
    <row r="921">
      <c r="A921" s="118"/>
      <c r="B921" s="118"/>
      <c r="C921" s="118"/>
      <c r="D921" s="119"/>
      <c r="E921" s="119"/>
      <c r="F921" s="119"/>
      <c r="G921" s="100"/>
      <c r="H921" s="100"/>
      <c r="I921" s="100"/>
      <c r="J921" s="100"/>
      <c r="K921" s="100"/>
      <c r="L921" s="100"/>
      <c r="M921" s="100"/>
      <c r="N921" s="100"/>
      <c r="O921" s="100"/>
      <c r="P921" s="100"/>
      <c r="Q921" s="100"/>
      <c r="R921" s="100"/>
      <c r="S921" s="100"/>
      <c r="T921" s="100"/>
      <c r="U921" s="100"/>
      <c r="V921" s="100"/>
      <c r="W921" s="100"/>
      <c r="X921" s="100"/>
      <c r="Y921" s="100"/>
      <c r="Z921" s="100"/>
      <c r="AA921" s="100"/>
      <c r="AB921" s="100"/>
      <c r="AC921" s="100"/>
      <c r="AD921" s="100"/>
    </row>
    <row r="922">
      <c r="A922" s="118"/>
      <c r="B922" s="118"/>
      <c r="C922" s="118"/>
      <c r="D922" s="119"/>
      <c r="E922" s="119"/>
      <c r="F922" s="119"/>
      <c r="G922" s="100"/>
      <c r="H922" s="100"/>
      <c r="I922" s="100"/>
      <c r="J922" s="100"/>
      <c r="K922" s="100"/>
      <c r="L922" s="100"/>
      <c r="M922" s="100"/>
      <c r="N922" s="100"/>
      <c r="O922" s="100"/>
      <c r="P922" s="100"/>
      <c r="Q922" s="100"/>
      <c r="R922" s="100"/>
      <c r="S922" s="100"/>
      <c r="T922" s="100"/>
      <c r="U922" s="100"/>
      <c r="V922" s="100"/>
      <c r="W922" s="100"/>
      <c r="X922" s="100"/>
      <c r="Y922" s="100"/>
      <c r="Z922" s="100"/>
      <c r="AA922" s="100"/>
      <c r="AB922" s="100"/>
      <c r="AC922" s="100"/>
      <c r="AD922" s="100"/>
    </row>
    <row r="923">
      <c r="A923" s="118"/>
      <c r="B923" s="118"/>
      <c r="C923" s="118"/>
      <c r="D923" s="119"/>
      <c r="E923" s="119"/>
      <c r="F923" s="119"/>
      <c r="G923" s="100"/>
      <c r="H923" s="100"/>
      <c r="I923" s="100"/>
      <c r="J923" s="100"/>
      <c r="K923" s="100"/>
      <c r="L923" s="100"/>
      <c r="M923" s="100"/>
      <c r="N923" s="100"/>
      <c r="O923" s="100"/>
      <c r="P923" s="100"/>
      <c r="Q923" s="100"/>
      <c r="R923" s="100"/>
      <c r="S923" s="100"/>
      <c r="T923" s="100"/>
      <c r="U923" s="100"/>
      <c r="V923" s="100"/>
      <c r="W923" s="100"/>
      <c r="X923" s="100"/>
      <c r="Y923" s="100"/>
      <c r="Z923" s="100"/>
      <c r="AA923" s="100"/>
      <c r="AB923" s="100"/>
      <c r="AC923" s="100"/>
      <c r="AD923" s="100"/>
    </row>
    <row r="924">
      <c r="A924" s="118"/>
      <c r="B924" s="118"/>
      <c r="C924" s="118"/>
      <c r="D924" s="119"/>
      <c r="E924" s="119"/>
      <c r="F924" s="119"/>
      <c r="G924" s="100"/>
      <c r="H924" s="100"/>
      <c r="I924" s="100"/>
      <c r="J924" s="100"/>
      <c r="K924" s="100"/>
      <c r="L924" s="100"/>
      <c r="M924" s="100"/>
      <c r="N924" s="100"/>
      <c r="O924" s="100"/>
      <c r="P924" s="100"/>
      <c r="Q924" s="100"/>
      <c r="R924" s="100"/>
      <c r="S924" s="100"/>
      <c r="T924" s="100"/>
      <c r="U924" s="100"/>
      <c r="V924" s="100"/>
      <c r="W924" s="100"/>
      <c r="X924" s="100"/>
      <c r="Y924" s="100"/>
      <c r="Z924" s="100"/>
      <c r="AA924" s="100"/>
      <c r="AB924" s="100"/>
      <c r="AC924" s="100"/>
      <c r="AD924" s="100"/>
    </row>
    <row r="925">
      <c r="A925" s="118"/>
      <c r="B925" s="118"/>
      <c r="C925" s="118"/>
      <c r="D925" s="119"/>
      <c r="E925" s="119"/>
      <c r="F925" s="119"/>
      <c r="G925" s="100"/>
      <c r="H925" s="100"/>
      <c r="I925" s="100"/>
      <c r="J925" s="100"/>
      <c r="K925" s="100"/>
      <c r="L925" s="100"/>
      <c r="M925" s="100"/>
      <c r="N925" s="100"/>
      <c r="O925" s="100"/>
      <c r="P925" s="100"/>
      <c r="Q925" s="100"/>
      <c r="R925" s="100"/>
      <c r="S925" s="100"/>
      <c r="T925" s="100"/>
      <c r="U925" s="100"/>
      <c r="V925" s="100"/>
      <c r="W925" s="100"/>
      <c r="X925" s="100"/>
      <c r="Y925" s="100"/>
      <c r="Z925" s="100"/>
      <c r="AA925" s="100"/>
      <c r="AB925" s="100"/>
      <c r="AC925" s="100"/>
      <c r="AD925" s="100"/>
    </row>
    <row r="926">
      <c r="A926" s="118"/>
      <c r="B926" s="118"/>
      <c r="C926" s="118"/>
      <c r="D926" s="119"/>
      <c r="E926" s="119"/>
      <c r="F926" s="119"/>
      <c r="G926" s="100"/>
      <c r="H926" s="100"/>
      <c r="I926" s="100"/>
      <c r="J926" s="100"/>
      <c r="K926" s="100"/>
      <c r="L926" s="100"/>
      <c r="M926" s="100"/>
      <c r="N926" s="100"/>
      <c r="O926" s="100"/>
      <c r="P926" s="100"/>
      <c r="Q926" s="100"/>
      <c r="R926" s="100"/>
      <c r="S926" s="100"/>
      <c r="T926" s="100"/>
      <c r="U926" s="100"/>
      <c r="V926" s="100"/>
      <c r="W926" s="100"/>
      <c r="X926" s="100"/>
      <c r="Y926" s="100"/>
      <c r="Z926" s="100"/>
      <c r="AA926" s="100"/>
      <c r="AB926" s="100"/>
      <c r="AC926" s="100"/>
      <c r="AD926" s="100"/>
    </row>
    <row r="927">
      <c r="A927" s="118"/>
      <c r="B927" s="118"/>
      <c r="C927" s="118"/>
      <c r="D927" s="119"/>
      <c r="E927" s="119"/>
      <c r="F927" s="119"/>
      <c r="G927" s="100"/>
      <c r="H927" s="100"/>
      <c r="I927" s="100"/>
      <c r="J927" s="100"/>
      <c r="K927" s="100"/>
      <c r="L927" s="100"/>
      <c r="M927" s="100"/>
      <c r="N927" s="100"/>
      <c r="O927" s="100"/>
      <c r="P927" s="100"/>
      <c r="Q927" s="100"/>
      <c r="R927" s="100"/>
      <c r="S927" s="100"/>
      <c r="T927" s="100"/>
      <c r="U927" s="100"/>
      <c r="V927" s="100"/>
      <c r="W927" s="100"/>
      <c r="X927" s="100"/>
      <c r="Y927" s="100"/>
      <c r="Z927" s="100"/>
      <c r="AA927" s="100"/>
      <c r="AB927" s="100"/>
      <c r="AC927" s="100"/>
      <c r="AD927" s="100"/>
    </row>
    <row r="928">
      <c r="A928" s="118"/>
      <c r="B928" s="118"/>
      <c r="C928" s="118"/>
      <c r="D928" s="119"/>
      <c r="E928" s="119"/>
      <c r="F928" s="119"/>
      <c r="G928" s="100"/>
      <c r="H928" s="100"/>
      <c r="I928" s="100"/>
      <c r="J928" s="100"/>
      <c r="K928" s="100"/>
      <c r="L928" s="100"/>
      <c r="M928" s="100"/>
      <c r="N928" s="100"/>
      <c r="O928" s="100"/>
      <c r="P928" s="100"/>
      <c r="Q928" s="100"/>
      <c r="R928" s="100"/>
      <c r="S928" s="100"/>
      <c r="T928" s="100"/>
      <c r="U928" s="100"/>
      <c r="V928" s="100"/>
      <c r="W928" s="100"/>
      <c r="X928" s="100"/>
      <c r="Y928" s="100"/>
      <c r="Z928" s="100"/>
      <c r="AA928" s="100"/>
      <c r="AB928" s="100"/>
      <c r="AC928" s="100"/>
      <c r="AD928" s="100"/>
    </row>
    <row r="929">
      <c r="A929" s="118"/>
      <c r="B929" s="118"/>
      <c r="C929" s="118"/>
      <c r="D929" s="119"/>
      <c r="E929" s="119"/>
      <c r="F929" s="119"/>
      <c r="G929" s="100"/>
      <c r="H929" s="100"/>
      <c r="I929" s="100"/>
      <c r="J929" s="100"/>
      <c r="K929" s="100"/>
      <c r="L929" s="100"/>
      <c r="M929" s="100"/>
      <c r="N929" s="100"/>
      <c r="O929" s="100"/>
      <c r="P929" s="100"/>
      <c r="Q929" s="100"/>
      <c r="R929" s="100"/>
      <c r="S929" s="100"/>
      <c r="T929" s="100"/>
      <c r="U929" s="100"/>
      <c r="V929" s="100"/>
      <c r="W929" s="100"/>
      <c r="X929" s="100"/>
      <c r="Y929" s="100"/>
      <c r="Z929" s="100"/>
      <c r="AA929" s="100"/>
      <c r="AB929" s="100"/>
      <c r="AC929" s="100"/>
      <c r="AD929" s="100"/>
    </row>
    <row r="930">
      <c r="A930" s="118"/>
      <c r="B930" s="118"/>
      <c r="C930" s="118"/>
      <c r="D930" s="119"/>
      <c r="E930" s="119"/>
      <c r="F930" s="119"/>
      <c r="G930" s="100"/>
      <c r="H930" s="100"/>
      <c r="I930" s="100"/>
      <c r="J930" s="100"/>
      <c r="K930" s="100"/>
      <c r="L930" s="100"/>
      <c r="M930" s="100"/>
      <c r="N930" s="100"/>
      <c r="O930" s="100"/>
      <c r="P930" s="100"/>
      <c r="Q930" s="100"/>
      <c r="R930" s="100"/>
      <c r="S930" s="100"/>
      <c r="T930" s="100"/>
      <c r="U930" s="100"/>
      <c r="V930" s="100"/>
      <c r="W930" s="100"/>
      <c r="X930" s="100"/>
      <c r="Y930" s="100"/>
      <c r="Z930" s="100"/>
      <c r="AA930" s="100"/>
      <c r="AB930" s="100"/>
      <c r="AC930" s="100"/>
      <c r="AD930" s="100"/>
    </row>
    <row r="931">
      <c r="A931" s="118"/>
      <c r="B931" s="118"/>
      <c r="C931" s="118"/>
      <c r="D931" s="119"/>
      <c r="E931" s="119"/>
      <c r="F931" s="119"/>
      <c r="G931" s="100"/>
      <c r="H931" s="100"/>
      <c r="I931" s="100"/>
      <c r="J931" s="100"/>
      <c r="K931" s="100"/>
      <c r="L931" s="100"/>
      <c r="M931" s="100"/>
      <c r="N931" s="100"/>
      <c r="O931" s="100"/>
      <c r="P931" s="100"/>
      <c r="Q931" s="100"/>
      <c r="R931" s="100"/>
      <c r="S931" s="100"/>
      <c r="T931" s="100"/>
      <c r="U931" s="100"/>
      <c r="V931" s="100"/>
      <c r="W931" s="100"/>
      <c r="X931" s="100"/>
      <c r="Y931" s="100"/>
      <c r="Z931" s="100"/>
      <c r="AA931" s="100"/>
      <c r="AB931" s="100"/>
      <c r="AC931" s="100"/>
      <c r="AD931" s="100"/>
    </row>
    <row r="932">
      <c r="A932" s="118"/>
      <c r="B932" s="118"/>
      <c r="C932" s="118"/>
      <c r="D932" s="119"/>
      <c r="E932" s="119"/>
      <c r="F932" s="119"/>
      <c r="G932" s="100"/>
      <c r="H932" s="100"/>
      <c r="I932" s="100"/>
      <c r="J932" s="100"/>
      <c r="K932" s="100"/>
      <c r="L932" s="100"/>
      <c r="M932" s="100"/>
      <c r="N932" s="100"/>
      <c r="O932" s="100"/>
      <c r="P932" s="100"/>
      <c r="Q932" s="100"/>
      <c r="R932" s="100"/>
      <c r="S932" s="100"/>
      <c r="T932" s="100"/>
      <c r="U932" s="100"/>
      <c r="V932" s="100"/>
      <c r="W932" s="100"/>
      <c r="X932" s="100"/>
      <c r="Y932" s="100"/>
      <c r="Z932" s="100"/>
      <c r="AA932" s="100"/>
      <c r="AB932" s="100"/>
      <c r="AC932" s="100"/>
      <c r="AD932" s="100"/>
    </row>
    <row r="933">
      <c r="A933" s="118"/>
      <c r="B933" s="118"/>
      <c r="C933" s="118"/>
      <c r="D933" s="119"/>
      <c r="E933" s="119"/>
      <c r="F933" s="119"/>
      <c r="G933" s="100"/>
      <c r="H933" s="100"/>
      <c r="I933" s="100"/>
      <c r="J933" s="100"/>
      <c r="K933" s="100"/>
      <c r="L933" s="100"/>
      <c r="M933" s="100"/>
      <c r="N933" s="100"/>
      <c r="O933" s="100"/>
      <c r="P933" s="100"/>
      <c r="Q933" s="100"/>
      <c r="R933" s="100"/>
      <c r="S933" s="100"/>
      <c r="T933" s="100"/>
      <c r="U933" s="100"/>
      <c r="V933" s="100"/>
      <c r="W933" s="100"/>
      <c r="X933" s="100"/>
      <c r="Y933" s="100"/>
      <c r="Z933" s="100"/>
      <c r="AA933" s="100"/>
      <c r="AB933" s="100"/>
      <c r="AC933" s="100"/>
      <c r="AD933" s="100"/>
    </row>
    <row r="934">
      <c r="A934" s="118"/>
      <c r="B934" s="118"/>
      <c r="C934" s="118"/>
      <c r="D934" s="119"/>
      <c r="E934" s="119"/>
      <c r="F934" s="119"/>
      <c r="G934" s="100"/>
      <c r="H934" s="100"/>
      <c r="I934" s="100"/>
      <c r="J934" s="100"/>
      <c r="K934" s="100"/>
      <c r="L934" s="100"/>
      <c r="M934" s="100"/>
      <c r="N934" s="100"/>
      <c r="O934" s="100"/>
      <c r="P934" s="100"/>
      <c r="Q934" s="100"/>
      <c r="R934" s="100"/>
      <c r="S934" s="100"/>
      <c r="T934" s="100"/>
      <c r="U934" s="100"/>
      <c r="V934" s="100"/>
      <c r="W934" s="100"/>
      <c r="X934" s="100"/>
      <c r="Y934" s="100"/>
      <c r="Z934" s="100"/>
      <c r="AA934" s="100"/>
      <c r="AB934" s="100"/>
      <c r="AC934" s="100"/>
      <c r="AD934" s="100"/>
    </row>
    <row r="935">
      <c r="A935" s="118"/>
      <c r="B935" s="118"/>
      <c r="C935" s="118"/>
      <c r="D935" s="119"/>
      <c r="E935" s="119"/>
      <c r="F935" s="119"/>
      <c r="G935" s="100"/>
      <c r="H935" s="100"/>
      <c r="I935" s="100"/>
      <c r="J935" s="100"/>
      <c r="K935" s="100"/>
      <c r="L935" s="100"/>
      <c r="M935" s="100"/>
      <c r="N935" s="100"/>
      <c r="O935" s="100"/>
      <c r="P935" s="100"/>
      <c r="Q935" s="100"/>
      <c r="R935" s="100"/>
      <c r="S935" s="100"/>
      <c r="T935" s="100"/>
      <c r="U935" s="100"/>
      <c r="V935" s="100"/>
      <c r="W935" s="100"/>
      <c r="X935" s="100"/>
      <c r="Y935" s="100"/>
      <c r="Z935" s="100"/>
      <c r="AA935" s="100"/>
      <c r="AB935" s="100"/>
      <c r="AC935" s="100"/>
      <c r="AD935" s="100"/>
    </row>
    <row r="936">
      <c r="A936" s="118"/>
      <c r="B936" s="118"/>
      <c r="C936" s="118"/>
      <c r="D936" s="119"/>
      <c r="E936" s="119"/>
      <c r="F936" s="119"/>
      <c r="G936" s="100"/>
      <c r="H936" s="100"/>
      <c r="I936" s="100"/>
      <c r="J936" s="100"/>
      <c r="K936" s="100"/>
      <c r="L936" s="100"/>
      <c r="M936" s="100"/>
      <c r="N936" s="100"/>
      <c r="O936" s="100"/>
      <c r="P936" s="100"/>
      <c r="Q936" s="100"/>
      <c r="R936" s="100"/>
      <c r="S936" s="100"/>
      <c r="T936" s="100"/>
      <c r="U936" s="100"/>
      <c r="V936" s="100"/>
      <c r="W936" s="100"/>
      <c r="X936" s="100"/>
      <c r="Y936" s="100"/>
      <c r="Z936" s="100"/>
      <c r="AA936" s="100"/>
      <c r="AB936" s="100"/>
      <c r="AC936" s="100"/>
      <c r="AD936" s="100"/>
    </row>
    <row r="937">
      <c r="A937" s="118"/>
      <c r="B937" s="118"/>
      <c r="C937" s="118"/>
      <c r="D937" s="119"/>
      <c r="E937" s="119"/>
      <c r="F937" s="119"/>
      <c r="G937" s="100"/>
      <c r="H937" s="100"/>
      <c r="I937" s="100"/>
      <c r="J937" s="100"/>
      <c r="K937" s="100"/>
      <c r="L937" s="100"/>
      <c r="M937" s="100"/>
      <c r="N937" s="100"/>
      <c r="O937" s="100"/>
      <c r="P937" s="100"/>
      <c r="Q937" s="100"/>
      <c r="R937" s="100"/>
      <c r="S937" s="100"/>
      <c r="T937" s="100"/>
      <c r="U937" s="100"/>
      <c r="V937" s="100"/>
      <c r="W937" s="100"/>
      <c r="X937" s="100"/>
      <c r="Y937" s="100"/>
      <c r="Z937" s="100"/>
      <c r="AA937" s="100"/>
      <c r="AB937" s="100"/>
      <c r="AC937" s="100"/>
      <c r="AD937" s="100"/>
    </row>
    <row r="938">
      <c r="A938" s="118"/>
      <c r="B938" s="118"/>
      <c r="C938" s="118"/>
      <c r="D938" s="119"/>
      <c r="E938" s="119"/>
      <c r="F938" s="119"/>
      <c r="G938" s="100"/>
      <c r="H938" s="100"/>
      <c r="I938" s="100"/>
      <c r="J938" s="100"/>
      <c r="K938" s="100"/>
      <c r="L938" s="100"/>
      <c r="M938" s="100"/>
      <c r="N938" s="100"/>
      <c r="O938" s="100"/>
      <c r="P938" s="100"/>
      <c r="Q938" s="100"/>
      <c r="R938" s="100"/>
      <c r="S938" s="100"/>
      <c r="T938" s="100"/>
      <c r="U938" s="100"/>
      <c r="V938" s="100"/>
      <c r="W938" s="100"/>
      <c r="X938" s="100"/>
      <c r="Y938" s="100"/>
      <c r="Z938" s="100"/>
      <c r="AA938" s="100"/>
      <c r="AB938" s="100"/>
      <c r="AC938" s="100"/>
      <c r="AD938" s="100"/>
    </row>
    <row r="939">
      <c r="A939" s="118"/>
      <c r="B939" s="118"/>
      <c r="C939" s="118"/>
      <c r="D939" s="119"/>
      <c r="E939" s="119"/>
      <c r="F939" s="119"/>
      <c r="G939" s="100"/>
      <c r="H939" s="100"/>
      <c r="I939" s="100"/>
      <c r="J939" s="100"/>
      <c r="K939" s="100"/>
      <c r="L939" s="100"/>
      <c r="M939" s="100"/>
      <c r="N939" s="100"/>
      <c r="O939" s="100"/>
      <c r="P939" s="100"/>
      <c r="Q939" s="100"/>
      <c r="R939" s="100"/>
      <c r="S939" s="100"/>
      <c r="T939" s="100"/>
      <c r="U939" s="100"/>
      <c r="V939" s="100"/>
      <c r="W939" s="100"/>
      <c r="X939" s="100"/>
      <c r="Y939" s="100"/>
      <c r="Z939" s="100"/>
      <c r="AA939" s="100"/>
      <c r="AB939" s="100"/>
      <c r="AC939" s="100"/>
      <c r="AD939" s="100"/>
    </row>
    <row r="940">
      <c r="A940" s="118"/>
      <c r="B940" s="118"/>
      <c r="C940" s="118"/>
      <c r="D940" s="119"/>
      <c r="E940" s="119"/>
      <c r="F940" s="119"/>
      <c r="G940" s="100"/>
      <c r="H940" s="100"/>
      <c r="I940" s="100"/>
      <c r="J940" s="100"/>
      <c r="K940" s="100"/>
      <c r="L940" s="100"/>
      <c r="M940" s="100"/>
      <c r="N940" s="100"/>
      <c r="O940" s="100"/>
      <c r="P940" s="100"/>
      <c r="Q940" s="100"/>
      <c r="R940" s="100"/>
      <c r="S940" s="100"/>
      <c r="T940" s="100"/>
      <c r="U940" s="100"/>
      <c r="V940" s="100"/>
      <c r="W940" s="100"/>
      <c r="X940" s="100"/>
      <c r="Y940" s="100"/>
      <c r="Z940" s="100"/>
      <c r="AA940" s="100"/>
      <c r="AB940" s="100"/>
      <c r="AC940" s="100"/>
      <c r="AD940" s="100"/>
    </row>
    <row r="941">
      <c r="A941" s="118"/>
      <c r="B941" s="118"/>
      <c r="C941" s="118"/>
      <c r="D941" s="119"/>
      <c r="E941" s="119"/>
      <c r="F941" s="119"/>
      <c r="G941" s="100"/>
      <c r="H941" s="100"/>
      <c r="I941" s="100"/>
      <c r="J941" s="100"/>
      <c r="K941" s="100"/>
      <c r="L941" s="100"/>
      <c r="M941" s="100"/>
      <c r="N941" s="100"/>
      <c r="O941" s="100"/>
      <c r="P941" s="100"/>
      <c r="Q941" s="100"/>
      <c r="R941" s="100"/>
      <c r="S941" s="100"/>
      <c r="T941" s="100"/>
      <c r="U941" s="100"/>
      <c r="V941" s="100"/>
      <c r="W941" s="100"/>
      <c r="X941" s="100"/>
      <c r="Y941" s="100"/>
      <c r="Z941" s="100"/>
      <c r="AA941" s="100"/>
      <c r="AB941" s="100"/>
      <c r="AC941" s="100"/>
      <c r="AD941" s="100"/>
    </row>
    <row r="942">
      <c r="A942" s="118"/>
      <c r="B942" s="118"/>
      <c r="C942" s="118"/>
      <c r="D942" s="119"/>
      <c r="E942" s="119"/>
      <c r="F942" s="119"/>
      <c r="G942" s="100"/>
      <c r="H942" s="100"/>
      <c r="I942" s="100"/>
      <c r="J942" s="100"/>
      <c r="K942" s="100"/>
      <c r="L942" s="100"/>
      <c r="M942" s="100"/>
      <c r="N942" s="100"/>
      <c r="O942" s="100"/>
      <c r="P942" s="100"/>
      <c r="Q942" s="100"/>
      <c r="R942" s="100"/>
      <c r="S942" s="100"/>
      <c r="T942" s="100"/>
      <c r="U942" s="100"/>
      <c r="V942" s="100"/>
      <c r="W942" s="100"/>
      <c r="X942" s="100"/>
      <c r="Y942" s="100"/>
      <c r="Z942" s="100"/>
      <c r="AA942" s="100"/>
      <c r="AB942" s="100"/>
      <c r="AC942" s="100"/>
      <c r="AD942" s="100"/>
    </row>
    <row r="943">
      <c r="A943" s="118"/>
      <c r="B943" s="118"/>
      <c r="C943" s="118"/>
      <c r="D943" s="119"/>
      <c r="E943" s="119"/>
      <c r="F943" s="119"/>
      <c r="G943" s="100"/>
      <c r="H943" s="100"/>
      <c r="I943" s="100"/>
      <c r="J943" s="100"/>
      <c r="K943" s="100"/>
      <c r="L943" s="100"/>
      <c r="M943" s="100"/>
      <c r="N943" s="100"/>
      <c r="O943" s="100"/>
      <c r="P943" s="100"/>
      <c r="Q943" s="100"/>
      <c r="R943" s="100"/>
      <c r="S943" s="100"/>
      <c r="T943" s="100"/>
      <c r="U943" s="100"/>
      <c r="V943" s="100"/>
      <c r="W943" s="100"/>
      <c r="X943" s="100"/>
      <c r="Y943" s="100"/>
      <c r="Z943" s="100"/>
      <c r="AA943" s="100"/>
      <c r="AB943" s="100"/>
      <c r="AC943" s="100"/>
      <c r="AD943" s="100"/>
    </row>
    <row r="944">
      <c r="A944" s="118"/>
      <c r="B944" s="118"/>
      <c r="C944" s="118"/>
      <c r="D944" s="119"/>
      <c r="E944" s="119"/>
      <c r="F944" s="119"/>
      <c r="G944" s="100"/>
      <c r="H944" s="100"/>
      <c r="I944" s="100"/>
      <c r="J944" s="100"/>
      <c r="K944" s="100"/>
      <c r="L944" s="100"/>
      <c r="M944" s="100"/>
      <c r="N944" s="100"/>
      <c r="O944" s="100"/>
      <c r="P944" s="100"/>
      <c r="Q944" s="100"/>
      <c r="R944" s="100"/>
      <c r="S944" s="100"/>
      <c r="T944" s="100"/>
      <c r="U944" s="100"/>
      <c r="V944" s="100"/>
      <c r="W944" s="100"/>
      <c r="X944" s="100"/>
      <c r="Y944" s="100"/>
      <c r="Z944" s="100"/>
      <c r="AA944" s="100"/>
      <c r="AB944" s="100"/>
      <c r="AC944" s="100"/>
      <c r="AD944" s="100"/>
    </row>
    <row r="945">
      <c r="A945" s="118"/>
      <c r="B945" s="118"/>
      <c r="C945" s="118"/>
      <c r="D945" s="119"/>
      <c r="E945" s="119"/>
      <c r="F945" s="119"/>
      <c r="G945" s="100"/>
      <c r="H945" s="100"/>
      <c r="I945" s="100"/>
      <c r="J945" s="100"/>
      <c r="K945" s="100"/>
      <c r="L945" s="100"/>
      <c r="M945" s="100"/>
      <c r="N945" s="100"/>
      <c r="O945" s="100"/>
      <c r="P945" s="100"/>
      <c r="Q945" s="100"/>
      <c r="R945" s="100"/>
      <c r="S945" s="100"/>
      <c r="T945" s="100"/>
      <c r="U945" s="100"/>
      <c r="V945" s="100"/>
      <c r="W945" s="100"/>
      <c r="X945" s="100"/>
      <c r="Y945" s="100"/>
      <c r="Z945" s="100"/>
      <c r="AA945" s="100"/>
      <c r="AB945" s="100"/>
      <c r="AC945" s="100"/>
      <c r="AD945" s="100"/>
    </row>
    <row r="946">
      <c r="A946" s="118"/>
      <c r="B946" s="118"/>
      <c r="C946" s="118"/>
      <c r="D946" s="119"/>
      <c r="E946" s="119"/>
      <c r="F946" s="119"/>
      <c r="G946" s="100"/>
      <c r="H946" s="100"/>
      <c r="I946" s="100"/>
      <c r="J946" s="100"/>
      <c r="K946" s="100"/>
      <c r="L946" s="100"/>
      <c r="M946" s="100"/>
      <c r="N946" s="100"/>
      <c r="O946" s="100"/>
      <c r="P946" s="100"/>
      <c r="Q946" s="100"/>
      <c r="R946" s="100"/>
      <c r="S946" s="100"/>
      <c r="T946" s="100"/>
      <c r="U946" s="100"/>
      <c r="V946" s="100"/>
      <c r="W946" s="100"/>
      <c r="X946" s="100"/>
      <c r="Y946" s="100"/>
      <c r="Z946" s="100"/>
      <c r="AA946" s="100"/>
      <c r="AB946" s="100"/>
      <c r="AC946" s="100"/>
      <c r="AD946" s="100"/>
    </row>
    <row r="947">
      <c r="A947" s="118"/>
      <c r="B947" s="118"/>
      <c r="C947" s="118"/>
      <c r="D947" s="119"/>
      <c r="E947" s="119"/>
      <c r="F947" s="119"/>
      <c r="G947" s="100"/>
      <c r="H947" s="100"/>
      <c r="I947" s="100"/>
      <c r="J947" s="100"/>
      <c r="K947" s="100"/>
      <c r="L947" s="100"/>
      <c r="M947" s="100"/>
      <c r="N947" s="100"/>
      <c r="O947" s="100"/>
      <c r="P947" s="100"/>
      <c r="Q947" s="100"/>
      <c r="R947" s="100"/>
      <c r="S947" s="100"/>
      <c r="T947" s="100"/>
      <c r="U947" s="100"/>
      <c r="V947" s="100"/>
      <c r="W947" s="100"/>
      <c r="X947" s="100"/>
      <c r="Y947" s="100"/>
      <c r="Z947" s="100"/>
      <c r="AA947" s="100"/>
      <c r="AB947" s="100"/>
      <c r="AC947" s="100"/>
      <c r="AD947" s="100"/>
    </row>
    <row r="948">
      <c r="A948" s="118"/>
      <c r="B948" s="118"/>
      <c r="C948" s="118"/>
      <c r="D948" s="119"/>
      <c r="E948" s="119"/>
      <c r="F948" s="119"/>
      <c r="G948" s="100"/>
      <c r="H948" s="100"/>
      <c r="I948" s="100"/>
      <c r="J948" s="100"/>
      <c r="K948" s="100"/>
      <c r="L948" s="100"/>
      <c r="M948" s="100"/>
      <c r="N948" s="100"/>
      <c r="O948" s="100"/>
      <c r="P948" s="100"/>
      <c r="Q948" s="100"/>
      <c r="R948" s="100"/>
      <c r="S948" s="100"/>
      <c r="T948" s="100"/>
      <c r="U948" s="100"/>
      <c r="V948" s="100"/>
      <c r="W948" s="100"/>
      <c r="X948" s="100"/>
      <c r="Y948" s="100"/>
      <c r="Z948" s="100"/>
      <c r="AA948" s="100"/>
      <c r="AB948" s="100"/>
      <c r="AC948" s="100"/>
      <c r="AD948" s="100"/>
    </row>
    <row r="949">
      <c r="A949" s="118"/>
      <c r="B949" s="118"/>
      <c r="C949" s="118"/>
      <c r="D949" s="119"/>
      <c r="E949" s="119"/>
      <c r="F949" s="119"/>
      <c r="G949" s="100"/>
      <c r="H949" s="100"/>
      <c r="I949" s="100"/>
      <c r="J949" s="100"/>
      <c r="K949" s="100"/>
      <c r="L949" s="100"/>
      <c r="M949" s="100"/>
      <c r="N949" s="100"/>
      <c r="O949" s="100"/>
      <c r="P949" s="100"/>
      <c r="Q949" s="100"/>
      <c r="R949" s="100"/>
      <c r="S949" s="100"/>
      <c r="T949" s="100"/>
      <c r="U949" s="100"/>
      <c r="V949" s="100"/>
      <c r="W949" s="100"/>
      <c r="X949" s="100"/>
      <c r="Y949" s="100"/>
      <c r="Z949" s="100"/>
      <c r="AA949" s="100"/>
      <c r="AB949" s="100"/>
      <c r="AC949" s="100"/>
      <c r="AD949" s="100"/>
    </row>
    <row r="950">
      <c r="A950" s="118"/>
      <c r="B950" s="118"/>
      <c r="C950" s="118"/>
      <c r="D950" s="119"/>
      <c r="E950" s="119"/>
      <c r="F950" s="119"/>
      <c r="G950" s="100"/>
      <c r="H950" s="100"/>
      <c r="I950" s="100"/>
      <c r="J950" s="100"/>
      <c r="K950" s="100"/>
      <c r="L950" s="100"/>
      <c r="M950" s="100"/>
      <c r="N950" s="100"/>
      <c r="O950" s="100"/>
      <c r="P950" s="100"/>
      <c r="Q950" s="100"/>
      <c r="R950" s="100"/>
      <c r="S950" s="100"/>
      <c r="T950" s="100"/>
      <c r="U950" s="100"/>
      <c r="V950" s="100"/>
      <c r="W950" s="100"/>
      <c r="X950" s="100"/>
      <c r="Y950" s="100"/>
      <c r="Z950" s="100"/>
      <c r="AA950" s="100"/>
      <c r="AB950" s="100"/>
      <c r="AC950" s="100"/>
      <c r="AD950" s="100"/>
    </row>
    <row r="951">
      <c r="A951" s="118"/>
      <c r="B951" s="118"/>
      <c r="C951" s="118"/>
      <c r="D951" s="119"/>
      <c r="E951" s="119"/>
      <c r="F951" s="119"/>
      <c r="G951" s="100"/>
      <c r="H951" s="100"/>
      <c r="I951" s="100"/>
      <c r="J951" s="100"/>
      <c r="K951" s="100"/>
      <c r="L951" s="100"/>
      <c r="M951" s="100"/>
      <c r="N951" s="100"/>
      <c r="O951" s="100"/>
      <c r="P951" s="100"/>
      <c r="Q951" s="100"/>
      <c r="R951" s="100"/>
      <c r="S951" s="100"/>
      <c r="T951" s="100"/>
      <c r="U951" s="100"/>
      <c r="V951" s="100"/>
      <c r="W951" s="100"/>
      <c r="X951" s="100"/>
      <c r="Y951" s="100"/>
      <c r="Z951" s="100"/>
      <c r="AA951" s="100"/>
      <c r="AB951" s="100"/>
      <c r="AC951" s="100"/>
      <c r="AD951" s="100"/>
    </row>
    <row r="952">
      <c r="A952" s="118"/>
      <c r="B952" s="118"/>
      <c r="C952" s="118"/>
      <c r="D952" s="119"/>
      <c r="E952" s="119"/>
      <c r="F952" s="119"/>
      <c r="G952" s="100"/>
      <c r="H952" s="100"/>
      <c r="I952" s="100"/>
      <c r="J952" s="100"/>
      <c r="K952" s="100"/>
      <c r="L952" s="100"/>
      <c r="M952" s="100"/>
      <c r="N952" s="100"/>
      <c r="O952" s="100"/>
      <c r="P952" s="100"/>
      <c r="Q952" s="100"/>
      <c r="R952" s="100"/>
      <c r="S952" s="100"/>
      <c r="T952" s="100"/>
      <c r="U952" s="100"/>
      <c r="V952" s="100"/>
      <c r="W952" s="100"/>
      <c r="X952" s="100"/>
      <c r="Y952" s="100"/>
      <c r="Z952" s="100"/>
      <c r="AA952" s="100"/>
      <c r="AB952" s="100"/>
      <c r="AC952" s="100"/>
      <c r="AD952" s="100"/>
    </row>
    <row r="953">
      <c r="A953" s="118"/>
      <c r="B953" s="118"/>
      <c r="C953" s="118"/>
      <c r="D953" s="119"/>
      <c r="E953" s="119"/>
      <c r="F953" s="119"/>
      <c r="G953" s="100"/>
      <c r="H953" s="100"/>
      <c r="I953" s="100"/>
      <c r="J953" s="100"/>
      <c r="K953" s="100"/>
      <c r="L953" s="100"/>
      <c r="M953" s="100"/>
      <c r="N953" s="100"/>
      <c r="O953" s="100"/>
      <c r="P953" s="100"/>
      <c r="Q953" s="100"/>
      <c r="R953" s="100"/>
      <c r="S953" s="100"/>
      <c r="T953" s="100"/>
      <c r="U953" s="100"/>
      <c r="V953" s="100"/>
      <c r="W953" s="100"/>
      <c r="X953" s="100"/>
      <c r="Y953" s="100"/>
      <c r="Z953" s="100"/>
      <c r="AA953" s="100"/>
      <c r="AB953" s="100"/>
      <c r="AC953" s="100"/>
      <c r="AD953" s="100"/>
    </row>
    <row r="954">
      <c r="A954" s="118"/>
      <c r="B954" s="118"/>
      <c r="C954" s="118"/>
      <c r="D954" s="119"/>
      <c r="E954" s="119"/>
      <c r="F954" s="119"/>
      <c r="G954" s="100"/>
      <c r="H954" s="100"/>
      <c r="I954" s="100"/>
      <c r="J954" s="100"/>
      <c r="K954" s="100"/>
      <c r="L954" s="100"/>
      <c r="M954" s="100"/>
      <c r="N954" s="100"/>
      <c r="O954" s="100"/>
      <c r="P954" s="100"/>
      <c r="Q954" s="100"/>
      <c r="R954" s="100"/>
      <c r="S954" s="100"/>
      <c r="T954" s="100"/>
      <c r="U954" s="100"/>
      <c r="V954" s="100"/>
      <c r="W954" s="100"/>
      <c r="X954" s="100"/>
      <c r="Y954" s="100"/>
      <c r="Z954" s="100"/>
      <c r="AA954" s="100"/>
      <c r="AB954" s="100"/>
      <c r="AC954" s="100"/>
      <c r="AD954" s="100"/>
    </row>
    <row r="955">
      <c r="A955" s="118"/>
      <c r="B955" s="118"/>
      <c r="C955" s="118"/>
      <c r="D955" s="119"/>
      <c r="E955" s="119"/>
      <c r="F955" s="119"/>
      <c r="G955" s="100"/>
      <c r="H955" s="100"/>
      <c r="I955" s="100"/>
      <c r="J955" s="100"/>
      <c r="K955" s="100"/>
      <c r="L955" s="100"/>
      <c r="M955" s="100"/>
      <c r="N955" s="100"/>
      <c r="O955" s="100"/>
      <c r="P955" s="100"/>
      <c r="Q955" s="100"/>
      <c r="R955" s="100"/>
      <c r="S955" s="100"/>
      <c r="T955" s="100"/>
      <c r="U955" s="100"/>
      <c r="V955" s="100"/>
      <c r="W955" s="100"/>
      <c r="X955" s="100"/>
      <c r="Y955" s="100"/>
      <c r="Z955" s="100"/>
      <c r="AA955" s="100"/>
      <c r="AB955" s="100"/>
      <c r="AC955" s="100"/>
      <c r="AD955" s="100"/>
    </row>
    <row r="956">
      <c r="A956" s="118"/>
      <c r="B956" s="118"/>
      <c r="C956" s="118"/>
      <c r="D956" s="119"/>
      <c r="E956" s="119"/>
      <c r="F956" s="119"/>
      <c r="G956" s="100"/>
      <c r="H956" s="100"/>
      <c r="I956" s="100"/>
      <c r="J956" s="100"/>
      <c r="K956" s="100"/>
      <c r="L956" s="100"/>
      <c r="M956" s="100"/>
      <c r="N956" s="100"/>
      <c r="O956" s="100"/>
      <c r="P956" s="100"/>
      <c r="Q956" s="100"/>
      <c r="R956" s="100"/>
      <c r="S956" s="100"/>
      <c r="T956" s="100"/>
      <c r="U956" s="100"/>
      <c r="V956" s="100"/>
      <c r="W956" s="100"/>
      <c r="X956" s="100"/>
      <c r="Y956" s="100"/>
      <c r="Z956" s="100"/>
      <c r="AA956" s="100"/>
      <c r="AB956" s="100"/>
      <c r="AC956" s="100"/>
      <c r="AD956" s="100"/>
    </row>
    <row r="957">
      <c r="A957" s="118"/>
      <c r="B957" s="118"/>
      <c r="C957" s="118"/>
      <c r="D957" s="119"/>
      <c r="E957" s="119"/>
      <c r="F957" s="119"/>
      <c r="G957" s="100"/>
      <c r="H957" s="100"/>
      <c r="I957" s="100"/>
      <c r="J957" s="100"/>
      <c r="K957" s="100"/>
      <c r="L957" s="100"/>
      <c r="M957" s="100"/>
      <c r="N957" s="100"/>
      <c r="O957" s="100"/>
      <c r="P957" s="100"/>
      <c r="Q957" s="100"/>
      <c r="R957" s="100"/>
      <c r="S957" s="100"/>
      <c r="T957" s="100"/>
      <c r="U957" s="100"/>
      <c r="V957" s="100"/>
      <c r="W957" s="100"/>
      <c r="X957" s="100"/>
      <c r="Y957" s="100"/>
      <c r="Z957" s="100"/>
      <c r="AA957" s="100"/>
      <c r="AB957" s="100"/>
      <c r="AC957" s="100"/>
      <c r="AD957" s="100"/>
    </row>
    <row r="958">
      <c r="A958" s="118"/>
      <c r="B958" s="118"/>
      <c r="C958" s="118"/>
      <c r="D958" s="119"/>
      <c r="E958" s="119"/>
      <c r="F958" s="119"/>
      <c r="G958" s="100"/>
      <c r="H958" s="100"/>
      <c r="I958" s="100"/>
      <c r="J958" s="100"/>
      <c r="K958" s="100"/>
      <c r="L958" s="100"/>
      <c r="M958" s="100"/>
      <c r="N958" s="100"/>
      <c r="O958" s="100"/>
      <c r="P958" s="100"/>
      <c r="Q958" s="100"/>
      <c r="R958" s="100"/>
      <c r="S958" s="100"/>
      <c r="T958" s="100"/>
      <c r="U958" s="100"/>
      <c r="V958" s="100"/>
      <c r="W958" s="100"/>
      <c r="X958" s="100"/>
      <c r="Y958" s="100"/>
      <c r="Z958" s="100"/>
      <c r="AA958" s="100"/>
      <c r="AB958" s="100"/>
      <c r="AC958" s="100"/>
      <c r="AD958" s="100"/>
    </row>
    <row r="959">
      <c r="A959" s="118"/>
      <c r="B959" s="118"/>
      <c r="C959" s="118"/>
      <c r="D959" s="119"/>
      <c r="E959" s="119"/>
      <c r="F959" s="119"/>
      <c r="G959" s="100"/>
      <c r="H959" s="100"/>
      <c r="I959" s="100"/>
      <c r="J959" s="100"/>
      <c r="K959" s="100"/>
      <c r="L959" s="100"/>
      <c r="M959" s="100"/>
      <c r="N959" s="100"/>
      <c r="O959" s="100"/>
      <c r="P959" s="100"/>
      <c r="Q959" s="100"/>
      <c r="R959" s="100"/>
      <c r="S959" s="100"/>
      <c r="T959" s="100"/>
      <c r="U959" s="100"/>
      <c r="V959" s="100"/>
      <c r="W959" s="100"/>
      <c r="X959" s="100"/>
      <c r="Y959" s="100"/>
      <c r="Z959" s="100"/>
      <c r="AA959" s="100"/>
      <c r="AB959" s="100"/>
      <c r="AC959" s="100"/>
      <c r="AD959" s="100"/>
    </row>
    <row r="960">
      <c r="A960" s="118"/>
      <c r="B960" s="118"/>
      <c r="C960" s="118"/>
      <c r="D960" s="119"/>
      <c r="E960" s="119"/>
      <c r="F960" s="119"/>
      <c r="G960" s="100"/>
      <c r="H960" s="100"/>
      <c r="I960" s="100"/>
      <c r="J960" s="100"/>
      <c r="K960" s="100"/>
      <c r="L960" s="100"/>
      <c r="M960" s="100"/>
      <c r="N960" s="100"/>
      <c r="O960" s="100"/>
      <c r="P960" s="100"/>
      <c r="Q960" s="100"/>
      <c r="R960" s="100"/>
      <c r="S960" s="100"/>
      <c r="T960" s="100"/>
      <c r="U960" s="100"/>
      <c r="V960" s="100"/>
      <c r="W960" s="100"/>
      <c r="X960" s="100"/>
      <c r="Y960" s="100"/>
      <c r="Z960" s="100"/>
      <c r="AA960" s="100"/>
      <c r="AB960" s="100"/>
      <c r="AC960" s="100"/>
      <c r="AD960" s="100"/>
    </row>
    <row r="961">
      <c r="A961" s="118"/>
      <c r="B961" s="118"/>
      <c r="C961" s="118"/>
      <c r="D961" s="119"/>
      <c r="E961" s="119"/>
      <c r="F961" s="119"/>
      <c r="G961" s="100"/>
      <c r="H961" s="100"/>
      <c r="I961" s="100"/>
      <c r="J961" s="100"/>
      <c r="K961" s="100"/>
      <c r="L961" s="100"/>
      <c r="M961" s="100"/>
      <c r="N961" s="100"/>
      <c r="O961" s="100"/>
      <c r="P961" s="100"/>
      <c r="Q961" s="100"/>
      <c r="R961" s="100"/>
      <c r="S961" s="100"/>
      <c r="T961" s="100"/>
      <c r="U961" s="100"/>
      <c r="V961" s="100"/>
      <c r="W961" s="100"/>
      <c r="X961" s="100"/>
      <c r="Y961" s="100"/>
      <c r="Z961" s="100"/>
      <c r="AA961" s="100"/>
      <c r="AB961" s="100"/>
      <c r="AC961" s="100"/>
      <c r="AD961" s="100"/>
    </row>
    <row r="962">
      <c r="A962" s="118"/>
      <c r="B962" s="118"/>
      <c r="C962" s="118"/>
      <c r="D962" s="119"/>
      <c r="E962" s="119"/>
      <c r="F962" s="119"/>
      <c r="G962" s="100"/>
      <c r="H962" s="100"/>
      <c r="I962" s="100"/>
      <c r="J962" s="100"/>
      <c r="K962" s="100"/>
      <c r="L962" s="100"/>
      <c r="M962" s="100"/>
      <c r="N962" s="100"/>
      <c r="O962" s="100"/>
      <c r="P962" s="100"/>
      <c r="Q962" s="100"/>
      <c r="R962" s="100"/>
      <c r="S962" s="100"/>
      <c r="T962" s="100"/>
      <c r="U962" s="100"/>
      <c r="V962" s="100"/>
      <c r="W962" s="100"/>
      <c r="X962" s="100"/>
      <c r="Y962" s="100"/>
      <c r="Z962" s="100"/>
      <c r="AA962" s="100"/>
      <c r="AB962" s="100"/>
      <c r="AC962" s="100"/>
      <c r="AD962" s="100"/>
    </row>
    <row r="963">
      <c r="A963" s="118"/>
      <c r="B963" s="118"/>
      <c r="C963" s="118"/>
      <c r="D963" s="119"/>
      <c r="E963" s="119"/>
      <c r="F963" s="119"/>
      <c r="G963" s="100"/>
      <c r="H963" s="100"/>
      <c r="I963" s="100"/>
      <c r="J963" s="100"/>
      <c r="K963" s="100"/>
      <c r="L963" s="100"/>
      <c r="M963" s="100"/>
      <c r="N963" s="100"/>
      <c r="O963" s="100"/>
      <c r="P963" s="100"/>
      <c r="Q963" s="100"/>
      <c r="R963" s="100"/>
      <c r="S963" s="100"/>
      <c r="T963" s="100"/>
      <c r="U963" s="100"/>
      <c r="V963" s="100"/>
      <c r="W963" s="100"/>
      <c r="X963" s="100"/>
      <c r="Y963" s="100"/>
      <c r="Z963" s="100"/>
      <c r="AA963" s="100"/>
      <c r="AB963" s="100"/>
      <c r="AC963" s="100"/>
      <c r="AD963" s="100"/>
    </row>
    <row r="964">
      <c r="A964" s="118"/>
      <c r="B964" s="118"/>
      <c r="C964" s="118"/>
      <c r="D964" s="119"/>
      <c r="E964" s="119"/>
      <c r="F964" s="119"/>
      <c r="G964" s="100"/>
      <c r="H964" s="100"/>
      <c r="I964" s="100"/>
      <c r="J964" s="100"/>
      <c r="K964" s="100"/>
      <c r="L964" s="100"/>
      <c r="M964" s="100"/>
      <c r="N964" s="100"/>
      <c r="O964" s="100"/>
      <c r="P964" s="100"/>
      <c r="Q964" s="100"/>
      <c r="R964" s="100"/>
      <c r="S964" s="100"/>
      <c r="T964" s="100"/>
      <c r="U964" s="100"/>
      <c r="V964" s="100"/>
      <c r="W964" s="100"/>
      <c r="X964" s="100"/>
      <c r="Y964" s="100"/>
      <c r="Z964" s="100"/>
      <c r="AA964" s="100"/>
      <c r="AB964" s="100"/>
      <c r="AC964" s="100"/>
      <c r="AD964" s="100"/>
    </row>
    <row r="965">
      <c r="A965" s="118"/>
      <c r="B965" s="118"/>
      <c r="C965" s="118"/>
      <c r="D965" s="119"/>
      <c r="E965" s="119"/>
      <c r="F965" s="119"/>
      <c r="G965" s="100"/>
      <c r="H965" s="100"/>
      <c r="I965" s="100"/>
      <c r="J965" s="100"/>
      <c r="K965" s="100"/>
      <c r="L965" s="100"/>
      <c r="M965" s="100"/>
      <c r="N965" s="100"/>
      <c r="O965" s="100"/>
      <c r="P965" s="100"/>
      <c r="Q965" s="100"/>
      <c r="R965" s="100"/>
      <c r="S965" s="100"/>
      <c r="T965" s="100"/>
      <c r="U965" s="100"/>
      <c r="V965" s="100"/>
      <c r="W965" s="100"/>
      <c r="X965" s="100"/>
      <c r="Y965" s="100"/>
      <c r="Z965" s="100"/>
      <c r="AA965" s="100"/>
      <c r="AB965" s="100"/>
      <c r="AC965" s="100"/>
      <c r="AD965" s="100"/>
    </row>
    <row r="966">
      <c r="A966" s="118"/>
      <c r="B966" s="118"/>
      <c r="C966" s="118"/>
      <c r="D966" s="119"/>
      <c r="E966" s="119"/>
      <c r="F966" s="119"/>
      <c r="G966" s="100"/>
      <c r="H966" s="100"/>
      <c r="I966" s="100"/>
      <c r="J966" s="100"/>
      <c r="K966" s="100"/>
      <c r="L966" s="100"/>
      <c r="M966" s="100"/>
      <c r="N966" s="100"/>
      <c r="O966" s="100"/>
      <c r="P966" s="100"/>
      <c r="Q966" s="100"/>
      <c r="R966" s="100"/>
      <c r="S966" s="100"/>
      <c r="T966" s="100"/>
      <c r="U966" s="100"/>
      <c r="V966" s="100"/>
      <c r="W966" s="100"/>
      <c r="X966" s="100"/>
      <c r="Y966" s="100"/>
      <c r="Z966" s="100"/>
      <c r="AA966" s="100"/>
      <c r="AB966" s="100"/>
      <c r="AC966" s="100"/>
      <c r="AD966" s="100"/>
    </row>
    <row r="967">
      <c r="A967" s="118"/>
      <c r="B967" s="118"/>
      <c r="C967" s="118"/>
      <c r="D967" s="119"/>
      <c r="E967" s="119"/>
      <c r="F967" s="119"/>
      <c r="G967" s="100"/>
      <c r="H967" s="100"/>
      <c r="I967" s="100"/>
      <c r="J967" s="100"/>
      <c r="K967" s="100"/>
      <c r="L967" s="100"/>
      <c r="M967" s="100"/>
      <c r="N967" s="100"/>
      <c r="O967" s="100"/>
      <c r="P967" s="100"/>
      <c r="Q967" s="100"/>
      <c r="R967" s="100"/>
      <c r="S967" s="100"/>
      <c r="T967" s="100"/>
      <c r="U967" s="100"/>
      <c r="V967" s="100"/>
      <c r="W967" s="100"/>
      <c r="X967" s="100"/>
      <c r="Y967" s="100"/>
      <c r="Z967" s="100"/>
      <c r="AA967" s="100"/>
      <c r="AB967" s="100"/>
      <c r="AC967" s="100"/>
      <c r="AD967" s="100"/>
    </row>
    <row r="968">
      <c r="A968" s="118"/>
      <c r="B968" s="118"/>
      <c r="C968" s="118"/>
      <c r="D968" s="119"/>
      <c r="E968" s="119"/>
      <c r="F968" s="119"/>
      <c r="G968" s="100"/>
      <c r="H968" s="100"/>
      <c r="I968" s="100"/>
      <c r="J968" s="100"/>
      <c r="K968" s="100"/>
      <c r="L968" s="100"/>
      <c r="M968" s="100"/>
      <c r="N968" s="100"/>
      <c r="O968" s="100"/>
      <c r="P968" s="100"/>
      <c r="Q968" s="100"/>
      <c r="R968" s="100"/>
      <c r="S968" s="100"/>
      <c r="T968" s="100"/>
      <c r="U968" s="100"/>
      <c r="V968" s="100"/>
      <c r="W968" s="100"/>
      <c r="X968" s="100"/>
      <c r="Y968" s="100"/>
      <c r="Z968" s="100"/>
      <c r="AA968" s="100"/>
      <c r="AB968" s="100"/>
      <c r="AC968" s="100"/>
      <c r="AD968" s="100"/>
    </row>
    <row r="969">
      <c r="A969" s="118"/>
      <c r="B969" s="118"/>
      <c r="C969" s="118"/>
      <c r="D969" s="119"/>
      <c r="E969" s="119"/>
      <c r="F969" s="119"/>
      <c r="G969" s="100"/>
      <c r="H969" s="100"/>
      <c r="I969" s="100"/>
      <c r="J969" s="100"/>
      <c r="K969" s="100"/>
      <c r="L969" s="100"/>
      <c r="M969" s="100"/>
      <c r="N969" s="100"/>
      <c r="O969" s="100"/>
      <c r="P969" s="100"/>
      <c r="Q969" s="100"/>
      <c r="R969" s="100"/>
      <c r="S969" s="100"/>
      <c r="T969" s="100"/>
      <c r="U969" s="100"/>
      <c r="V969" s="100"/>
      <c r="W969" s="100"/>
      <c r="X969" s="100"/>
      <c r="Y969" s="100"/>
      <c r="Z969" s="100"/>
      <c r="AA969" s="100"/>
      <c r="AB969" s="100"/>
      <c r="AC969" s="100"/>
      <c r="AD969" s="100"/>
    </row>
    <row r="970">
      <c r="A970" s="118"/>
      <c r="B970" s="118"/>
      <c r="C970" s="118"/>
      <c r="D970" s="119"/>
      <c r="E970" s="119"/>
      <c r="F970" s="119"/>
      <c r="G970" s="100"/>
      <c r="H970" s="100"/>
      <c r="I970" s="100"/>
      <c r="J970" s="100"/>
      <c r="K970" s="100"/>
      <c r="L970" s="100"/>
      <c r="M970" s="100"/>
      <c r="N970" s="100"/>
      <c r="O970" s="100"/>
      <c r="P970" s="100"/>
      <c r="Q970" s="100"/>
      <c r="R970" s="100"/>
      <c r="S970" s="100"/>
      <c r="T970" s="100"/>
      <c r="U970" s="100"/>
      <c r="V970" s="100"/>
      <c r="W970" s="100"/>
      <c r="X970" s="100"/>
      <c r="Y970" s="100"/>
      <c r="Z970" s="100"/>
      <c r="AA970" s="100"/>
      <c r="AB970" s="100"/>
      <c r="AC970" s="100"/>
      <c r="AD970" s="100"/>
    </row>
    <row r="971">
      <c r="A971" s="118"/>
      <c r="B971" s="118"/>
      <c r="C971" s="118"/>
      <c r="D971" s="119"/>
      <c r="E971" s="119"/>
      <c r="F971" s="119"/>
      <c r="G971" s="100"/>
      <c r="H971" s="100"/>
      <c r="I971" s="100"/>
      <c r="J971" s="100"/>
      <c r="K971" s="100"/>
      <c r="L971" s="100"/>
      <c r="M971" s="100"/>
      <c r="N971" s="100"/>
      <c r="O971" s="100"/>
      <c r="P971" s="100"/>
      <c r="Q971" s="100"/>
      <c r="R971" s="100"/>
      <c r="S971" s="100"/>
      <c r="T971" s="100"/>
      <c r="U971" s="100"/>
      <c r="V971" s="100"/>
      <c r="W971" s="100"/>
      <c r="X971" s="100"/>
      <c r="Y971" s="100"/>
      <c r="Z971" s="100"/>
      <c r="AA971" s="100"/>
      <c r="AB971" s="100"/>
      <c r="AC971" s="100"/>
      <c r="AD971" s="100"/>
    </row>
    <row r="972">
      <c r="A972" s="118"/>
      <c r="B972" s="118"/>
      <c r="C972" s="118"/>
      <c r="D972" s="119"/>
      <c r="E972" s="119"/>
      <c r="F972" s="119"/>
      <c r="G972" s="100"/>
      <c r="H972" s="100"/>
      <c r="I972" s="100"/>
      <c r="J972" s="100"/>
      <c r="K972" s="100"/>
      <c r="L972" s="100"/>
      <c r="M972" s="100"/>
      <c r="N972" s="100"/>
      <c r="O972" s="100"/>
      <c r="P972" s="100"/>
      <c r="Q972" s="100"/>
      <c r="R972" s="100"/>
      <c r="S972" s="100"/>
      <c r="T972" s="100"/>
      <c r="U972" s="100"/>
      <c r="V972" s="100"/>
      <c r="W972" s="100"/>
      <c r="X972" s="100"/>
      <c r="Y972" s="100"/>
      <c r="Z972" s="100"/>
      <c r="AA972" s="100"/>
      <c r="AB972" s="100"/>
      <c r="AC972" s="100"/>
      <c r="AD972" s="100"/>
    </row>
    <row r="973">
      <c r="A973" s="118"/>
      <c r="B973" s="118"/>
      <c r="C973" s="118"/>
      <c r="D973" s="119"/>
      <c r="E973" s="119"/>
      <c r="F973" s="119"/>
      <c r="G973" s="100"/>
      <c r="H973" s="100"/>
      <c r="I973" s="100"/>
      <c r="J973" s="100"/>
      <c r="K973" s="100"/>
      <c r="L973" s="100"/>
      <c r="M973" s="100"/>
      <c r="N973" s="100"/>
      <c r="O973" s="100"/>
      <c r="P973" s="100"/>
      <c r="Q973" s="100"/>
      <c r="R973" s="100"/>
      <c r="S973" s="100"/>
      <c r="T973" s="100"/>
      <c r="U973" s="100"/>
      <c r="V973" s="100"/>
      <c r="W973" s="100"/>
      <c r="X973" s="100"/>
      <c r="Y973" s="100"/>
      <c r="Z973" s="100"/>
      <c r="AA973" s="100"/>
      <c r="AB973" s="100"/>
      <c r="AC973" s="100"/>
      <c r="AD973" s="100"/>
    </row>
    <row r="974">
      <c r="A974" s="118"/>
      <c r="B974" s="118"/>
      <c r="C974" s="118"/>
      <c r="D974" s="119"/>
      <c r="E974" s="119"/>
      <c r="F974" s="119"/>
      <c r="G974" s="100"/>
      <c r="H974" s="100"/>
      <c r="I974" s="100"/>
      <c r="J974" s="100"/>
      <c r="K974" s="100"/>
      <c r="L974" s="100"/>
      <c r="M974" s="100"/>
      <c r="N974" s="100"/>
      <c r="O974" s="100"/>
      <c r="P974" s="100"/>
      <c r="Q974" s="100"/>
      <c r="R974" s="100"/>
      <c r="S974" s="100"/>
      <c r="T974" s="100"/>
      <c r="U974" s="100"/>
      <c r="V974" s="100"/>
      <c r="W974" s="100"/>
      <c r="X974" s="100"/>
      <c r="Y974" s="100"/>
      <c r="Z974" s="100"/>
      <c r="AA974" s="100"/>
      <c r="AB974" s="100"/>
      <c r="AC974" s="100"/>
      <c r="AD974" s="100"/>
    </row>
    <row r="975">
      <c r="A975" s="118"/>
      <c r="B975" s="118"/>
      <c r="C975" s="118"/>
      <c r="D975" s="119"/>
      <c r="E975" s="119"/>
      <c r="F975" s="119"/>
      <c r="G975" s="100"/>
      <c r="H975" s="100"/>
      <c r="I975" s="100"/>
      <c r="J975" s="100"/>
      <c r="K975" s="100"/>
      <c r="L975" s="100"/>
      <c r="M975" s="100"/>
      <c r="N975" s="100"/>
      <c r="O975" s="100"/>
      <c r="P975" s="100"/>
      <c r="Q975" s="100"/>
      <c r="R975" s="100"/>
      <c r="S975" s="100"/>
      <c r="T975" s="100"/>
      <c r="U975" s="100"/>
      <c r="V975" s="100"/>
      <c r="W975" s="100"/>
      <c r="X975" s="100"/>
      <c r="Y975" s="100"/>
      <c r="Z975" s="100"/>
      <c r="AA975" s="100"/>
      <c r="AB975" s="100"/>
      <c r="AC975" s="100"/>
      <c r="AD975" s="100"/>
    </row>
    <row r="976">
      <c r="A976" s="118"/>
      <c r="B976" s="118"/>
      <c r="C976" s="118"/>
      <c r="D976" s="119"/>
      <c r="E976" s="119"/>
      <c r="F976" s="119"/>
      <c r="G976" s="100"/>
      <c r="H976" s="100"/>
      <c r="I976" s="100"/>
      <c r="J976" s="100"/>
      <c r="K976" s="100"/>
      <c r="L976" s="100"/>
      <c r="M976" s="100"/>
      <c r="N976" s="100"/>
      <c r="O976" s="100"/>
      <c r="P976" s="100"/>
      <c r="Q976" s="100"/>
      <c r="R976" s="100"/>
      <c r="S976" s="100"/>
      <c r="T976" s="100"/>
      <c r="U976" s="100"/>
      <c r="V976" s="100"/>
      <c r="W976" s="100"/>
      <c r="X976" s="100"/>
      <c r="Y976" s="100"/>
      <c r="Z976" s="100"/>
      <c r="AA976" s="100"/>
      <c r="AB976" s="100"/>
      <c r="AC976" s="100"/>
      <c r="AD976" s="100"/>
    </row>
    <row r="977">
      <c r="A977" s="118"/>
      <c r="B977" s="118"/>
      <c r="C977" s="118"/>
      <c r="D977" s="119"/>
      <c r="E977" s="119"/>
      <c r="F977" s="119"/>
      <c r="G977" s="100"/>
      <c r="H977" s="100"/>
      <c r="I977" s="100"/>
      <c r="J977" s="100"/>
      <c r="K977" s="100"/>
      <c r="L977" s="100"/>
      <c r="M977" s="100"/>
      <c r="N977" s="100"/>
      <c r="O977" s="100"/>
      <c r="P977" s="100"/>
      <c r="Q977" s="100"/>
      <c r="R977" s="100"/>
      <c r="S977" s="100"/>
      <c r="T977" s="100"/>
      <c r="U977" s="100"/>
      <c r="V977" s="100"/>
      <c r="W977" s="100"/>
      <c r="X977" s="100"/>
      <c r="Y977" s="100"/>
      <c r="Z977" s="100"/>
      <c r="AA977" s="100"/>
      <c r="AB977" s="100"/>
      <c r="AC977" s="100"/>
      <c r="AD977" s="100"/>
    </row>
    <row r="978">
      <c r="A978" s="118"/>
      <c r="B978" s="118"/>
      <c r="C978" s="118"/>
      <c r="D978" s="119"/>
      <c r="E978" s="119"/>
      <c r="F978" s="119"/>
      <c r="G978" s="100"/>
      <c r="H978" s="100"/>
      <c r="I978" s="100"/>
      <c r="J978" s="100"/>
      <c r="K978" s="100"/>
      <c r="L978" s="100"/>
      <c r="M978" s="100"/>
      <c r="N978" s="100"/>
      <c r="O978" s="100"/>
      <c r="P978" s="100"/>
      <c r="Q978" s="100"/>
      <c r="R978" s="100"/>
      <c r="S978" s="100"/>
      <c r="T978" s="100"/>
      <c r="U978" s="100"/>
      <c r="V978" s="100"/>
      <c r="W978" s="100"/>
      <c r="X978" s="100"/>
      <c r="Y978" s="100"/>
      <c r="Z978" s="100"/>
      <c r="AA978" s="100"/>
      <c r="AB978" s="100"/>
      <c r="AC978" s="100"/>
      <c r="AD978" s="100"/>
    </row>
    <row r="979">
      <c r="A979" s="118"/>
      <c r="B979" s="118"/>
      <c r="C979" s="118"/>
      <c r="D979" s="119"/>
      <c r="E979" s="119"/>
      <c r="F979" s="119"/>
      <c r="G979" s="100"/>
      <c r="H979" s="100"/>
      <c r="I979" s="100"/>
      <c r="J979" s="100"/>
      <c r="K979" s="100"/>
      <c r="L979" s="100"/>
      <c r="M979" s="100"/>
      <c r="N979" s="100"/>
      <c r="O979" s="100"/>
      <c r="P979" s="100"/>
      <c r="Q979" s="100"/>
      <c r="R979" s="100"/>
      <c r="S979" s="100"/>
      <c r="T979" s="100"/>
      <c r="U979" s="100"/>
      <c r="V979" s="100"/>
      <c r="W979" s="100"/>
      <c r="X979" s="100"/>
      <c r="Y979" s="100"/>
      <c r="Z979" s="100"/>
      <c r="AA979" s="100"/>
      <c r="AB979" s="100"/>
      <c r="AC979" s="100"/>
      <c r="AD979" s="100"/>
    </row>
    <row r="980">
      <c r="A980" s="118"/>
      <c r="B980" s="118"/>
      <c r="C980" s="118"/>
      <c r="D980" s="119"/>
      <c r="E980" s="119"/>
      <c r="F980" s="119"/>
      <c r="G980" s="100"/>
      <c r="H980" s="100"/>
      <c r="I980" s="100"/>
      <c r="J980" s="100"/>
      <c r="K980" s="100"/>
      <c r="L980" s="100"/>
      <c r="M980" s="100"/>
      <c r="N980" s="100"/>
      <c r="O980" s="100"/>
      <c r="P980" s="100"/>
      <c r="Q980" s="100"/>
      <c r="R980" s="100"/>
      <c r="S980" s="100"/>
      <c r="T980" s="100"/>
      <c r="U980" s="100"/>
      <c r="V980" s="100"/>
      <c r="W980" s="100"/>
      <c r="X980" s="100"/>
      <c r="Y980" s="100"/>
      <c r="Z980" s="100"/>
      <c r="AA980" s="100"/>
      <c r="AB980" s="100"/>
      <c r="AC980" s="100"/>
      <c r="AD980" s="100"/>
    </row>
    <row r="981">
      <c r="A981" s="118"/>
      <c r="B981" s="118"/>
      <c r="C981" s="118"/>
      <c r="D981" s="119"/>
      <c r="E981" s="119"/>
      <c r="F981" s="119"/>
      <c r="G981" s="100"/>
      <c r="H981" s="100"/>
      <c r="I981" s="100"/>
      <c r="J981" s="100"/>
      <c r="K981" s="100"/>
      <c r="L981" s="100"/>
      <c r="M981" s="100"/>
      <c r="N981" s="100"/>
      <c r="O981" s="100"/>
      <c r="P981" s="100"/>
      <c r="Q981" s="100"/>
      <c r="R981" s="100"/>
      <c r="S981" s="100"/>
      <c r="T981" s="100"/>
      <c r="U981" s="100"/>
      <c r="V981" s="100"/>
      <c r="W981" s="100"/>
      <c r="X981" s="100"/>
      <c r="Y981" s="100"/>
      <c r="Z981" s="100"/>
      <c r="AA981" s="100"/>
      <c r="AB981" s="100"/>
      <c r="AC981" s="100"/>
      <c r="AD981" s="100"/>
    </row>
    <row r="982">
      <c r="A982" s="118"/>
      <c r="B982" s="118"/>
      <c r="C982" s="118"/>
      <c r="D982" s="119"/>
      <c r="E982" s="119"/>
      <c r="F982" s="119"/>
      <c r="G982" s="100"/>
      <c r="H982" s="100"/>
      <c r="I982" s="100"/>
      <c r="J982" s="100"/>
      <c r="K982" s="100"/>
      <c r="L982" s="100"/>
      <c r="M982" s="100"/>
      <c r="N982" s="100"/>
      <c r="O982" s="100"/>
      <c r="P982" s="100"/>
      <c r="Q982" s="100"/>
      <c r="R982" s="100"/>
      <c r="S982" s="100"/>
      <c r="T982" s="100"/>
      <c r="U982" s="100"/>
      <c r="V982" s="100"/>
      <c r="W982" s="100"/>
      <c r="X982" s="100"/>
      <c r="Y982" s="100"/>
      <c r="Z982" s="100"/>
      <c r="AA982" s="100"/>
      <c r="AB982" s="100"/>
      <c r="AC982" s="100"/>
      <c r="AD982" s="100"/>
    </row>
    <row r="983">
      <c r="A983" s="118"/>
      <c r="B983" s="118"/>
      <c r="C983" s="118"/>
      <c r="D983" s="119"/>
      <c r="E983" s="119"/>
      <c r="F983" s="119"/>
      <c r="G983" s="100"/>
      <c r="H983" s="100"/>
      <c r="I983" s="100"/>
      <c r="J983" s="100"/>
      <c r="K983" s="100"/>
      <c r="L983" s="100"/>
      <c r="M983" s="100"/>
      <c r="N983" s="100"/>
      <c r="O983" s="100"/>
      <c r="P983" s="100"/>
      <c r="Q983" s="100"/>
      <c r="R983" s="100"/>
      <c r="S983" s="100"/>
      <c r="T983" s="100"/>
      <c r="U983" s="100"/>
      <c r="V983" s="100"/>
      <c r="W983" s="100"/>
      <c r="X983" s="100"/>
      <c r="Y983" s="100"/>
      <c r="Z983" s="100"/>
      <c r="AA983" s="100"/>
      <c r="AB983" s="100"/>
      <c r="AC983" s="100"/>
      <c r="AD983" s="100"/>
    </row>
    <row r="984">
      <c r="F984" s="119"/>
      <c r="G984" s="100"/>
      <c r="H984" s="100"/>
      <c r="I984" s="100"/>
      <c r="J984" s="100"/>
      <c r="K984" s="100"/>
      <c r="L984" s="100"/>
      <c r="M984" s="100"/>
      <c r="N984" s="100"/>
      <c r="O984" s="100"/>
      <c r="P984" s="100"/>
      <c r="Q984" s="100"/>
      <c r="R984" s="100"/>
      <c r="S984" s="100"/>
      <c r="T984" s="100"/>
      <c r="U984" s="100"/>
      <c r="V984" s="100"/>
      <c r="W984" s="100"/>
      <c r="X984" s="100"/>
      <c r="Y984" s="100"/>
      <c r="Z984" s="100"/>
      <c r="AA984" s="100"/>
      <c r="AB984" s="100"/>
      <c r="AC984" s="100"/>
      <c r="AD984" s="100"/>
    </row>
    <row r="985">
      <c r="F985" s="119"/>
      <c r="G985" s="100"/>
      <c r="H985" s="100"/>
      <c r="I985" s="100"/>
      <c r="J985" s="100"/>
      <c r="K985" s="100"/>
      <c r="L985" s="100"/>
      <c r="M985" s="100"/>
      <c r="N985" s="100"/>
      <c r="O985" s="100"/>
      <c r="P985" s="100"/>
      <c r="Q985" s="100"/>
      <c r="R985" s="100"/>
      <c r="S985" s="100"/>
      <c r="T985" s="100"/>
      <c r="U985" s="100"/>
      <c r="V985" s="100"/>
      <c r="W985" s="100"/>
      <c r="X985" s="100"/>
      <c r="Y985" s="100"/>
      <c r="Z985" s="100"/>
      <c r="AA985" s="100"/>
      <c r="AB985" s="100"/>
      <c r="AC985" s="100"/>
      <c r="AD985" s="100"/>
    </row>
    <row r="986">
      <c r="F986" s="119"/>
      <c r="G986" s="100"/>
      <c r="H986" s="100"/>
      <c r="I986" s="100"/>
      <c r="J986" s="100"/>
      <c r="K986" s="100"/>
      <c r="L986" s="100"/>
      <c r="M986" s="100"/>
      <c r="N986" s="100"/>
      <c r="O986" s="100"/>
      <c r="P986" s="100"/>
      <c r="Q986" s="100"/>
      <c r="R986" s="100"/>
      <c r="S986" s="100"/>
      <c r="T986" s="100"/>
      <c r="U986" s="100"/>
      <c r="V986" s="100"/>
      <c r="W986" s="100"/>
      <c r="X986" s="100"/>
      <c r="Y986" s="100"/>
      <c r="Z986" s="100"/>
      <c r="AA986" s="100"/>
      <c r="AB986" s="100"/>
      <c r="AC986" s="100"/>
      <c r="AD986" s="100"/>
    </row>
    <row r="987">
      <c r="F987" s="119"/>
      <c r="G987" s="100"/>
      <c r="H987" s="100"/>
      <c r="I987" s="100"/>
      <c r="J987" s="100"/>
      <c r="K987" s="100"/>
      <c r="L987" s="100"/>
      <c r="M987" s="100"/>
      <c r="N987" s="100"/>
      <c r="O987" s="100"/>
      <c r="P987" s="100"/>
      <c r="Q987" s="100"/>
      <c r="R987" s="100"/>
      <c r="S987" s="100"/>
      <c r="T987" s="100"/>
      <c r="U987" s="100"/>
      <c r="V987" s="100"/>
      <c r="W987" s="100"/>
      <c r="X987" s="100"/>
      <c r="Y987" s="100"/>
      <c r="Z987" s="100"/>
      <c r="AA987" s="100"/>
      <c r="AB987" s="100"/>
      <c r="AC987" s="100"/>
      <c r="AD987" s="100"/>
    </row>
  </sheetData>
  <mergeCells count="2">
    <mergeCell ref="B2:E2"/>
    <mergeCell ref="B3:E3"/>
  </mergeCells>
  <conditionalFormatting sqref="B2:E3 D9:E9">
    <cfRule type="notContainsBlanks" dxfId="5" priority="1">
      <formula>LEN(TRIM(B2))&gt;0</formula>
    </cfRule>
  </conditionalFormatting>
  <conditionalFormatting sqref="A6">
    <cfRule type="notContainsBlanks" dxfId="6" priority="2">
      <formula>LEN(TRIM(A6))&gt;0</formula>
    </cfRule>
  </conditionalFormatting>
  <conditionalFormatting sqref="A13">
    <cfRule type="cellIs" dxfId="6" priority="3" operator="equal">
      <formula>"=FILTER('Project Records_v2'!E:I,SEARCH(D3,'Project Records_v2'!E:E))"</formula>
    </cfRule>
  </conditionalFormatting>
  <dataValidations>
    <dataValidation type="list" allowBlank="1" sqref="E13">
      <formula1>"Incoming,Ongoing,Completed,Cancelled"</formula1>
    </dataValidation>
    <dataValidation type="custom" allowBlank="1" showDropDown="1" sqref="C19">
      <formula1>AND(ISNUMBER(C19),(NOT(OR(NOT(ISERROR(DATEVALUE(C19))), AND(ISNUMBER(C19), LEFT(CELL("format", C19))="D")))))</formula1>
    </dataValidation>
    <dataValidation allowBlank="1" showDropDown="1" sqref="A19"/>
    <dataValidation allowBlank="1" showDropDown="1" sqref="C13"/>
    <dataValidation type="list" allowBlank="1" sqref="A13">
      <formula1>#REF!</formula1>
    </dataValidation>
  </dataValidations>
  <drawing r:id="rId1"/>
  <tableParts count="3">
    <tablePart r:id="rId5"/>
    <tablePart r:id="rId6"/>
    <tablePart r:id="rId7"/>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15.13"/>
    <col customWidth="1" min="2" max="2" width="18.75"/>
    <col customWidth="1" min="3" max="3" width="14.13"/>
    <col customWidth="1" min="4" max="4" width="28.75"/>
    <col customWidth="1" min="5" max="5" width="18.75"/>
    <col customWidth="1" min="6" max="6" width="27.0"/>
    <col customWidth="1" min="7" max="7" width="11.63"/>
    <col customWidth="1" min="8" max="8" width="22.63"/>
    <col customWidth="1" min="9" max="9" width="31.75"/>
    <col customWidth="1" min="10" max="10" width="21.0"/>
  </cols>
  <sheetData>
    <row r="1" ht="22.5" customHeight="1">
      <c r="A1" s="106" t="s">
        <v>840</v>
      </c>
      <c r="B1" s="106" t="s">
        <v>0</v>
      </c>
      <c r="C1" s="110" t="s">
        <v>4</v>
      </c>
      <c r="D1" s="106" t="s">
        <v>1</v>
      </c>
      <c r="E1" s="107" t="s">
        <v>3</v>
      </c>
      <c r="F1" s="108" t="s">
        <v>832</v>
      </c>
      <c r="G1" s="109" t="s">
        <v>833</v>
      </c>
      <c r="H1" s="108" t="s">
        <v>5</v>
      </c>
      <c r="I1" s="111" t="s">
        <v>11</v>
      </c>
      <c r="J1" s="134" t="s">
        <v>9</v>
      </c>
      <c r="K1" s="135"/>
      <c r="L1" s="135"/>
      <c r="M1" s="135"/>
      <c r="N1" s="135"/>
      <c r="O1" s="135"/>
      <c r="P1" s="135"/>
      <c r="Q1" s="135"/>
      <c r="R1" s="135"/>
      <c r="S1" s="135"/>
      <c r="T1" s="135"/>
      <c r="U1" s="135"/>
    </row>
    <row r="2" ht="22.5" customHeight="1">
      <c r="A2" s="136">
        <v>2019.0</v>
      </c>
      <c r="B2" s="137">
        <v>43508.0</v>
      </c>
      <c r="C2" s="138" t="s">
        <v>17</v>
      </c>
      <c r="D2" s="139" t="s">
        <v>841</v>
      </c>
      <c r="E2" s="140" t="s">
        <v>842</v>
      </c>
      <c r="F2" s="141" t="s">
        <v>843</v>
      </c>
      <c r="G2" s="142" t="s">
        <v>26</v>
      </c>
      <c r="H2" s="143" t="s">
        <v>844</v>
      </c>
      <c r="I2" s="144" t="s">
        <v>845</v>
      </c>
      <c r="J2" s="145"/>
    </row>
    <row r="3" ht="22.5" customHeight="1">
      <c r="A3" s="146">
        <v>2020.0</v>
      </c>
      <c r="B3" s="147">
        <v>43873.0</v>
      </c>
      <c r="C3" s="138" t="s">
        <v>22</v>
      </c>
      <c r="D3" s="148" t="s">
        <v>19</v>
      </c>
      <c r="E3" s="149" t="s">
        <v>846</v>
      </c>
      <c r="F3" s="150" t="s">
        <v>28</v>
      </c>
      <c r="G3" s="151" t="s">
        <v>20</v>
      </c>
      <c r="H3" s="152" t="s">
        <v>32</v>
      </c>
      <c r="I3" s="153" t="s">
        <v>27</v>
      </c>
      <c r="J3" s="154">
        <v>9.983950535E9</v>
      </c>
    </row>
    <row r="4" ht="22.5" customHeight="1">
      <c r="A4" s="146">
        <v>2020.0</v>
      </c>
      <c r="B4" s="147">
        <v>43873.0</v>
      </c>
      <c r="C4" s="138" t="s">
        <v>22</v>
      </c>
      <c r="D4" s="148" t="s">
        <v>29</v>
      </c>
      <c r="E4" s="149" t="s">
        <v>847</v>
      </c>
      <c r="F4" s="150" t="s">
        <v>28</v>
      </c>
      <c r="G4" s="151" t="s">
        <v>20</v>
      </c>
      <c r="H4" s="152" t="s">
        <v>32</v>
      </c>
      <c r="I4" s="153" t="s">
        <v>30</v>
      </c>
      <c r="J4" s="154">
        <v>9.506798777E9</v>
      </c>
    </row>
    <row r="5" ht="22.5" customHeight="1">
      <c r="A5" s="146">
        <v>2020.0</v>
      </c>
      <c r="B5" s="147">
        <v>43873.0</v>
      </c>
      <c r="C5" s="138" t="s">
        <v>22</v>
      </c>
      <c r="D5" s="148" t="s">
        <v>31</v>
      </c>
      <c r="E5" s="149" t="s">
        <v>848</v>
      </c>
      <c r="F5" s="150" t="s">
        <v>36</v>
      </c>
      <c r="G5" s="151" t="s">
        <v>20</v>
      </c>
      <c r="H5" s="152" t="s">
        <v>32</v>
      </c>
      <c r="I5" s="153" t="s">
        <v>35</v>
      </c>
      <c r="J5" s="154">
        <v>9.177145364E9</v>
      </c>
    </row>
    <row r="6" ht="22.5" customHeight="1">
      <c r="A6" s="146">
        <v>2020.0</v>
      </c>
      <c r="B6" s="147">
        <v>43873.0</v>
      </c>
      <c r="C6" s="138" t="s">
        <v>22</v>
      </c>
      <c r="D6" s="148" t="s">
        <v>37</v>
      </c>
      <c r="E6" s="149" t="s">
        <v>849</v>
      </c>
      <c r="F6" s="141" t="s">
        <v>36</v>
      </c>
      <c r="G6" s="151" t="s">
        <v>20</v>
      </c>
      <c r="H6" s="152" t="s">
        <v>32</v>
      </c>
      <c r="I6" s="153" t="s">
        <v>39</v>
      </c>
      <c r="J6" s="154">
        <v>9.165866013E9</v>
      </c>
    </row>
    <row r="7" ht="22.5" customHeight="1">
      <c r="A7" s="146">
        <v>2020.0</v>
      </c>
      <c r="B7" s="147">
        <v>43873.0</v>
      </c>
      <c r="C7" s="138" t="s">
        <v>22</v>
      </c>
      <c r="D7" s="148" t="s">
        <v>41</v>
      </c>
      <c r="E7" s="149" t="s">
        <v>850</v>
      </c>
      <c r="F7" s="141" t="s">
        <v>36</v>
      </c>
      <c r="G7" s="151" t="s">
        <v>42</v>
      </c>
      <c r="H7" s="152" t="s">
        <v>851</v>
      </c>
      <c r="I7" s="153" t="s">
        <v>45</v>
      </c>
      <c r="J7" s="154">
        <v>9.056728581E9</v>
      </c>
    </row>
    <row r="8" ht="22.5" customHeight="1">
      <c r="A8" s="146">
        <v>2020.0</v>
      </c>
      <c r="B8" s="147">
        <v>43873.0</v>
      </c>
      <c r="C8" s="138" t="s">
        <v>22</v>
      </c>
      <c r="D8" s="148" t="s">
        <v>46</v>
      </c>
      <c r="E8" s="149" t="s">
        <v>852</v>
      </c>
      <c r="F8" s="141" t="s">
        <v>47</v>
      </c>
      <c r="G8" s="151" t="s">
        <v>42</v>
      </c>
      <c r="H8" s="152" t="s">
        <v>32</v>
      </c>
      <c r="I8" s="153" t="s">
        <v>49</v>
      </c>
      <c r="J8" s="154">
        <v>9.0588489E9</v>
      </c>
    </row>
    <row r="9" ht="22.5" customHeight="1">
      <c r="A9" s="146">
        <v>2020.0</v>
      </c>
      <c r="B9" s="147">
        <v>43873.0</v>
      </c>
      <c r="C9" s="138" t="s">
        <v>22</v>
      </c>
      <c r="D9" s="148" t="s">
        <v>51</v>
      </c>
      <c r="E9" s="149" t="s">
        <v>853</v>
      </c>
      <c r="F9" s="141" t="s">
        <v>54</v>
      </c>
      <c r="G9" s="151" t="s">
        <v>20</v>
      </c>
      <c r="H9" s="152" t="s">
        <v>851</v>
      </c>
      <c r="I9" s="153" t="s">
        <v>55</v>
      </c>
      <c r="J9" s="154">
        <v>9.66655313E9</v>
      </c>
    </row>
    <row r="10" ht="22.5" customHeight="1">
      <c r="A10" s="146">
        <v>2020.0</v>
      </c>
      <c r="B10" s="147">
        <v>43873.0</v>
      </c>
      <c r="C10" s="138" t="s">
        <v>22</v>
      </c>
      <c r="D10" s="148" t="s">
        <v>57</v>
      </c>
      <c r="E10" s="149" t="s">
        <v>854</v>
      </c>
      <c r="F10" s="141" t="s">
        <v>54</v>
      </c>
      <c r="G10" s="151" t="s">
        <v>20</v>
      </c>
      <c r="H10" s="152" t="s">
        <v>851</v>
      </c>
      <c r="I10" s="153" t="s">
        <v>59</v>
      </c>
      <c r="J10" s="154">
        <v>9.062227281E9</v>
      </c>
    </row>
    <row r="11" ht="22.5" customHeight="1">
      <c r="A11" s="146">
        <v>2020.0</v>
      </c>
      <c r="B11" s="147">
        <v>43874.0</v>
      </c>
      <c r="C11" s="138" t="s">
        <v>22</v>
      </c>
      <c r="D11" s="148" t="s">
        <v>60</v>
      </c>
      <c r="E11" s="149" t="s">
        <v>855</v>
      </c>
      <c r="F11" s="141" t="s">
        <v>856</v>
      </c>
      <c r="G11" s="151" t="s">
        <v>42</v>
      </c>
      <c r="H11" s="152" t="s">
        <v>32</v>
      </c>
      <c r="I11" s="153" t="s">
        <v>63</v>
      </c>
      <c r="J11" s="154">
        <v>9.272051528E9</v>
      </c>
    </row>
    <row r="12" ht="22.5" customHeight="1">
      <c r="A12" s="146">
        <v>2020.0</v>
      </c>
      <c r="B12" s="147">
        <v>43902.0</v>
      </c>
      <c r="C12" s="138" t="s">
        <v>22</v>
      </c>
      <c r="D12" s="148" t="s">
        <v>64</v>
      </c>
      <c r="E12" s="149" t="s">
        <v>857</v>
      </c>
      <c r="F12" s="150" t="s">
        <v>69</v>
      </c>
      <c r="G12" s="151" t="s">
        <v>20</v>
      </c>
      <c r="H12" s="152" t="s">
        <v>851</v>
      </c>
      <c r="I12" s="153" t="s">
        <v>68</v>
      </c>
      <c r="J12" s="155" t="s">
        <v>858</v>
      </c>
    </row>
    <row r="13" ht="22.5" customHeight="1">
      <c r="A13" s="146">
        <v>2020.0</v>
      </c>
      <c r="B13" s="147">
        <v>43903.0</v>
      </c>
      <c r="C13" s="138" t="s">
        <v>22</v>
      </c>
      <c r="D13" s="148" t="s">
        <v>70</v>
      </c>
      <c r="E13" s="149" t="s">
        <v>859</v>
      </c>
      <c r="F13" s="150" t="s">
        <v>75</v>
      </c>
      <c r="G13" s="151" t="s">
        <v>20</v>
      </c>
      <c r="H13" s="152" t="s">
        <v>851</v>
      </c>
      <c r="I13" s="153" t="s">
        <v>74</v>
      </c>
      <c r="J13" s="154">
        <v>9.174290778E9</v>
      </c>
    </row>
    <row r="14" ht="22.5" customHeight="1">
      <c r="A14" s="146">
        <v>2020.0</v>
      </c>
      <c r="B14" s="147">
        <v>43990.0</v>
      </c>
      <c r="C14" s="138" t="s">
        <v>22</v>
      </c>
      <c r="D14" s="148" t="s">
        <v>76</v>
      </c>
      <c r="E14" s="149" t="s">
        <v>860</v>
      </c>
      <c r="F14" s="150" t="s">
        <v>78</v>
      </c>
      <c r="G14" s="151" t="s">
        <v>42</v>
      </c>
      <c r="H14" s="152" t="s">
        <v>851</v>
      </c>
      <c r="I14" s="153" t="s">
        <v>77</v>
      </c>
      <c r="J14" s="154">
        <v>9.17166979E9</v>
      </c>
    </row>
    <row r="15" ht="22.5" customHeight="1">
      <c r="A15" s="146">
        <v>2020.0</v>
      </c>
      <c r="B15" s="147">
        <v>43990.0</v>
      </c>
      <c r="C15" s="138" t="s">
        <v>22</v>
      </c>
      <c r="D15" s="148" t="s">
        <v>79</v>
      </c>
      <c r="E15" s="149" t="s">
        <v>861</v>
      </c>
      <c r="F15" s="141" t="s">
        <v>69</v>
      </c>
      <c r="G15" s="151" t="s">
        <v>20</v>
      </c>
      <c r="H15" s="152" t="s">
        <v>166</v>
      </c>
      <c r="I15" s="153" t="s">
        <v>81</v>
      </c>
      <c r="J15" s="154">
        <v>9.177212519E9</v>
      </c>
    </row>
    <row r="16" ht="22.5" customHeight="1">
      <c r="A16" s="146">
        <v>2020.0</v>
      </c>
      <c r="B16" s="147">
        <v>44015.0</v>
      </c>
      <c r="C16" s="138" t="s">
        <v>22</v>
      </c>
      <c r="D16" s="148" t="s">
        <v>83</v>
      </c>
      <c r="E16" s="149" t="s">
        <v>862</v>
      </c>
      <c r="F16" s="141" t="s">
        <v>69</v>
      </c>
      <c r="G16" s="151" t="s">
        <v>20</v>
      </c>
      <c r="H16" s="152" t="s">
        <v>564</v>
      </c>
      <c r="I16" s="153" t="s">
        <v>86</v>
      </c>
      <c r="J16" s="154">
        <v>9.452398275E9</v>
      </c>
    </row>
    <row r="17" ht="22.5" customHeight="1">
      <c r="A17" s="146">
        <v>2020.0</v>
      </c>
      <c r="B17" s="147">
        <v>44015.0</v>
      </c>
      <c r="C17" s="138" t="s">
        <v>17</v>
      </c>
      <c r="D17" s="148" t="s">
        <v>88</v>
      </c>
      <c r="E17" s="149" t="s">
        <v>863</v>
      </c>
      <c r="F17" s="141" t="s">
        <v>69</v>
      </c>
      <c r="G17" s="151" t="s">
        <v>42</v>
      </c>
      <c r="H17" s="152" t="s">
        <v>851</v>
      </c>
      <c r="I17" s="153" t="s">
        <v>91</v>
      </c>
      <c r="J17" s="154">
        <v>9.983085275E9</v>
      </c>
    </row>
    <row r="18" ht="22.5" customHeight="1">
      <c r="A18" s="146">
        <v>2020.0</v>
      </c>
      <c r="B18" s="147">
        <v>44034.0</v>
      </c>
      <c r="C18" s="138" t="s">
        <v>22</v>
      </c>
      <c r="D18" s="148" t="s">
        <v>93</v>
      </c>
      <c r="E18" s="149" t="s">
        <v>864</v>
      </c>
      <c r="F18" s="150" t="s">
        <v>96</v>
      </c>
      <c r="G18" s="151" t="s">
        <v>42</v>
      </c>
      <c r="H18" s="152" t="s">
        <v>166</v>
      </c>
      <c r="I18" s="153" t="s">
        <v>95</v>
      </c>
      <c r="J18" s="154">
        <v>9.953856717E9</v>
      </c>
    </row>
    <row r="19" ht="22.5" customHeight="1">
      <c r="A19" s="146">
        <v>2020.0</v>
      </c>
      <c r="B19" s="147">
        <v>44034.0</v>
      </c>
      <c r="C19" s="138" t="s">
        <v>22</v>
      </c>
      <c r="D19" s="148" t="s">
        <v>97</v>
      </c>
      <c r="E19" s="149" t="s">
        <v>865</v>
      </c>
      <c r="F19" s="150" t="s">
        <v>99</v>
      </c>
      <c r="G19" s="151" t="s">
        <v>42</v>
      </c>
      <c r="H19" s="152" t="s">
        <v>851</v>
      </c>
      <c r="I19" s="153" t="s">
        <v>98</v>
      </c>
      <c r="J19" s="154">
        <v>9.36981029E8</v>
      </c>
    </row>
    <row r="20" ht="22.5" customHeight="1">
      <c r="A20" s="146">
        <v>2020.0</v>
      </c>
      <c r="B20" s="147">
        <v>44035.0</v>
      </c>
      <c r="C20" s="138" t="s">
        <v>101</v>
      </c>
      <c r="D20" s="148" t="s">
        <v>100</v>
      </c>
      <c r="E20" s="149" t="s">
        <v>866</v>
      </c>
      <c r="F20" s="95" t="s">
        <v>867</v>
      </c>
      <c r="G20" s="151" t="s">
        <v>42</v>
      </c>
      <c r="H20" s="152" t="s">
        <v>32</v>
      </c>
      <c r="I20" s="153" t="s">
        <v>103</v>
      </c>
      <c r="J20" s="154">
        <v>9.152715677E9</v>
      </c>
    </row>
    <row r="21" ht="22.5" customHeight="1">
      <c r="A21" s="146">
        <v>2020.0</v>
      </c>
      <c r="B21" s="147">
        <v>44048.0</v>
      </c>
      <c r="C21" s="138" t="s">
        <v>22</v>
      </c>
      <c r="D21" s="148" t="s">
        <v>104</v>
      </c>
      <c r="E21" s="149" t="s">
        <v>868</v>
      </c>
      <c r="F21" s="95" t="s">
        <v>869</v>
      </c>
      <c r="G21" s="151" t="s">
        <v>42</v>
      </c>
      <c r="H21" s="152" t="s">
        <v>166</v>
      </c>
      <c r="I21" s="153" t="s">
        <v>106</v>
      </c>
      <c r="J21" s="154">
        <v>9.26725905E9</v>
      </c>
    </row>
    <row r="22" ht="22.5" customHeight="1">
      <c r="A22" s="146">
        <v>2020.0</v>
      </c>
      <c r="B22" s="147">
        <v>44048.0</v>
      </c>
      <c r="C22" s="138" t="s">
        <v>22</v>
      </c>
      <c r="D22" s="148" t="s">
        <v>108</v>
      </c>
      <c r="E22" s="149" t="s">
        <v>870</v>
      </c>
      <c r="F22" s="141" t="s">
        <v>869</v>
      </c>
      <c r="G22" s="151" t="s">
        <v>20</v>
      </c>
      <c r="H22" s="152" t="s">
        <v>851</v>
      </c>
      <c r="I22" s="153" t="s">
        <v>110</v>
      </c>
      <c r="J22" s="154">
        <v>9.292671029E9</v>
      </c>
    </row>
    <row r="23" ht="22.5" customHeight="1">
      <c r="A23" s="146">
        <v>2020.0</v>
      </c>
      <c r="B23" s="147">
        <v>44048.0</v>
      </c>
      <c r="C23" s="138" t="s">
        <v>17</v>
      </c>
      <c r="D23" s="148" t="s">
        <v>112</v>
      </c>
      <c r="E23" s="149" t="s">
        <v>871</v>
      </c>
      <c r="F23" s="141" t="s">
        <v>69</v>
      </c>
      <c r="G23" s="151" t="s">
        <v>42</v>
      </c>
      <c r="H23" s="152" t="s">
        <v>32</v>
      </c>
      <c r="I23" s="156" t="s">
        <v>114</v>
      </c>
      <c r="J23" s="154">
        <v>9.177110107E9</v>
      </c>
    </row>
    <row r="24" ht="22.5" customHeight="1">
      <c r="A24" s="146">
        <v>2020.0</v>
      </c>
      <c r="B24" s="147">
        <v>44062.0</v>
      </c>
      <c r="C24" s="138" t="s">
        <v>101</v>
      </c>
      <c r="D24" s="148" t="s">
        <v>116</v>
      </c>
      <c r="E24" s="149" t="s">
        <v>872</v>
      </c>
      <c r="F24" s="95" t="s">
        <v>873</v>
      </c>
      <c r="G24" s="151" t="s">
        <v>20</v>
      </c>
      <c r="H24" s="152" t="s">
        <v>32</v>
      </c>
      <c r="J24" s="157"/>
    </row>
    <row r="25" ht="22.5" customHeight="1">
      <c r="A25" s="146">
        <v>2020.0</v>
      </c>
      <c r="B25" s="147">
        <v>44131.0</v>
      </c>
      <c r="C25" s="138" t="s">
        <v>22</v>
      </c>
      <c r="D25" s="148" t="s">
        <v>118</v>
      </c>
      <c r="E25" s="149" t="s">
        <v>874</v>
      </c>
      <c r="F25" s="150" t="s">
        <v>75</v>
      </c>
      <c r="G25" s="151" t="s">
        <v>20</v>
      </c>
      <c r="H25" s="152" t="s">
        <v>851</v>
      </c>
      <c r="I25" s="153" t="s">
        <v>121</v>
      </c>
      <c r="J25" s="154">
        <v>9.300953925E9</v>
      </c>
    </row>
    <row r="26" ht="22.5" customHeight="1">
      <c r="A26" s="146">
        <v>2020.0</v>
      </c>
      <c r="B26" s="147">
        <v>44168.0</v>
      </c>
      <c r="C26" s="138" t="s">
        <v>17</v>
      </c>
      <c r="D26" s="148" t="s">
        <v>122</v>
      </c>
      <c r="E26" s="149" t="s">
        <v>875</v>
      </c>
      <c r="F26" s="141" t="s">
        <v>69</v>
      </c>
      <c r="G26" s="151" t="s">
        <v>20</v>
      </c>
      <c r="H26" s="152" t="s">
        <v>851</v>
      </c>
      <c r="I26" s="156" t="s">
        <v>126</v>
      </c>
      <c r="J26" s="154">
        <v>9.777305977E9</v>
      </c>
    </row>
    <row r="27" ht="22.5" customHeight="1">
      <c r="A27" s="136">
        <v>2021.0</v>
      </c>
      <c r="B27" s="147">
        <v>44216.0</v>
      </c>
      <c r="C27" s="138" t="s">
        <v>22</v>
      </c>
      <c r="D27" s="148" t="s">
        <v>129</v>
      </c>
      <c r="E27" s="158" t="s">
        <v>876</v>
      </c>
      <c r="F27" s="150" t="s">
        <v>136</v>
      </c>
      <c r="G27" s="151" t="s">
        <v>42</v>
      </c>
      <c r="H27" s="152" t="s">
        <v>877</v>
      </c>
      <c r="I27" s="153" t="s">
        <v>135</v>
      </c>
      <c r="J27" s="154">
        <v>9.226942501E9</v>
      </c>
    </row>
    <row r="28" ht="22.5" customHeight="1">
      <c r="A28" s="136">
        <v>2021.0</v>
      </c>
      <c r="B28" s="147">
        <v>44216.0</v>
      </c>
      <c r="C28" s="138" t="s">
        <v>22</v>
      </c>
      <c r="D28" s="148" t="s">
        <v>137</v>
      </c>
      <c r="E28" s="158" t="s">
        <v>878</v>
      </c>
      <c r="F28" s="150" t="s">
        <v>142</v>
      </c>
      <c r="G28" s="151" t="s">
        <v>20</v>
      </c>
      <c r="H28" s="152" t="s">
        <v>877</v>
      </c>
      <c r="I28" s="153" t="s">
        <v>141</v>
      </c>
      <c r="J28" s="154">
        <v>9.231531678E9</v>
      </c>
    </row>
    <row r="29" ht="22.5" customHeight="1">
      <c r="A29" s="136">
        <v>2021.0</v>
      </c>
      <c r="B29" s="147">
        <v>44250.0</v>
      </c>
      <c r="C29" s="138" t="s">
        <v>22</v>
      </c>
      <c r="D29" s="148" t="s">
        <v>143</v>
      </c>
      <c r="E29" s="158" t="s">
        <v>879</v>
      </c>
      <c r="F29" s="150" t="s">
        <v>150</v>
      </c>
      <c r="G29" s="151" t="s">
        <v>20</v>
      </c>
      <c r="H29" s="152" t="s">
        <v>32</v>
      </c>
      <c r="I29" s="153" t="s">
        <v>149</v>
      </c>
      <c r="J29" s="154">
        <v>6.39368135357E11</v>
      </c>
    </row>
    <row r="30" ht="22.5" customHeight="1">
      <c r="A30" s="136">
        <v>2021.0</v>
      </c>
      <c r="B30" s="147">
        <v>44280.0</v>
      </c>
      <c r="C30" s="138" t="s">
        <v>22</v>
      </c>
      <c r="D30" s="148" t="s">
        <v>151</v>
      </c>
      <c r="E30" s="158" t="s">
        <v>880</v>
      </c>
      <c r="F30" s="141" t="s">
        <v>881</v>
      </c>
      <c r="G30" s="151" t="s">
        <v>20</v>
      </c>
      <c r="H30" s="152" t="s">
        <v>851</v>
      </c>
      <c r="I30" s="153" t="s">
        <v>155</v>
      </c>
      <c r="J30" s="154">
        <v>9.052565544E9</v>
      </c>
    </row>
    <row r="31" ht="22.5" customHeight="1">
      <c r="A31" s="136">
        <v>2021.0</v>
      </c>
      <c r="B31" s="147">
        <v>44280.0</v>
      </c>
      <c r="C31" s="138" t="s">
        <v>22</v>
      </c>
      <c r="D31" s="148" t="s">
        <v>157</v>
      </c>
      <c r="E31" s="158" t="s">
        <v>882</v>
      </c>
      <c r="F31" s="141" t="s">
        <v>869</v>
      </c>
      <c r="G31" s="151" t="s">
        <v>20</v>
      </c>
      <c r="H31" s="152" t="s">
        <v>851</v>
      </c>
      <c r="I31" s="153" t="s">
        <v>159</v>
      </c>
      <c r="J31" s="154">
        <v>9.76051192E9</v>
      </c>
    </row>
    <row r="32" ht="22.5" customHeight="1">
      <c r="A32" s="136">
        <v>2021.0</v>
      </c>
      <c r="B32" s="147">
        <v>44302.0</v>
      </c>
      <c r="C32" s="138" t="s">
        <v>22</v>
      </c>
      <c r="D32" s="148" t="s">
        <v>161</v>
      </c>
      <c r="E32" s="158" t="s">
        <v>883</v>
      </c>
      <c r="F32" s="141" t="s">
        <v>69</v>
      </c>
      <c r="G32" s="151" t="s">
        <v>42</v>
      </c>
      <c r="H32" s="152" t="s">
        <v>564</v>
      </c>
      <c r="I32" s="153" t="s">
        <v>163</v>
      </c>
      <c r="J32" s="154">
        <v>9.165448358E9</v>
      </c>
    </row>
    <row r="33" ht="22.5" customHeight="1">
      <c r="A33" s="136">
        <v>2021.0</v>
      </c>
      <c r="B33" s="147">
        <v>44334.0</v>
      </c>
      <c r="C33" s="138" t="s">
        <v>17</v>
      </c>
      <c r="D33" s="148" t="s">
        <v>165</v>
      </c>
      <c r="E33" s="158" t="s">
        <v>884</v>
      </c>
      <c r="F33" s="150" t="s">
        <v>171</v>
      </c>
      <c r="G33" s="151" t="s">
        <v>20</v>
      </c>
      <c r="H33" s="152" t="s">
        <v>166</v>
      </c>
      <c r="I33" s="156" t="s">
        <v>170</v>
      </c>
      <c r="J33" s="154">
        <v>9.27817388E9</v>
      </c>
    </row>
    <row r="34" ht="22.5" customHeight="1">
      <c r="A34" s="136">
        <v>2021.0</v>
      </c>
      <c r="B34" s="147">
        <v>44334.0</v>
      </c>
      <c r="C34" s="138" t="s">
        <v>17</v>
      </c>
      <c r="D34" s="148" t="s">
        <v>172</v>
      </c>
      <c r="E34" s="158" t="s">
        <v>885</v>
      </c>
      <c r="F34" s="150" t="s">
        <v>171</v>
      </c>
      <c r="G34" s="151" t="s">
        <v>42</v>
      </c>
      <c r="H34" s="152" t="s">
        <v>851</v>
      </c>
      <c r="I34" s="153" t="s">
        <v>175</v>
      </c>
      <c r="J34" s="159" t="s">
        <v>886</v>
      </c>
    </row>
    <row r="35" ht="22.5" customHeight="1">
      <c r="A35" s="136">
        <v>2021.0</v>
      </c>
      <c r="B35" s="147">
        <v>44334.0</v>
      </c>
      <c r="C35" s="138" t="s">
        <v>17</v>
      </c>
      <c r="D35" s="148" t="s">
        <v>176</v>
      </c>
      <c r="E35" s="158" t="s">
        <v>887</v>
      </c>
      <c r="F35" s="150" t="s">
        <v>171</v>
      </c>
      <c r="G35" s="151" t="s">
        <v>42</v>
      </c>
      <c r="H35" s="152" t="s">
        <v>851</v>
      </c>
      <c r="I35" s="153" t="s">
        <v>178</v>
      </c>
      <c r="J35" s="154">
        <v>9.507960935E9</v>
      </c>
    </row>
    <row r="36" ht="22.5" customHeight="1">
      <c r="A36" s="136">
        <v>2021.0</v>
      </c>
      <c r="B36" s="147">
        <v>44382.0</v>
      </c>
      <c r="C36" s="138" t="s">
        <v>22</v>
      </c>
      <c r="D36" s="148" t="s">
        <v>179</v>
      </c>
      <c r="E36" s="158" t="s">
        <v>888</v>
      </c>
      <c r="F36" s="150" t="s">
        <v>182</v>
      </c>
      <c r="G36" s="151" t="s">
        <v>20</v>
      </c>
      <c r="H36" s="152" t="s">
        <v>851</v>
      </c>
      <c r="I36" s="153" t="s">
        <v>181</v>
      </c>
      <c r="J36" s="154">
        <v>9.561765997E9</v>
      </c>
    </row>
    <row r="37" ht="22.5" customHeight="1">
      <c r="A37" s="136">
        <v>2021.0</v>
      </c>
      <c r="B37" s="147">
        <v>44382.0</v>
      </c>
      <c r="C37" s="138" t="s">
        <v>22</v>
      </c>
      <c r="D37" s="148" t="s">
        <v>183</v>
      </c>
      <c r="E37" s="158" t="s">
        <v>889</v>
      </c>
      <c r="F37" s="150" t="s">
        <v>182</v>
      </c>
      <c r="G37" s="151" t="s">
        <v>20</v>
      </c>
      <c r="H37" s="152" t="s">
        <v>166</v>
      </c>
      <c r="I37" s="153" t="s">
        <v>185</v>
      </c>
      <c r="J37" s="154">
        <v>9.951970469E9</v>
      </c>
      <c r="K37" s="160"/>
      <c r="L37" s="160"/>
      <c r="M37" s="160"/>
      <c r="N37" s="160"/>
      <c r="O37" s="160"/>
      <c r="P37" s="160"/>
      <c r="Q37" s="160"/>
      <c r="R37" s="160"/>
      <c r="S37" s="160"/>
      <c r="T37" s="160"/>
      <c r="U37" s="160"/>
    </row>
    <row r="38" ht="22.5" customHeight="1">
      <c r="A38" s="136">
        <v>2021.0</v>
      </c>
      <c r="B38" s="147">
        <v>44435.0</v>
      </c>
      <c r="C38" s="138" t="s">
        <v>101</v>
      </c>
      <c r="D38" s="148" t="s">
        <v>186</v>
      </c>
      <c r="E38" s="158" t="s">
        <v>890</v>
      </c>
      <c r="F38" s="150" t="s">
        <v>190</v>
      </c>
      <c r="G38" s="151" t="s">
        <v>20</v>
      </c>
      <c r="H38" s="152" t="s">
        <v>32</v>
      </c>
      <c r="I38" s="153" t="s">
        <v>189</v>
      </c>
      <c r="J38" s="154">
        <v>9.174804428E9</v>
      </c>
    </row>
    <row r="39" ht="22.5" customHeight="1">
      <c r="A39" s="146">
        <v>2022.0</v>
      </c>
      <c r="B39" s="147">
        <v>44580.0</v>
      </c>
      <c r="C39" s="161" t="s">
        <v>101</v>
      </c>
      <c r="D39" s="162" t="s">
        <v>192</v>
      </c>
      <c r="E39" s="158" t="s">
        <v>891</v>
      </c>
      <c r="F39" s="150" t="s">
        <v>196</v>
      </c>
      <c r="G39" s="151" t="s">
        <v>20</v>
      </c>
      <c r="H39" s="163" t="s">
        <v>851</v>
      </c>
      <c r="I39" s="153" t="s">
        <v>195</v>
      </c>
      <c r="J39" s="157"/>
    </row>
    <row r="40" ht="22.5" customHeight="1">
      <c r="A40" s="146">
        <v>2022.0</v>
      </c>
      <c r="B40" s="147">
        <v>44622.0</v>
      </c>
      <c r="C40" s="161" t="s">
        <v>17</v>
      </c>
      <c r="D40" s="162" t="s">
        <v>197</v>
      </c>
      <c r="E40" s="158" t="s">
        <v>892</v>
      </c>
      <c r="F40" s="141" t="s">
        <v>881</v>
      </c>
      <c r="G40" s="151" t="s">
        <v>42</v>
      </c>
      <c r="H40" s="163" t="s">
        <v>166</v>
      </c>
      <c r="I40" s="153" t="s">
        <v>199</v>
      </c>
      <c r="J40" s="154">
        <v>9.1531018E9</v>
      </c>
    </row>
    <row r="41" ht="22.5" customHeight="1">
      <c r="A41" s="146">
        <v>2022.0</v>
      </c>
      <c r="B41" s="147">
        <v>44622.0</v>
      </c>
      <c r="C41" s="161" t="s">
        <v>17</v>
      </c>
      <c r="D41" s="162" t="s">
        <v>201</v>
      </c>
      <c r="E41" s="158" t="s">
        <v>893</v>
      </c>
      <c r="F41" s="141" t="s">
        <v>881</v>
      </c>
      <c r="G41" s="151" t="s">
        <v>20</v>
      </c>
      <c r="H41" s="163" t="s">
        <v>851</v>
      </c>
      <c r="I41" s="153" t="s">
        <v>204</v>
      </c>
      <c r="J41" s="154">
        <v>9.178587562E9</v>
      </c>
    </row>
    <row r="42" ht="22.5" customHeight="1">
      <c r="A42" s="146">
        <v>2022.0</v>
      </c>
      <c r="B42" s="164">
        <v>44622.0</v>
      </c>
      <c r="C42" s="161" t="s">
        <v>22</v>
      </c>
      <c r="D42" s="162" t="s">
        <v>205</v>
      </c>
      <c r="E42" s="158" t="s">
        <v>894</v>
      </c>
      <c r="F42" s="150" t="s">
        <v>196</v>
      </c>
      <c r="G42" s="151" t="s">
        <v>42</v>
      </c>
      <c r="H42" s="163" t="s">
        <v>564</v>
      </c>
      <c r="I42" s="153" t="s">
        <v>209</v>
      </c>
      <c r="J42" s="154">
        <v>9.569874648E9</v>
      </c>
    </row>
    <row r="43" ht="22.5" customHeight="1">
      <c r="A43" s="146">
        <v>2022.0</v>
      </c>
      <c r="B43" s="147">
        <v>44624.0</v>
      </c>
      <c r="C43" s="161" t="s">
        <v>22</v>
      </c>
      <c r="D43" s="148" t="s">
        <v>210</v>
      </c>
      <c r="E43" s="158" t="s">
        <v>895</v>
      </c>
      <c r="F43" s="141" t="s">
        <v>869</v>
      </c>
      <c r="G43" s="151" t="s">
        <v>42</v>
      </c>
      <c r="H43" s="152" t="s">
        <v>896</v>
      </c>
      <c r="I43" s="153" t="s">
        <v>213</v>
      </c>
      <c r="J43" s="154">
        <v>9.612217613E9</v>
      </c>
    </row>
    <row r="44" ht="22.5" customHeight="1">
      <c r="A44" s="146">
        <v>2022.0</v>
      </c>
      <c r="B44" s="147">
        <v>44628.0</v>
      </c>
      <c r="C44" s="161" t="s">
        <v>22</v>
      </c>
      <c r="D44" s="162" t="s">
        <v>215</v>
      </c>
      <c r="E44" s="158" t="s">
        <v>897</v>
      </c>
      <c r="F44" s="150" t="s">
        <v>220</v>
      </c>
      <c r="G44" s="151" t="s">
        <v>42</v>
      </c>
      <c r="H44" s="163" t="s">
        <v>851</v>
      </c>
      <c r="I44" s="153" t="s">
        <v>219</v>
      </c>
      <c r="J44" s="154">
        <v>9.958160186E9</v>
      </c>
    </row>
    <row r="45" ht="22.5" customHeight="1">
      <c r="A45" s="146">
        <v>2022.0</v>
      </c>
      <c r="B45" s="147">
        <v>44634.0</v>
      </c>
      <c r="C45" s="161" t="s">
        <v>22</v>
      </c>
      <c r="D45" s="162" t="s">
        <v>221</v>
      </c>
      <c r="E45" s="158" t="s">
        <v>898</v>
      </c>
      <c r="F45" s="150" t="s">
        <v>196</v>
      </c>
      <c r="G45" s="151" t="s">
        <v>42</v>
      </c>
      <c r="H45" s="163" t="s">
        <v>851</v>
      </c>
      <c r="I45" s="153" t="s">
        <v>223</v>
      </c>
      <c r="J45" s="154">
        <v>9.36618579E8</v>
      </c>
    </row>
    <row r="46" ht="22.5" customHeight="1">
      <c r="A46" s="146">
        <v>2022.0</v>
      </c>
      <c r="B46" s="147">
        <v>44644.0</v>
      </c>
      <c r="C46" s="161" t="s">
        <v>22</v>
      </c>
      <c r="D46" s="162" t="s">
        <v>225</v>
      </c>
      <c r="E46" s="158" t="s">
        <v>899</v>
      </c>
      <c r="F46" s="141" t="s">
        <v>881</v>
      </c>
      <c r="G46" s="151" t="s">
        <v>42</v>
      </c>
      <c r="H46" s="163" t="s">
        <v>564</v>
      </c>
      <c r="I46" s="153" t="s">
        <v>228</v>
      </c>
      <c r="J46" s="154">
        <v>9.99556935E9</v>
      </c>
    </row>
    <row r="47" ht="22.5" customHeight="1">
      <c r="A47" s="146">
        <v>2022.0</v>
      </c>
      <c r="B47" s="147">
        <v>44645.0</v>
      </c>
      <c r="C47" s="161" t="s">
        <v>22</v>
      </c>
      <c r="D47" s="162" t="s">
        <v>230</v>
      </c>
      <c r="E47" s="158" t="s">
        <v>900</v>
      </c>
      <c r="F47" s="150" t="s">
        <v>196</v>
      </c>
      <c r="G47" s="151" t="s">
        <v>42</v>
      </c>
      <c r="H47" s="163" t="s">
        <v>896</v>
      </c>
      <c r="I47" s="153" t="s">
        <v>232</v>
      </c>
      <c r="J47" s="154">
        <v>9.458533418E9</v>
      </c>
    </row>
    <row r="48" ht="22.5" customHeight="1">
      <c r="A48" s="146">
        <v>2022.0</v>
      </c>
      <c r="B48" s="137">
        <v>44663.0</v>
      </c>
      <c r="C48" s="161" t="s">
        <v>22</v>
      </c>
      <c r="D48" s="165" t="s">
        <v>234</v>
      </c>
      <c r="E48" s="158" t="s">
        <v>901</v>
      </c>
      <c r="F48" s="95" t="s">
        <v>240</v>
      </c>
      <c r="G48" s="166" t="s">
        <v>42</v>
      </c>
      <c r="H48" s="163" t="s">
        <v>32</v>
      </c>
      <c r="I48" s="167" t="s">
        <v>239</v>
      </c>
      <c r="J48" s="168">
        <v>9.983115444E9</v>
      </c>
    </row>
    <row r="49" ht="22.5" customHeight="1">
      <c r="A49" s="146">
        <v>2022.0</v>
      </c>
      <c r="B49" s="137">
        <v>44680.0</v>
      </c>
      <c r="C49" s="161" t="s">
        <v>22</v>
      </c>
      <c r="D49" s="165" t="s">
        <v>241</v>
      </c>
      <c r="E49" s="158" t="s">
        <v>902</v>
      </c>
      <c r="F49" s="95" t="s">
        <v>26</v>
      </c>
      <c r="G49" s="166" t="s">
        <v>42</v>
      </c>
      <c r="H49" s="169"/>
      <c r="J49" s="157"/>
    </row>
    <row r="50" ht="22.5" customHeight="1">
      <c r="A50" s="146">
        <v>2022.0</v>
      </c>
      <c r="B50" s="137">
        <v>44680.0</v>
      </c>
      <c r="C50" s="161" t="s">
        <v>17</v>
      </c>
      <c r="D50" s="165" t="s">
        <v>242</v>
      </c>
      <c r="E50" s="158" t="s">
        <v>903</v>
      </c>
      <c r="F50" s="95" t="s">
        <v>904</v>
      </c>
      <c r="G50" s="166" t="s">
        <v>42</v>
      </c>
      <c r="H50" s="169"/>
      <c r="J50" s="157"/>
    </row>
    <row r="51" ht="22.5" customHeight="1">
      <c r="A51" s="146">
        <v>2022.0</v>
      </c>
      <c r="B51" s="137">
        <v>44705.0</v>
      </c>
      <c r="C51" s="161" t="s">
        <v>22</v>
      </c>
      <c r="D51" s="165" t="s">
        <v>243</v>
      </c>
      <c r="E51" s="158" t="s">
        <v>905</v>
      </c>
      <c r="F51" s="141" t="s">
        <v>881</v>
      </c>
      <c r="G51" s="166" t="s">
        <v>20</v>
      </c>
      <c r="H51" s="163" t="s">
        <v>851</v>
      </c>
      <c r="I51" s="167" t="s">
        <v>246</v>
      </c>
      <c r="J51" s="168">
        <v>9.507678137E9</v>
      </c>
    </row>
    <row r="52" ht="22.5" customHeight="1">
      <c r="A52" s="146">
        <v>2022.0</v>
      </c>
      <c r="B52" s="137">
        <v>44718.0</v>
      </c>
      <c r="C52" s="161" t="s">
        <v>22</v>
      </c>
      <c r="D52" s="165" t="s">
        <v>247</v>
      </c>
      <c r="E52" s="158" t="s">
        <v>906</v>
      </c>
      <c r="F52" s="95" t="s">
        <v>907</v>
      </c>
      <c r="G52" s="166" t="s">
        <v>20</v>
      </c>
      <c r="H52" s="163" t="s">
        <v>564</v>
      </c>
      <c r="I52" s="167" t="s">
        <v>252</v>
      </c>
      <c r="J52" s="168">
        <v>9.086043843E9</v>
      </c>
    </row>
    <row r="53" ht="22.5" customHeight="1">
      <c r="A53" s="146">
        <v>2022.0</v>
      </c>
      <c r="B53" s="137">
        <v>44725.0</v>
      </c>
      <c r="C53" s="161" t="s">
        <v>22</v>
      </c>
      <c r="D53" s="165" t="s">
        <v>254</v>
      </c>
      <c r="E53" s="158" t="s">
        <v>908</v>
      </c>
      <c r="F53" s="95" t="s">
        <v>909</v>
      </c>
      <c r="G53" s="166" t="s">
        <v>20</v>
      </c>
      <c r="H53" s="163" t="s">
        <v>166</v>
      </c>
      <c r="J53" s="157"/>
    </row>
    <row r="54" ht="22.5" customHeight="1">
      <c r="A54" s="146">
        <v>2022.0</v>
      </c>
      <c r="B54" s="137">
        <v>44729.0</v>
      </c>
      <c r="C54" s="161" t="s">
        <v>22</v>
      </c>
      <c r="D54" s="165" t="s">
        <v>258</v>
      </c>
      <c r="E54" s="158" t="s">
        <v>910</v>
      </c>
      <c r="F54" s="95" t="s">
        <v>259</v>
      </c>
      <c r="G54" s="166" t="s">
        <v>42</v>
      </c>
      <c r="H54" s="163" t="s">
        <v>851</v>
      </c>
      <c r="I54" s="167" t="s">
        <v>26</v>
      </c>
      <c r="J54" s="170" t="s">
        <v>26</v>
      </c>
    </row>
    <row r="55" ht="22.5" customHeight="1">
      <c r="A55" s="146">
        <v>2022.0</v>
      </c>
      <c r="B55" s="137">
        <v>44725.0</v>
      </c>
      <c r="C55" s="161" t="s">
        <v>22</v>
      </c>
      <c r="D55" s="165" t="s">
        <v>260</v>
      </c>
      <c r="E55" s="158" t="s">
        <v>911</v>
      </c>
      <c r="F55" s="95" t="s">
        <v>907</v>
      </c>
      <c r="G55" s="166" t="s">
        <v>20</v>
      </c>
      <c r="H55" s="163" t="s">
        <v>564</v>
      </c>
      <c r="I55" s="167" t="s">
        <v>263</v>
      </c>
      <c r="J55" s="168">
        <v>9.563167064E9</v>
      </c>
    </row>
    <row r="56" ht="22.5" customHeight="1">
      <c r="A56" s="146">
        <v>2022.0</v>
      </c>
      <c r="B56" s="137">
        <v>44733.0</v>
      </c>
      <c r="C56" s="161" t="s">
        <v>22</v>
      </c>
      <c r="D56" s="165" t="s">
        <v>264</v>
      </c>
      <c r="E56" s="158" t="s">
        <v>912</v>
      </c>
      <c r="F56" s="95" t="s">
        <v>265</v>
      </c>
      <c r="G56" s="166" t="s">
        <v>42</v>
      </c>
      <c r="H56" s="163" t="s">
        <v>32</v>
      </c>
      <c r="I56" s="167" t="s">
        <v>26</v>
      </c>
      <c r="J56" s="170" t="s">
        <v>26</v>
      </c>
    </row>
    <row r="57" ht="22.5" customHeight="1">
      <c r="A57" s="146">
        <v>2022.0</v>
      </c>
      <c r="B57" s="137">
        <v>44763.0</v>
      </c>
      <c r="C57" s="161" t="s">
        <v>22</v>
      </c>
      <c r="D57" s="165" t="s">
        <v>267</v>
      </c>
      <c r="E57" s="158" t="s">
        <v>913</v>
      </c>
      <c r="F57" s="95" t="s">
        <v>269</v>
      </c>
      <c r="G57" s="166" t="s">
        <v>20</v>
      </c>
      <c r="H57" s="163" t="s">
        <v>32</v>
      </c>
      <c r="I57" s="167" t="s">
        <v>268</v>
      </c>
      <c r="J57" s="170" t="s">
        <v>26</v>
      </c>
    </row>
    <row r="58" ht="22.5" customHeight="1">
      <c r="A58" s="146">
        <v>2022.0</v>
      </c>
      <c r="B58" s="137">
        <v>44785.0</v>
      </c>
      <c r="C58" s="161" t="s">
        <v>22</v>
      </c>
      <c r="D58" s="165" t="s">
        <v>270</v>
      </c>
      <c r="E58" s="158" t="s">
        <v>914</v>
      </c>
      <c r="F58" s="95" t="s">
        <v>915</v>
      </c>
      <c r="G58" s="166" t="s">
        <v>20</v>
      </c>
      <c r="H58" s="163" t="s">
        <v>851</v>
      </c>
      <c r="I58" s="167" t="s">
        <v>274</v>
      </c>
      <c r="J58" s="168">
        <v>9.065278053E9</v>
      </c>
    </row>
    <row r="59" ht="22.5" customHeight="1">
      <c r="A59" s="146">
        <v>2022.0</v>
      </c>
      <c r="B59" s="137">
        <v>44785.0</v>
      </c>
      <c r="C59" s="161" t="s">
        <v>22</v>
      </c>
      <c r="D59" s="165" t="s">
        <v>276</v>
      </c>
      <c r="E59" s="158" t="s">
        <v>916</v>
      </c>
      <c r="F59" s="95" t="s">
        <v>915</v>
      </c>
      <c r="G59" s="166" t="s">
        <v>20</v>
      </c>
      <c r="H59" s="163" t="s">
        <v>32</v>
      </c>
      <c r="I59" s="167" t="s">
        <v>278</v>
      </c>
      <c r="J59" s="168">
        <v>9.166094464E9</v>
      </c>
    </row>
    <row r="60" ht="22.5" customHeight="1">
      <c r="A60" s="146">
        <v>2022.0</v>
      </c>
      <c r="B60" s="137">
        <v>44785.0</v>
      </c>
      <c r="C60" s="161" t="s">
        <v>22</v>
      </c>
      <c r="D60" s="171" t="s">
        <v>280</v>
      </c>
      <c r="E60" s="158" t="s">
        <v>917</v>
      </c>
      <c r="F60" s="95" t="s">
        <v>918</v>
      </c>
      <c r="G60" s="166" t="s">
        <v>20</v>
      </c>
      <c r="H60" s="163" t="s">
        <v>32</v>
      </c>
      <c r="I60" s="167" t="s">
        <v>282</v>
      </c>
      <c r="J60" s="168">
        <v>9.606937846E9</v>
      </c>
    </row>
    <row r="61" ht="22.5" customHeight="1">
      <c r="A61" s="146">
        <v>2022.0</v>
      </c>
      <c r="B61" s="137">
        <v>44785.0</v>
      </c>
      <c r="C61" s="161" t="s">
        <v>22</v>
      </c>
      <c r="D61" s="165" t="s">
        <v>284</v>
      </c>
      <c r="E61" s="158" t="s">
        <v>919</v>
      </c>
      <c r="F61" s="95" t="s">
        <v>920</v>
      </c>
      <c r="G61" s="166" t="s">
        <v>20</v>
      </c>
      <c r="H61" s="163" t="s">
        <v>921</v>
      </c>
      <c r="I61" s="167" t="s">
        <v>287</v>
      </c>
      <c r="J61" s="168">
        <v>9.770898748E9</v>
      </c>
    </row>
    <row r="62" ht="22.5" customHeight="1">
      <c r="A62" s="146">
        <v>2022.0</v>
      </c>
      <c r="B62" s="137">
        <v>44868.0</v>
      </c>
      <c r="C62" s="161" t="s">
        <v>17</v>
      </c>
      <c r="D62" s="165" t="s">
        <v>289</v>
      </c>
      <c r="E62" s="158" t="s">
        <v>922</v>
      </c>
      <c r="F62" s="95" t="s">
        <v>293</v>
      </c>
      <c r="G62" s="166" t="s">
        <v>42</v>
      </c>
      <c r="H62" s="163" t="s">
        <v>923</v>
      </c>
      <c r="I62" s="167" t="s">
        <v>292</v>
      </c>
      <c r="J62" s="168">
        <v>9.61091456E9</v>
      </c>
    </row>
    <row r="63" ht="22.5" customHeight="1">
      <c r="A63" s="146">
        <v>2022.0</v>
      </c>
      <c r="B63" s="137">
        <v>44869.0</v>
      </c>
      <c r="C63" s="161" t="s">
        <v>17</v>
      </c>
      <c r="D63" s="165" t="s">
        <v>294</v>
      </c>
      <c r="E63" s="158" t="s">
        <v>924</v>
      </c>
      <c r="F63" s="95" t="s">
        <v>293</v>
      </c>
      <c r="G63" s="166" t="s">
        <v>20</v>
      </c>
      <c r="H63" s="163" t="s">
        <v>851</v>
      </c>
      <c r="I63" s="167" t="s">
        <v>295</v>
      </c>
      <c r="J63" s="168">
        <v>9.776634482E9</v>
      </c>
    </row>
    <row r="64" ht="22.5" customHeight="1">
      <c r="A64" s="146">
        <v>2022.0</v>
      </c>
      <c r="B64" s="137">
        <v>44859.0</v>
      </c>
      <c r="C64" s="161" t="s">
        <v>17</v>
      </c>
      <c r="D64" s="165" t="s">
        <v>297</v>
      </c>
      <c r="E64" s="158" t="s">
        <v>925</v>
      </c>
      <c r="F64" s="95" t="s">
        <v>302</v>
      </c>
      <c r="G64" s="166" t="s">
        <v>20</v>
      </c>
      <c r="H64" s="163" t="s">
        <v>851</v>
      </c>
      <c r="I64" s="167" t="s">
        <v>301</v>
      </c>
      <c r="J64" s="168">
        <v>9.171740515E9</v>
      </c>
    </row>
    <row r="65" ht="22.5" customHeight="1">
      <c r="A65" s="146">
        <v>2022.0</v>
      </c>
      <c r="B65" s="137">
        <v>44859.0</v>
      </c>
      <c r="C65" s="161" t="s">
        <v>17</v>
      </c>
      <c r="D65" s="165" t="s">
        <v>303</v>
      </c>
      <c r="E65" s="158" t="s">
        <v>926</v>
      </c>
      <c r="F65" s="95" t="s">
        <v>302</v>
      </c>
      <c r="G65" s="166" t="s">
        <v>20</v>
      </c>
      <c r="H65" s="163" t="s">
        <v>927</v>
      </c>
      <c r="I65" s="167" t="s">
        <v>307</v>
      </c>
      <c r="J65" s="170" t="s">
        <v>26</v>
      </c>
    </row>
    <row r="66" ht="22.5" customHeight="1">
      <c r="A66" s="146">
        <v>2022.0</v>
      </c>
      <c r="B66" s="137">
        <v>44859.0</v>
      </c>
      <c r="C66" s="161" t="s">
        <v>17</v>
      </c>
      <c r="D66" s="165" t="s">
        <v>308</v>
      </c>
      <c r="E66" s="158" t="s">
        <v>928</v>
      </c>
      <c r="F66" s="95" t="s">
        <v>302</v>
      </c>
      <c r="G66" s="166" t="s">
        <v>20</v>
      </c>
      <c r="H66" s="163" t="s">
        <v>851</v>
      </c>
      <c r="I66" s="167" t="s">
        <v>310</v>
      </c>
      <c r="J66" s="170" t="s">
        <v>26</v>
      </c>
    </row>
    <row r="67" ht="22.5" customHeight="1">
      <c r="A67" s="146">
        <v>2022.0</v>
      </c>
      <c r="B67" s="137">
        <v>44859.0</v>
      </c>
      <c r="C67" s="161" t="s">
        <v>17</v>
      </c>
      <c r="D67" s="165" t="s">
        <v>311</v>
      </c>
      <c r="E67" s="158" t="s">
        <v>929</v>
      </c>
      <c r="F67" s="95" t="s">
        <v>302</v>
      </c>
      <c r="G67" s="166" t="s">
        <v>20</v>
      </c>
      <c r="H67" s="163" t="s">
        <v>851</v>
      </c>
      <c r="I67" s="167" t="s">
        <v>313</v>
      </c>
      <c r="J67" s="170" t="s">
        <v>26</v>
      </c>
    </row>
    <row r="68" ht="22.5" customHeight="1">
      <c r="A68" s="146">
        <v>2022.0</v>
      </c>
      <c r="B68" s="137">
        <v>44902.0</v>
      </c>
      <c r="C68" s="161" t="s">
        <v>22</v>
      </c>
      <c r="D68" s="165" t="s">
        <v>314</v>
      </c>
      <c r="E68" s="158" t="s">
        <v>930</v>
      </c>
      <c r="F68" s="170" t="s">
        <v>318</v>
      </c>
      <c r="G68" s="166" t="s">
        <v>20</v>
      </c>
      <c r="H68" s="163" t="s">
        <v>896</v>
      </c>
      <c r="I68" s="167" t="s">
        <v>317</v>
      </c>
      <c r="J68" s="170" t="s">
        <v>26</v>
      </c>
    </row>
    <row r="69" ht="22.5" customHeight="1">
      <c r="A69" s="146">
        <v>2022.0</v>
      </c>
      <c r="B69" s="137">
        <v>44910.0</v>
      </c>
      <c r="C69" s="161" t="s">
        <v>22</v>
      </c>
      <c r="D69" s="165" t="s">
        <v>319</v>
      </c>
      <c r="E69" s="158" t="s">
        <v>931</v>
      </c>
      <c r="F69" s="150" t="s">
        <v>196</v>
      </c>
      <c r="G69" s="166" t="s">
        <v>42</v>
      </c>
      <c r="H69" s="163" t="s">
        <v>932</v>
      </c>
      <c r="J69" s="170" t="s">
        <v>26</v>
      </c>
    </row>
    <row r="70" ht="22.5" customHeight="1">
      <c r="A70" s="146">
        <v>2022.0</v>
      </c>
      <c r="B70" s="137">
        <v>44910.0</v>
      </c>
      <c r="C70" s="161" t="s">
        <v>22</v>
      </c>
      <c r="D70" s="165" t="s">
        <v>321</v>
      </c>
      <c r="E70" s="158" t="s">
        <v>933</v>
      </c>
      <c r="F70" s="150" t="s">
        <v>196</v>
      </c>
      <c r="G70" s="166" t="s">
        <v>20</v>
      </c>
      <c r="H70" s="163" t="s">
        <v>851</v>
      </c>
      <c r="J70" s="170" t="s">
        <v>26</v>
      </c>
    </row>
    <row r="71" ht="22.5" customHeight="1">
      <c r="A71" s="146">
        <v>2022.0</v>
      </c>
      <c r="B71" s="137">
        <v>44910.0</v>
      </c>
      <c r="C71" s="161" t="s">
        <v>22</v>
      </c>
      <c r="D71" s="165" t="s">
        <v>322</v>
      </c>
      <c r="E71" s="158" t="s">
        <v>934</v>
      </c>
      <c r="F71" s="150" t="s">
        <v>196</v>
      </c>
      <c r="G71" s="166" t="s">
        <v>20</v>
      </c>
      <c r="H71" s="172"/>
      <c r="J71" s="170" t="s">
        <v>26</v>
      </c>
      <c r="K71" s="160"/>
      <c r="L71" s="160"/>
      <c r="M71" s="160"/>
      <c r="N71" s="160"/>
      <c r="O71" s="160"/>
      <c r="P71" s="160"/>
      <c r="Q71" s="160"/>
      <c r="R71" s="160"/>
      <c r="S71" s="160"/>
      <c r="T71" s="160"/>
      <c r="U71" s="160"/>
    </row>
    <row r="72" ht="22.5" customHeight="1">
      <c r="A72" s="146">
        <v>2022.0</v>
      </c>
      <c r="B72" s="137">
        <v>44925.0</v>
      </c>
      <c r="C72" s="161" t="s">
        <v>22</v>
      </c>
      <c r="D72" s="165" t="s">
        <v>323</v>
      </c>
      <c r="E72" s="158" t="s">
        <v>935</v>
      </c>
      <c r="F72" s="170" t="s">
        <v>318</v>
      </c>
      <c r="G72" s="166" t="s">
        <v>20</v>
      </c>
      <c r="H72" s="163" t="s">
        <v>896</v>
      </c>
      <c r="I72" s="167" t="s">
        <v>325</v>
      </c>
      <c r="J72" s="168">
        <v>9.756763834E9</v>
      </c>
    </row>
    <row r="73" ht="22.5" customHeight="1">
      <c r="A73" s="136">
        <v>2023.0</v>
      </c>
      <c r="B73" s="137">
        <v>44951.0</v>
      </c>
      <c r="C73" s="161" t="s">
        <v>17</v>
      </c>
      <c r="D73" s="165" t="s">
        <v>327</v>
      </c>
      <c r="E73" s="165" t="s">
        <v>936</v>
      </c>
      <c r="F73" s="95" t="s">
        <v>329</v>
      </c>
      <c r="G73" s="166" t="s">
        <v>42</v>
      </c>
      <c r="H73" s="163" t="s">
        <v>32</v>
      </c>
      <c r="I73" s="167" t="s">
        <v>937</v>
      </c>
      <c r="J73" s="168">
        <v>9.366517382E9</v>
      </c>
    </row>
    <row r="74" ht="22.5" customHeight="1">
      <c r="A74" s="136">
        <v>2023.0</v>
      </c>
      <c r="B74" s="137">
        <v>44964.0</v>
      </c>
      <c r="C74" s="161" t="s">
        <v>17</v>
      </c>
      <c r="D74" s="165" t="s">
        <v>330</v>
      </c>
      <c r="E74" s="165" t="s">
        <v>938</v>
      </c>
      <c r="F74" s="95" t="s">
        <v>939</v>
      </c>
      <c r="G74" s="166" t="s">
        <v>20</v>
      </c>
      <c r="H74" s="163" t="s">
        <v>166</v>
      </c>
      <c r="I74" s="167" t="s">
        <v>334</v>
      </c>
      <c r="J74" s="168">
        <v>9.985307495E9</v>
      </c>
    </row>
    <row r="75" ht="22.5" customHeight="1">
      <c r="A75" s="136">
        <v>2023.0</v>
      </c>
      <c r="B75" s="137">
        <v>44972.0</v>
      </c>
      <c r="C75" s="161" t="s">
        <v>22</v>
      </c>
      <c r="D75" s="165" t="s">
        <v>336</v>
      </c>
      <c r="E75" s="165" t="s">
        <v>940</v>
      </c>
      <c r="F75" s="95" t="s">
        <v>337</v>
      </c>
      <c r="G75" s="166" t="s">
        <v>42</v>
      </c>
      <c r="H75" s="163" t="s">
        <v>166</v>
      </c>
      <c r="J75" s="157"/>
    </row>
    <row r="76" ht="22.5" customHeight="1">
      <c r="A76" s="136">
        <v>2023.0</v>
      </c>
      <c r="B76" s="137">
        <v>44985.0</v>
      </c>
      <c r="C76" s="161" t="s">
        <v>22</v>
      </c>
      <c r="D76" s="165" t="s">
        <v>338</v>
      </c>
      <c r="E76" s="165" t="s">
        <v>941</v>
      </c>
      <c r="F76" s="95" t="s">
        <v>344</v>
      </c>
      <c r="G76" s="166" t="s">
        <v>42</v>
      </c>
      <c r="H76" s="163" t="s">
        <v>32</v>
      </c>
      <c r="I76" s="167" t="s">
        <v>343</v>
      </c>
      <c r="J76" s="170" t="s">
        <v>342</v>
      </c>
    </row>
    <row r="77" ht="22.5" customHeight="1">
      <c r="A77" s="136">
        <v>2023.0</v>
      </c>
      <c r="B77" s="137">
        <v>44985.0</v>
      </c>
      <c r="C77" s="161" t="s">
        <v>22</v>
      </c>
      <c r="D77" s="165" t="s">
        <v>345</v>
      </c>
      <c r="E77" s="165" t="s">
        <v>942</v>
      </c>
      <c r="F77" s="95" t="s">
        <v>349</v>
      </c>
      <c r="G77" s="166" t="s">
        <v>20</v>
      </c>
      <c r="H77" s="163" t="s">
        <v>32</v>
      </c>
      <c r="I77" s="167" t="s">
        <v>348</v>
      </c>
      <c r="J77" s="170" t="s">
        <v>347</v>
      </c>
    </row>
    <row r="78" ht="22.5" customHeight="1">
      <c r="A78" s="136">
        <v>2023.0</v>
      </c>
      <c r="B78" s="137">
        <v>44985.0</v>
      </c>
      <c r="C78" s="161" t="s">
        <v>22</v>
      </c>
      <c r="D78" s="165" t="s">
        <v>350</v>
      </c>
      <c r="E78" s="165" t="s">
        <v>943</v>
      </c>
      <c r="F78" s="170" t="s">
        <v>318</v>
      </c>
      <c r="G78" s="166" t="s">
        <v>20</v>
      </c>
      <c r="H78" s="173" t="s">
        <v>896</v>
      </c>
      <c r="J78" s="157"/>
    </row>
    <row r="79" ht="22.5" customHeight="1">
      <c r="A79" s="136">
        <v>2023.0</v>
      </c>
      <c r="B79" s="137">
        <v>44985.0</v>
      </c>
      <c r="C79" s="161" t="s">
        <v>22</v>
      </c>
      <c r="D79" s="165" t="s">
        <v>352</v>
      </c>
      <c r="E79" s="165" t="s">
        <v>944</v>
      </c>
      <c r="F79" s="95" t="s">
        <v>305</v>
      </c>
      <c r="G79" s="166" t="s">
        <v>42</v>
      </c>
      <c r="H79" s="173" t="s">
        <v>896</v>
      </c>
      <c r="I79" s="174"/>
      <c r="J79" s="157"/>
    </row>
    <row r="80" ht="22.5" customHeight="1">
      <c r="A80" s="136">
        <v>2023.0</v>
      </c>
      <c r="B80" s="137">
        <v>44999.0</v>
      </c>
      <c r="C80" s="175" t="s">
        <v>17</v>
      </c>
      <c r="D80" s="176" t="s">
        <v>354</v>
      </c>
      <c r="E80" s="165" t="s">
        <v>945</v>
      </c>
      <c r="F80" s="150" t="s">
        <v>196</v>
      </c>
      <c r="G80" s="166" t="s">
        <v>20</v>
      </c>
      <c r="H80" s="163" t="s">
        <v>932</v>
      </c>
      <c r="I80" s="174" t="s">
        <v>287</v>
      </c>
      <c r="J80" s="157"/>
    </row>
    <row r="81" ht="22.5" customHeight="1">
      <c r="A81" s="136">
        <v>2023.0</v>
      </c>
      <c r="B81" s="137">
        <v>44999.0</v>
      </c>
      <c r="C81" s="175" t="s">
        <v>101</v>
      </c>
      <c r="D81" s="176" t="s">
        <v>284</v>
      </c>
      <c r="E81" s="165" t="s">
        <v>946</v>
      </c>
      <c r="F81" s="150" t="s">
        <v>196</v>
      </c>
      <c r="G81" s="166" t="s">
        <v>20</v>
      </c>
      <c r="H81" s="172"/>
      <c r="J81" s="168"/>
    </row>
    <row r="82" ht="22.5" customHeight="1">
      <c r="A82" s="136">
        <v>2023.0</v>
      </c>
      <c r="B82" s="137">
        <v>45007.0</v>
      </c>
      <c r="C82" s="175" t="s">
        <v>22</v>
      </c>
      <c r="D82" s="165" t="s">
        <v>356</v>
      </c>
      <c r="E82" s="165" t="s">
        <v>947</v>
      </c>
      <c r="F82" s="95" t="s">
        <v>867</v>
      </c>
      <c r="G82" s="166" t="s">
        <v>20</v>
      </c>
      <c r="H82" s="163" t="s">
        <v>896</v>
      </c>
      <c r="I82" s="167" t="s">
        <v>360</v>
      </c>
      <c r="J82" s="168">
        <v>9.491129316E9</v>
      </c>
    </row>
    <row r="83" ht="22.5" customHeight="1">
      <c r="A83" s="136">
        <v>2023.0</v>
      </c>
      <c r="B83" s="137">
        <v>45020.0</v>
      </c>
      <c r="C83" s="175" t="s">
        <v>22</v>
      </c>
      <c r="D83" s="165" t="s">
        <v>362</v>
      </c>
      <c r="E83" s="165" t="s">
        <v>948</v>
      </c>
      <c r="F83" s="95" t="s">
        <v>867</v>
      </c>
      <c r="G83" s="166" t="s">
        <v>20</v>
      </c>
      <c r="H83" s="163" t="s">
        <v>851</v>
      </c>
      <c r="I83" s="167" t="s">
        <v>365</v>
      </c>
      <c r="J83" s="168">
        <v>9.179155714E9</v>
      </c>
    </row>
    <row r="84" ht="22.5" customHeight="1">
      <c r="A84" s="136">
        <v>2023.0</v>
      </c>
      <c r="B84" s="137">
        <v>45035.0</v>
      </c>
      <c r="C84" s="175" t="s">
        <v>22</v>
      </c>
      <c r="D84" s="165" t="s">
        <v>367</v>
      </c>
      <c r="E84" s="165" t="s">
        <v>949</v>
      </c>
      <c r="F84" s="170" t="s">
        <v>318</v>
      </c>
      <c r="G84" s="166" t="s">
        <v>20</v>
      </c>
      <c r="H84" s="163" t="s">
        <v>896</v>
      </c>
      <c r="I84" s="167" t="s">
        <v>369</v>
      </c>
      <c r="J84" s="168">
        <v>9.183304418E9</v>
      </c>
    </row>
    <row r="85" ht="22.5" customHeight="1">
      <c r="A85" s="136">
        <v>2023.0</v>
      </c>
      <c r="B85" s="137">
        <v>45035.0</v>
      </c>
      <c r="C85" s="175" t="s">
        <v>22</v>
      </c>
      <c r="D85" s="165" t="s">
        <v>371</v>
      </c>
      <c r="E85" s="165" t="s">
        <v>950</v>
      </c>
      <c r="F85" s="170" t="s">
        <v>318</v>
      </c>
      <c r="G85" s="166" t="s">
        <v>20</v>
      </c>
      <c r="H85" s="163" t="s">
        <v>896</v>
      </c>
      <c r="I85" s="167" t="s">
        <v>372</v>
      </c>
      <c r="J85" s="168">
        <v>9.156252447E9</v>
      </c>
    </row>
    <row r="86" ht="22.5" customHeight="1">
      <c r="A86" s="136">
        <v>2023.0</v>
      </c>
      <c r="B86" s="137">
        <v>45036.0</v>
      </c>
      <c r="C86" s="175" t="s">
        <v>22</v>
      </c>
      <c r="D86" s="165" t="s">
        <v>373</v>
      </c>
      <c r="E86" s="165" t="s">
        <v>951</v>
      </c>
      <c r="F86" s="95" t="s">
        <v>952</v>
      </c>
      <c r="G86" s="166" t="s">
        <v>20</v>
      </c>
      <c r="H86" s="163" t="s">
        <v>896</v>
      </c>
      <c r="I86" s="167" t="s">
        <v>374</v>
      </c>
      <c r="J86" s="168">
        <v>9.500034025E9</v>
      </c>
    </row>
    <row r="87" ht="22.5" customHeight="1">
      <c r="A87" s="136">
        <v>2023.0</v>
      </c>
      <c r="B87" s="137">
        <v>45051.0</v>
      </c>
      <c r="C87" s="175" t="s">
        <v>22</v>
      </c>
      <c r="D87" s="165" t="s">
        <v>375</v>
      </c>
      <c r="E87" s="165" t="s">
        <v>953</v>
      </c>
      <c r="F87" s="95" t="s">
        <v>867</v>
      </c>
      <c r="G87" s="166" t="s">
        <v>20</v>
      </c>
      <c r="H87" s="163" t="s">
        <v>896</v>
      </c>
      <c r="I87" s="167" t="s">
        <v>376</v>
      </c>
      <c r="J87" s="168">
        <v>9.45102709E9</v>
      </c>
    </row>
    <row r="88" ht="22.5" customHeight="1">
      <c r="A88" s="136">
        <v>2023.0</v>
      </c>
      <c r="B88" s="137">
        <v>45054.0</v>
      </c>
      <c r="C88" s="175" t="s">
        <v>17</v>
      </c>
      <c r="D88" s="165" t="s">
        <v>378</v>
      </c>
      <c r="E88" s="165" t="s">
        <v>954</v>
      </c>
      <c r="F88" s="150" t="s">
        <v>196</v>
      </c>
      <c r="G88" s="166" t="s">
        <v>20</v>
      </c>
      <c r="H88" s="163" t="s">
        <v>851</v>
      </c>
      <c r="I88" s="167" t="s">
        <v>380</v>
      </c>
      <c r="J88" s="168">
        <v>9.150466811E9</v>
      </c>
    </row>
    <row r="89" ht="22.5" customHeight="1">
      <c r="A89" s="136">
        <v>2023.0</v>
      </c>
      <c r="B89" s="137">
        <v>45062.0</v>
      </c>
      <c r="C89" s="175" t="s">
        <v>22</v>
      </c>
      <c r="D89" s="165" t="s">
        <v>382</v>
      </c>
      <c r="E89" s="165" t="s">
        <v>955</v>
      </c>
      <c r="F89" s="141" t="s">
        <v>869</v>
      </c>
      <c r="G89" s="166" t="s">
        <v>42</v>
      </c>
      <c r="H89" s="163" t="s">
        <v>564</v>
      </c>
      <c r="I89" s="167" t="s">
        <v>384</v>
      </c>
      <c r="J89" s="168">
        <v>9.381797811E9</v>
      </c>
    </row>
    <row r="90" ht="22.5" customHeight="1">
      <c r="A90" s="136">
        <v>2023.0</v>
      </c>
      <c r="B90" s="137">
        <v>45062.0</v>
      </c>
      <c r="C90" s="175" t="s">
        <v>22</v>
      </c>
      <c r="D90" s="165" t="s">
        <v>386</v>
      </c>
      <c r="E90" s="165" t="s">
        <v>956</v>
      </c>
      <c r="F90" s="141" t="s">
        <v>869</v>
      </c>
      <c r="G90" s="166" t="s">
        <v>20</v>
      </c>
      <c r="H90" s="163" t="s">
        <v>564</v>
      </c>
      <c r="I90" s="167" t="s">
        <v>387</v>
      </c>
      <c r="J90" s="168">
        <v>9.611424133E9</v>
      </c>
    </row>
    <row r="91" ht="22.5" customHeight="1">
      <c r="A91" s="136">
        <v>2023.0</v>
      </c>
      <c r="B91" s="137">
        <v>45083.0</v>
      </c>
      <c r="C91" s="175" t="s">
        <v>22</v>
      </c>
      <c r="D91" s="165" t="s">
        <v>389</v>
      </c>
      <c r="E91" s="165" t="s">
        <v>957</v>
      </c>
      <c r="F91" s="95" t="s">
        <v>391</v>
      </c>
      <c r="G91" s="166" t="s">
        <v>20</v>
      </c>
      <c r="H91" s="163" t="s">
        <v>896</v>
      </c>
      <c r="I91" s="167" t="s">
        <v>392</v>
      </c>
      <c r="J91" s="168">
        <v>9.510585545E9</v>
      </c>
    </row>
    <row r="92" ht="22.5" customHeight="1">
      <c r="A92" s="136">
        <v>2023.0</v>
      </c>
      <c r="B92" s="137">
        <v>45083.0</v>
      </c>
      <c r="C92" s="175" t="s">
        <v>22</v>
      </c>
      <c r="D92" s="165" t="s">
        <v>393</v>
      </c>
      <c r="E92" s="165" t="s">
        <v>958</v>
      </c>
      <c r="F92" s="95" t="s">
        <v>399</v>
      </c>
      <c r="G92" s="166" t="s">
        <v>20</v>
      </c>
      <c r="H92" s="172"/>
      <c r="I92" s="95" t="s">
        <v>398</v>
      </c>
      <c r="J92" s="168">
        <v>9.948480119E9</v>
      </c>
    </row>
    <row r="93" ht="22.5" customHeight="1">
      <c r="A93" s="136">
        <v>2023.0</v>
      </c>
      <c r="B93" s="137">
        <v>45083.0</v>
      </c>
      <c r="C93" s="175" t="s">
        <v>22</v>
      </c>
      <c r="D93" s="165" t="s">
        <v>400</v>
      </c>
      <c r="E93" s="165" t="s">
        <v>959</v>
      </c>
      <c r="F93" s="95" t="s">
        <v>403</v>
      </c>
      <c r="G93" s="166" t="s">
        <v>20</v>
      </c>
      <c r="H93" s="172"/>
      <c r="I93" s="167" t="s">
        <v>402</v>
      </c>
      <c r="J93" s="168">
        <v>9.06264839E9</v>
      </c>
    </row>
    <row r="94" ht="22.5" customHeight="1">
      <c r="A94" s="136">
        <v>2023.0</v>
      </c>
      <c r="B94" s="137">
        <v>45085.0</v>
      </c>
      <c r="C94" s="175" t="s">
        <v>22</v>
      </c>
      <c r="D94" s="165" t="s">
        <v>404</v>
      </c>
      <c r="E94" s="165" t="s">
        <v>960</v>
      </c>
      <c r="F94" s="95" t="s">
        <v>406</v>
      </c>
      <c r="G94" s="166" t="s">
        <v>20</v>
      </c>
      <c r="H94" s="172"/>
      <c r="J94" s="157"/>
    </row>
    <row r="95" ht="22.5" customHeight="1">
      <c r="A95" s="136">
        <v>2023.0</v>
      </c>
      <c r="B95" s="137">
        <v>45091.0</v>
      </c>
      <c r="C95" s="175" t="s">
        <v>22</v>
      </c>
      <c r="D95" s="165" t="s">
        <v>408</v>
      </c>
      <c r="E95" s="165" t="s">
        <v>961</v>
      </c>
      <c r="F95" s="95" t="s">
        <v>962</v>
      </c>
      <c r="G95" s="166" t="s">
        <v>20</v>
      </c>
      <c r="H95" s="172"/>
      <c r="I95" s="167" t="s">
        <v>412</v>
      </c>
      <c r="J95" s="168">
        <v>9.955359003E9</v>
      </c>
    </row>
    <row r="96" ht="22.5" customHeight="1">
      <c r="A96" s="136">
        <v>2023.0</v>
      </c>
      <c r="B96" s="137">
        <v>45103.0</v>
      </c>
      <c r="C96" s="175" t="s">
        <v>22</v>
      </c>
      <c r="D96" s="165" t="s">
        <v>414</v>
      </c>
      <c r="E96" s="165" t="s">
        <v>963</v>
      </c>
      <c r="F96" s="95" t="s">
        <v>419</v>
      </c>
      <c r="G96" s="166" t="s">
        <v>42</v>
      </c>
      <c r="H96" s="172"/>
      <c r="I96" s="167" t="s">
        <v>418</v>
      </c>
      <c r="J96" s="168">
        <v>9.458039067E9</v>
      </c>
    </row>
    <row r="97" ht="22.5" customHeight="1">
      <c r="A97" s="136">
        <v>2023.0</v>
      </c>
      <c r="B97" s="137">
        <v>45103.0</v>
      </c>
      <c r="C97" s="175" t="s">
        <v>22</v>
      </c>
      <c r="D97" s="165" t="s">
        <v>420</v>
      </c>
      <c r="E97" s="165" t="s">
        <v>964</v>
      </c>
      <c r="F97" s="95" t="s">
        <v>419</v>
      </c>
      <c r="G97" s="166" t="s">
        <v>20</v>
      </c>
      <c r="H97" s="172"/>
      <c r="I97" s="167" t="s">
        <v>422</v>
      </c>
      <c r="J97" s="168">
        <v>9.101570895E9</v>
      </c>
    </row>
    <row r="98" ht="22.5" customHeight="1">
      <c r="A98" s="136">
        <v>2023.0</v>
      </c>
      <c r="B98" s="137">
        <v>45103.0</v>
      </c>
      <c r="C98" s="175" t="s">
        <v>22</v>
      </c>
      <c r="D98" s="171" t="s">
        <v>424</v>
      </c>
      <c r="E98" s="165" t="s">
        <v>965</v>
      </c>
      <c r="F98" s="95" t="s">
        <v>419</v>
      </c>
      <c r="G98" s="166" t="s">
        <v>20</v>
      </c>
      <c r="H98" s="172"/>
      <c r="I98" s="167" t="s">
        <v>426</v>
      </c>
      <c r="J98" s="168">
        <v>9.291552319E9</v>
      </c>
    </row>
    <row r="99" ht="22.5" customHeight="1">
      <c r="A99" s="136">
        <v>2023.0</v>
      </c>
      <c r="B99" s="137">
        <v>45119.0</v>
      </c>
      <c r="C99" s="161" t="s">
        <v>17</v>
      </c>
      <c r="D99" s="165" t="s">
        <v>966</v>
      </c>
      <c r="E99" s="165" t="s">
        <v>967</v>
      </c>
      <c r="F99" s="95" t="s">
        <v>952</v>
      </c>
      <c r="G99" s="166" t="s">
        <v>42</v>
      </c>
      <c r="H99" s="172"/>
      <c r="I99" s="167" t="s">
        <v>429</v>
      </c>
      <c r="J99" s="157"/>
    </row>
    <row r="100" ht="22.5" customHeight="1">
      <c r="A100" s="136">
        <v>2023.0</v>
      </c>
      <c r="B100" s="137">
        <v>45119.0</v>
      </c>
      <c r="C100" s="161" t="s">
        <v>17</v>
      </c>
      <c r="D100" s="165" t="s">
        <v>430</v>
      </c>
      <c r="E100" s="165" t="s">
        <v>968</v>
      </c>
      <c r="F100" s="95" t="s">
        <v>952</v>
      </c>
      <c r="G100" s="166" t="s">
        <v>42</v>
      </c>
      <c r="H100" s="172"/>
      <c r="I100" s="177" t="s">
        <v>431</v>
      </c>
      <c r="J100" s="157"/>
    </row>
    <row r="101" ht="22.5" customHeight="1">
      <c r="A101" s="136">
        <v>2023.0</v>
      </c>
      <c r="B101" s="137">
        <v>45125.0</v>
      </c>
      <c r="C101" s="161" t="s">
        <v>17</v>
      </c>
      <c r="D101" s="165" t="s">
        <v>432</v>
      </c>
      <c r="E101" s="165" t="s">
        <v>969</v>
      </c>
      <c r="F101" s="95" t="s">
        <v>434</v>
      </c>
      <c r="G101" s="166" t="s">
        <v>20</v>
      </c>
      <c r="H101" s="172"/>
      <c r="I101" s="167" t="s">
        <v>435</v>
      </c>
      <c r="J101" s="168">
        <v>9.157867613E9</v>
      </c>
    </row>
    <row r="102" ht="22.5" customHeight="1">
      <c r="A102" s="136">
        <v>2023.0</v>
      </c>
      <c r="B102" s="137">
        <v>45125.0</v>
      </c>
      <c r="C102" s="161" t="s">
        <v>17</v>
      </c>
      <c r="D102" s="178" t="s">
        <v>436</v>
      </c>
      <c r="E102" s="165" t="s">
        <v>970</v>
      </c>
      <c r="F102" s="95" t="s">
        <v>952</v>
      </c>
      <c r="G102" s="166" t="s">
        <v>20</v>
      </c>
      <c r="H102" s="172"/>
      <c r="J102" s="157"/>
    </row>
    <row r="103" ht="22.5" customHeight="1">
      <c r="A103" s="136">
        <v>2023.0</v>
      </c>
      <c r="B103" s="137">
        <v>45140.0</v>
      </c>
      <c r="C103" s="161" t="s">
        <v>22</v>
      </c>
      <c r="D103" s="165" t="s">
        <v>438</v>
      </c>
      <c r="E103" s="165" t="s">
        <v>971</v>
      </c>
      <c r="F103" s="95" t="s">
        <v>972</v>
      </c>
      <c r="G103" s="166" t="s">
        <v>20</v>
      </c>
      <c r="H103" s="172"/>
      <c r="I103" s="167" t="s">
        <v>442</v>
      </c>
      <c r="J103" s="168">
        <v>9.176276757E9</v>
      </c>
    </row>
    <row r="104" ht="22.5" customHeight="1">
      <c r="A104" s="136">
        <v>2023.0</v>
      </c>
      <c r="B104" s="137">
        <v>45154.0</v>
      </c>
      <c r="C104" s="161" t="s">
        <v>22</v>
      </c>
      <c r="D104" s="165" t="s">
        <v>443</v>
      </c>
      <c r="E104" s="165" t="s">
        <v>973</v>
      </c>
      <c r="F104" s="95" t="s">
        <v>974</v>
      </c>
      <c r="G104" s="166" t="s">
        <v>42</v>
      </c>
      <c r="H104" s="163" t="s">
        <v>844</v>
      </c>
      <c r="I104" s="167" t="s">
        <v>446</v>
      </c>
      <c r="J104" s="168">
        <v>9.688541748E9</v>
      </c>
    </row>
    <row r="105" ht="22.5" customHeight="1">
      <c r="A105" s="136">
        <v>2023.0</v>
      </c>
      <c r="B105" s="137">
        <v>45154.0</v>
      </c>
      <c r="C105" s="161" t="s">
        <v>22</v>
      </c>
      <c r="D105" s="165" t="s">
        <v>448</v>
      </c>
      <c r="E105" s="165" t="s">
        <v>975</v>
      </c>
      <c r="F105" s="95" t="s">
        <v>974</v>
      </c>
      <c r="G105" s="166" t="s">
        <v>20</v>
      </c>
      <c r="H105" s="163" t="s">
        <v>844</v>
      </c>
      <c r="I105" s="167" t="s">
        <v>449</v>
      </c>
      <c r="J105" s="168">
        <v>9.953364536E9</v>
      </c>
    </row>
    <row r="106" ht="22.5" customHeight="1">
      <c r="A106" s="136">
        <v>2023.0</v>
      </c>
      <c r="B106" s="137">
        <v>45154.0</v>
      </c>
      <c r="C106" s="161" t="s">
        <v>22</v>
      </c>
      <c r="D106" s="165" t="s">
        <v>451</v>
      </c>
      <c r="E106" s="165" t="s">
        <v>976</v>
      </c>
      <c r="F106" s="95" t="s">
        <v>974</v>
      </c>
      <c r="G106" s="166" t="s">
        <v>20</v>
      </c>
      <c r="H106" s="163" t="s">
        <v>844</v>
      </c>
      <c r="I106" s="167" t="s">
        <v>452</v>
      </c>
      <c r="J106" s="168">
        <v>9.561884175E9</v>
      </c>
    </row>
    <row r="107" ht="22.5" customHeight="1">
      <c r="A107" s="136">
        <v>2023.0</v>
      </c>
      <c r="B107" s="137">
        <v>45154.0</v>
      </c>
      <c r="C107" s="161" t="s">
        <v>22</v>
      </c>
      <c r="D107" s="165" t="s">
        <v>454</v>
      </c>
      <c r="E107" s="165" t="s">
        <v>977</v>
      </c>
      <c r="F107" s="95" t="s">
        <v>974</v>
      </c>
      <c r="G107" s="166" t="s">
        <v>42</v>
      </c>
      <c r="H107" s="163" t="s">
        <v>844</v>
      </c>
      <c r="I107" s="167" t="s">
        <v>455</v>
      </c>
      <c r="J107" s="168">
        <v>9.206182909E9</v>
      </c>
    </row>
    <row r="108" ht="22.5" customHeight="1">
      <c r="A108" s="136">
        <v>2023.0</v>
      </c>
      <c r="B108" s="137">
        <v>45154.0</v>
      </c>
      <c r="C108" s="161" t="s">
        <v>22</v>
      </c>
      <c r="D108" s="165" t="s">
        <v>457</v>
      </c>
      <c r="E108" s="165" t="s">
        <v>978</v>
      </c>
      <c r="F108" s="95" t="s">
        <v>974</v>
      </c>
      <c r="G108" s="166" t="s">
        <v>42</v>
      </c>
      <c r="H108" s="163" t="s">
        <v>844</v>
      </c>
      <c r="I108" s="167" t="s">
        <v>458</v>
      </c>
      <c r="J108" s="168">
        <v>9.164855575E9</v>
      </c>
    </row>
    <row r="109" ht="22.5" customHeight="1">
      <c r="A109" s="136">
        <v>2023.0</v>
      </c>
      <c r="B109" s="137">
        <v>45154.0</v>
      </c>
      <c r="C109" s="161" t="s">
        <v>22</v>
      </c>
      <c r="D109" s="165" t="s">
        <v>460</v>
      </c>
      <c r="E109" s="165" t="s">
        <v>979</v>
      </c>
      <c r="F109" s="95" t="s">
        <v>974</v>
      </c>
      <c r="G109" s="166" t="s">
        <v>20</v>
      </c>
      <c r="H109" s="163" t="s">
        <v>844</v>
      </c>
      <c r="I109" s="167" t="s">
        <v>461</v>
      </c>
      <c r="J109" s="168">
        <v>9.063475178E9</v>
      </c>
    </row>
    <row r="110" ht="22.5" customHeight="1">
      <c r="A110" s="136">
        <v>2023.0</v>
      </c>
      <c r="B110" s="137">
        <v>45154.0</v>
      </c>
      <c r="C110" s="161" t="s">
        <v>22</v>
      </c>
      <c r="D110" s="165" t="s">
        <v>463</v>
      </c>
      <c r="E110" s="165" t="s">
        <v>980</v>
      </c>
      <c r="F110" s="95" t="s">
        <v>974</v>
      </c>
      <c r="G110" s="166" t="s">
        <v>42</v>
      </c>
      <c r="H110" s="163" t="s">
        <v>844</v>
      </c>
      <c r="I110" s="179" t="s">
        <v>464</v>
      </c>
      <c r="J110" s="180">
        <v>9.952864296E9</v>
      </c>
    </row>
    <row r="111" ht="22.5" customHeight="1">
      <c r="A111" s="136">
        <v>2023.0</v>
      </c>
      <c r="B111" s="137">
        <v>45154.0</v>
      </c>
      <c r="C111" s="161" t="s">
        <v>22</v>
      </c>
      <c r="D111" s="165" t="s">
        <v>466</v>
      </c>
      <c r="E111" s="165" t="s">
        <v>981</v>
      </c>
      <c r="F111" s="95" t="s">
        <v>974</v>
      </c>
      <c r="G111" s="166" t="s">
        <v>20</v>
      </c>
      <c r="H111" s="163" t="s">
        <v>844</v>
      </c>
      <c r="I111" s="167" t="s">
        <v>467</v>
      </c>
      <c r="J111" s="180">
        <v>9.081679223E9</v>
      </c>
    </row>
    <row r="112" ht="22.5" customHeight="1">
      <c r="A112" s="136">
        <v>2023.0</v>
      </c>
      <c r="B112" s="137">
        <v>45154.0</v>
      </c>
      <c r="C112" s="161" t="s">
        <v>22</v>
      </c>
      <c r="D112" s="165" t="s">
        <v>469</v>
      </c>
      <c r="E112" s="165" t="s">
        <v>982</v>
      </c>
      <c r="F112" s="95" t="s">
        <v>974</v>
      </c>
      <c r="G112" s="166" t="s">
        <v>20</v>
      </c>
      <c r="H112" s="163" t="s">
        <v>844</v>
      </c>
      <c r="I112" s="167" t="s">
        <v>470</v>
      </c>
      <c r="J112" s="168">
        <v>9.308276464E9</v>
      </c>
    </row>
    <row r="113" ht="22.5" customHeight="1">
      <c r="A113" s="136">
        <v>2023.0</v>
      </c>
      <c r="B113" s="137">
        <v>45154.0</v>
      </c>
      <c r="C113" s="161" t="s">
        <v>22</v>
      </c>
      <c r="D113" s="165" t="s">
        <v>471</v>
      </c>
      <c r="E113" s="165" t="s">
        <v>983</v>
      </c>
      <c r="F113" s="95" t="s">
        <v>974</v>
      </c>
      <c r="G113" s="166" t="s">
        <v>20</v>
      </c>
      <c r="H113" s="163" t="s">
        <v>844</v>
      </c>
      <c r="I113" s="167" t="s">
        <v>472</v>
      </c>
      <c r="J113" s="168">
        <v>9.456986832E9</v>
      </c>
    </row>
    <row r="114" ht="22.5" customHeight="1">
      <c r="A114" s="136">
        <v>2023.0</v>
      </c>
      <c r="B114" s="137">
        <v>45154.0</v>
      </c>
      <c r="C114" s="161" t="s">
        <v>22</v>
      </c>
      <c r="D114" s="171" t="s">
        <v>474</v>
      </c>
      <c r="E114" s="165" t="s">
        <v>984</v>
      </c>
      <c r="F114" s="95" t="s">
        <v>478</v>
      </c>
      <c r="G114" s="166" t="s">
        <v>20</v>
      </c>
      <c r="H114" s="163" t="s">
        <v>32</v>
      </c>
      <c r="I114" s="167" t="s">
        <v>477</v>
      </c>
      <c r="J114" s="168">
        <v>9.761912989E9</v>
      </c>
    </row>
    <row r="115" ht="22.5" customHeight="1">
      <c r="A115" s="136">
        <v>2023.0</v>
      </c>
      <c r="B115" s="137">
        <v>45167.0</v>
      </c>
      <c r="C115" s="161" t="s">
        <v>22</v>
      </c>
      <c r="D115" s="165" t="s">
        <v>479</v>
      </c>
      <c r="E115" s="165" t="s">
        <v>985</v>
      </c>
      <c r="F115" s="95" t="s">
        <v>484</v>
      </c>
      <c r="G115" s="166" t="s">
        <v>42</v>
      </c>
      <c r="H115" s="163" t="s">
        <v>851</v>
      </c>
      <c r="I115" s="167" t="s">
        <v>483</v>
      </c>
      <c r="J115" s="168">
        <v>9.560589216E9</v>
      </c>
    </row>
    <row r="116" ht="22.5" customHeight="1">
      <c r="A116" s="136">
        <v>2023.0</v>
      </c>
      <c r="B116" s="137">
        <v>45180.0</v>
      </c>
      <c r="C116" s="161" t="s">
        <v>22</v>
      </c>
      <c r="D116" s="165" t="s">
        <v>485</v>
      </c>
      <c r="E116" s="165" t="s">
        <v>986</v>
      </c>
      <c r="F116" s="141" t="s">
        <v>869</v>
      </c>
      <c r="G116" s="166" t="s">
        <v>20</v>
      </c>
      <c r="H116" s="163" t="s">
        <v>564</v>
      </c>
      <c r="I116" s="167" t="s">
        <v>488</v>
      </c>
      <c r="J116" s="168">
        <v>9.46281452E9</v>
      </c>
    </row>
    <row r="117" ht="22.5" customHeight="1">
      <c r="A117" s="136">
        <v>2023.0</v>
      </c>
      <c r="B117" s="137">
        <v>45190.0</v>
      </c>
      <c r="C117" s="161" t="s">
        <v>17</v>
      </c>
      <c r="D117" s="165" t="s">
        <v>490</v>
      </c>
      <c r="E117" s="165" t="s">
        <v>987</v>
      </c>
      <c r="F117" s="95" t="s">
        <v>478</v>
      </c>
      <c r="G117" s="166" t="s">
        <v>20</v>
      </c>
      <c r="H117" s="163" t="s">
        <v>851</v>
      </c>
      <c r="I117" s="167" t="s">
        <v>492</v>
      </c>
      <c r="J117" s="168">
        <v>9.459665988E9</v>
      </c>
    </row>
    <row r="118" ht="22.5" customHeight="1">
      <c r="A118" s="136">
        <v>2023.0</v>
      </c>
      <c r="B118" s="137">
        <v>45209.0</v>
      </c>
      <c r="C118" s="161" t="s">
        <v>17</v>
      </c>
      <c r="D118" s="165" t="s">
        <v>494</v>
      </c>
      <c r="E118" s="165" t="s">
        <v>988</v>
      </c>
      <c r="F118" s="95" t="s">
        <v>952</v>
      </c>
      <c r="G118" s="166" t="s">
        <v>20</v>
      </c>
      <c r="H118" s="163" t="s">
        <v>851</v>
      </c>
      <c r="I118" s="181" t="s">
        <v>496</v>
      </c>
      <c r="J118" s="157"/>
    </row>
    <row r="119" ht="22.5" customHeight="1">
      <c r="A119" s="136">
        <v>2023.0</v>
      </c>
      <c r="B119" s="137">
        <v>45224.0</v>
      </c>
      <c r="C119" s="161" t="s">
        <v>101</v>
      </c>
      <c r="D119" s="165" t="s">
        <v>497</v>
      </c>
      <c r="E119" s="165" t="s">
        <v>989</v>
      </c>
      <c r="F119" s="95" t="s">
        <v>990</v>
      </c>
      <c r="G119" s="166" t="s">
        <v>20</v>
      </c>
      <c r="H119" s="163" t="s">
        <v>877</v>
      </c>
      <c r="J119" s="157"/>
    </row>
    <row r="120" ht="22.5" customHeight="1">
      <c r="A120" s="136">
        <v>2023.0</v>
      </c>
      <c r="B120" s="137">
        <v>45239.0</v>
      </c>
      <c r="C120" s="161" t="s">
        <v>101</v>
      </c>
      <c r="D120" s="165" t="s">
        <v>500</v>
      </c>
      <c r="E120" s="165" t="s">
        <v>991</v>
      </c>
      <c r="F120" s="95" t="s">
        <v>501</v>
      </c>
      <c r="G120" s="166" t="s">
        <v>42</v>
      </c>
      <c r="H120" s="163" t="s">
        <v>851</v>
      </c>
      <c r="I120" s="167" t="s">
        <v>502</v>
      </c>
      <c r="J120" s="168">
        <v>9.666957324E9</v>
      </c>
    </row>
    <row r="121" ht="22.5" customHeight="1">
      <c r="A121" s="136">
        <v>2023.0</v>
      </c>
      <c r="B121" s="137">
        <v>45239.0</v>
      </c>
      <c r="C121" s="161" t="s">
        <v>22</v>
      </c>
      <c r="D121" s="165" t="s">
        <v>503</v>
      </c>
      <c r="E121" s="165" t="s">
        <v>992</v>
      </c>
      <c r="F121" s="95" t="s">
        <v>505</v>
      </c>
      <c r="G121" s="166" t="s">
        <v>20</v>
      </c>
      <c r="H121" s="163" t="s">
        <v>32</v>
      </c>
      <c r="I121" s="177" t="s">
        <v>506</v>
      </c>
      <c r="J121" s="157"/>
    </row>
    <row r="122" ht="22.5" customHeight="1">
      <c r="A122" s="136">
        <v>2023.0</v>
      </c>
      <c r="B122" s="137">
        <v>45240.0</v>
      </c>
      <c r="C122" s="161" t="s">
        <v>22</v>
      </c>
      <c r="D122" s="165" t="s">
        <v>507</v>
      </c>
      <c r="E122" s="165" t="s">
        <v>993</v>
      </c>
      <c r="F122" s="95" t="s">
        <v>952</v>
      </c>
      <c r="G122" s="166" t="s">
        <v>42</v>
      </c>
      <c r="H122" s="163" t="s">
        <v>166</v>
      </c>
      <c r="I122" s="182" t="s">
        <v>508</v>
      </c>
      <c r="J122" s="168">
        <v>9.157578534E9</v>
      </c>
    </row>
    <row r="123" ht="22.5" customHeight="1">
      <c r="A123" s="136">
        <v>2023.0</v>
      </c>
      <c r="B123" s="137">
        <v>45240.0</v>
      </c>
      <c r="C123" s="161" t="s">
        <v>22</v>
      </c>
      <c r="D123" s="165" t="s">
        <v>510</v>
      </c>
      <c r="E123" s="165" t="s">
        <v>994</v>
      </c>
      <c r="F123" s="95" t="s">
        <v>952</v>
      </c>
      <c r="G123" s="166" t="s">
        <v>20</v>
      </c>
      <c r="H123" s="163" t="s">
        <v>851</v>
      </c>
      <c r="I123" s="167" t="s">
        <v>512</v>
      </c>
      <c r="J123" s="168">
        <v>9.157578534E9</v>
      </c>
    </row>
    <row r="124" ht="22.5" customHeight="1">
      <c r="A124" s="136">
        <v>2023.0</v>
      </c>
      <c r="B124" s="137">
        <v>45240.0</v>
      </c>
      <c r="C124" s="161" t="s">
        <v>22</v>
      </c>
      <c r="D124" s="165" t="s">
        <v>513</v>
      </c>
      <c r="E124" s="165" t="s">
        <v>995</v>
      </c>
      <c r="F124" s="95" t="s">
        <v>952</v>
      </c>
      <c r="G124" s="166" t="s">
        <v>20</v>
      </c>
      <c r="H124" s="163" t="s">
        <v>996</v>
      </c>
      <c r="I124" s="182" t="s">
        <v>508</v>
      </c>
      <c r="J124" s="168">
        <v>9.157578534E9</v>
      </c>
    </row>
    <row r="125" ht="22.5" customHeight="1">
      <c r="A125" s="136">
        <v>2023.0</v>
      </c>
      <c r="B125" s="137">
        <v>45240.0</v>
      </c>
      <c r="C125" s="161" t="s">
        <v>17</v>
      </c>
      <c r="D125" s="165" t="s">
        <v>515</v>
      </c>
      <c r="E125" s="165" t="s">
        <v>997</v>
      </c>
      <c r="F125" s="95" t="s">
        <v>952</v>
      </c>
      <c r="G125" s="166" t="s">
        <v>20</v>
      </c>
      <c r="H125" s="163" t="s">
        <v>896</v>
      </c>
      <c r="I125" s="167" t="s">
        <v>517</v>
      </c>
      <c r="J125" s="168">
        <v>9.157578534E9</v>
      </c>
    </row>
    <row r="126" ht="22.5" customHeight="1">
      <c r="A126" s="136">
        <v>2023.0</v>
      </c>
      <c r="B126" s="137">
        <v>45240.0</v>
      </c>
      <c r="C126" s="161" t="s">
        <v>17</v>
      </c>
      <c r="D126" s="165" t="s">
        <v>518</v>
      </c>
      <c r="E126" s="165" t="s">
        <v>998</v>
      </c>
      <c r="F126" s="95" t="s">
        <v>952</v>
      </c>
      <c r="G126" s="166" t="s">
        <v>42</v>
      </c>
      <c r="H126" s="163" t="s">
        <v>896</v>
      </c>
      <c r="J126" s="157"/>
    </row>
    <row r="127" ht="22.5" customHeight="1">
      <c r="A127" s="136">
        <v>2023.0</v>
      </c>
      <c r="B127" s="137">
        <v>45240.0</v>
      </c>
      <c r="C127" s="161" t="s">
        <v>17</v>
      </c>
      <c r="D127" s="165" t="s">
        <v>519</v>
      </c>
      <c r="E127" s="165" t="s">
        <v>999</v>
      </c>
      <c r="F127" s="95" t="s">
        <v>952</v>
      </c>
      <c r="G127" s="166" t="s">
        <v>20</v>
      </c>
      <c r="H127" s="163" t="s">
        <v>896</v>
      </c>
      <c r="J127" s="157"/>
    </row>
    <row r="128" ht="22.5" customHeight="1">
      <c r="A128" s="136">
        <v>2023.0</v>
      </c>
      <c r="B128" s="137">
        <v>45240.0</v>
      </c>
      <c r="C128" s="161" t="s">
        <v>17</v>
      </c>
      <c r="D128" s="165" t="s">
        <v>520</v>
      </c>
      <c r="E128" s="165" t="s">
        <v>1000</v>
      </c>
      <c r="F128" s="95" t="s">
        <v>952</v>
      </c>
      <c r="G128" s="166" t="s">
        <v>20</v>
      </c>
      <c r="H128" s="163" t="s">
        <v>896</v>
      </c>
      <c r="J128" s="157"/>
    </row>
    <row r="129" ht="22.5" customHeight="1">
      <c r="A129" s="136">
        <v>2023.0</v>
      </c>
      <c r="B129" s="137">
        <v>45250.0</v>
      </c>
      <c r="C129" s="161" t="s">
        <v>17</v>
      </c>
      <c r="D129" s="165" t="s">
        <v>521</v>
      </c>
      <c r="E129" s="165" t="s">
        <v>1001</v>
      </c>
      <c r="F129" s="150" t="s">
        <v>196</v>
      </c>
      <c r="G129" s="166" t="s">
        <v>20</v>
      </c>
      <c r="H129" s="163" t="s">
        <v>851</v>
      </c>
      <c r="I129" s="167" t="s">
        <v>523</v>
      </c>
      <c r="J129" s="168">
        <v>9.464907985E9</v>
      </c>
    </row>
    <row r="130" ht="22.5" customHeight="1">
      <c r="A130" s="136">
        <v>2023.0</v>
      </c>
      <c r="B130" s="137">
        <v>45258.0</v>
      </c>
      <c r="C130" s="161" t="s">
        <v>22</v>
      </c>
      <c r="D130" s="165" t="s">
        <v>525</v>
      </c>
      <c r="E130" s="165" t="s">
        <v>1002</v>
      </c>
      <c r="F130" s="95" t="s">
        <v>1003</v>
      </c>
      <c r="G130" s="166" t="s">
        <v>20</v>
      </c>
      <c r="H130" s="172"/>
      <c r="I130" s="167" t="s">
        <v>528</v>
      </c>
      <c r="J130" s="168">
        <v>9.1759018954E10</v>
      </c>
    </row>
    <row r="131" ht="22.5" customHeight="1">
      <c r="A131" s="146">
        <v>2024.0</v>
      </c>
      <c r="B131" s="137">
        <v>45316.0</v>
      </c>
      <c r="C131" s="161" t="s">
        <v>17</v>
      </c>
      <c r="D131" s="165" t="s">
        <v>531</v>
      </c>
      <c r="E131" s="165" t="s">
        <v>1004</v>
      </c>
      <c r="F131" s="95" t="s">
        <v>538</v>
      </c>
      <c r="G131" s="166" t="s">
        <v>42</v>
      </c>
      <c r="H131" s="163" t="s">
        <v>166</v>
      </c>
      <c r="I131" s="167" t="s">
        <v>537</v>
      </c>
      <c r="J131" s="168">
        <v>9.604499224E9</v>
      </c>
    </row>
    <row r="132" ht="22.5" customHeight="1">
      <c r="A132" s="146">
        <v>2024.0</v>
      </c>
      <c r="B132" s="137">
        <v>45316.0</v>
      </c>
      <c r="C132" s="161" t="s">
        <v>22</v>
      </c>
      <c r="D132" s="165" t="s">
        <v>539</v>
      </c>
      <c r="E132" s="165" t="s">
        <v>1005</v>
      </c>
      <c r="F132" s="95" t="s">
        <v>544</v>
      </c>
      <c r="G132" s="166" t="s">
        <v>42</v>
      </c>
      <c r="H132" s="163" t="s">
        <v>32</v>
      </c>
      <c r="I132" s="167" t="s">
        <v>543</v>
      </c>
      <c r="J132" s="168">
        <v>9.619640315E9</v>
      </c>
    </row>
    <row r="133" ht="22.5" customHeight="1">
      <c r="A133" s="146">
        <v>2024.0</v>
      </c>
      <c r="B133" s="137">
        <v>45316.0</v>
      </c>
      <c r="C133" s="161" t="s">
        <v>22</v>
      </c>
      <c r="D133" s="165" t="s">
        <v>545</v>
      </c>
      <c r="E133" s="165" t="s">
        <v>1006</v>
      </c>
      <c r="F133" s="95" t="s">
        <v>544</v>
      </c>
      <c r="G133" s="166" t="s">
        <v>20</v>
      </c>
      <c r="H133" s="163" t="s">
        <v>32</v>
      </c>
      <c r="I133" s="183" t="s">
        <v>546</v>
      </c>
      <c r="J133" s="168">
        <v>9.102856406E9</v>
      </c>
    </row>
    <row r="134" ht="22.5" customHeight="1">
      <c r="A134" s="146">
        <v>2024.0</v>
      </c>
      <c r="B134" s="137">
        <v>45316.0</v>
      </c>
      <c r="C134" s="161" t="s">
        <v>17</v>
      </c>
      <c r="D134" s="165" t="s">
        <v>547</v>
      </c>
      <c r="E134" s="165" t="s">
        <v>1007</v>
      </c>
      <c r="F134" s="95" t="s">
        <v>1008</v>
      </c>
      <c r="G134" s="166" t="s">
        <v>20</v>
      </c>
      <c r="H134" s="163" t="s">
        <v>498</v>
      </c>
      <c r="I134" s="167" t="s">
        <v>496</v>
      </c>
      <c r="J134" s="168">
        <v>9.171336791E9</v>
      </c>
    </row>
    <row r="135" ht="22.5" customHeight="1">
      <c r="A135" s="146">
        <v>2024.0</v>
      </c>
      <c r="B135" s="137">
        <v>45316.0</v>
      </c>
      <c r="C135" s="161" t="s">
        <v>22</v>
      </c>
      <c r="D135" s="165" t="s">
        <v>550</v>
      </c>
      <c r="E135" s="165" t="s">
        <v>1009</v>
      </c>
      <c r="F135" s="95" t="s">
        <v>552</v>
      </c>
      <c r="G135" s="166" t="s">
        <v>42</v>
      </c>
      <c r="H135" s="163" t="s">
        <v>32</v>
      </c>
      <c r="I135" s="167" t="s">
        <v>551</v>
      </c>
      <c r="J135" s="168">
        <v>9.999955739E9</v>
      </c>
    </row>
    <row r="136" ht="22.5" customHeight="1">
      <c r="A136" s="146">
        <v>2024.0</v>
      </c>
      <c r="B136" s="137">
        <v>45316.0</v>
      </c>
      <c r="C136" s="161" t="s">
        <v>22</v>
      </c>
      <c r="D136" s="165" t="s">
        <v>553</v>
      </c>
      <c r="E136" s="165" t="s">
        <v>1010</v>
      </c>
      <c r="F136" s="95" t="s">
        <v>1008</v>
      </c>
      <c r="G136" s="166" t="s">
        <v>42</v>
      </c>
      <c r="H136" s="163" t="s">
        <v>1011</v>
      </c>
      <c r="I136" s="167" t="s">
        <v>555</v>
      </c>
      <c r="J136" s="170" t="s">
        <v>554</v>
      </c>
    </row>
    <row r="137" ht="22.5" customHeight="1">
      <c r="A137" s="146">
        <v>2024.0</v>
      </c>
      <c r="B137" s="137">
        <v>45316.0</v>
      </c>
      <c r="C137" s="161" t="s">
        <v>22</v>
      </c>
      <c r="D137" s="165" t="s">
        <v>556</v>
      </c>
      <c r="E137" s="165" t="s">
        <v>1012</v>
      </c>
      <c r="F137" s="95" t="s">
        <v>552</v>
      </c>
      <c r="G137" s="166" t="s">
        <v>42</v>
      </c>
      <c r="H137" s="163" t="s">
        <v>32</v>
      </c>
      <c r="I137" s="167" t="s">
        <v>557</v>
      </c>
      <c r="J137" s="168">
        <v>9.27806509E9</v>
      </c>
    </row>
    <row r="138" ht="22.5" customHeight="1">
      <c r="A138" s="146">
        <v>2024.0</v>
      </c>
      <c r="B138" s="137">
        <v>45329.0</v>
      </c>
      <c r="C138" s="161" t="s">
        <v>22</v>
      </c>
      <c r="D138" s="165" t="s">
        <v>558</v>
      </c>
      <c r="E138" s="165" t="s">
        <v>1013</v>
      </c>
      <c r="F138" s="95" t="s">
        <v>1014</v>
      </c>
      <c r="G138" s="166" t="s">
        <v>20</v>
      </c>
      <c r="H138" s="163" t="s">
        <v>896</v>
      </c>
      <c r="I138" s="167" t="s">
        <v>561</v>
      </c>
      <c r="J138" s="168">
        <v>9.129646194E9</v>
      </c>
    </row>
    <row r="139" ht="22.5" customHeight="1">
      <c r="A139" s="146">
        <v>2024.0</v>
      </c>
      <c r="B139" s="137">
        <v>45330.0</v>
      </c>
      <c r="C139" s="161" t="s">
        <v>17</v>
      </c>
      <c r="D139" s="165" t="s">
        <v>562</v>
      </c>
      <c r="E139" s="165" t="s">
        <v>1015</v>
      </c>
      <c r="F139" s="141" t="s">
        <v>869</v>
      </c>
      <c r="G139" s="166" t="s">
        <v>20</v>
      </c>
      <c r="H139" s="163" t="s">
        <v>32</v>
      </c>
      <c r="I139" s="184" t="s">
        <v>1016</v>
      </c>
      <c r="J139" s="185" t="s">
        <v>26</v>
      </c>
    </row>
    <row r="140" ht="22.5" customHeight="1">
      <c r="A140" s="146">
        <v>2024.0</v>
      </c>
      <c r="B140" s="137">
        <v>45335.0</v>
      </c>
      <c r="C140" s="161" t="s">
        <v>17</v>
      </c>
      <c r="D140" s="165" t="s">
        <v>563</v>
      </c>
      <c r="E140" s="165" t="s">
        <v>1017</v>
      </c>
      <c r="F140" s="141" t="s">
        <v>869</v>
      </c>
      <c r="G140" s="166" t="s">
        <v>20</v>
      </c>
      <c r="H140" s="163" t="s">
        <v>564</v>
      </c>
      <c r="J140" s="185" t="s">
        <v>26</v>
      </c>
    </row>
    <row r="141" ht="22.5" customHeight="1">
      <c r="A141" s="146">
        <v>2024.0</v>
      </c>
      <c r="B141" s="137">
        <v>45335.0</v>
      </c>
      <c r="C141" s="161" t="s">
        <v>17</v>
      </c>
      <c r="D141" s="165" t="s">
        <v>565</v>
      </c>
      <c r="E141" s="165" t="s">
        <v>1018</v>
      </c>
      <c r="F141" s="141" t="s">
        <v>869</v>
      </c>
      <c r="G141" s="166" t="s">
        <v>20</v>
      </c>
      <c r="H141" s="163" t="s">
        <v>564</v>
      </c>
      <c r="J141" s="185" t="s">
        <v>26</v>
      </c>
    </row>
    <row r="142" ht="22.5" customHeight="1">
      <c r="A142" s="146">
        <v>2024.0</v>
      </c>
      <c r="B142" s="137">
        <v>45335.0</v>
      </c>
      <c r="C142" s="161" t="s">
        <v>22</v>
      </c>
      <c r="D142" s="165" t="s">
        <v>566</v>
      </c>
      <c r="E142" s="165" t="s">
        <v>1019</v>
      </c>
      <c r="F142" s="95" t="s">
        <v>1014</v>
      </c>
      <c r="G142" s="166" t="s">
        <v>42</v>
      </c>
      <c r="H142" s="163" t="s">
        <v>896</v>
      </c>
      <c r="I142" s="167" t="s">
        <v>567</v>
      </c>
      <c r="J142" s="168">
        <v>9.688537971E9</v>
      </c>
    </row>
    <row r="143" ht="22.5" customHeight="1">
      <c r="A143" s="146">
        <v>2024.0</v>
      </c>
      <c r="B143" s="137">
        <v>45337.0</v>
      </c>
      <c r="C143" s="161" t="s">
        <v>17</v>
      </c>
      <c r="D143" s="165" t="s">
        <v>568</v>
      </c>
      <c r="E143" s="165" t="s">
        <v>1020</v>
      </c>
      <c r="F143" s="95" t="s">
        <v>1021</v>
      </c>
      <c r="G143" s="166" t="s">
        <v>42</v>
      </c>
      <c r="H143" s="163" t="s">
        <v>32</v>
      </c>
      <c r="I143" s="167" t="s">
        <v>571</v>
      </c>
      <c r="J143" s="168">
        <v>9.187518769E9</v>
      </c>
    </row>
    <row r="144" ht="22.5" customHeight="1">
      <c r="A144" s="146">
        <v>2024.0</v>
      </c>
      <c r="B144" s="137">
        <v>45337.0</v>
      </c>
      <c r="C144" s="161" t="s">
        <v>17</v>
      </c>
      <c r="D144" s="165" t="s">
        <v>573</v>
      </c>
      <c r="E144" s="165" t="s">
        <v>1022</v>
      </c>
      <c r="F144" s="95" t="s">
        <v>1023</v>
      </c>
      <c r="G144" s="166" t="s">
        <v>42</v>
      </c>
      <c r="H144" s="163" t="s">
        <v>896</v>
      </c>
      <c r="I144" s="167" t="s">
        <v>571</v>
      </c>
      <c r="J144" s="168">
        <v>9.634700147E9</v>
      </c>
    </row>
    <row r="145" ht="22.5" customHeight="1">
      <c r="A145" s="146">
        <v>2024.0</v>
      </c>
      <c r="B145" s="137">
        <v>45348.0</v>
      </c>
      <c r="C145" s="161" t="s">
        <v>22</v>
      </c>
      <c r="D145" s="165" t="s">
        <v>576</v>
      </c>
      <c r="E145" s="165" t="s">
        <v>1024</v>
      </c>
      <c r="F145" s="95" t="s">
        <v>1025</v>
      </c>
      <c r="G145" s="166" t="s">
        <v>20</v>
      </c>
      <c r="H145" s="163" t="s">
        <v>896</v>
      </c>
      <c r="I145" s="95" t="s">
        <v>579</v>
      </c>
      <c r="J145" s="168">
        <v>9.173190003E9</v>
      </c>
    </row>
    <row r="146" ht="22.5" customHeight="1">
      <c r="A146" s="146">
        <v>2024.0</v>
      </c>
      <c r="B146" s="137">
        <v>45349.0</v>
      </c>
      <c r="C146" s="161" t="s">
        <v>22</v>
      </c>
      <c r="D146" s="165" t="s">
        <v>580</v>
      </c>
      <c r="E146" s="165" t="s">
        <v>1026</v>
      </c>
      <c r="F146" s="95" t="s">
        <v>1025</v>
      </c>
      <c r="G146" s="166" t="s">
        <v>20</v>
      </c>
      <c r="H146" s="163" t="s">
        <v>896</v>
      </c>
      <c r="I146" s="167" t="s">
        <v>581</v>
      </c>
      <c r="J146" s="168">
        <v>9.175488515E9</v>
      </c>
    </row>
    <row r="147" ht="22.5" customHeight="1">
      <c r="A147" s="146">
        <v>2024.0</v>
      </c>
      <c r="B147" s="186">
        <v>45362.0</v>
      </c>
      <c r="C147" s="161" t="s">
        <v>22</v>
      </c>
      <c r="D147" s="165" t="s">
        <v>582</v>
      </c>
      <c r="E147" s="165" t="s">
        <v>1027</v>
      </c>
      <c r="F147" s="95" t="s">
        <v>1028</v>
      </c>
      <c r="G147" s="166" t="s">
        <v>20</v>
      </c>
      <c r="H147" s="163" t="s">
        <v>896</v>
      </c>
      <c r="I147" s="183" t="s">
        <v>584</v>
      </c>
      <c r="J147" s="168">
        <v>9.173032472E9</v>
      </c>
    </row>
    <row r="148" ht="22.5" customHeight="1">
      <c r="A148" s="146">
        <v>2024.0</v>
      </c>
      <c r="B148" s="186">
        <v>45364.0</v>
      </c>
      <c r="C148" s="161" t="s">
        <v>17</v>
      </c>
      <c r="D148" s="165" t="s">
        <v>586</v>
      </c>
      <c r="E148" s="165" t="s">
        <v>1029</v>
      </c>
      <c r="F148" s="141" t="s">
        <v>869</v>
      </c>
      <c r="G148" s="166" t="s">
        <v>20</v>
      </c>
      <c r="H148" s="163" t="s">
        <v>32</v>
      </c>
      <c r="I148" s="167" t="s">
        <v>587</v>
      </c>
      <c r="J148" s="168">
        <v>9.175838028E9</v>
      </c>
    </row>
    <row r="149" ht="22.5" customHeight="1">
      <c r="A149" s="146">
        <v>2024.0</v>
      </c>
      <c r="B149" s="186">
        <v>45364.0</v>
      </c>
      <c r="C149" s="161" t="s">
        <v>22</v>
      </c>
      <c r="D149" s="165" t="s">
        <v>588</v>
      </c>
      <c r="E149" s="165" t="s">
        <v>1030</v>
      </c>
      <c r="F149" s="141" t="s">
        <v>869</v>
      </c>
      <c r="G149" s="166" t="s">
        <v>20</v>
      </c>
      <c r="H149" s="163" t="s">
        <v>896</v>
      </c>
      <c r="I149" s="167" t="s">
        <v>590</v>
      </c>
      <c r="J149" s="168">
        <v>9.283359867E9</v>
      </c>
    </row>
    <row r="150" ht="22.5" customHeight="1">
      <c r="A150" s="146">
        <v>2024.0</v>
      </c>
      <c r="B150" s="186">
        <v>45364.0</v>
      </c>
      <c r="C150" s="161" t="s">
        <v>22</v>
      </c>
      <c r="D150" s="165" t="s">
        <v>592</v>
      </c>
      <c r="E150" s="165" t="s">
        <v>1031</v>
      </c>
      <c r="F150" s="141" t="s">
        <v>869</v>
      </c>
      <c r="G150" s="166" t="s">
        <v>20</v>
      </c>
      <c r="H150" s="163" t="s">
        <v>896</v>
      </c>
      <c r="I150" s="167" t="s">
        <v>593</v>
      </c>
      <c r="J150" s="168">
        <v>9.388436797E9</v>
      </c>
    </row>
    <row r="151" ht="22.5" customHeight="1">
      <c r="A151" s="146">
        <v>2024.0</v>
      </c>
      <c r="B151" s="186">
        <v>45364.0</v>
      </c>
      <c r="C151" s="161" t="s">
        <v>17</v>
      </c>
      <c r="D151" s="165" t="s">
        <v>595</v>
      </c>
      <c r="E151" s="165" t="s">
        <v>1032</v>
      </c>
      <c r="F151" s="141" t="s">
        <v>869</v>
      </c>
      <c r="G151" s="166" t="s">
        <v>20</v>
      </c>
      <c r="H151" s="163" t="s">
        <v>896</v>
      </c>
      <c r="I151" s="167" t="s">
        <v>596</v>
      </c>
      <c r="J151" s="168">
        <v>9.631781505E9</v>
      </c>
    </row>
    <row r="152" ht="22.5" customHeight="1">
      <c r="A152" s="146">
        <v>2024.0</v>
      </c>
      <c r="B152" s="186">
        <v>45364.0</v>
      </c>
      <c r="C152" s="161" t="s">
        <v>22</v>
      </c>
      <c r="D152" s="165" t="s">
        <v>597</v>
      </c>
      <c r="E152" s="165" t="s">
        <v>1033</v>
      </c>
      <c r="F152" s="141" t="s">
        <v>869</v>
      </c>
      <c r="G152" s="166" t="s">
        <v>20</v>
      </c>
      <c r="H152" s="163" t="s">
        <v>896</v>
      </c>
      <c r="J152" s="157"/>
    </row>
    <row r="153" ht="22.5" customHeight="1">
      <c r="A153" s="146">
        <v>2024.0</v>
      </c>
      <c r="B153" s="186">
        <v>45364.0</v>
      </c>
      <c r="C153" s="161" t="s">
        <v>22</v>
      </c>
      <c r="D153" s="165" t="s">
        <v>598</v>
      </c>
      <c r="E153" s="165" t="s">
        <v>1034</v>
      </c>
      <c r="F153" s="141" t="s">
        <v>869</v>
      </c>
      <c r="G153" s="166" t="s">
        <v>42</v>
      </c>
      <c r="H153" s="163" t="s">
        <v>896</v>
      </c>
      <c r="J153" s="157"/>
    </row>
    <row r="154" ht="22.5" customHeight="1">
      <c r="A154" s="146">
        <v>2024.0</v>
      </c>
      <c r="B154" s="186">
        <v>45378.0</v>
      </c>
      <c r="C154" s="161" t="s">
        <v>22</v>
      </c>
      <c r="D154" s="165" t="s">
        <v>599</v>
      </c>
      <c r="E154" s="165" t="s">
        <v>1035</v>
      </c>
      <c r="F154" s="95" t="s">
        <v>600</v>
      </c>
      <c r="G154" s="166" t="s">
        <v>20</v>
      </c>
      <c r="H154" s="163" t="s">
        <v>1036</v>
      </c>
      <c r="I154" s="167" t="s">
        <v>602</v>
      </c>
      <c r="J154" s="168">
        <v>9.77451695E9</v>
      </c>
    </row>
    <row r="155" ht="22.5" customHeight="1">
      <c r="A155" s="146">
        <v>2024.0</v>
      </c>
      <c r="B155" s="186">
        <v>45378.0</v>
      </c>
      <c r="C155" s="161" t="s">
        <v>22</v>
      </c>
      <c r="D155" s="165" t="s">
        <v>1037</v>
      </c>
      <c r="E155" s="165" t="s">
        <v>1038</v>
      </c>
      <c r="F155" s="95" t="s">
        <v>605</v>
      </c>
      <c r="G155" s="166" t="s">
        <v>20</v>
      </c>
      <c r="H155" s="163" t="s">
        <v>851</v>
      </c>
      <c r="I155" s="167" t="s">
        <v>606</v>
      </c>
      <c r="J155" s="168">
        <v>9.950188719E9</v>
      </c>
    </row>
    <row r="156" ht="22.5" customHeight="1">
      <c r="A156" s="146">
        <v>2024.0</v>
      </c>
      <c r="B156" s="186">
        <v>45385.0</v>
      </c>
      <c r="C156" s="161" t="s">
        <v>22</v>
      </c>
      <c r="D156" s="165" t="s">
        <v>608</v>
      </c>
      <c r="E156" s="165" t="s">
        <v>1039</v>
      </c>
      <c r="F156" s="95" t="s">
        <v>1040</v>
      </c>
      <c r="G156" s="166" t="s">
        <v>42</v>
      </c>
      <c r="H156" s="163" t="s">
        <v>896</v>
      </c>
      <c r="I156" s="167" t="s">
        <v>612</v>
      </c>
      <c r="J156" s="168">
        <v>9.054978382E9</v>
      </c>
    </row>
    <row r="157" ht="22.5" customHeight="1">
      <c r="A157" s="146">
        <v>2024.0</v>
      </c>
      <c r="B157" s="186">
        <v>45385.0</v>
      </c>
      <c r="C157" s="161" t="s">
        <v>22</v>
      </c>
      <c r="D157" s="165" t="s">
        <v>614</v>
      </c>
      <c r="E157" s="165" t="s">
        <v>1041</v>
      </c>
      <c r="F157" s="95" t="s">
        <v>1040</v>
      </c>
      <c r="G157" s="166" t="s">
        <v>42</v>
      </c>
      <c r="H157" s="163" t="s">
        <v>896</v>
      </c>
      <c r="I157" s="167" t="s">
        <v>615</v>
      </c>
      <c r="J157" s="168">
        <v>9.664505106E9</v>
      </c>
    </row>
    <row r="158" ht="22.5" customHeight="1">
      <c r="A158" s="146">
        <v>2024.0</v>
      </c>
      <c r="B158" s="186">
        <v>45385.0</v>
      </c>
      <c r="C158" s="161" t="s">
        <v>22</v>
      </c>
      <c r="D158" s="165" t="s">
        <v>617</v>
      </c>
      <c r="E158" s="165" t="s">
        <v>1042</v>
      </c>
      <c r="F158" s="95" t="s">
        <v>1040</v>
      </c>
      <c r="G158" s="166" t="s">
        <v>42</v>
      </c>
      <c r="H158" s="163" t="s">
        <v>896</v>
      </c>
      <c r="I158" s="183" t="s">
        <v>618</v>
      </c>
      <c r="J158" s="168">
        <v>9.391932949E9</v>
      </c>
    </row>
    <row r="159" ht="22.5" customHeight="1">
      <c r="A159" s="146">
        <v>2024.0</v>
      </c>
      <c r="B159" s="186">
        <v>45385.0</v>
      </c>
      <c r="C159" s="161" t="s">
        <v>22</v>
      </c>
      <c r="D159" s="165" t="s">
        <v>620</v>
      </c>
      <c r="E159" s="165" t="s">
        <v>1043</v>
      </c>
      <c r="F159" s="95" t="s">
        <v>1040</v>
      </c>
      <c r="G159" s="166" t="s">
        <v>42</v>
      </c>
      <c r="H159" s="163" t="s">
        <v>896</v>
      </c>
      <c r="I159" s="167" t="s">
        <v>621</v>
      </c>
      <c r="J159" s="168">
        <v>9.982961736E9</v>
      </c>
    </row>
    <row r="160" ht="22.5" customHeight="1">
      <c r="A160" s="146">
        <v>2024.0</v>
      </c>
      <c r="B160" s="186">
        <v>45385.0</v>
      </c>
      <c r="C160" s="161" t="s">
        <v>22</v>
      </c>
      <c r="D160" s="165" t="s">
        <v>623</v>
      </c>
      <c r="E160" s="165" t="s">
        <v>1044</v>
      </c>
      <c r="F160" s="95" t="s">
        <v>1040</v>
      </c>
      <c r="G160" s="166" t="s">
        <v>42</v>
      </c>
      <c r="H160" s="163" t="s">
        <v>896</v>
      </c>
      <c r="I160" s="167" t="s">
        <v>624</v>
      </c>
      <c r="J160" s="168">
        <v>9.101073737E9</v>
      </c>
    </row>
    <row r="161" ht="22.5" customHeight="1">
      <c r="A161" s="146">
        <v>2024.0</v>
      </c>
      <c r="B161" s="186">
        <v>45385.0</v>
      </c>
      <c r="C161" s="161" t="s">
        <v>22</v>
      </c>
      <c r="D161" s="165" t="s">
        <v>626</v>
      </c>
      <c r="E161" s="165" t="s">
        <v>1045</v>
      </c>
      <c r="F161" s="95" t="s">
        <v>1040</v>
      </c>
      <c r="G161" s="166" t="s">
        <v>20</v>
      </c>
      <c r="H161" s="163" t="s">
        <v>896</v>
      </c>
      <c r="I161" s="167" t="s">
        <v>627</v>
      </c>
      <c r="J161" s="168">
        <v>9.171236369E9</v>
      </c>
    </row>
    <row r="162" ht="22.5" customHeight="1">
      <c r="A162" s="146">
        <v>2024.0</v>
      </c>
      <c r="B162" s="186">
        <v>45385.0</v>
      </c>
      <c r="C162" s="161" t="s">
        <v>22</v>
      </c>
      <c r="D162" s="187"/>
      <c r="E162" s="165" t="s">
        <v>1046</v>
      </c>
      <c r="F162" s="95" t="s">
        <v>1040</v>
      </c>
      <c r="G162" s="166" t="s">
        <v>20</v>
      </c>
      <c r="H162" s="163" t="s">
        <v>896</v>
      </c>
      <c r="I162" s="167" t="s">
        <v>629</v>
      </c>
      <c r="J162" s="168">
        <v>9.163571706E9</v>
      </c>
    </row>
    <row r="163" ht="22.5" customHeight="1">
      <c r="A163" s="146">
        <v>2024.0</v>
      </c>
      <c r="B163" s="186">
        <v>45385.0</v>
      </c>
      <c r="C163" s="161" t="s">
        <v>22</v>
      </c>
      <c r="D163" s="165" t="s">
        <v>631</v>
      </c>
      <c r="E163" s="165" t="s">
        <v>1047</v>
      </c>
      <c r="F163" s="95" t="s">
        <v>1040</v>
      </c>
      <c r="G163" s="166" t="s">
        <v>20</v>
      </c>
      <c r="H163" s="163" t="s">
        <v>896</v>
      </c>
      <c r="I163" s="167" t="s">
        <v>633</v>
      </c>
      <c r="J163" s="168">
        <v>9.498834252E9</v>
      </c>
    </row>
    <row r="164" ht="22.5" customHeight="1">
      <c r="A164" s="146">
        <v>2024.0</v>
      </c>
      <c r="B164" s="186">
        <v>45390.0</v>
      </c>
      <c r="C164" s="161" t="s">
        <v>17</v>
      </c>
      <c r="D164" s="165" t="s">
        <v>635</v>
      </c>
      <c r="E164" s="165" t="s">
        <v>1048</v>
      </c>
      <c r="F164" s="150" t="s">
        <v>196</v>
      </c>
      <c r="G164" s="166" t="s">
        <v>20</v>
      </c>
      <c r="H164" s="163" t="s">
        <v>851</v>
      </c>
      <c r="I164" s="167" t="s">
        <v>637</v>
      </c>
      <c r="J164" s="168">
        <v>9.458215278E9</v>
      </c>
    </row>
    <row r="165" ht="22.5" customHeight="1">
      <c r="A165" s="146">
        <v>2024.0</v>
      </c>
      <c r="B165" s="186">
        <v>45399.0</v>
      </c>
      <c r="C165" s="161" t="s">
        <v>17</v>
      </c>
      <c r="D165" s="165" t="s">
        <v>638</v>
      </c>
      <c r="E165" s="165" t="s">
        <v>1049</v>
      </c>
      <c r="F165" s="95" t="s">
        <v>641</v>
      </c>
      <c r="G165" s="166" t="s">
        <v>20</v>
      </c>
      <c r="H165" s="163" t="s">
        <v>896</v>
      </c>
      <c r="I165" s="167" t="s">
        <v>640</v>
      </c>
      <c r="J165" s="168">
        <v>9.381004236E9</v>
      </c>
    </row>
    <row r="166" ht="22.5" customHeight="1">
      <c r="A166" s="146">
        <v>2024.0</v>
      </c>
      <c r="B166" s="186">
        <v>45401.0</v>
      </c>
      <c r="C166" s="161" t="s">
        <v>17</v>
      </c>
      <c r="D166" s="165" t="s">
        <v>642</v>
      </c>
      <c r="E166" s="165" t="s">
        <v>1050</v>
      </c>
      <c r="F166" s="95" t="s">
        <v>952</v>
      </c>
      <c r="G166" s="166" t="s">
        <v>20</v>
      </c>
      <c r="H166" s="163" t="s">
        <v>896</v>
      </c>
      <c r="I166" s="167" t="s">
        <v>645</v>
      </c>
      <c r="J166" s="170" t="s">
        <v>644</v>
      </c>
    </row>
    <row r="167" ht="22.5" customHeight="1">
      <c r="A167" s="146">
        <v>2024.0</v>
      </c>
      <c r="B167" s="186">
        <v>45401.0</v>
      </c>
      <c r="C167" s="161" t="s">
        <v>17</v>
      </c>
      <c r="D167" s="165" t="s">
        <v>646</v>
      </c>
      <c r="E167" s="165" t="s">
        <v>1051</v>
      </c>
      <c r="F167" s="95" t="s">
        <v>952</v>
      </c>
      <c r="G167" s="166" t="s">
        <v>20</v>
      </c>
      <c r="H167" s="163" t="s">
        <v>896</v>
      </c>
      <c r="I167" s="167" t="s">
        <v>647</v>
      </c>
      <c r="J167" s="168">
        <v>9.171266387E9</v>
      </c>
    </row>
    <row r="168" ht="22.5" customHeight="1">
      <c r="A168" s="146">
        <v>2024.0</v>
      </c>
      <c r="B168" s="186">
        <v>45401.0</v>
      </c>
      <c r="C168" s="161" t="s">
        <v>17</v>
      </c>
      <c r="D168" s="165" t="s">
        <v>648</v>
      </c>
      <c r="E168" s="165" t="s">
        <v>1052</v>
      </c>
      <c r="F168" s="95" t="s">
        <v>952</v>
      </c>
      <c r="G168" s="166" t="s">
        <v>42</v>
      </c>
      <c r="H168" s="163" t="s">
        <v>896</v>
      </c>
      <c r="I168" s="167" t="s">
        <v>649</v>
      </c>
      <c r="J168" s="168">
        <v>9.634731348E9</v>
      </c>
    </row>
    <row r="169" ht="22.5" customHeight="1">
      <c r="A169" s="146">
        <v>2024.0</v>
      </c>
      <c r="B169" s="186">
        <v>45405.0</v>
      </c>
      <c r="C169" s="161" t="s">
        <v>17</v>
      </c>
      <c r="D169" s="165" t="s">
        <v>650</v>
      </c>
      <c r="E169" s="165" t="s">
        <v>1053</v>
      </c>
      <c r="F169" s="95" t="s">
        <v>952</v>
      </c>
      <c r="G169" s="166" t="s">
        <v>20</v>
      </c>
      <c r="H169" s="163" t="s">
        <v>896</v>
      </c>
      <c r="J169" s="157"/>
    </row>
    <row r="170" ht="22.5" customHeight="1">
      <c r="A170" s="146">
        <v>2024.0</v>
      </c>
      <c r="B170" s="186">
        <v>45414.0</v>
      </c>
      <c r="C170" s="161" t="s">
        <v>22</v>
      </c>
      <c r="D170" s="165" t="s">
        <v>651</v>
      </c>
      <c r="E170" s="165" t="s">
        <v>1054</v>
      </c>
      <c r="F170" s="95" t="s">
        <v>656</v>
      </c>
      <c r="G170" s="166" t="s">
        <v>20</v>
      </c>
      <c r="H170" s="188" t="s">
        <v>564</v>
      </c>
      <c r="I170" s="167" t="s">
        <v>655</v>
      </c>
      <c r="J170" s="168">
        <v>9.052424758E9</v>
      </c>
    </row>
    <row r="171" ht="22.5" customHeight="1">
      <c r="A171" s="146">
        <v>2024.0</v>
      </c>
      <c r="B171" s="186">
        <v>45415.0</v>
      </c>
      <c r="C171" s="161" t="s">
        <v>17</v>
      </c>
      <c r="D171" s="165" t="s">
        <v>657</v>
      </c>
      <c r="E171" s="165" t="s">
        <v>1055</v>
      </c>
      <c r="F171" s="150" t="s">
        <v>196</v>
      </c>
      <c r="G171" s="166" t="s">
        <v>42</v>
      </c>
      <c r="H171" s="163" t="s">
        <v>32</v>
      </c>
      <c r="I171" s="167" t="s">
        <v>659</v>
      </c>
      <c r="J171" s="170" t="s">
        <v>26</v>
      </c>
    </row>
    <row r="172" ht="22.5" customHeight="1">
      <c r="A172" s="146">
        <v>2024.0</v>
      </c>
      <c r="B172" s="186">
        <v>45415.0</v>
      </c>
      <c r="C172" s="161" t="s">
        <v>17</v>
      </c>
      <c r="D172" s="165" t="s">
        <v>660</v>
      </c>
      <c r="E172" s="165" t="s">
        <v>1056</v>
      </c>
      <c r="F172" s="150" t="s">
        <v>196</v>
      </c>
      <c r="G172" s="166" t="s">
        <v>20</v>
      </c>
      <c r="H172" s="163" t="s">
        <v>851</v>
      </c>
      <c r="I172" s="167" t="s">
        <v>663</v>
      </c>
      <c r="J172" s="168">
        <v>9.608345552E9</v>
      </c>
    </row>
    <row r="173" ht="22.5" customHeight="1">
      <c r="A173" s="146">
        <v>2024.0</v>
      </c>
      <c r="B173" s="186">
        <v>45415.0</v>
      </c>
      <c r="C173" s="161" t="s">
        <v>22</v>
      </c>
      <c r="D173" s="165" t="s">
        <v>664</v>
      </c>
      <c r="E173" s="165" t="s">
        <v>1057</v>
      </c>
      <c r="F173" s="150" t="s">
        <v>196</v>
      </c>
      <c r="G173" s="166" t="s">
        <v>42</v>
      </c>
      <c r="H173" s="163" t="s">
        <v>851</v>
      </c>
      <c r="I173" s="167" t="s">
        <v>666</v>
      </c>
      <c r="J173" s="168">
        <v>9.613182274E9</v>
      </c>
    </row>
    <row r="174" ht="22.5" customHeight="1">
      <c r="A174" s="146">
        <v>2024.0</v>
      </c>
      <c r="B174" s="186">
        <v>45418.0</v>
      </c>
      <c r="C174" s="161" t="s">
        <v>22</v>
      </c>
      <c r="D174" s="165" t="s">
        <v>667</v>
      </c>
      <c r="E174" s="165" t="s">
        <v>1058</v>
      </c>
      <c r="F174" s="95" t="s">
        <v>670</v>
      </c>
      <c r="G174" s="166" t="s">
        <v>42</v>
      </c>
      <c r="H174" s="163" t="s">
        <v>896</v>
      </c>
      <c r="I174" s="167" t="s">
        <v>669</v>
      </c>
      <c r="J174" s="168">
        <v>9.083932168E9</v>
      </c>
    </row>
    <row r="175" ht="22.5" customHeight="1">
      <c r="A175" s="146">
        <v>2024.0</v>
      </c>
      <c r="B175" s="186">
        <v>45419.0</v>
      </c>
      <c r="C175" s="161" t="s">
        <v>22</v>
      </c>
      <c r="D175" s="165" t="s">
        <v>671</v>
      </c>
      <c r="E175" s="165" t="s">
        <v>1059</v>
      </c>
      <c r="F175" s="95" t="s">
        <v>672</v>
      </c>
      <c r="G175" s="166" t="s">
        <v>42</v>
      </c>
      <c r="H175" s="163" t="s">
        <v>896</v>
      </c>
      <c r="I175" s="167" t="s">
        <v>673</v>
      </c>
      <c r="J175" s="168">
        <v>9.770336214E9</v>
      </c>
    </row>
    <row r="176" ht="22.5" customHeight="1">
      <c r="A176" s="146">
        <v>2024.0</v>
      </c>
      <c r="B176" s="186">
        <v>45434.0</v>
      </c>
      <c r="C176" s="161" t="s">
        <v>17</v>
      </c>
      <c r="D176" s="165" t="s">
        <v>674</v>
      </c>
      <c r="E176" s="165" t="s">
        <v>1060</v>
      </c>
      <c r="F176" s="95" t="s">
        <v>677</v>
      </c>
      <c r="G176" s="166" t="s">
        <v>20</v>
      </c>
      <c r="H176" s="163" t="s">
        <v>851</v>
      </c>
      <c r="I176" s="167" t="s">
        <v>676</v>
      </c>
      <c r="J176" s="168">
        <v>9.298776331E9</v>
      </c>
    </row>
    <row r="177" ht="22.5" customHeight="1">
      <c r="A177" s="146">
        <v>2024.0</v>
      </c>
      <c r="B177" s="186">
        <v>45434.0</v>
      </c>
      <c r="C177" s="161" t="s">
        <v>17</v>
      </c>
      <c r="D177" s="165" t="s">
        <v>678</v>
      </c>
      <c r="E177" s="165" t="s">
        <v>1061</v>
      </c>
      <c r="F177" s="95" t="s">
        <v>677</v>
      </c>
      <c r="G177" s="166" t="s">
        <v>20</v>
      </c>
      <c r="H177" s="163" t="s">
        <v>32</v>
      </c>
      <c r="I177" s="167" t="s">
        <v>680</v>
      </c>
      <c r="J177" s="168">
        <v>9.17798092E9</v>
      </c>
    </row>
    <row r="178" ht="22.5" customHeight="1">
      <c r="A178" s="146">
        <v>2024.0</v>
      </c>
      <c r="B178" s="186">
        <v>45450.0</v>
      </c>
      <c r="C178" s="161" t="s">
        <v>17</v>
      </c>
      <c r="D178" s="165" t="s">
        <v>681</v>
      </c>
      <c r="E178" s="165" t="s">
        <v>1062</v>
      </c>
      <c r="F178" s="95" t="s">
        <v>683</v>
      </c>
      <c r="G178" s="166" t="s">
        <v>20</v>
      </c>
      <c r="H178" s="163" t="s">
        <v>851</v>
      </c>
      <c r="I178" s="167" t="s">
        <v>682</v>
      </c>
      <c r="J178" s="168">
        <v>9.274920681E9</v>
      </c>
    </row>
    <row r="179" ht="22.5" customHeight="1">
      <c r="A179" s="146">
        <v>2024.0</v>
      </c>
      <c r="B179" s="186">
        <v>45456.0</v>
      </c>
      <c r="C179" s="161" t="s">
        <v>17</v>
      </c>
      <c r="D179" s="165" t="s">
        <v>684</v>
      </c>
      <c r="E179" s="165" t="s">
        <v>1063</v>
      </c>
      <c r="F179" s="95" t="s">
        <v>686</v>
      </c>
      <c r="G179" s="166" t="s">
        <v>42</v>
      </c>
      <c r="H179" s="163" t="s">
        <v>851</v>
      </c>
      <c r="I179" s="167" t="s">
        <v>688</v>
      </c>
      <c r="J179" s="168">
        <v>9.620739174E9</v>
      </c>
    </row>
    <row r="180" ht="22.5" customHeight="1">
      <c r="A180" s="146">
        <v>2024.0</v>
      </c>
      <c r="B180" s="186">
        <v>45476.0</v>
      </c>
      <c r="C180" s="161" t="s">
        <v>17</v>
      </c>
      <c r="D180" s="165" t="s">
        <v>689</v>
      </c>
      <c r="E180" s="165" t="s">
        <v>1064</v>
      </c>
      <c r="F180" s="150" t="s">
        <v>196</v>
      </c>
      <c r="G180" s="166" t="s">
        <v>42</v>
      </c>
      <c r="H180" s="163" t="s">
        <v>564</v>
      </c>
      <c r="I180" s="167" t="s">
        <v>691</v>
      </c>
      <c r="J180" s="168">
        <v>9.764510568E9</v>
      </c>
    </row>
    <row r="181" ht="22.5" customHeight="1">
      <c r="A181" s="146">
        <v>2024.0</v>
      </c>
      <c r="B181" s="186">
        <v>45491.0</v>
      </c>
      <c r="C181" s="161" t="s">
        <v>17</v>
      </c>
      <c r="D181" s="165" t="s">
        <v>693</v>
      </c>
      <c r="E181" s="165" t="s">
        <v>1065</v>
      </c>
      <c r="F181" s="150" t="s">
        <v>196</v>
      </c>
      <c r="G181" s="166" t="s">
        <v>20</v>
      </c>
      <c r="H181" s="163" t="s">
        <v>564</v>
      </c>
      <c r="I181" s="167" t="s">
        <v>695</v>
      </c>
      <c r="J181" s="168">
        <v>9.95237285E9</v>
      </c>
    </row>
    <row r="182" ht="22.5" customHeight="1">
      <c r="A182" s="146">
        <v>2024.0</v>
      </c>
      <c r="B182" s="186">
        <v>45498.0</v>
      </c>
      <c r="C182" s="161" t="s">
        <v>22</v>
      </c>
      <c r="D182" s="165" t="s">
        <v>697</v>
      </c>
      <c r="E182" s="165" t="s">
        <v>1066</v>
      </c>
      <c r="F182" s="95" t="s">
        <v>698</v>
      </c>
      <c r="G182" s="166" t="s">
        <v>20</v>
      </c>
      <c r="H182" s="163" t="s">
        <v>896</v>
      </c>
      <c r="I182" s="167" t="s">
        <v>701</v>
      </c>
      <c r="J182" s="168">
        <v>9.076134501E9</v>
      </c>
    </row>
    <row r="183" ht="22.5" customHeight="1">
      <c r="A183" s="146">
        <v>2024.0</v>
      </c>
      <c r="B183" s="186">
        <v>45498.0</v>
      </c>
      <c r="C183" s="161" t="s">
        <v>22</v>
      </c>
      <c r="D183" s="165" t="s">
        <v>702</v>
      </c>
      <c r="E183" s="165" t="s">
        <v>1067</v>
      </c>
      <c r="F183" s="95" t="s">
        <v>698</v>
      </c>
      <c r="G183" s="166" t="s">
        <v>20</v>
      </c>
      <c r="H183" s="163" t="s">
        <v>896</v>
      </c>
      <c r="I183" s="183" t="s">
        <v>703</v>
      </c>
      <c r="J183" s="168">
        <v>9.814970366E9</v>
      </c>
    </row>
    <row r="184" ht="22.5" customHeight="1">
      <c r="A184" s="146">
        <v>2024.0</v>
      </c>
      <c r="B184" s="186">
        <v>45518.0</v>
      </c>
      <c r="C184" s="161" t="s">
        <v>17</v>
      </c>
      <c r="D184" s="165" t="s">
        <v>704</v>
      </c>
      <c r="E184" s="165" t="s">
        <v>1068</v>
      </c>
      <c r="F184" s="95" t="s">
        <v>1069</v>
      </c>
      <c r="G184" s="166" t="s">
        <v>20</v>
      </c>
      <c r="H184" s="163" t="s">
        <v>32</v>
      </c>
      <c r="I184" s="167" t="s">
        <v>707</v>
      </c>
      <c r="J184" s="168">
        <v>9.774969142E9</v>
      </c>
    </row>
    <row r="185" ht="22.5" customHeight="1">
      <c r="A185" s="146">
        <v>2024.0</v>
      </c>
      <c r="B185" s="186">
        <v>45531.0</v>
      </c>
      <c r="C185" s="161" t="s">
        <v>17</v>
      </c>
      <c r="D185" s="165" t="s">
        <v>709</v>
      </c>
      <c r="E185" s="165" t="s">
        <v>1070</v>
      </c>
      <c r="F185" s="95" t="s">
        <v>1071</v>
      </c>
      <c r="G185" s="166" t="s">
        <v>42</v>
      </c>
      <c r="H185" s="163" t="s">
        <v>564</v>
      </c>
      <c r="I185" s="167" t="s">
        <v>712</v>
      </c>
      <c r="J185" s="168">
        <v>9.476425081E9</v>
      </c>
    </row>
    <row r="186" ht="22.5" customHeight="1">
      <c r="A186" s="146">
        <v>2024.0</v>
      </c>
      <c r="B186" s="186">
        <v>45533.0</v>
      </c>
      <c r="C186" s="161" t="s">
        <v>17</v>
      </c>
      <c r="D186" s="165" t="s">
        <v>713</v>
      </c>
      <c r="E186" s="165" t="s">
        <v>1072</v>
      </c>
      <c r="F186" s="95" t="s">
        <v>715</v>
      </c>
      <c r="G186" s="166" t="s">
        <v>42</v>
      </c>
      <c r="H186" s="163" t="s">
        <v>844</v>
      </c>
      <c r="I186" s="167" t="s">
        <v>716</v>
      </c>
      <c r="J186" s="170" t="s">
        <v>699</v>
      </c>
    </row>
    <row r="187" ht="22.5" customHeight="1">
      <c r="A187" s="146">
        <v>2024.0</v>
      </c>
      <c r="B187" s="186">
        <v>45540.0</v>
      </c>
      <c r="C187" s="161" t="s">
        <v>17</v>
      </c>
      <c r="D187" s="165" t="s">
        <v>717</v>
      </c>
      <c r="E187" s="165" t="s">
        <v>1073</v>
      </c>
      <c r="F187" s="95" t="s">
        <v>722</v>
      </c>
      <c r="G187" s="166" t="s">
        <v>20</v>
      </c>
      <c r="H187" s="163" t="s">
        <v>851</v>
      </c>
      <c r="I187" s="167" t="s">
        <v>721</v>
      </c>
      <c r="J187" s="168">
        <v>9.67229311E9</v>
      </c>
    </row>
    <row r="188" ht="22.5" customHeight="1">
      <c r="A188" s="146">
        <v>2024.0</v>
      </c>
      <c r="B188" s="186">
        <v>45545.0</v>
      </c>
      <c r="C188" s="161" t="s">
        <v>17</v>
      </c>
      <c r="D188" s="165" t="s">
        <v>723</v>
      </c>
      <c r="E188" s="165" t="s">
        <v>1074</v>
      </c>
      <c r="F188" s="150" t="s">
        <v>196</v>
      </c>
      <c r="G188" s="166" t="s">
        <v>42</v>
      </c>
      <c r="H188" s="163" t="s">
        <v>32</v>
      </c>
      <c r="J188" s="157"/>
    </row>
    <row r="189" ht="22.5" customHeight="1">
      <c r="A189" s="146">
        <v>2024.0</v>
      </c>
      <c r="B189" s="186">
        <v>45545.0</v>
      </c>
      <c r="C189" s="161" t="s">
        <v>17</v>
      </c>
      <c r="D189" s="165" t="s">
        <v>724</v>
      </c>
      <c r="E189" s="165" t="s">
        <v>1075</v>
      </c>
      <c r="F189" s="95" t="s">
        <v>1076</v>
      </c>
      <c r="G189" s="166" t="s">
        <v>20</v>
      </c>
      <c r="H189" s="163" t="s">
        <v>564</v>
      </c>
      <c r="J189" s="157"/>
    </row>
    <row r="190" ht="22.5" customHeight="1">
      <c r="A190" s="146">
        <v>2024.0</v>
      </c>
      <c r="B190" s="186">
        <v>45554.0</v>
      </c>
      <c r="C190" s="161" t="s">
        <v>22</v>
      </c>
      <c r="D190" s="165" t="s">
        <v>725</v>
      </c>
      <c r="E190" s="165" t="s">
        <v>1077</v>
      </c>
      <c r="F190" s="95" t="s">
        <v>727</v>
      </c>
      <c r="G190" s="166" t="s">
        <v>42</v>
      </c>
      <c r="H190" s="163" t="s">
        <v>896</v>
      </c>
      <c r="I190" s="189" t="s">
        <v>728</v>
      </c>
      <c r="J190" s="168">
        <v>9.484356268E9</v>
      </c>
    </row>
    <row r="191" ht="22.5" customHeight="1">
      <c r="A191" s="146">
        <v>2024.0</v>
      </c>
      <c r="B191" s="186">
        <v>45554.0</v>
      </c>
      <c r="C191" s="161" t="s">
        <v>17</v>
      </c>
      <c r="D191" s="165" t="s">
        <v>729</v>
      </c>
      <c r="E191" s="165" t="s">
        <v>1078</v>
      </c>
      <c r="F191" s="95" t="s">
        <v>952</v>
      </c>
      <c r="G191" s="166" t="s">
        <v>20</v>
      </c>
      <c r="H191" s="163" t="s">
        <v>851</v>
      </c>
      <c r="I191" s="167" t="s">
        <v>730</v>
      </c>
      <c r="J191" s="168">
        <v>9.464306098E9</v>
      </c>
    </row>
    <row r="192" ht="22.5" customHeight="1">
      <c r="A192" s="146">
        <v>2024.0</v>
      </c>
      <c r="B192" s="186">
        <v>45572.0</v>
      </c>
      <c r="C192" s="161" t="s">
        <v>17</v>
      </c>
      <c r="D192" s="165" t="s">
        <v>37</v>
      </c>
      <c r="E192" s="165" t="s">
        <v>1079</v>
      </c>
      <c r="F192" s="95" t="s">
        <v>33</v>
      </c>
      <c r="G192" s="166" t="s">
        <v>20</v>
      </c>
      <c r="H192" s="163" t="s">
        <v>32</v>
      </c>
      <c r="I192" s="95" t="s">
        <v>731</v>
      </c>
      <c r="J192" s="170" t="s">
        <v>26</v>
      </c>
    </row>
    <row r="193" ht="22.5" customHeight="1">
      <c r="A193" s="146">
        <v>2024.0</v>
      </c>
      <c r="B193" s="186">
        <v>45572.0</v>
      </c>
      <c r="C193" s="161" t="s">
        <v>17</v>
      </c>
      <c r="D193" s="165" t="s">
        <v>732</v>
      </c>
      <c r="E193" s="165" t="s">
        <v>1080</v>
      </c>
      <c r="F193" s="95" t="s">
        <v>33</v>
      </c>
      <c r="G193" s="166" t="s">
        <v>20</v>
      </c>
      <c r="H193" s="163" t="s">
        <v>32</v>
      </c>
      <c r="I193" s="95" t="s">
        <v>731</v>
      </c>
      <c r="J193" s="170" t="s">
        <v>26</v>
      </c>
    </row>
    <row r="194" ht="22.5" customHeight="1">
      <c r="A194" s="146">
        <v>2024.0</v>
      </c>
      <c r="B194" s="186">
        <v>45572.0</v>
      </c>
      <c r="C194" s="161" t="s">
        <v>17</v>
      </c>
      <c r="D194" s="165" t="s">
        <v>733</v>
      </c>
      <c r="E194" s="165" t="s">
        <v>1081</v>
      </c>
      <c r="F194" s="95" t="s">
        <v>33</v>
      </c>
      <c r="G194" s="166" t="s">
        <v>20</v>
      </c>
      <c r="H194" s="163" t="s">
        <v>32</v>
      </c>
      <c r="I194" s="95" t="s">
        <v>731</v>
      </c>
      <c r="J194" s="170" t="s">
        <v>26</v>
      </c>
    </row>
    <row r="195" ht="22.5" customHeight="1">
      <c r="A195" s="146">
        <v>2024.0</v>
      </c>
      <c r="B195" s="186">
        <v>45572.0</v>
      </c>
      <c r="C195" s="161" t="s">
        <v>17</v>
      </c>
      <c r="D195" s="165" t="s">
        <v>734</v>
      </c>
      <c r="E195" s="165" t="s">
        <v>1082</v>
      </c>
      <c r="F195" s="95" t="s">
        <v>33</v>
      </c>
      <c r="G195" s="166" t="s">
        <v>20</v>
      </c>
      <c r="H195" s="163" t="s">
        <v>32</v>
      </c>
      <c r="I195" s="95" t="s">
        <v>731</v>
      </c>
      <c r="J195" s="170" t="s">
        <v>26</v>
      </c>
    </row>
    <row r="196" ht="22.5" customHeight="1">
      <c r="A196" s="146">
        <v>2024.0</v>
      </c>
      <c r="B196" s="186">
        <v>45572.0</v>
      </c>
      <c r="C196" s="161" t="s">
        <v>17</v>
      </c>
      <c r="D196" s="165" t="s">
        <v>735</v>
      </c>
      <c r="E196" s="165" t="s">
        <v>1083</v>
      </c>
      <c r="F196" s="95" t="s">
        <v>33</v>
      </c>
      <c r="G196" s="166" t="s">
        <v>20</v>
      </c>
      <c r="H196" s="163" t="s">
        <v>851</v>
      </c>
      <c r="I196" s="95" t="s">
        <v>731</v>
      </c>
      <c r="J196" s="170" t="s">
        <v>26</v>
      </c>
    </row>
    <row r="197" ht="22.5" customHeight="1">
      <c r="A197" s="146">
        <v>2024.0</v>
      </c>
      <c r="B197" s="186">
        <v>45513.0</v>
      </c>
      <c r="C197" s="161" t="s">
        <v>22</v>
      </c>
      <c r="D197" s="190" t="s">
        <v>737</v>
      </c>
      <c r="E197" s="165" t="s">
        <v>1084</v>
      </c>
      <c r="F197" s="95" t="s">
        <v>705</v>
      </c>
      <c r="G197" s="166" t="s">
        <v>42</v>
      </c>
      <c r="H197" s="163" t="s">
        <v>32</v>
      </c>
      <c r="I197" s="95" t="s">
        <v>731</v>
      </c>
      <c r="J197" s="170" t="s">
        <v>26</v>
      </c>
    </row>
    <row r="198" ht="22.5" customHeight="1">
      <c r="A198" s="146">
        <v>2024.0</v>
      </c>
      <c r="B198" s="186">
        <v>45513.0</v>
      </c>
      <c r="C198" s="161" t="s">
        <v>22</v>
      </c>
      <c r="D198" s="165" t="s">
        <v>739</v>
      </c>
      <c r="E198" s="165" t="s">
        <v>1085</v>
      </c>
      <c r="F198" s="95" t="s">
        <v>705</v>
      </c>
      <c r="G198" s="166" t="s">
        <v>20</v>
      </c>
      <c r="H198" s="163" t="s">
        <v>851</v>
      </c>
      <c r="I198" s="95" t="s">
        <v>731</v>
      </c>
      <c r="J198" s="170" t="s">
        <v>26</v>
      </c>
    </row>
    <row r="199" ht="22.5" customHeight="1">
      <c r="A199" s="146">
        <v>2024.0</v>
      </c>
      <c r="B199" s="186">
        <v>45513.0</v>
      </c>
      <c r="C199" s="161" t="s">
        <v>22</v>
      </c>
      <c r="D199" s="165" t="s">
        <v>741</v>
      </c>
      <c r="E199" s="165" t="s">
        <v>1086</v>
      </c>
      <c r="F199" s="95" t="s">
        <v>705</v>
      </c>
      <c r="G199" s="166" t="s">
        <v>20</v>
      </c>
      <c r="H199" s="163" t="s">
        <v>32</v>
      </c>
      <c r="I199" s="95" t="s">
        <v>731</v>
      </c>
      <c r="J199" s="170" t="s">
        <v>26</v>
      </c>
    </row>
    <row r="200" ht="22.5" customHeight="1">
      <c r="A200" s="146">
        <v>2024.0</v>
      </c>
      <c r="B200" s="186">
        <v>45481.0</v>
      </c>
      <c r="C200" s="161" t="s">
        <v>22</v>
      </c>
      <c r="D200" s="190" t="s">
        <v>742</v>
      </c>
      <c r="E200" s="165" t="s">
        <v>1087</v>
      </c>
      <c r="F200" s="95" t="s">
        <v>744</v>
      </c>
      <c r="G200" s="166" t="s">
        <v>42</v>
      </c>
      <c r="H200" s="163" t="s">
        <v>32</v>
      </c>
      <c r="I200" s="95" t="s">
        <v>731</v>
      </c>
      <c r="J200" s="170" t="s">
        <v>26</v>
      </c>
    </row>
    <row r="201" ht="22.5" customHeight="1">
      <c r="A201" s="146">
        <v>2024.0</v>
      </c>
      <c r="B201" s="186">
        <v>45481.0</v>
      </c>
      <c r="C201" s="161" t="s">
        <v>22</v>
      </c>
      <c r="D201" s="165" t="s">
        <v>745</v>
      </c>
      <c r="E201" s="165" t="s">
        <v>1088</v>
      </c>
      <c r="F201" s="95" t="s">
        <v>744</v>
      </c>
      <c r="G201" s="166" t="s">
        <v>20</v>
      </c>
      <c r="H201" s="163" t="s">
        <v>32</v>
      </c>
      <c r="I201" s="95" t="s">
        <v>731</v>
      </c>
      <c r="J201" s="170" t="s">
        <v>26</v>
      </c>
    </row>
    <row r="202" ht="22.5" customHeight="1">
      <c r="A202" s="146">
        <v>2024.0</v>
      </c>
      <c r="B202" s="186">
        <v>45481.0</v>
      </c>
      <c r="C202" s="161" t="s">
        <v>22</v>
      </c>
      <c r="D202" s="165" t="s">
        <v>747</v>
      </c>
      <c r="E202" s="165" t="s">
        <v>1089</v>
      </c>
      <c r="F202" s="95" t="s">
        <v>744</v>
      </c>
      <c r="G202" s="166" t="s">
        <v>20</v>
      </c>
      <c r="H202" s="163" t="s">
        <v>32</v>
      </c>
      <c r="I202" s="95" t="s">
        <v>731</v>
      </c>
      <c r="J202" s="170" t="s">
        <v>26</v>
      </c>
    </row>
    <row r="203" ht="22.5" customHeight="1">
      <c r="A203" s="146">
        <v>2024.0</v>
      </c>
      <c r="B203" s="186">
        <v>45481.0</v>
      </c>
      <c r="C203" s="161" t="s">
        <v>22</v>
      </c>
      <c r="D203" s="165" t="s">
        <v>748</v>
      </c>
      <c r="E203" s="165" t="s">
        <v>1090</v>
      </c>
      <c r="F203" s="95" t="s">
        <v>744</v>
      </c>
      <c r="G203" s="166" t="s">
        <v>42</v>
      </c>
      <c r="H203" s="163" t="s">
        <v>32</v>
      </c>
      <c r="I203" s="95" t="s">
        <v>731</v>
      </c>
      <c r="J203" s="170" t="s">
        <v>26</v>
      </c>
    </row>
    <row r="204" ht="22.5" customHeight="1">
      <c r="A204" s="146">
        <v>2024.0</v>
      </c>
      <c r="B204" s="186">
        <v>45573.0</v>
      </c>
      <c r="C204" s="161" t="s">
        <v>22</v>
      </c>
      <c r="D204" s="165" t="s">
        <v>749</v>
      </c>
      <c r="E204" s="165" t="s">
        <v>1091</v>
      </c>
      <c r="F204" s="95" t="s">
        <v>750</v>
      </c>
      <c r="G204" s="166" t="s">
        <v>20</v>
      </c>
      <c r="H204" s="163" t="s">
        <v>32</v>
      </c>
      <c r="J204" s="157"/>
    </row>
    <row r="205" ht="22.5" customHeight="1">
      <c r="A205" s="146">
        <v>2024.0</v>
      </c>
      <c r="B205" s="186">
        <v>45579.0</v>
      </c>
      <c r="C205" s="161" t="s">
        <v>17</v>
      </c>
      <c r="D205" s="165" t="s">
        <v>752</v>
      </c>
      <c r="E205" s="165" t="s">
        <v>1092</v>
      </c>
      <c r="F205" s="95" t="s">
        <v>1093</v>
      </c>
      <c r="G205" s="166" t="s">
        <v>42</v>
      </c>
      <c r="H205" s="163" t="s">
        <v>32</v>
      </c>
      <c r="I205" s="167" t="s">
        <v>755</v>
      </c>
      <c r="J205" s="168">
        <v>9.209650556E9</v>
      </c>
    </row>
    <row r="206" ht="22.5" customHeight="1">
      <c r="A206" s="146">
        <v>2024.0</v>
      </c>
      <c r="B206" s="186">
        <v>45579.0</v>
      </c>
      <c r="C206" s="161" t="s">
        <v>17</v>
      </c>
      <c r="D206" s="165" t="s">
        <v>756</v>
      </c>
      <c r="E206" s="165" t="s">
        <v>1094</v>
      </c>
      <c r="F206" s="95" t="s">
        <v>1093</v>
      </c>
      <c r="G206" s="166" t="s">
        <v>20</v>
      </c>
      <c r="H206" s="163" t="s">
        <v>851</v>
      </c>
      <c r="I206" s="167" t="s">
        <v>759</v>
      </c>
      <c r="J206" s="168">
        <v>9.943633738E9</v>
      </c>
    </row>
    <row r="207" ht="22.5" customHeight="1">
      <c r="A207" s="146">
        <v>2024.0</v>
      </c>
      <c r="B207" s="186">
        <v>45579.0</v>
      </c>
      <c r="C207" s="161" t="s">
        <v>17</v>
      </c>
      <c r="D207" s="165" t="s">
        <v>760</v>
      </c>
      <c r="E207" s="165" t="s">
        <v>1095</v>
      </c>
      <c r="F207" s="95" t="s">
        <v>1093</v>
      </c>
      <c r="G207" s="166" t="s">
        <v>42</v>
      </c>
      <c r="H207" s="163" t="s">
        <v>851</v>
      </c>
      <c r="I207" s="167" t="s">
        <v>761</v>
      </c>
      <c r="J207" s="168">
        <v>9.062271477E9</v>
      </c>
    </row>
    <row r="208" ht="22.5" customHeight="1">
      <c r="A208" s="146">
        <v>2024.0</v>
      </c>
      <c r="B208" s="186">
        <v>45582.0</v>
      </c>
      <c r="C208" s="161" t="s">
        <v>17</v>
      </c>
      <c r="D208" s="165" t="s">
        <v>762</v>
      </c>
      <c r="E208" s="165" t="s">
        <v>1096</v>
      </c>
      <c r="F208" s="95" t="s">
        <v>763</v>
      </c>
      <c r="G208" s="166" t="s">
        <v>42</v>
      </c>
      <c r="H208" s="163" t="s">
        <v>32</v>
      </c>
      <c r="I208" s="167" t="s">
        <v>764</v>
      </c>
      <c r="J208" s="157"/>
    </row>
    <row r="209" ht="22.5" customHeight="1">
      <c r="A209" s="146">
        <v>2024.0</v>
      </c>
      <c r="B209" s="186">
        <v>45594.0</v>
      </c>
      <c r="C209" s="161" t="s">
        <v>22</v>
      </c>
      <c r="D209" s="165" t="s">
        <v>765</v>
      </c>
      <c r="E209" s="165" t="s">
        <v>1097</v>
      </c>
      <c r="F209" s="95" t="s">
        <v>767</v>
      </c>
      <c r="G209" s="166" t="s">
        <v>20</v>
      </c>
      <c r="H209" s="163" t="s">
        <v>851</v>
      </c>
      <c r="I209" s="167" t="s">
        <v>768</v>
      </c>
      <c r="J209" s="168">
        <v>9.173018228E9</v>
      </c>
    </row>
    <row r="210" ht="22.5" customHeight="1">
      <c r="A210" s="146">
        <v>2024.0</v>
      </c>
      <c r="B210" s="186">
        <v>45594.0</v>
      </c>
      <c r="C210" s="161" t="s">
        <v>22</v>
      </c>
      <c r="D210" s="165" t="s">
        <v>769</v>
      </c>
      <c r="E210" s="165" t="s">
        <v>1098</v>
      </c>
      <c r="F210" s="95" t="s">
        <v>767</v>
      </c>
      <c r="G210" s="166" t="s">
        <v>20</v>
      </c>
      <c r="H210" s="163" t="s">
        <v>851</v>
      </c>
      <c r="I210" s="167" t="s">
        <v>771</v>
      </c>
      <c r="J210" s="168">
        <v>9.176247084E9</v>
      </c>
    </row>
    <row r="211" ht="22.5" customHeight="1">
      <c r="A211" s="146">
        <v>2024.0</v>
      </c>
      <c r="B211" s="186">
        <v>45594.0</v>
      </c>
      <c r="C211" s="161" t="s">
        <v>22</v>
      </c>
      <c r="D211" s="165" t="s">
        <v>772</v>
      </c>
      <c r="E211" s="165" t="s">
        <v>1099</v>
      </c>
      <c r="F211" s="95" t="s">
        <v>767</v>
      </c>
      <c r="G211" s="166" t="s">
        <v>20</v>
      </c>
      <c r="H211" s="163" t="s">
        <v>851</v>
      </c>
      <c r="I211" s="167" t="s">
        <v>774</v>
      </c>
      <c r="J211" s="168">
        <v>9.166869558E9</v>
      </c>
    </row>
    <row r="212" ht="22.5" customHeight="1">
      <c r="A212" s="146">
        <v>2024.0</v>
      </c>
      <c r="B212" s="186">
        <v>45594.0</v>
      </c>
      <c r="C212" s="161" t="s">
        <v>22</v>
      </c>
      <c r="D212" s="165" t="s">
        <v>775</v>
      </c>
      <c r="E212" s="165" t="s">
        <v>1100</v>
      </c>
      <c r="F212" s="95" t="s">
        <v>767</v>
      </c>
      <c r="G212" s="166" t="s">
        <v>20</v>
      </c>
      <c r="H212" s="163" t="s">
        <v>851</v>
      </c>
      <c r="I212" s="167" t="s">
        <v>776</v>
      </c>
      <c r="J212" s="168">
        <v>9.27476702E9</v>
      </c>
    </row>
    <row r="213" ht="22.5" customHeight="1">
      <c r="A213" s="146">
        <v>2024.0</v>
      </c>
      <c r="B213" s="186">
        <v>45608.0</v>
      </c>
      <c r="C213" s="161" t="s">
        <v>17</v>
      </c>
      <c r="D213" s="165" t="s">
        <v>777</v>
      </c>
      <c r="E213" s="165" t="s">
        <v>1101</v>
      </c>
      <c r="F213" s="95" t="s">
        <v>1102</v>
      </c>
      <c r="G213" s="166" t="s">
        <v>20</v>
      </c>
      <c r="H213" s="163" t="s">
        <v>896</v>
      </c>
      <c r="I213" s="167" t="s">
        <v>778</v>
      </c>
      <c r="J213" s="168">
        <v>9.672290995E9</v>
      </c>
    </row>
    <row r="214" ht="22.5" customHeight="1">
      <c r="A214" s="146">
        <v>2024.0</v>
      </c>
      <c r="B214" s="186">
        <v>45573.0</v>
      </c>
      <c r="C214" s="161" t="s">
        <v>22</v>
      </c>
      <c r="D214" s="165" t="s">
        <v>779</v>
      </c>
      <c r="E214" s="165" t="s">
        <v>1103</v>
      </c>
      <c r="F214" s="95" t="s">
        <v>1102</v>
      </c>
      <c r="G214" s="166" t="s">
        <v>42</v>
      </c>
      <c r="H214" s="163" t="s">
        <v>896</v>
      </c>
      <c r="I214" s="167" t="s">
        <v>780</v>
      </c>
      <c r="J214" s="157"/>
    </row>
    <row r="215" ht="22.5" customHeight="1">
      <c r="A215" s="146">
        <v>2024.0</v>
      </c>
      <c r="B215" s="186">
        <v>45573.0</v>
      </c>
      <c r="C215" s="161" t="s">
        <v>22</v>
      </c>
      <c r="D215" s="165" t="s">
        <v>781</v>
      </c>
      <c r="E215" s="165" t="s">
        <v>1104</v>
      </c>
      <c r="F215" s="95" t="s">
        <v>1102</v>
      </c>
      <c r="G215" s="166" t="s">
        <v>20</v>
      </c>
      <c r="H215" s="163" t="s">
        <v>896</v>
      </c>
      <c r="I215" s="167" t="s">
        <v>310</v>
      </c>
      <c r="J215" s="157"/>
    </row>
    <row r="216" ht="22.5" customHeight="1">
      <c r="A216" s="146">
        <v>2024.0</v>
      </c>
      <c r="B216" s="186">
        <v>45573.0</v>
      </c>
      <c r="C216" s="161" t="s">
        <v>22</v>
      </c>
      <c r="D216" s="165" t="s">
        <v>782</v>
      </c>
      <c r="E216" s="165" t="s">
        <v>1105</v>
      </c>
      <c r="F216" s="95" t="s">
        <v>1102</v>
      </c>
      <c r="G216" s="166" t="s">
        <v>20</v>
      </c>
      <c r="H216" s="163" t="s">
        <v>896</v>
      </c>
      <c r="I216" s="167" t="s">
        <v>783</v>
      </c>
      <c r="J216" s="157"/>
    </row>
    <row r="217" ht="22.5" customHeight="1">
      <c r="A217" s="146">
        <v>2024.0</v>
      </c>
      <c r="B217" s="186">
        <v>45573.0</v>
      </c>
      <c r="C217" s="161" t="s">
        <v>22</v>
      </c>
      <c r="D217" s="165" t="s">
        <v>784</v>
      </c>
      <c r="E217" s="165" t="s">
        <v>1106</v>
      </c>
      <c r="F217" s="95" t="s">
        <v>1102</v>
      </c>
      <c r="G217" s="166" t="s">
        <v>20</v>
      </c>
      <c r="H217" s="163" t="s">
        <v>896</v>
      </c>
      <c r="I217" s="167" t="s">
        <v>785</v>
      </c>
      <c r="J217" s="157"/>
    </row>
    <row r="218" ht="22.5" customHeight="1">
      <c r="A218" s="146">
        <v>2024.0</v>
      </c>
      <c r="B218" s="186">
        <v>45573.0</v>
      </c>
      <c r="C218" s="161" t="s">
        <v>22</v>
      </c>
      <c r="D218" s="165" t="s">
        <v>786</v>
      </c>
      <c r="E218" s="165" t="s">
        <v>1107</v>
      </c>
      <c r="F218" s="95" t="s">
        <v>1102</v>
      </c>
      <c r="G218" s="166" t="s">
        <v>20</v>
      </c>
      <c r="H218" s="163" t="s">
        <v>32</v>
      </c>
      <c r="I218" s="167" t="s">
        <v>787</v>
      </c>
      <c r="J218" s="157"/>
    </row>
    <row r="219" ht="22.5" customHeight="1">
      <c r="A219" s="146">
        <v>2024.0</v>
      </c>
      <c r="B219" s="186">
        <v>45573.0</v>
      </c>
      <c r="C219" s="161" t="s">
        <v>22</v>
      </c>
      <c r="D219" s="165" t="s">
        <v>788</v>
      </c>
      <c r="E219" s="165" t="s">
        <v>1108</v>
      </c>
      <c r="F219" s="95" t="s">
        <v>1102</v>
      </c>
      <c r="G219" s="166" t="s">
        <v>42</v>
      </c>
      <c r="H219" s="163" t="s">
        <v>896</v>
      </c>
      <c r="I219" s="167" t="s">
        <v>789</v>
      </c>
      <c r="J219" s="157"/>
    </row>
    <row r="220" ht="22.5" customHeight="1">
      <c r="A220" s="146">
        <v>2024.0</v>
      </c>
      <c r="B220" s="186">
        <v>45608.0</v>
      </c>
      <c r="C220" s="161" t="s">
        <v>17</v>
      </c>
      <c r="D220" s="165" t="s">
        <v>790</v>
      </c>
      <c r="E220" s="165" t="s">
        <v>1109</v>
      </c>
      <c r="F220" s="95" t="s">
        <v>1110</v>
      </c>
      <c r="G220" s="166" t="s">
        <v>42</v>
      </c>
      <c r="H220" s="163" t="s">
        <v>851</v>
      </c>
      <c r="I220" s="167" t="s">
        <v>791</v>
      </c>
      <c r="J220" s="168">
        <v>9.103421957E9</v>
      </c>
    </row>
    <row r="221" ht="22.5" customHeight="1">
      <c r="A221" s="146">
        <v>2024.0</v>
      </c>
      <c r="B221" s="186">
        <v>45608.0</v>
      </c>
      <c r="C221" s="161" t="s">
        <v>17</v>
      </c>
      <c r="D221" s="165" t="s">
        <v>792</v>
      </c>
      <c r="E221" s="165" t="s">
        <v>1111</v>
      </c>
      <c r="F221" s="95" t="s">
        <v>952</v>
      </c>
      <c r="G221" s="166" t="s">
        <v>42</v>
      </c>
      <c r="H221" s="163" t="s">
        <v>851</v>
      </c>
      <c r="I221" s="167" t="s">
        <v>794</v>
      </c>
      <c r="J221" s="168">
        <v>9.60618213E9</v>
      </c>
    </row>
    <row r="222" ht="22.5" customHeight="1">
      <c r="A222" s="146">
        <v>2024.0</v>
      </c>
      <c r="B222" s="186">
        <v>45609.0</v>
      </c>
      <c r="C222" s="161" t="s">
        <v>22</v>
      </c>
      <c r="D222" s="165" t="s">
        <v>795</v>
      </c>
      <c r="E222" s="165" t="s">
        <v>1112</v>
      </c>
      <c r="F222" s="95" t="s">
        <v>797</v>
      </c>
      <c r="G222" s="166" t="s">
        <v>20</v>
      </c>
      <c r="H222" s="163" t="s">
        <v>564</v>
      </c>
      <c r="I222" s="167" t="s">
        <v>799</v>
      </c>
      <c r="J222" s="168">
        <v>9.469600418E9</v>
      </c>
    </row>
    <row r="223" ht="22.5" customHeight="1">
      <c r="A223" s="146">
        <v>2024.0</v>
      </c>
      <c r="B223" s="186">
        <v>45610.0</v>
      </c>
      <c r="C223" s="161" t="s">
        <v>22</v>
      </c>
      <c r="D223" s="165" t="s">
        <v>800</v>
      </c>
      <c r="E223" s="165" t="s">
        <v>1113</v>
      </c>
      <c r="F223" s="95" t="s">
        <v>802</v>
      </c>
      <c r="G223" s="166" t="s">
        <v>42</v>
      </c>
      <c r="H223" s="163" t="s">
        <v>32</v>
      </c>
      <c r="I223" s="167" t="s">
        <v>805</v>
      </c>
      <c r="J223" s="185" t="s">
        <v>1114</v>
      </c>
    </row>
    <row r="224" ht="22.5" customHeight="1">
      <c r="A224" s="146">
        <v>2024.0</v>
      </c>
      <c r="B224" s="186">
        <v>45612.0</v>
      </c>
      <c r="C224" s="191" t="s">
        <v>17</v>
      </c>
      <c r="D224" s="187" t="s">
        <v>1115</v>
      </c>
      <c r="E224" s="165" t="s">
        <v>1116</v>
      </c>
      <c r="F224" s="94" t="s">
        <v>1117</v>
      </c>
      <c r="G224" s="192" t="s">
        <v>42</v>
      </c>
      <c r="H224" s="193" t="s">
        <v>32</v>
      </c>
      <c r="I224" s="194" t="s">
        <v>1118</v>
      </c>
      <c r="J224" s="195">
        <v>9.129540031E9</v>
      </c>
    </row>
    <row r="225" ht="22.5" customHeight="1">
      <c r="A225" s="146">
        <v>2024.0</v>
      </c>
      <c r="B225" s="186">
        <v>45612.0</v>
      </c>
      <c r="C225" s="191" t="s">
        <v>17</v>
      </c>
      <c r="D225" s="187" t="s">
        <v>1119</v>
      </c>
      <c r="E225" s="165" t="s">
        <v>1120</v>
      </c>
      <c r="F225" s="94" t="s">
        <v>1117</v>
      </c>
      <c r="G225" s="192" t="s">
        <v>42</v>
      </c>
      <c r="H225" s="193" t="s">
        <v>32</v>
      </c>
      <c r="I225" s="194" t="s">
        <v>1121</v>
      </c>
      <c r="J225" s="195">
        <v>9.465937456E9</v>
      </c>
    </row>
    <row r="226" ht="22.5" customHeight="1">
      <c r="A226" s="146">
        <v>2024.0</v>
      </c>
      <c r="B226" s="196">
        <v>45618.0</v>
      </c>
      <c r="C226" s="191" t="s">
        <v>17</v>
      </c>
      <c r="D226" s="187" t="s">
        <v>1122</v>
      </c>
      <c r="E226" s="165" t="s">
        <v>1123</v>
      </c>
      <c r="F226" s="94" t="s">
        <v>85</v>
      </c>
      <c r="G226" s="192" t="s">
        <v>42</v>
      </c>
      <c r="H226" s="193" t="s">
        <v>896</v>
      </c>
      <c r="I226" s="194" t="s">
        <v>1124</v>
      </c>
      <c r="J226" s="195">
        <v>9.473713647E9</v>
      </c>
    </row>
    <row r="227" ht="22.5" customHeight="1">
      <c r="A227" s="146">
        <v>2024.0</v>
      </c>
      <c r="B227" s="196">
        <v>45623.0</v>
      </c>
      <c r="C227" s="191" t="s">
        <v>17</v>
      </c>
      <c r="D227" s="187" t="s">
        <v>1125</v>
      </c>
      <c r="E227" s="165" t="s">
        <v>1126</v>
      </c>
      <c r="F227" s="150" t="s">
        <v>196</v>
      </c>
      <c r="G227" s="192" t="s">
        <v>20</v>
      </c>
      <c r="H227" s="193" t="s">
        <v>851</v>
      </c>
      <c r="I227" s="94" t="s">
        <v>1127</v>
      </c>
      <c r="J227" s="197"/>
    </row>
    <row r="228" ht="22.5" customHeight="1">
      <c r="A228" s="146">
        <v>2024.0</v>
      </c>
      <c r="B228" s="196">
        <v>45624.0</v>
      </c>
      <c r="C228" s="191" t="s">
        <v>17</v>
      </c>
      <c r="D228" s="187" t="s">
        <v>1128</v>
      </c>
      <c r="E228" s="165" t="s">
        <v>1129</v>
      </c>
      <c r="F228" s="94" t="s">
        <v>1130</v>
      </c>
      <c r="G228" s="192" t="s">
        <v>42</v>
      </c>
      <c r="H228" s="193" t="s">
        <v>564</v>
      </c>
      <c r="I228" s="194" t="s">
        <v>1131</v>
      </c>
      <c r="J228" s="195">
        <v>9.669021373E9</v>
      </c>
    </row>
    <row r="229" ht="22.5" customHeight="1">
      <c r="A229" s="146">
        <v>2024.0</v>
      </c>
      <c r="B229" s="196">
        <v>45630.0</v>
      </c>
      <c r="C229" s="191" t="s">
        <v>17</v>
      </c>
      <c r="D229" s="187" t="s">
        <v>1132</v>
      </c>
      <c r="E229" s="165" t="s">
        <v>1133</v>
      </c>
      <c r="F229" s="94" t="s">
        <v>867</v>
      </c>
      <c r="G229" s="192" t="s">
        <v>42</v>
      </c>
      <c r="H229" s="193" t="s">
        <v>896</v>
      </c>
      <c r="I229" s="194" t="s">
        <v>1134</v>
      </c>
      <c r="J229" s="195">
        <v>9.623425354E9</v>
      </c>
    </row>
    <row r="230" ht="22.5" customHeight="1">
      <c r="A230" s="146">
        <v>2024.0</v>
      </c>
      <c r="B230" s="196">
        <v>45637.0</v>
      </c>
      <c r="C230" s="191" t="s">
        <v>17</v>
      </c>
      <c r="D230" s="187" t="s">
        <v>1135</v>
      </c>
      <c r="E230" s="165" t="s">
        <v>1136</v>
      </c>
      <c r="F230" s="94" t="s">
        <v>763</v>
      </c>
      <c r="G230" s="192" t="s">
        <v>20</v>
      </c>
      <c r="H230" s="193" t="s">
        <v>851</v>
      </c>
      <c r="I230" s="194" t="s">
        <v>1137</v>
      </c>
      <c r="J230" s="195">
        <v>9.760129024E9</v>
      </c>
    </row>
    <row r="231" ht="22.5" customHeight="1">
      <c r="A231" s="146">
        <v>2024.0</v>
      </c>
      <c r="B231" s="196">
        <v>45637.0</v>
      </c>
      <c r="C231" s="191" t="s">
        <v>17</v>
      </c>
      <c r="D231" s="187" t="s">
        <v>1138</v>
      </c>
      <c r="E231" s="165" t="s">
        <v>1139</v>
      </c>
      <c r="F231" s="94" t="s">
        <v>763</v>
      </c>
      <c r="G231" s="192" t="s">
        <v>42</v>
      </c>
      <c r="H231" s="193" t="s">
        <v>32</v>
      </c>
      <c r="I231" s="194" t="s">
        <v>1140</v>
      </c>
      <c r="J231" s="195">
        <v>9.171933372E9</v>
      </c>
    </row>
    <row r="232" ht="22.5" customHeight="1">
      <c r="A232" s="146">
        <v>2024.0</v>
      </c>
      <c r="B232" s="196">
        <v>45637.0</v>
      </c>
      <c r="C232" s="191" t="s">
        <v>17</v>
      </c>
      <c r="D232" s="187" t="s">
        <v>1141</v>
      </c>
      <c r="E232" s="165" t="s">
        <v>1142</v>
      </c>
      <c r="F232" s="94" t="s">
        <v>763</v>
      </c>
      <c r="G232" s="192" t="s">
        <v>42</v>
      </c>
      <c r="H232" s="193" t="s">
        <v>32</v>
      </c>
      <c r="I232" s="194" t="s">
        <v>1143</v>
      </c>
      <c r="J232" s="195">
        <v>9.166268526E9</v>
      </c>
    </row>
    <row r="233" ht="22.5" customHeight="1">
      <c r="A233" s="146">
        <v>2024.0</v>
      </c>
      <c r="B233" s="196">
        <v>45637.0</v>
      </c>
      <c r="C233" s="191" t="s">
        <v>17</v>
      </c>
      <c r="D233" s="187" t="s">
        <v>1144</v>
      </c>
      <c r="E233" s="165" t="s">
        <v>1145</v>
      </c>
      <c r="F233" s="94" t="s">
        <v>763</v>
      </c>
      <c r="G233" s="192" t="s">
        <v>20</v>
      </c>
      <c r="H233" s="193" t="s">
        <v>32</v>
      </c>
      <c r="I233" s="194" t="s">
        <v>1146</v>
      </c>
      <c r="J233" s="195">
        <v>9.063983418E9</v>
      </c>
    </row>
    <row r="234" ht="22.5" customHeight="1">
      <c r="A234" s="146">
        <v>2024.0</v>
      </c>
      <c r="B234" s="196">
        <v>45637.0</v>
      </c>
      <c r="C234" s="191" t="s">
        <v>17</v>
      </c>
      <c r="D234" s="187" t="s">
        <v>1147</v>
      </c>
      <c r="E234" s="165" t="s">
        <v>1148</v>
      </c>
      <c r="F234" s="94" t="s">
        <v>763</v>
      </c>
      <c r="G234" s="192" t="s">
        <v>20</v>
      </c>
      <c r="H234" s="193" t="s">
        <v>32</v>
      </c>
      <c r="I234" s="194" t="s">
        <v>1149</v>
      </c>
      <c r="J234" s="195">
        <v>9.474933489E9</v>
      </c>
    </row>
    <row r="235" ht="22.5" customHeight="1">
      <c r="A235" s="146">
        <v>2024.0</v>
      </c>
      <c r="B235" s="196">
        <v>45637.0</v>
      </c>
      <c r="C235" s="191" t="s">
        <v>17</v>
      </c>
      <c r="D235" s="187" t="s">
        <v>1150</v>
      </c>
      <c r="E235" s="165" t="s">
        <v>1151</v>
      </c>
      <c r="F235" s="94" t="s">
        <v>763</v>
      </c>
      <c r="G235" s="192" t="s">
        <v>42</v>
      </c>
      <c r="H235" s="193" t="s">
        <v>32</v>
      </c>
      <c r="I235" s="194" t="s">
        <v>1152</v>
      </c>
      <c r="J235" s="195">
        <v>9.653172508E9</v>
      </c>
    </row>
    <row r="236" ht="22.5" customHeight="1">
      <c r="A236" s="146">
        <v>2024.0</v>
      </c>
      <c r="B236" s="196">
        <v>45637.0</v>
      </c>
      <c r="C236" s="191" t="s">
        <v>17</v>
      </c>
      <c r="D236" s="187" t="s">
        <v>1153</v>
      </c>
      <c r="E236" s="165" t="s">
        <v>1154</v>
      </c>
      <c r="F236" s="94" t="s">
        <v>763</v>
      </c>
      <c r="G236" s="192" t="s">
        <v>42</v>
      </c>
      <c r="H236" s="193" t="s">
        <v>851</v>
      </c>
      <c r="I236" s="194" t="s">
        <v>1155</v>
      </c>
      <c r="J236" s="195">
        <v>9.354385892E9</v>
      </c>
    </row>
    <row r="237" ht="22.5" customHeight="1">
      <c r="A237" s="198">
        <v>2025.0</v>
      </c>
      <c r="B237" s="196">
        <v>45663.0</v>
      </c>
      <c r="C237" s="191" t="s">
        <v>17</v>
      </c>
      <c r="D237" s="187" t="s">
        <v>1156</v>
      </c>
      <c r="E237" s="165" t="s">
        <v>1157</v>
      </c>
      <c r="F237" s="150" t="s">
        <v>196</v>
      </c>
      <c r="G237" s="192" t="s">
        <v>42</v>
      </c>
      <c r="H237" s="193" t="s">
        <v>851</v>
      </c>
      <c r="I237" s="194" t="s">
        <v>1158</v>
      </c>
      <c r="J237" s="195">
        <v>9.150026487E9</v>
      </c>
    </row>
    <row r="238" ht="22.5" customHeight="1">
      <c r="A238" s="198">
        <v>2025.0</v>
      </c>
      <c r="B238" s="196">
        <v>45664.0</v>
      </c>
      <c r="C238" s="191" t="s">
        <v>22</v>
      </c>
      <c r="D238" s="187" t="s">
        <v>1159</v>
      </c>
      <c r="E238" s="165" t="s">
        <v>1160</v>
      </c>
      <c r="F238" s="94" t="s">
        <v>1161</v>
      </c>
      <c r="G238" s="192" t="s">
        <v>20</v>
      </c>
      <c r="H238" s="193" t="s">
        <v>1036</v>
      </c>
      <c r="I238" s="194" t="s">
        <v>1162</v>
      </c>
      <c r="J238" s="199" t="s">
        <v>1163</v>
      </c>
    </row>
    <row r="239" ht="22.5" customHeight="1">
      <c r="A239" s="198">
        <v>2025.0</v>
      </c>
      <c r="B239" s="196">
        <v>45664.0</v>
      </c>
      <c r="C239" s="191" t="s">
        <v>22</v>
      </c>
      <c r="D239" s="187" t="s">
        <v>1164</v>
      </c>
      <c r="E239" s="165" t="s">
        <v>1165</v>
      </c>
      <c r="F239" s="94" t="s">
        <v>1161</v>
      </c>
      <c r="G239" s="192" t="s">
        <v>20</v>
      </c>
      <c r="H239" s="193" t="s">
        <v>1036</v>
      </c>
      <c r="I239" s="194" t="s">
        <v>1162</v>
      </c>
      <c r="J239" s="197"/>
    </row>
    <row r="240" ht="22.5" customHeight="1">
      <c r="A240" s="198">
        <v>2025.0</v>
      </c>
      <c r="B240" s="196">
        <v>45664.0</v>
      </c>
      <c r="C240" s="191" t="s">
        <v>22</v>
      </c>
      <c r="D240" s="187" t="s">
        <v>1166</v>
      </c>
      <c r="E240" s="165" t="s">
        <v>1167</v>
      </c>
      <c r="F240" s="94" t="s">
        <v>1161</v>
      </c>
      <c r="G240" s="192" t="s">
        <v>20</v>
      </c>
      <c r="H240" s="193" t="s">
        <v>1036</v>
      </c>
      <c r="I240" s="194" t="s">
        <v>1162</v>
      </c>
      <c r="J240" s="197"/>
    </row>
    <row r="241" ht="22.5" customHeight="1">
      <c r="A241" s="198">
        <v>2025.0</v>
      </c>
      <c r="B241" s="196">
        <v>45664.0</v>
      </c>
      <c r="C241" s="191" t="s">
        <v>22</v>
      </c>
      <c r="D241" s="187" t="s">
        <v>1168</v>
      </c>
      <c r="E241" s="165" t="s">
        <v>1169</v>
      </c>
      <c r="F241" s="94" t="s">
        <v>1161</v>
      </c>
      <c r="G241" s="192" t="s">
        <v>20</v>
      </c>
      <c r="H241" s="193" t="s">
        <v>1036</v>
      </c>
      <c r="I241" s="194" t="s">
        <v>1162</v>
      </c>
      <c r="J241" s="197"/>
    </row>
    <row r="242" ht="22.5" customHeight="1">
      <c r="A242" s="198">
        <v>2025.0</v>
      </c>
      <c r="B242" s="196">
        <v>45664.0</v>
      </c>
      <c r="C242" s="191" t="s">
        <v>22</v>
      </c>
      <c r="D242" s="187" t="s">
        <v>1170</v>
      </c>
      <c r="E242" s="165" t="s">
        <v>1171</v>
      </c>
      <c r="F242" s="94" t="s">
        <v>1161</v>
      </c>
      <c r="G242" s="192" t="s">
        <v>20</v>
      </c>
      <c r="H242" s="193" t="s">
        <v>1036</v>
      </c>
      <c r="I242" s="194" t="s">
        <v>1162</v>
      </c>
      <c r="J242" s="197"/>
    </row>
    <row r="243" ht="22.5" customHeight="1">
      <c r="A243" s="198">
        <v>2025.0</v>
      </c>
      <c r="B243" s="196">
        <v>45664.0</v>
      </c>
      <c r="C243" s="191" t="s">
        <v>22</v>
      </c>
      <c r="D243" s="187" t="s">
        <v>1172</v>
      </c>
      <c r="E243" s="165" t="s">
        <v>1173</v>
      </c>
      <c r="F243" s="94" t="s">
        <v>1161</v>
      </c>
      <c r="G243" s="192" t="s">
        <v>20</v>
      </c>
      <c r="H243" s="193" t="s">
        <v>1036</v>
      </c>
      <c r="I243" s="194" t="s">
        <v>1162</v>
      </c>
      <c r="J243" s="197"/>
    </row>
    <row r="244" ht="22.5" customHeight="1">
      <c r="A244" s="198">
        <v>2025.0</v>
      </c>
      <c r="B244" s="196">
        <v>45664.0</v>
      </c>
      <c r="C244" s="191" t="s">
        <v>22</v>
      </c>
      <c r="D244" s="187" t="s">
        <v>1174</v>
      </c>
      <c r="E244" s="165" t="s">
        <v>1175</v>
      </c>
      <c r="F244" s="94" t="s">
        <v>1161</v>
      </c>
      <c r="G244" s="192" t="s">
        <v>20</v>
      </c>
      <c r="H244" s="193" t="s">
        <v>1036</v>
      </c>
      <c r="I244" s="194" t="s">
        <v>1162</v>
      </c>
      <c r="J244" s="197"/>
    </row>
    <row r="245" ht="22.5" customHeight="1">
      <c r="A245" s="198">
        <v>2025.0</v>
      </c>
      <c r="B245" s="196">
        <v>45664.0</v>
      </c>
      <c r="C245" s="191" t="s">
        <v>17</v>
      </c>
      <c r="D245" s="187" t="s">
        <v>1176</v>
      </c>
      <c r="E245" s="165" t="s">
        <v>1177</v>
      </c>
      <c r="F245" s="94" t="s">
        <v>1178</v>
      </c>
      <c r="G245" s="192" t="s">
        <v>20</v>
      </c>
      <c r="H245" s="193" t="s">
        <v>1036</v>
      </c>
      <c r="I245" s="194" t="s">
        <v>1162</v>
      </c>
      <c r="J245" s="197"/>
    </row>
    <row r="246" ht="22.5" customHeight="1">
      <c r="A246" s="198">
        <v>2025.0</v>
      </c>
      <c r="B246" s="196">
        <v>45671.0</v>
      </c>
      <c r="C246" s="191" t="s">
        <v>17</v>
      </c>
      <c r="D246" s="187" t="s">
        <v>1179</v>
      </c>
      <c r="E246" s="165" t="s">
        <v>1180</v>
      </c>
      <c r="F246" s="94" t="s">
        <v>1181</v>
      </c>
      <c r="G246" s="192" t="s">
        <v>20</v>
      </c>
      <c r="H246" s="193" t="s">
        <v>1036</v>
      </c>
      <c r="I246" s="194" t="s">
        <v>1182</v>
      </c>
      <c r="J246" s="197"/>
    </row>
    <row r="247" ht="22.5" customHeight="1">
      <c r="A247" s="198">
        <v>2025.0</v>
      </c>
      <c r="B247" s="196">
        <v>45674.0</v>
      </c>
      <c r="C247" s="191" t="s">
        <v>17</v>
      </c>
      <c r="D247" s="187" t="s">
        <v>1183</v>
      </c>
      <c r="E247" s="165" t="s">
        <v>1184</v>
      </c>
      <c r="F247" s="94" t="s">
        <v>53</v>
      </c>
      <c r="G247" s="192" t="s">
        <v>42</v>
      </c>
      <c r="H247" s="193" t="s">
        <v>896</v>
      </c>
      <c r="I247" s="194" t="s">
        <v>1185</v>
      </c>
      <c r="J247" s="197"/>
    </row>
    <row r="248" ht="22.5" customHeight="1">
      <c r="A248" s="198">
        <v>2025.0</v>
      </c>
      <c r="B248" s="196">
        <v>45674.0</v>
      </c>
      <c r="C248" s="191" t="s">
        <v>17</v>
      </c>
      <c r="D248" s="187" t="s">
        <v>1186</v>
      </c>
      <c r="E248" s="165" t="s">
        <v>1187</v>
      </c>
      <c r="F248" s="94" t="s">
        <v>53</v>
      </c>
      <c r="G248" s="192" t="s">
        <v>42</v>
      </c>
      <c r="H248" s="193" t="s">
        <v>896</v>
      </c>
      <c r="I248" s="194" t="s">
        <v>1188</v>
      </c>
      <c r="J248" s="197"/>
    </row>
    <row r="249" ht="22.5" customHeight="1">
      <c r="A249" s="198">
        <v>2025.0</v>
      </c>
      <c r="B249" s="196">
        <v>45674.0</v>
      </c>
      <c r="C249" s="191" t="s">
        <v>17</v>
      </c>
      <c r="D249" s="187" t="s">
        <v>1189</v>
      </c>
      <c r="E249" s="165" t="s">
        <v>1190</v>
      </c>
      <c r="F249" s="94" t="s">
        <v>53</v>
      </c>
      <c r="G249" s="192" t="s">
        <v>42</v>
      </c>
      <c r="H249" s="193" t="s">
        <v>851</v>
      </c>
      <c r="I249" s="200"/>
      <c r="J249" s="197"/>
    </row>
    <row r="250" ht="22.5" customHeight="1">
      <c r="A250" s="198">
        <v>2025.0</v>
      </c>
      <c r="B250" s="196">
        <v>45677.0</v>
      </c>
      <c r="C250" s="191" t="s">
        <v>17</v>
      </c>
      <c r="D250" s="187" t="s">
        <v>1191</v>
      </c>
      <c r="E250" s="165" t="s">
        <v>1192</v>
      </c>
      <c r="F250" s="94" t="s">
        <v>53</v>
      </c>
      <c r="G250" s="192" t="s">
        <v>20</v>
      </c>
      <c r="H250" s="193" t="s">
        <v>32</v>
      </c>
      <c r="I250" s="194" t="s">
        <v>1193</v>
      </c>
      <c r="J250" s="197"/>
    </row>
    <row r="251" ht="22.5" customHeight="1">
      <c r="A251" s="198">
        <v>2025.0</v>
      </c>
      <c r="B251" s="196">
        <v>45677.0</v>
      </c>
      <c r="C251" s="191" t="s">
        <v>17</v>
      </c>
      <c r="D251" s="187" t="s">
        <v>1194</v>
      </c>
      <c r="E251" s="165" t="s">
        <v>1195</v>
      </c>
      <c r="F251" s="94" t="s">
        <v>53</v>
      </c>
      <c r="G251" s="192" t="s">
        <v>42</v>
      </c>
      <c r="H251" s="193" t="s">
        <v>896</v>
      </c>
      <c r="I251" s="194" t="s">
        <v>1196</v>
      </c>
      <c r="J251" s="197"/>
    </row>
    <row r="252" ht="22.5" customHeight="1">
      <c r="A252" s="198">
        <v>2025.0</v>
      </c>
      <c r="B252" s="196">
        <v>45677.0</v>
      </c>
      <c r="C252" s="191" t="s">
        <v>17</v>
      </c>
      <c r="D252" s="187" t="s">
        <v>1197</v>
      </c>
      <c r="E252" s="165" t="s">
        <v>1198</v>
      </c>
      <c r="F252" s="94" t="s">
        <v>53</v>
      </c>
      <c r="G252" s="192" t="s">
        <v>42</v>
      </c>
      <c r="H252" s="193" t="s">
        <v>896</v>
      </c>
      <c r="I252" s="194" t="s">
        <v>1199</v>
      </c>
      <c r="J252" s="197"/>
    </row>
    <row r="253" ht="22.5" customHeight="1">
      <c r="A253" s="198">
        <v>2025.0</v>
      </c>
      <c r="B253" s="196">
        <v>45677.0</v>
      </c>
      <c r="C253" s="191" t="s">
        <v>17</v>
      </c>
      <c r="D253" s="187" t="s">
        <v>1200</v>
      </c>
      <c r="E253" s="165" t="s">
        <v>1201</v>
      </c>
      <c r="F253" s="94" t="s">
        <v>53</v>
      </c>
      <c r="G253" s="192" t="s">
        <v>20</v>
      </c>
      <c r="H253" s="193" t="s">
        <v>896</v>
      </c>
      <c r="I253" s="194" t="s">
        <v>1202</v>
      </c>
      <c r="J253" s="197"/>
    </row>
    <row r="254" ht="22.5" customHeight="1">
      <c r="A254" s="198">
        <v>2025.0</v>
      </c>
      <c r="B254" s="196">
        <v>45684.0</v>
      </c>
      <c r="C254" s="191" t="s">
        <v>17</v>
      </c>
      <c r="D254" s="187" t="s">
        <v>1203</v>
      </c>
      <c r="E254" s="165" t="s">
        <v>1204</v>
      </c>
      <c r="F254" s="94" t="s">
        <v>53</v>
      </c>
      <c r="G254" s="192" t="s">
        <v>20</v>
      </c>
      <c r="H254" s="193" t="s">
        <v>564</v>
      </c>
      <c r="I254" s="194" t="s">
        <v>1205</v>
      </c>
      <c r="J254" s="195">
        <v>9.46093212E9</v>
      </c>
    </row>
    <row r="255" ht="22.5" customHeight="1">
      <c r="A255" s="198">
        <v>2025.0</v>
      </c>
      <c r="B255" s="196">
        <v>45686.0</v>
      </c>
      <c r="C255" s="191" t="s">
        <v>17</v>
      </c>
      <c r="D255" s="187" t="s">
        <v>1206</v>
      </c>
      <c r="E255" s="165" t="s">
        <v>1207</v>
      </c>
      <c r="F255" s="94" t="s">
        <v>1208</v>
      </c>
      <c r="G255" s="192" t="s">
        <v>20</v>
      </c>
      <c r="H255" s="193" t="s">
        <v>896</v>
      </c>
      <c r="I255" s="194" t="s">
        <v>1209</v>
      </c>
      <c r="J255" s="195">
        <v>9.293537673E9</v>
      </c>
    </row>
    <row r="256" ht="22.5" customHeight="1">
      <c r="A256" s="198">
        <v>2025.0</v>
      </c>
      <c r="B256" s="196">
        <v>45698.0</v>
      </c>
      <c r="C256" s="191" t="s">
        <v>17</v>
      </c>
      <c r="D256" s="187" t="s">
        <v>1210</v>
      </c>
      <c r="E256" s="165" t="s">
        <v>1211</v>
      </c>
      <c r="F256" s="94" t="s">
        <v>1212</v>
      </c>
      <c r="G256" s="192" t="s">
        <v>42</v>
      </c>
      <c r="H256" s="193" t="s">
        <v>851</v>
      </c>
      <c r="I256" s="194" t="s">
        <v>1213</v>
      </c>
      <c r="J256" s="197"/>
    </row>
    <row r="257" ht="22.5" customHeight="1">
      <c r="A257" s="198">
        <v>2025.0</v>
      </c>
      <c r="B257" s="196">
        <v>45700.0</v>
      </c>
      <c r="C257" s="191" t="s">
        <v>17</v>
      </c>
      <c r="D257" s="187" t="s">
        <v>1214</v>
      </c>
      <c r="E257" s="165" t="s">
        <v>1215</v>
      </c>
      <c r="F257" s="94" t="s">
        <v>1076</v>
      </c>
      <c r="G257" s="192" t="s">
        <v>20</v>
      </c>
      <c r="H257" s="193" t="s">
        <v>896</v>
      </c>
      <c r="I257" s="194" t="s">
        <v>1216</v>
      </c>
      <c r="J257" s="195">
        <v>9.567367736E9</v>
      </c>
    </row>
    <row r="258" ht="22.5" customHeight="1">
      <c r="A258" s="198">
        <v>2025.0</v>
      </c>
      <c r="B258" s="196">
        <v>45707.0</v>
      </c>
      <c r="C258" s="191" t="s">
        <v>17</v>
      </c>
      <c r="D258" s="187" t="s">
        <v>1217</v>
      </c>
      <c r="E258" s="165" t="s">
        <v>1218</v>
      </c>
      <c r="F258" s="94" t="s">
        <v>53</v>
      </c>
      <c r="G258" s="192" t="s">
        <v>20</v>
      </c>
      <c r="H258" s="193" t="s">
        <v>564</v>
      </c>
      <c r="I258" s="201" t="s">
        <v>1219</v>
      </c>
      <c r="J258" s="197"/>
    </row>
    <row r="259" ht="22.5" customHeight="1">
      <c r="A259" s="198">
        <v>2025.0</v>
      </c>
      <c r="B259" s="196">
        <v>45712.0</v>
      </c>
      <c r="C259" s="191" t="s">
        <v>17</v>
      </c>
      <c r="D259" s="187" t="s">
        <v>1220</v>
      </c>
      <c r="E259" s="202" t="s">
        <v>1221</v>
      </c>
      <c r="F259" s="150" t="s">
        <v>196</v>
      </c>
      <c r="G259" s="192" t="s">
        <v>42</v>
      </c>
      <c r="H259" s="163" t="s">
        <v>851</v>
      </c>
      <c r="I259" s="194" t="s">
        <v>1222</v>
      </c>
      <c r="J259" s="195">
        <v>9.923155069E9</v>
      </c>
    </row>
    <row r="260" ht="22.5" customHeight="1">
      <c r="A260" s="198">
        <v>2025.0</v>
      </c>
      <c r="B260" s="196">
        <v>45716.0</v>
      </c>
      <c r="C260" s="191" t="s">
        <v>17</v>
      </c>
      <c r="D260" s="187" t="s">
        <v>1223</v>
      </c>
      <c r="E260" s="202" t="s">
        <v>1224</v>
      </c>
      <c r="F260" s="94" t="s">
        <v>1225</v>
      </c>
      <c r="G260" s="192" t="s">
        <v>42</v>
      </c>
      <c r="H260" s="193" t="s">
        <v>32</v>
      </c>
      <c r="I260" s="194" t="s">
        <v>1226</v>
      </c>
      <c r="J260" s="195">
        <v>9.760158715E9</v>
      </c>
    </row>
    <row r="261" ht="22.5" customHeight="1">
      <c r="A261" s="198">
        <v>2025.0</v>
      </c>
      <c r="B261" s="196">
        <v>45719.0</v>
      </c>
      <c r="C261" s="191" t="s">
        <v>17</v>
      </c>
      <c r="D261" s="187" t="s">
        <v>1227</v>
      </c>
      <c r="E261" s="202" t="s">
        <v>1228</v>
      </c>
      <c r="F261" s="94" t="s">
        <v>1225</v>
      </c>
      <c r="G261" s="192" t="s">
        <v>20</v>
      </c>
      <c r="H261" s="193" t="s">
        <v>32</v>
      </c>
      <c r="I261" s="194" t="s">
        <v>1229</v>
      </c>
      <c r="J261" s="195">
        <v>9.159515542E9</v>
      </c>
    </row>
    <row r="262" ht="22.5" customHeight="1">
      <c r="A262" s="198">
        <v>2025.0</v>
      </c>
      <c r="B262" s="196">
        <v>45719.0</v>
      </c>
      <c r="C262" s="191" t="s">
        <v>17</v>
      </c>
      <c r="D262" s="187" t="s">
        <v>1230</v>
      </c>
      <c r="E262" s="202" t="s">
        <v>1231</v>
      </c>
      <c r="F262" s="94" t="s">
        <v>1225</v>
      </c>
      <c r="G262" s="192" t="s">
        <v>42</v>
      </c>
      <c r="H262" s="193" t="s">
        <v>32</v>
      </c>
      <c r="I262" s="194" t="s">
        <v>1232</v>
      </c>
      <c r="J262" s="195">
        <v>9.98078742E9</v>
      </c>
    </row>
    <row r="263" ht="22.5" customHeight="1">
      <c r="A263" s="198">
        <v>2025.0</v>
      </c>
      <c r="B263" s="196">
        <v>45719.0</v>
      </c>
      <c r="C263" s="191" t="s">
        <v>17</v>
      </c>
      <c r="D263" s="187" t="s">
        <v>1233</v>
      </c>
      <c r="E263" s="202" t="s">
        <v>1234</v>
      </c>
      <c r="F263" s="94" t="s">
        <v>1225</v>
      </c>
      <c r="G263" s="192" t="s">
        <v>42</v>
      </c>
      <c r="H263" s="193" t="s">
        <v>851</v>
      </c>
      <c r="I263" s="194" t="s">
        <v>1229</v>
      </c>
      <c r="J263" s="195">
        <v>9.688950005E9</v>
      </c>
    </row>
    <row r="264" ht="22.5" customHeight="1">
      <c r="A264" s="198">
        <v>2025.0</v>
      </c>
      <c r="B264" s="196">
        <v>45735.0</v>
      </c>
      <c r="C264" s="191" t="s">
        <v>17</v>
      </c>
      <c r="D264" s="187" t="s">
        <v>1235</v>
      </c>
      <c r="E264" s="202" t="s">
        <v>1236</v>
      </c>
      <c r="F264" s="94" t="s">
        <v>1237</v>
      </c>
      <c r="G264" s="192" t="s">
        <v>42</v>
      </c>
      <c r="H264" s="193" t="s">
        <v>896</v>
      </c>
      <c r="I264" s="194" t="s">
        <v>1238</v>
      </c>
      <c r="J264" s="195">
        <v>9.685017593E9</v>
      </c>
    </row>
    <row r="265" ht="22.5" customHeight="1">
      <c r="A265" s="198">
        <v>2025.0</v>
      </c>
      <c r="B265" s="196">
        <v>45740.0</v>
      </c>
      <c r="C265" s="191" t="s">
        <v>17</v>
      </c>
      <c r="D265" s="187" t="s">
        <v>1239</v>
      </c>
      <c r="E265" s="202" t="s">
        <v>1240</v>
      </c>
      <c r="F265" s="94" t="s">
        <v>1076</v>
      </c>
      <c r="G265" s="192" t="s">
        <v>20</v>
      </c>
      <c r="H265" s="193" t="s">
        <v>932</v>
      </c>
      <c r="I265" s="194" t="s">
        <v>1241</v>
      </c>
      <c r="J265" s="195">
        <v>9.295454288E9</v>
      </c>
    </row>
    <row r="266" ht="22.5" customHeight="1">
      <c r="A266" s="198">
        <v>2025.0</v>
      </c>
      <c r="B266" s="196">
        <v>45740.0</v>
      </c>
      <c r="C266" s="191" t="s">
        <v>17</v>
      </c>
      <c r="D266" s="187" t="s">
        <v>1242</v>
      </c>
      <c r="E266" s="202" t="s">
        <v>1243</v>
      </c>
      <c r="F266" s="94" t="s">
        <v>1212</v>
      </c>
      <c r="G266" s="192" t="s">
        <v>20</v>
      </c>
      <c r="H266" s="193" t="s">
        <v>851</v>
      </c>
      <c r="I266" s="194" t="s">
        <v>1244</v>
      </c>
      <c r="J266" s="199" t="s">
        <v>26</v>
      </c>
    </row>
    <row r="267" ht="22.5" customHeight="1">
      <c r="A267" s="198">
        <v>2025.0</v>
      </c>
      <c r="B267" s="196">
        <v>45740.0</v>
      </c>
      <c r="C267" s="191" t="s">
        <v>17</v>
      </c>
      <c r="D267" s="187" t="s">
        <v>1245</v>
      </c>
      <c r="E267" s="202" t="s">
        <v>1246</v>
      </c>
      <c r="F267" s="94" t="s">
        <v>1212</v>
      </c>
      <c r="G267" s="192" t="s">
        <v>42</v>
      </c>
      <c r="H267" s="193" t="s">
        <v>851</v>
      </c>
      <c r="I267" s="194" t="s">
        <v>1247</v>
      </c>
      <c r="J267" s="199" t="s">
        <v>26</v>
      </c>
    </row>
    <row r="268" ht="22.5" customHeight="1">
      <c r="A268" s="198">
        <v>2025.0</v>
      </c>
      <c r="B268" s="196">
        <v>45740.0</v>
      </c>
      <c r="C268" s="191" t="s">
        <v>17</v>
      </c>
      <c r="D268" s="187" t="s">
        <v>1248</v>
      </c>
      <c r="E268" s="202" t="s">
        <v>1249</v>
      </c>
      <c r="F268" s="94" t="s">
        <v>1212</v>
      </c>
      <c r="G268" s="192" t="s">
        <v>42</v>
      </c>
      <c r="H268" s="193" t="s">
        <v>851</v>
      </c>
      <c r="I268" s="194" t="s">
        <v>1250</v>
      </c>
      <c r="J268" s="199" t="s">
        <v>1251</v>
      </c>
    </row>
    <row r="269" ht="22.5" customHeight="1">
      <c r="A269" s="198">
        <v>2025.0</v>
      </c>
      <c r="B269" s="196">
        <v>45740.0</v>
      </c>
      <c r="C269" s="191" t="s">
        <v>17</v>
      </c>
      <c r="D269" s="187" t="s">
        <v>1252</v>
      </c>
      <c r="E269" s="202" t="s">
        <v>1253</v>
      </c>
      <c r="F269" s="94" t="s">
        <v>1212</v>
      </c>
      <c r="G269" s="192" t="s">
        <v>20</v>
      </c>
      <c r="H269" s="193" t="s">
        <v>851</v>
      </c>
      <c r="I269" s="194" t="s">
        <v>1254</v>
      </c>
      <c r="J269" s="199" t="s">
        <v>26</v>
      </c>
    </row>
    <row r="270" ht="22.5" customHeight="1">
      <c r="A270" s="198">
        <v>2025.0</v>
      </c>
      <c r="B270" s="196">
        <v>45744.0</v>
      </c>
      <c r="C270" s="191" t="s">
        <v>17</v>
      </c>
      <c r="D270" s="187" t="s">
        <v>1255</v>
      </c>
      <c r="E270" s="202" t="s">
        <v>1256</v>
      </c>
      <c r="F270" s="94" t="s">
        <v>1257</v>
      </c>
      <c r="G270" s="192" t="s">
        <v>20</v>
      </c>
      <c r="H270" s="193" t="s">
        <v>32</v>
      </c>
      <c r="I270" s="194" t="s">
        <v>1258</v>
      </c>
      <c r="J270" s="199" t="s">
        <v>26</v>
      </c>
    </row>
    <row r="271" ht="22.5" customHeight="1">
      <c r="A271" s="198">
        <v>2025.0</v>
      </c>
      <c r="B271" s="196">
        <v>45744.0</v>
      </c>
      <c r="C271" s="191" t="s">
        <v>17</v>
      </c>
      <c r="D271" s="187" t="s">
        <v>1259</v>
      </c>
      <c r="E271" s="202" t="s">
        <v>1260</v>
      </c>
      <c r="F271" s="94" t="s">
        <v>972</v>
      </c>
      <c r="G271" s="192" t="s">
        <v>20</v>
      </c>
      <c r="H271" s="193" t="s">
        <v>32</v>
      </c>
      <c r="I271" s="194" t="s">
        <v>1261</v>
      </c>
      <c r="J271" s="199" t="s">
        <v>26</v>
      </c>
    </row>
    <row r="272" ht="22.5" customHeight="1">
      <c r="A272" s="198">
        <v>2025.0</v>
      </c>
      <c r="B272" s="196">
        <v>45748.0</v>
      </c>
      <c r="C272" s="191" t="s">
        <v>17</v>
      </c>
      <c r="D272" s="187" t="s">
        <v>1262</v>
      </c>
      <c r="E272" s="202" t="s">
        <v>1263</v>
      </c>
      <c r="F272" s="94" t="s">
        <v>1212</v>
      </c>
      <c r="G272" s="192" t="s">
        <v>20</v>
      </c>
      <c r="H272" s="193" t="s">
        <v>851</v>
      </c>
      <c r="I272" s="194" t="s">
        <v>1264</v>
      </c>
      <c r="J272" s="195">
        <v>9.162349023E9</v>
      </c>
    </row>
    <row r="273" ht="22.5" customHeight="1">
      <c r="A273" s="203">
        <v>2025.0</v>
      </c>
      <c r="B273" s="196">
        <v>45742.0</v>
      </c>
      <c r="C273" s="191" t="s">
        <v>17</v>
      </c>
      <c r="D273" s="187" t="s">
        <v>1265</v>
      </c>
      <c r="E273" s="202" t="s">
        <v>1266</v>
      </c>
      <c r="F273" s="94" t="s">
        <v>672</v>
      </c>
      <c r="G273" s="192" t="s">
        <v>42</v>
      </c>
      <c r="H273" s="193" t="s">
        <v>32</v>
      </c>
      <c r="I273" s="194" t="s">
        <v>1267</v>
      </c>
      <c r="J273" s="195">
        <v>9.979308656E9</v>
      </c>
    </row>
    <row r="274" ht="22.5" customHeight="1">
      <c r="A274" s="198">
        <v>2025.0</v>
      </c>
      <c r="B274" s="196">
        <v>45750.0</v>
      </c>
      <c r="C274" s="191" t="s">
        <v>17</v>
      </c>
      <c r="D274" s="187" t="s">
        <v>1268</v>
      </c>
      <c r="E274" s="202" t="s">
        <v>1269</v>
      </c>
      <c r="F274" s="94" t="s">
        <v>1270</v>
      </c>
      <c r="G274" s="192" t="s">
        <v>42</v>
      </c>
      <c r="H274" s="193" t="s">
        <v>851</v>
      </c>
      <c r="I274" s="194" t="s">
        <v>1271</v>
      </c>
      <c r="J274" s="195">
        <v>9.979927202E9</v>
      </c>
    </row>
    <row r="275" ht="22.5" customHeight="1">
      <c r="A275" s="198">
        <v>2025.0</v>
      </c>
      <c r="B275" s="196">
        <v>45750.0</v>
      </c>
      <c r="C275" s="191" t="s">
        <v>17</v>
      </c>
      <c r="D275" s="187" t="s">
        <v>1272</v>
      </c>
      <c r="E275" s="202" t="s">
        <v>1273</v>
      </c>
      <c r="F275" s="94" t="s">
        <v>1274</v>
      </c>
      <c r="G275" s="192" t="s">
        <v>20</v>
      </c>
      <c r="H275" s="193" t="s">
        <v>32</v>
      </c>
      <c r="I275" s="194" t="s">
        <v>1275</v>
      </c>
      <c r="J275" s="199" t="s">
        <v>26</v>
      </c>
    </row>
    <row r="276" ht="22.5" customHeight="1">
      <c r="A276" s="198">
        <v>2025.0</v>
      </c>
      <c r="B276" s="196">
        <v>45750.0</v>
      </c>
      <c r="C276" s="191" t="s">
        <v>17</v>
      </c>
      <c r="D276" s="187" t="s">
        <v>1276</v>
      </c>
      <c r="E276" s="202" t="s">
        <v>1277</v>
      </c>
      <c r="F276" s="94" t="s">
        <v>1274</v>
      </c>
      <c r="G276" s="192" t="s">
        <v>42</v>
      </c>
      <c r="H276" s="193" t="s">
        <v>32</v>
      </c>
      <c r="I276" s="194" t="s">
        <v>26</v>
      </c>
      <c r="J276" s="199" t="s">
        <v>26</v>
      </c>
    </row>
    <row r="277" ht="22.5" customHeight="1">
      <c r="A277" s="198">
        <v>2025.0</v>
      </c>
      <c r="B277" s="196">
        <v>45762.0</v>
      </c>
      <c r="C277" s="191" t="s">
        <v>17</v>
      </c>
      <c r="D277" s="187" t="s">
        <v>1278</v>
      </c>
      <c r="E277" s="202" t="s">
        <v>1279</v>
      </c>
      <c r="F277" s="94" t="s">
        <v>1270</v>
      </c>
      <c r="G277" s="192" t="s">
        <v>20</v>
      </c>
      <c r="H277" s="193" t="s">
        <v>851</v>
      </c>
      <c r="I277" s="194" t="s">
        <v>1280</v>
      </c>
      <c r="J277" s="195">
        <v>9.109980741E9</v>
      </c>
    </row>
    <row r="278" ht="22.5" customHeight="1">
      <c r="A278" s="198">
        <v>2025.0</v>
      </c>
      <c r="B278" s="196">
        <v>45769.0</v>
      </c>
      <c r="C278" s="191" t="s">
        <v>17</v>
      </c>
      <c r="D278" s="187" t="s">
        <v>1281</v>
      </c>
      <c r="E278" s="202" t="s">
        <v>1282</v>
      </c>
      <c r="F278" s="95" t="s">
        <v>1283</v>
      </c>
      <c r="G278" s="166" t="s">
        <v>20</v>
      </c>
      <c r="H278" s="204" t="s">
        <v>564</v>
      </c>
      <c r="I278" s="167" t="s">
        <v>1284</v>
      </c>
      <c r="J278" s="205">
        <v>9.171240058E9</v>
      </c>
    </row>
    <row r="279" ht="22.5" customHeight="1">
      <c r="A279" s="198">
        <v>2025.0</v>
      </c>
      <c r="B279" s="196">
        <v>45770.0</v>
      </c>
      <c r="C279" s="161" t="s">
        <v>17</v>
      </c>
      <c r="D279" s="187" t="s">
        <v>1285</v>
      </c>
      <c r="E279" s="202" t="s">
        <v>1286</v>
      </c>
      <c r="F279" s="94" t="s">
        <v>1287</v>
      </c>
      <c r="G279" s="192" t="s">
        <v>20</v>
      </c>
      <c r="H279" s="193" t="s">
        <v>896</v>
      </c>
      <c r="I279" s="194" t="s">
        <v>1288</v>
      </c>
      <c r="J279" s="195">
        <v>9.150994671E9</v>
      </c>
    </row>
    <row r="280" ht="22.5" customHeight="1">
      <c r="A280" s="198">
        <v>2025.0</v>
      </c>
      <c r="B280" s="196">
        <v>45771.0</v>
      </c>
      <c r="C280" s="191" t="s">
        <v>17</v>
      </c>
      <c r="D280" s="187" t="s">
        <v>1289</v>
      </c>
      <c r="E280" s="202" t="s">
        <v>1290</v>
      </c>
      <c r="F280" s="94" t="s">
        <v>1291</v>
      </c>
      <c r="G280" s="192" t="s">
        <v>20</v>
      </c>
      <c r="H280" s="193" t="s">
        <v>564</v>
      </c>
      <c r="I280" s="194" t="s">
        <v>1292</v>
      </c>
      <c r="J280" s="195">
        <v>9.761807728E9</v>
      </c>
    </row>
    <row r="281" ht="22.5" customHeight="1">
      <c r="A281" s="198">
        <v>2025.0</v>
      </c>
      <c r="B281" s="196">
        <v>45772.0</v>
      </c>
      <c r="C281" s="191" t="s">
        <v>17</v>
      </c>
      <c r="D281" s="187" t="s">
        <v>1293</v>
      </c>
      <c r="E281" s="202" t="s">
        <v>1294</v>
      </c>
      <c r="F281" s="94" t="s">
        <v>1270</v>
      </c>
      <c r="G281" s="192" t="s">
        <v>20</v>
      </c>
      <c r="H281" s="193" t="s">
        <v>851</v>
      </c>
      <c r="I281" s="194" t="s">
        <v>1295</v>
      </c>
      <c r="J281" s="195">
        <v>9.100603801E9</v>
      </c>
    </row>
    <row r="282" ht="22.5" customHeight="1">
      <c r="A282" s="206">
        <v>2025.0</v>
      </c>
      <c r="B282" s="196">
        <v>45796.0</v>
      </c>
      <c r="C282" s="191" t="s">
        <v>17</v>
      </c>
      <c r="D282" s="187" t="s">
        <v>1296</v>
      </c>
      <c r="E282" s="202" t="s">
        <v>1297</v>
      </c>
      <c r="F282" s="94" t="s">
        <v>1298</v>
      </c>
      <c r="G282" s="192" t="s">
        <v>42</v>
      </c>
      <c r="H282" s="193" t="s">
        <v>896</v>
      </c>
      <c r="I282" s="194" t="s">
        <v>1299</v>
      </c>
      <c r="J282" s="197"/>
    </row>
    <row r="283" ht="22.5" customHeight="1">
      <c r="A283" s="198">
        <v>2025.0</v>
      </c>
      <c r="B283" s="196">
        <v>45797.0</v>
      </c>
      <c r="C283" s="191" t="s">
        <v>17</v>
      </c>
      <c r="D283" s="187" t="s">
        <v>1300</v>
      </c>
      <c r="E283" s="202" t="s">
        <v>1301</v>
      </c>
      <c r="F283" s="94" t="s">
        <v>1302</v>
      </c>
      <c r="G283" s="192" t="s">
        <v>20</v>
      </c>
      <c r="H283" s="193" t="s">
        <v>32</v>
      </c>
      <c r="I283" s="194" t="s">
        <v>1303</v>
      </c>
      <c r="J283" s="195">
        <v>9.945313495E9</v>
      </c>
    </row>
    <row r="284" ht="22.5" customHeight="1">
      <c r="A284" s="198">
        <v>2025.0</v>
      </c>
      <c r="B284" s="196">
        <v>45805.0</v>
      </c>
      <c r="C284" s="191" t="s">
        <v>17</v>
      </c>
      <c r="D284" s="187" t="s">
        <v>1304</v>
      </c>
      <c r="E284" s="202" t="s">
        <v>1305</v>
      </c>
      <c r="F284" s="94" t="s">
        <v>1306</v>
      </c>
      <c r="G284" s="192" t="s">
        <v>20</v>
      </c>
      <c r="H284" s="193" t="s">
        <v>851</v>
      </c>
      <c r="I284" s="194" t="s">
        <v>1307</v>
      </c>
      <c r="J284" s="195">
        <v>9.269592716E9</v>
      </c>
    </row>
    <row r="285" ht="22.5" customHeight="1">
      <c r="A285" s="198">
        <v>2025.0</v>
      </c>
      <c r="B285" s="196">
        <v>45805.0</v>
      </c>
      <c r="C285" s="191" t="s">
        <v>17</v>
      </c>
      <c r="D285" s="187" t="s">
        <v>1308</v>
      </c>
      <c r="E285" s="202" t="s">
        <v>1309</v>
      </c>
      <c r="F285" s="94" t="s">
        <v>1306</v>
      </c>
      <c r="G285" s="192" t="s">
        <v>20</v>
      </c>
      <c r="H285" s="193" t="s">
        <v>851</v>
      </c>
      <c r="I285" s="194" t="s">
        <v>1310</v>
      </c>
      <c r="J285" s="195">
        <v>9.686906879E9</v>
      </c>
    </row>
    <row r="286" ht="22.5" customHeight="1">
      <c r="A286" s="198">
        <v>2025.0</v>
      </c>
      <c r="B286" s="196">
        <v>45805.0</v>
      </c>
      <c r="C286" s="191" t="s">
        <v>17</v>
      </c>
      <c r="D286" s="187" t="s">
        <v>1311</v>
      </c>
      <c r="E286" s="202" t="s">
        <v>1312</v>
      </c>
      <c r="F286" s="94" t="s">
        <v>1313</v>
      </c>
      <c r="G286" s="192" t="s">
        <v>20</v>
      </c>
      <c r="H286" s="193" t="s">
        <v>32</v>
      </c>
      <c r="I286" s="194" t="s">
        <v>1314</v>
      </c>
      <c r="J286" s="195">
        <v>9.274547767E9</v>
      </c>
    </row>
    <row r="287" ht="22.5" customHeight="1">
      <c r="A287" s="198">
        <v>2025.0</v>
      </c>
      <c r="B287" s="196">
        <v>45807.0</v>
      </c>
      <c r="C287" s="191" t="s">
        <v>17</v>
      </c>
      <c r="D287" s="187" t="s">
        <v>1315</v>
      </c>
      <c r="E287" s="202" t="s">
        <v>1316</v>
      </c>
      <c r="F287" s="207" t="s">
        <v>881</v>
      </c>
      <c r="G287" s="192" t="s">
        <v>20</v>
      </c>
      <c r="H287" s="193" t="s">
        <v>896</v>
      </c>
      <c r="I287" s="194" t="s">
        <v>1317</v>
      </c>
      <c r="J287" s="197"/>
    </row>
    <row r="288" ht="22.5" customHeight="1">
      <c r="A288" s="198">
        <v>2025.0</v>
      </c>
      <c r="B288" s="196">
        <v>45807.0</v>
      </c>
      <c r="C288" s="191" t="s">
        <v>17</v>
      </c>
      <c r="D288" s="187" t="s">
        <v>1318</v>
      </c>
      <c r="E288" s="202" t="s">
        <v>1319</v>
      </c>
      <c r="F288" s="94" t="s">
        <v>881</v>
      </c>
      <c r="G288" s="192" t="s">
        <v>42</v>
      </c>
      <c r="H288" s="193" t="s">
        <v>896</v>
      </c>
      <c r="I288" s="194" t="s">
        <v>1320</v>
      </c>
      <c r="J288" s="197"/>
    </row>
    <row r="289" ht="22.5" customHeight="1">
      <c r="A289" s="198">
        <v>2025.0</v>
      </c>
      <c r="B289" s="196">
        <v>45807.0</v>
      </c>
      <c r="C289" s="191" t="s">
        <v>17</v>
      </c>
      <c r="D289" s="187" t="s">
        <v>1321</v>
      </c>
      <c r="E289" s="202" t="s">
        <v>1322</v>
      </c>
      <c r="F289" s="94" t="s">
        <v>1181</v>
      </c>
      <c r="G289" s="192" t="s">
        <v>42</v>
      </c>
      <c r="H289" s="193" t="s">
        <v>851</v>
      </c>
      <c r="I289" s="200"/>
      <c r="J289" s="197"/>
    </row>
    <row r="290" ht="22.5" customHeight="1">
      <c r="A290" s="198">
        <v>2025.0</v>
      </c>
      <c r="B290" s="196">
        <v>45827.0</v>
      </c>
      <c r="C290" s="191" t="s">
        <v>17</v>
      </c>
      <c r="D290" s="187" t="s">
        <v>1323</v>
      </c>
      <c r="E290" s="202" t="s">
        <v>1324</v>
      </c>
      <c r="F290" s="94" t="s">
        <v>1093</v>
      </c>
      <c r="G290" s="192" t="s">
        <v>20</v>
      </c>
      <c r="H290" s="193" t="s">
        <v>851</v>
      </c>
      <c r="I290" s="194" t="s">
        <v>1325</v>
      </c>
      <c r="J290" s="195">
        <v>9.563463529E9</v>
      </c>
    </row>
    <row r="291" ht="22.5" customHeight="1">
      <c r="A291" s="198">
        <v>2025.0</v>
      </c>
      <c r="B291" s="196">
        <v>45827.0</v>
      </c>
      <c r="C291" s="191" t="s">
        <v>17</v>
      </c>
      <c r="D291" s="187" t="s">
        <v>1326</v>
      </c>
      <c r="E291" s="202" t="s">
        <v>1327</v>
      </c>
      <c r="F291" s="94" t="s">
        <v>1093</v>
      </c>
      <c r="G291" s="192" t="s">
        <v>20</v>
      </c>
      <c r="H291" s="193" t="s">
        <v>1328</v>
      </c>
      <c r="I291" s="194" t="s">
        <v>1329</v>
      </c>
      <c r="J291" s="195">
        <v>9.999230723E9</v>
      </c>
    </row>
    <row r="292" ht="22.5" customHeight="1">
      <c r="A292" s="198">
        <v>2025.0</v>
      </c>
      <c r="B292" s="196">
        <v>45828.0</v>
      </c>
      <c r="C292" s="191" t="s">
        <v>17</v>
      </c>
      <c r="D292" s="187" t="s">
        <v>1330</v>
      </c>
      <c r="E292" s="202" t="s">
        <v>1331</v>
      </c>
      <c r="F292" s="94" t="s">
        <v>1093</v>
      </c>
      <c r="G292" s="192" t="s">
        <v>20</v>
      </c>
      <c r="H292" s="193" t="s">
        <v>932</v>
      </c>
      <c r="I292" s="194" t="s">
        <v>1332</v>
      </c>
      <c r="J292" s="195">
        <v>9.269582815E9</v>
      </c>
    </row>
    <row r="293" ht="22.5" customHeight="1">
      <c r="A293" s="198">
        <v>2025.0</v>
      </c>
      <c r="B293" s="196">
        <v>45848.0</v>
      </c>
      <c r="C293" s="191" t="s">
        <v>17</v>
      </c>
      <c r="D293" s="187" t="s">
        <v>1333</v>
      </c>
      <c r="E293" s="202" t="s">
        <v>1334</v>
      </c>
      <c r="F293" s="94" t="s">
        <v>1093</v>
      </c>
      <c r="G293" s="192" t="s">
        <v>20</v>
      </c>
      <c r="H293" s="193" t="s">
        <v>851</v>
      </c>
      <c r="I293" s="194" t="s">
        <v>1335</v>
      </c>
      <c r="J293" s="195">
        <v>9.07517941E9</v>
      </c>
    </row>
    <row r="294" ht="22.5" customHeight="1">
      <c r="A294" s="198">
        <v>2025.0</v>
      </c>
      <c r="B294" s="196">
        <v>45867.0</v>
      </c>
      <c r="C294" s="191" t="s">
        <v>17</v>
      </c>
      <c r="D294" s="187" t="s">
        <v>1336</v>
      </c>
      <c r="E294" s="202" t="s">
        <v>1337</v>
      </c>
      <c r="F294" s="94" t="s">
        <v>1093</v>
      </c>
      <c r="G294" s="192" t="s">
        <v>20</v>
      </c>
      <c r="H294" s="193" t="s">
        <v>923</v>
      </c>
      <c r="I294" s="200"/>
      <c r="J294" s="197"/>
    </row>
    <row r="295" ht="22.5" customHeight="1">
      <c r="A295" s="198">
        <v>2025.0</v>
      </c>
      <c r="B295" s="196">
        <v>45888.0</v>
      </c>
      <c r="C295" s="191" t="s">
        <v>17</v>
      </c>
      <c r="D295" s="187" t="s">
        <v>1338</v>
      </c>
      <c r="E295" s="202" t="s">
        <v>1339</v>
      </c>
      <c r="F295" s="94" t="s">
        <v>1340</v>
      </c>
      <c r="G295" s="208"/>
      <c r="H295" s="209"/>
      <c r="I295" s="200"/>
      <c r="J295" s="197"/>
    </row>
    <row r="296" ht="22.5" customHeight="1">
      <c r="A296" s="198">
        <v>2025.0</v>
      </c>
      <c r="B296" s="196">
        <v>45891.0</v>
      </c>
      <c r="C296" s="191" t="s">
        <v>17</v>
      </c>
      <c r="D296" s="187" t="s">
        <v>1341</v>
      </c>
      <c r="E296" s="202" t="s">
        <v>1342</v>
      </c>
      <c r="F296" s="94" t="s">
        <v>1343</v>
      </c>
      <c r="G296" s="192" t="s">
        <v>20</v>
      </c>
      <c r="H296" s="193" t="s">
        <v>896</v>
      </c>
      <c r="I296" s="194" t="s">
        <v>1344</v>
      </c>
      <c r="J296" s="197"/>
    </row>
    <row r="297" ht="22.5" customHeight="1">
      <c r="A297" s="198">
        <v>2025.0</v>
      </c>
      <c r="B297" s="196">
        <v>45902.0</v>
      </c>
      <c r="C297" s="191" t="s">
        <v>17</v>
      </c>
      <c r="D297" s="187" t="s">
        <v>1345</v>
      </c>
      <c r="E297" s="202" t="s">
        <v>1346</v>
      </c>
      <c r="F297" s="210" t="s">
        <v>605</v>
      </c>
      <c r="G297" s="192" t="s">
        <v>42</v>
      </c>
      <c r="H297" s="193" t="s">
        <v>851</v>
      </c>
      <c r="I297" s="194" t="s">
        <v>1347</v>
      </c>
      <c r="J297" s="197"/>
    </row>
    <row r="298" ht="22.5" customHeight="1">
      <c r="A298" s="198">
        <v>2025.0</v>
      </c>
      <c r="B298" s="196">
        <v>45904.0</v>
      </c>
      <c r="C298" s="191" t="s">
        <v>17</v>
      </c>
      <c r="D298" s="187" t="s">
        <v>1348</v>
      </c>
      <c r="E298" s="202" t="s">
        <v>1349</v>
      </c>
      <c r="F298" s="94" t="s">
        <v>1350</v>
      </c>
      <c r="G298" s="192" t="s">
        <v>42</v>
      </c>
      <c r="H298" s="207" t="s">
        <v>1351</v>
      </c>
      <c r="I298" s="194" t="s">
        <v>1352</v>
      </c>
      <c r="J298" s="197"/>
    </row>
    <row r="299" ht="22.5" customHeight="1">
      <c r="A299" s="198">
        <v>2025.0</v>
      </c>
      <c r="B299" s="196">
        <v>45905.0</v>
      </c>
      <c r="C299" s="191" t="s">
        <v>22</v>
      </c>
      <c r="D299" s="187" t="s">
        <v>1353</v>
      </c>
      <c r="E299" s="202" t="s">
        <v>1354</v>
      </c>
      <c r="F299" s="94" t="s">
        <v>1355</v>
      </c>
      <c r="G299" s="192" t="s">
        <v>20</v>
      </c>
      <c r="H299" s="207" t="s">
        <v>1356</v>
      </c>
      <c r="I299" s="194" t="s">
        <v>1357</v>
      </c>
      <c r="J299" s="195">
        <v>9.267031463E9</v>
      </c>
    </row>
    <row r="300" ht="22.5" customHeight="1">
      <c r="A300" s="198">
        <v>2025.0</v>
      </c>
      <c r="B300" s="196">
        <v>45905.0</v>
      </c>
      <c r="C300" s="191" t="s">
        <v>22</v>
      </c>
      <c r="D300" s="187" t="s">
        <v>1358</v>
      </c>
      <c r="E300" s="202" t="s">
        <v>1359</v>
      </c>
      <c r="F300" s="94" t="s">
        <v>1355</v>
      </c>
      <c r="G300" s="192" t="s">
        <v>20</v>
      </c>
      <c r="H300" s="207" t="s">
        <v>1360</v>
      </c>
      <c r="I300" s="194" t="s">
        <v>1361</v>
      </c>
      <c r="J300" s="195">
        <v>9.274310611E9</v>
      </c>
    </row>
    <row r="301" ht="22.5" customHeight="1">
      <c r="A301" s="198">
        <v>2025.0</v>
      </c>
      <c r="B301" s="196">
        <v>45909.0</v>
      </c>
      <c r="C301" s="191" t="s">
        <v>17</v>
      </c>
      <c r="D301" s="187" t="s">
        <v>1362</v>
      </c>
      <c r="E301" s="202" t="s">
        <v>1363</v>
      </c>
      <c r="F301" s="94" t="s">
        <v>534</v>
      </c>
      <c r="G301" s="192" t="s">
        <v>20</v>
      </c>
      <c r="H301" s="207" t="s">
        <v>409</v>
      </c>
      <c r="I301" s="194" t="s">
        <v>1364</v>
      </c>
      <c r="J301" s="195">
        <v>9.992292328E9</v>
      </c>
    </row>
    <row r="302" ht="22.5" customHeight="1">
      <c r="A302" s="198">
        <v>2025.0</v>
      </c>
      <c r="B302" s="196">
        <v>45912.0</v>
      </c>
      <c r="C302" s="191" t="s">
        <v>17</v>
      </c>
      <c r="D302" s="187" t="s">
        <v>1365</v>
      </c>
      <c r="E302" s="202" t="s">
        <v>1366</v>
      </c>
      <c r="F302" s="94" t="s">
        <v>53</v>
      </c>
      <c r="G302" s="192" t="s">
        <v>20</v>
      </c>
      <c r="H302" s="193" t="s">
        <v>851</v>
      </c>
      <c r="I302" s="200"/>
      <c r="J302" s="197"/>
    </row>
    <row r="303" ht="22.5" customHeight="1">
      <c r="A303" s="198">
        <v>2025.0</v>
      </c>
      <c r="B303" s="196">
        <v>45929.0</v>
      </c>
      <c r="C303" s="191" t="s">
        <v>17</v>
      </c>
      <c r="D303" s="187" t="s">
        <v>1367</v>
      </c>
      <c r="E303" s="202" t="s">
        <v>1368</v>
      </c>
      <c r="F303" s="94" t="s">
        <v>53</v>
      </c>
      <c r="G303" s="192" t="s">
        <v>20</v>
      </c>
      <c r="H303" s="193" t="s">
        <v>851</v>
      </c>
      <c r="I303" s="194" t="s">
        <v>1369</v>
      </c>
      <c r="J303" s="195">
        <v>9.984234069E9</v>
      </c>
    </row>
    <row r="304" ht="22.5" customHeight="1">
      <c r="A304" s="198">
        <v>2025.0</v>
      </c>
      <c r="B304" s="196">
        <v>45929.0</v>
      </c>
      <c r="C304" s="191" t="s">
        <v>17</v>
      </c>
      <c r="D304" s="187" t="s">
        <v>1370</v>
      </c>
      <c r="E304" s="202" t="s">
        <v>1371</v>
      </c>
      <c r="F304" s="94" t="s">
        <v>53</v>
      </c>
      <c r="G304" s="192" t="s">
        <v>20</v>
      </c>
      <c r="H304" s="193" t="s">
        <v>851</v>
      </c>
      <c r="I304" s="200"/>
      <c r="J304" s="195">
        <v>9.607799889E9</v>
      </c>
    </row>
    <row r="305" ht="22.5" customHeight="1">
      <c r="A305" s="198">
        <v>2025.0</v>
      </c>
      <c r="B305" s="196">
        <v>45929.0</v>
      </c>
      <c r="C305" s="191" t="s">
        <v>17</v>
      </c>
      <c r="D305" s="187" t="s">
        <v>1372</v>
      </c>
      <c r="E305" s="202" t="s">
        <v>1373</v>
      </c>
      <c r="F305" s="94" t="s">
        <v>1374</v>
      </c>
      <c r="G305" s="192" t="s">
        <v>20</v>
      </c>
      <c r="H305" s="207" t="s">
        <v>1375</v>
      </c>
      <c r="I305" s="194" t="s">
        <v>1376</v>
      </c>
      <c r="J305" s="195">
        <v>9.671799398E9</v>
      </c>
    </row>
    <row r="306" ht="22.5" customHeight="1">
      <c r="A306" s="198">
        <v>2025.0</v>
      </c>
      <c r="B306" s="196">
        <v>45929.0</v>
      </c>
      <c r="C306" s="191" t="s">
        <v>17</v>
      </c>
      <c r="D306" s="187" t="s">
        <v>1377</v>
      </c>
      <c r="E306" s="202" t="s">
        <v>1378</v>
      </c>
      <c r="F306" s="211"/>
      <c r="G306" s="192" t="s">
        <v>42</v>
      </c>
      <c r="H306" s="209"/>
      <c r="I306" s="200"/>
      <c r="J306" s="197"/>
    </row>
    <row r="307" ht="22.5" customHeight="1">
      <c r="A307" s="198">
        <v>2025.0</v>
      </c>
      <c r="B307" s="196">
        <v>45943.0</v>
      </c>
      <c r="C307" s="191" t="s">
        <v>17</v>
      </c>
      <c r="D307" s="187" t="s">
        <v>1379</v>
      </c>
      <c r="E307" s="202" t="s">
        <v>1380</v>
      </c>
      <c r="F307" s="94" t="s">
        <v>358</v>
      </c>
      <c r="G307" s="192" t="s">
        <v>20</v>
      </c>
      <c r="H307" s="204" t="s">
        <v>564</v>
      </c>
      <c r="I307" s="194" t="s">
        <v>1381</v>
      </c>
      <c r="J307" s="195">
        <v>9.950118303E9</v>
      </c>
    </row>
    <row r="308" ht="22.5" customHeight="1">
      <c r="A308" s="198">
        <v>2025.0</v>
      </c>
      <c r="B308" s="196">
        <v>45951.0</v>
      </c>
      <c r="C308" s="191" t="s">
        <v>17</v>
      </c>
      <c r="D308" s="187" t="s">
        <v>1382</v>
      </c>
      <c r="E308" s="202" t="s">
        <v>1383</v>
      </c>
      <c r="F308" s="94" t="s">
        <v>1384</v>
      </c>
      <c r="G308" s="192" t="s">
        <v>42</v>
      </c>
      <c r="H308" s="207" t="s">
        <v>516</v>
      </c>
      <c r="I308" s="212" t="s">
        <v>1385</v>
      </c>
      <c r="J308" s="195" t="s">
        <v>1386</v>
      </c>
    </row>
    <row r="309" ht="22.5" customHeight="1">
      <c r="A309" s="198">
        <v>2025.0</v>
      </c>
      <c r="B309" s="196">
        <v>45951.0</v>
      </c>
      <c r="C309" s="191" t="s">
        <v>17</v>
      </c>
      <c r="D309" s="187" t="s">
        <v>1387</v>
      </c>
      <c r="E309" s="202" t="s">
        <v>1388</v>
      </c>
      <c r="F309" s="94" t="s">
        <v>1384</v>
      </c>
      <c r="G309" s="192" t="s">
        <v>42</v>
      </c>
      <c r="H309" s="207" t="s">
        <v>516</v>
      </c>
      <c r="I309" s="194" t="s">
        <v>1389</v>
      </c>
      <c r="J309" s="195">
        <v>9.707467403E9</v>
      </c>
    </row>
    <row r="310" ht="22.5" customHeight="1">
      <c r="A310" s="198">
        <v>2025.0</v>
      </c>
      <c r="B310" s="196">
        <v>45973.0</v>
      </c>
      <c r="C310" s="191" t="s">
        <v>17</v>
      </c>
      <c r="D310" s="187" t="s">
        <v>1390</v>
      </c>
      <c r="E310" s="202" t="s">
        <v>1391</v>
      </c>
      <c r="F310" s="94" t="s">
        <v>1392</v>
      </c>
      <c r="G310" s="208"/>
      <c r="H310" s="193" t="s">
        <v>851</v>
      </c>
      <c r="I310" s="194" t="s">
        <v>1393</v>
      </c>
      <c r="J310" s="195">
        <v>9.508231397E9</v>
      </c>
    </row>
    <row r="311" ht="22.5" customHeight="1">
      <c r="A311" s="198">
        <v>2025.0</v>
      </c>
      <c r="B311" s="196">
        <v>45974.0</v>
      </c>
      <c r="C311" s="191" t="s">
        <v>17</v>
      </c>
      <c r="D311" s="187" t="s">
        <v>1394</v>
      </c>
      <c r="E311" s="202" t="s">
        <v>1395</v>
      </c>
      <c r="F311" s="94" t="s">
        <v>1396</v>
      </c>
      <c r="G311" s="192" t="s">
        <v>20</v>
      </c>
      <c r="H311" s="207" t="s">
        <v>516</v>
      </c>
      <c r="I311" s="194" t="s">
        <v>1397</v>
      </c>
      <c r="J311" s="195">
        <v>9.54324945E9</v>
      </c>
    </row>
    <row r="312" ht="22.5" customHeight="1">
      <c r="A312" s="213"/>
      <c r="B312" s="214"/>
      <c r="C312" s="215"/>
      <c r="D312" s="162"/>
      <c r="E312" s="216"/>
      <c r="F312" s="211"/>
      <c r="G312" s="208"/>
      <c r="H312" s="209"/>
      <c r="I312" s="200"/>
      <c r="J312" s="197"/>
    </row>
    <row r="313" ht="22.5" customHeight="1">
      <c r="A313" s="213"/>
      <c r="B313" s="214"/>
      <c r="C313" s="215"/>
      <c r="D313" s="162"/>
      <c r="E313" s="216"/>
      <c r="F313" s="211"/>
      <c r="G313" s="208"/>
      <c r="H313" s="209"/>
      <c r="I313" s="200"/>
      <c r="J313" s="197"/>
    </row>
    <row r="314" ht="22.5" customHeight="1">
      <c r="A314" s="213"/>
      <c r="B314" s="214"/>
      <c r="C314" s="215"/>
      <c r="D314" s="162"/>
      <c r="E314" s="216"/>
      <c r="F314" s="211"/>
      <c r="G314" s="208"/>
      <c r="H314" s="209"/>
      <c r="I314" s="200"/>
      <c r="J314" s="197"/>
    </row>
    <row r="315" ht="22.5" customHeight="1">
      <c r="A315" s="213"/>
      <c r="B315" s="214"/>
      <c r="C315" s="215"/>
      <c r="D315" s="162"/>
      <c r="E315" s="216"/>
      <c r="F315" s="211"/>
      <c r="G315" s="208"/>
      <c r="H315" s="209"/>
      <c r="I315" s="200"/>
      <c r="J315" s="197"/>
    </row>
    <row r="316" ht="22.5" customHeight="1">
      <c r="A316" s="213"/>
      <c r="B316" s="214"/>
      <c r="C316" s="215"/>
      <c r="D316" s="162"/>
      <c r="E316" s="216"/>
      <c r="F316" s="211"/>
      <c r="G316" s="208"/>
      <c r="H316" s="209"/>
      <c r="I316" s="200"/>
      <c r="J316" s="197"/>
    </row>
    <row r="317" ht="22.5" customHeight="1">
      <c r="A317" s="213"/>
      <c r="B317" s="214"/>
      <c r="C317" s="215"/>
      <c r="D317" s="162"/>
      <c r="E317" s="216"/>
      <c r="F317" s="211"/>
      <c r="G317" s="208"/>
      <c r="H317" s="209"/>
      <c r="I317" s="200"/>
      <c r="J317" s="197"/>
    </row>
    <row r="318" ht="22.5" customHeight="1">
      <c r="A318" s="213"/>
      <c r="B318" s="214"/>
      <c r="C318" s="215"/>
      <c r="D318" s="162"/>
      <c r="E318" s="216"/>
      <c r="F318" s="211"/>
      <c r="G318" s="208"/>
      <c r="H318" s="209"/>
      <c r="I318" s="200"/>
      <c r="J318" s="197"/>
    </row>
    <row r="319" ht="22.5" customHeight="1">
      <c r="A319" s="213"/>
      <c r="B319" s="214"/>
      <c r="C319" s="215"/>
      <c r="D319" s="162"/>
      <c r="E319" s="216"/>
      <c r="F319" s="211"/>
      <c r="G319" s="208"/>
      <c r="H319" s="209"/>
      <c r="I319" s="200"/>
      <c r="J319" s="197"/>
    </row>
    <row r="320" ht="22.5" customHeight="1">
      <c r="A320" s="213"/>
      <c r="B320" s="214"/>
      <c r="C320" s="215"/>
      <c r="D320" s="162"/>
      <c r="E320" s="216"/>
      <c r="F320" s="211"/>
      <c r="G320" s="208"/>
      <c r="H320" s="209"/>
      <c r="I320" s="200"/>
      <c r="J320" s="197"/>
    </row>
    <row r="321" ht="22.5" customHeight="1">
      <c r="A321" s="213"/>
      <c r="B321" s="214"/>
      <c r="C321" s="215"/>
      <c r="D321" s="162"/>
      <c r="E321" s="216"/>
      <c r="F321" s="211"/>
      <c r="G321" s="208"/>
      <c r="H321" s="209"/>
      <c r="I321" s="200"/>
      <c r="J321" s="197"/>
    </row>
    <row r="322" ht="22.5" customHeight="1">
      <c r="A322" s="213"/>
      <c r="B322" s="214"/>
      <c r="C322" s="215"/>
      <c r="D322" s="162"/>
      <c r="E322" s="216"/>
      <c r="F322" s="211"/>
      <c r="G322" s="208"/>
      <c r="H322" s="209"/>
      <c r="I322" s="200"/>
      <c r="J322" s="197"/>
    </row>
    <row r="323" ht="22.5" customHeight="1">
      <c r="A323" s="213"/>
      <c r="B323" s="214"/>
      <c r="C323" s="215"/>
      <c r="D323" s="162"/>
      <c r="E323" s="216"/>
      <c r="F323" s="211"/>
      <c r="G323" s="208"/>
      <c r="H323" s="209"/>
      <c r="I323" s="200"/>
      <c r="J323" s="197"/>
    </row>
    <row r="324" ht="22.5" customHeight="1">
      <c r="A324" s="213"/>
      <c r="B324" s="214"/>
      <c r="C324" s="215"/>
      <c r="D324" s="162"/>
      <c r="E324" s="216"/>
      <c r="F324" s="211"/>
      <c r="G324" s="208"/>
      <c r="H324" s="209"/>
      <c r="I324" s="200"/>
      <c r="J324" s="197"/>
    </row>
    <row r="325" ht="22.5" customHeight="1">
      <c r="A325" s="213"/>
      <c r="B325" s="214"/>
      <c r="C325" s="215"/>
      <c r="D325" s="162"/>
      <c r="E325" s="216"/>
      <c r="F325" s="211"/>
      <c r="G325" s="208"/>
      <c r="H325" s="209"/>
      <c r="I325" s="200"/>
      <c r="J325" s="197"/>
    </row>
    <row r="326" ht="22.5" customHeight="1">
      <c r="A326" s="213"/>
      <c r="B326" s="214"/>
      <c r="C326" s="215"/>
      <c r="D326" s="162"/>
      <c r="E326" s="216"/>
      <c r="F326" s="211"/>
      <c r="G326" s="208"/>
      <c r="H326" s="209"/>
      <c r="I326" s="200"/>
      <c r="J326" s="197"/>
    </row>
    <row r="327" ht="22.5" customHeight="1">
      <c r="A327" s="213"/>
      <c r="B327" s="214"/>
      <c r="C327" s="215"/>
      <c r="D327" s="162"/>
      <c r="E327" s="216"/>
      <c r="F327" s="211"/>
      <c r="G327" s="208"/>
      <c r="H327" s="209"/>
      <c r="I327" s="200"/>
      <c r="J327" s="197"/>
    </row>
    <row r="328" ht="22.5" customHeight="1">
      <c r="A328" s="213"/>
      <c r="B328" s="214"/>
      <c r="C328" s="215"/>
      <c r="D328" s="162"/>
      <c r="E328" s="216"/>
      <c r="F328" s="211"/>
      <c r="G328" s="208"/>
      <c r="H328" s="209"/>
      <c r="I328" s="200"/>
      <c r="J328" s="197"/>
    </row>
    <row r="329" ht="22.5" customHeight="1">
      <c r="A329" s="213"/>
      <c r="B329" s="214"/>
      <c r="C329" s="215"/>
      <c r="D329" s="162"/>
      <c r="E329" s="216"/>
      <c r="F329" s="211"/>
      <c r="G329" s="208"/>
      <c r="H329" s="209"/>
      <c r="I329" s="200"/>
      <c r="J329" s="197"/>
    </row>
    <row r="330" ht="22.5" customHeight="1">
      <c r="A330" s="213"/>
      <c r="B330" s="214"/>
      <c r="C330" s="215"/>
      <c r="D330" s="162"/>
      <c r="E330" s="216"/>
      <c r="F330" s="211"/>
      <c r="G330" s="208"/>
      <c r="H330" s="209"/>
      <c r="I330" s="200"/>
      <c r="J330" s="197"/>
    </row>
    <row r="331" ht="22.5" customHeight="1">
      <c r="A331" s="213"/>
      <c r="B331" s="214"/>
      <c r="C331" s="215"/>
      <c r="D331" s="162"/>
      <c r="E331" s="216"/>
      <c r="F331" s="211"/>
      <c r="G331" s="208"/>
      <c r="H331" s="209"/>
      <c r="I331" s="200"/>
      <c r="J331" s="197"/>
    </row>
    <row r="332" ht="22.5" customHeight="1">
      <c r="A332" s="213"/>
      <c r="B332" s="214"/>
      <c r="C332" s="215"/>
      <c r="D332" s="162"/>
      <c r="E332" s="216"/>
      <c r="F332" s="211"/>
      <c r="G332" s="208"/>
      <c r="H332" s="209"/>
      <c r="I332" s="200"/>
      <c r="J332" s="197"/>
    </row>
    <row r="333" ht="22.5" customHeight="1">
      <c r="A333" s="213"/>
      <c r="B333" s="214"/>
      <c r="C333" s="215"/>
      <c r="D333" s="162"/>
      <c r="E333" s="216"/>
      <c r="F333" s="211"/>
      <c r="G333" s="208"/>
      <c r="H333" s="209"/>
      <c r="I333" s="200"/>
      <c r="J333" s="197"/>
    </row>
    <row r="334" ht="22.5" customHeight="1">
      <c r="A334" s="213"/>
      <c r="B334" s="214"/>
      <c r="C334" s="215"/>
      <c r="D334" s="162"/>
      <c r="E334" s="216"/>
      <c r="F334" s="211"/>
      <c r="G334" s="208"/>
      <c r="H334" s="209"/>
      <c r="I334" s="200"/>
      <c r="J334" s="197"/>
    </row>
    <row r="335" ht="22.5" customHeight="1">
      <c r="A335" s="213"/>
      <c r="B335" s="214"/>
      <c r="C335" s="215"/>
      <c r="D335" s="162"/>
      <c r="E335" s="216"/>
      <c r="F335" s="211"/>
      <c r="G335" s="208"/>
      <c r="H335" s="209"/>
      <c r="I335" s="200"/>
      <c r="J335" s="197"/>
    </row>
    <row r="336" ht="22.5" customHeight="1">
      <c r="A336" s="213"/>
      <c r="B336" s="214"/>
      <c r="C336" s="215"/>
      <c r="D336" s="162"/>
      <c r="E336" s="216"/>
      <c r="F336" s="211"/>
      <c r="G336" s="208"/>
      <c r="H336" s="209"/>
      <c r="I336" s="200"/>
      <c r="J336" s="197"/>
    </row>
    <row r="337" ht="22.5" customHeight="1">
      <c r="A337" s="213"/>
      <c r="B337" s="214"/>
      <c r="C337" s="215"/>
      <c r="D337" s="162"/>
      <c r="E337" s="216"/>
      <c r="F337" s="211"/>
      <c r="G337" s="208"/>
      <c r="H337" s="209"/>
      <c r="I337" s="200"/>
      <c r="J337" s="197"/>
    </row>
    <row r="338" ht="22.5" customHeight="1">
      <c r="A338" s="213"/>
      <c r="B338" s="214"/>
      <c r="C338" s="215"/>
      <c r="D338" s="162"/>
      <c r="E338" s="216"/>
      <c r="F338" s="211"/>
      <c r="G338" s="208"/>
      <c r="H338" s="209"/>
      <c r="I338" s="200"/>
      <c r="J338" s="197"/>
    </row>
    <row r="339" ht="22.5" customHeight="1">
      <c r="A339" s="213"/>
      <c r="B339" s="214"/>
      <c r="C339" s="215"/>
      <c r="D339" s="162"/>
      <c r="E339" s="216"/>
      <c r="F339" s="211"/>
      <c r="G339" s="208"/>
      <c r="H339" s="209"/>
      <c r="I339" s="200"/>
      <c r="J339" s="197"/>
    </row>
    <row r="340" ht="22.5" customHeight="1">
      <c r="A340" s="213"/>
      <c r="B340" s="214"/>
      <c r="C340" s="215"/>
      <c r="D340" s="162"/>
      <c r="E340" s="216"/>
      <c r="F340" s="211"/>
      <c r="G340" s="208"/>
      <c r="H340" s="209"/>
      <c r="I340" s="200"/>
      <c r="J340" s="197"/>
    </row>
    <row r="341" ht="22.5" customHeight="1">
      <c r="A341" s="213"/>
      <c r="B341" s="214"/>
      <c r="C341" s="215"/>
      <c r="D341" s="162"/>
      <c r="E341" s="216"/>
      <c r="F341" s="211"/>
      <c r="G341" s="208"/>
      <c r="H341" s="209"/>
      <c r="I341" s="200"/>
      <c r="J341" s="197"/>
    </row>
    <row r="342" ht="22.5" customHeight="1">
      <c r="A342" s="213"/>
      <c r="B342" s="214"/>
      <c r="C342" s="215"/>
      <c r="D342" s="162"/>
      <c r="E342" s="216"/>
      <c r="F342" s="211"/>
      <c r="G342" s="208"/>
      <c r="H342" s="209"/>
      <c r="I342" s="200"/>
      <c r="J342" s="197"/>
    </row>
    <row r="343" ht="22.5" customHeight="1">
      <c r="A343" s="213"/>
      <c r="B343" s="214"/>
      <c r="C343" s="215"/>
      <c r="D343" s="162"/>
      <c r="E343" s="216"/>
      <c r="F343" s="211"/>
      <c r="G343" s="208"/>
      <c r="H343" s="209"/>
      <c r="I343" s="200"/>
      <c r="J343" s="197"/>
    </row>
    <row r="344" ht="22.5" customHeight="1">
      <c r="A344" s="213"/>
      <c r="B344" s="214"/>
      <c r="C344" s="215"/>
      <c r="D344" s="162"/>
      <c r="E344" s="216"/>
      <c r="F344" s="211"/>
      <c r="G344" s="208"/>
      <c r="H344" s="209"/>
      <c r="I344" s="200"/>
      <c r="J344" s="197"/>
    </row>
    <row r="345" ht="22.5" customHeight="1">
      <c r="A345" s="213"/>
      <c r="B345" s="214"/>
      <c r="C345" s="215"/>
      <c r="D345" s="162"/>
      <c r="E345" s="216"/>
      <c r="F345" s="211"/>
      <c r="G345" s="208"/>
      <c r="H345" s="209"/>
      <c r="I345" s="200"/>
      <c r="J345" s="197"/>
    </row>
    <row r="346" ht="22.5" customHeight="1">
      <c r="A346" s="213"/>
      <c r="B346" s="214"/>
      <c r="C346" s="215"/>
      <c r="D346" s="162"/>
      <c r="E346" s="216"/>
      <c r="F346" s="211"/>
      <c r="G346" s="208"/>
      <c r="H346" s="209"/>
      <c r="I346" s="200"/>
      <c r="J346" s="197"/>
    </row>
    <row r="347" ht="22.5" customHeight="1">
      <c r="A347" s="213"/>
      <c r="B347" s="214"/>
      <c r="C347" s="215"/>
      <c r="D347" s="162"/>
      <c r="E347" s="216"/>
      <c r="F347" s="211"/>
      <c r="G347" s="208"/>
      <c r="H347" s="209"/>
      <c r="I347" s="200"/>
      <c r="J347" s="197"/>
    </row>
    <row r="348" ht="22.5" customHeight="1">
      <c r="A348" s="213"/>
      <c r="B348" s="214"/>
      <c r="C348" s="215"/>
      <c r="D348" s="162"/>
      <c r="E348" s="216"/>
      <c r="F348" s="211"/>
      <c r="G348" s="208"/>
      <c r="H348" s="209"/>
      <c r="I348" s="200"/>
      <c r="J348" s="197"/>
    </row>
    <row r="349" ht="22.5" customHeight="1">
      <c r="A349" s="213"/>
      <c r="B349" s="214"/>
      <c r="C349" s="215"/>
      <c r="D349" s="162"/>
      <c r="E349" s="216"/>
      <c r="F349" s="211"/>
      <c r="G349" s="208"/>
      <c r="H349" s="209"/>
      <c r="I349" s="200"/>
      <c r="J349" s="197"/>
    </row>
    <row r="350" ht="22.5" customHeight="1">
      <c r="A350" s="213"/>
      <c r="B350" s="214"/>
      <c r="C350" s="215"/>
      <c r="D350" s="162"/>
      <c r="E350" s="216"/>
      <c r="F350" s="211"/>
      <c r="G350" s="208"/>
      <c r="H350" s="209"/>
      <c r="I350" s="200"/>
      <c r="J350" s="197"/>
    </row>
    <row r="351" ht="22.5" customHeight="1">
      <c r="A351" s="213"/>
      <c r="B351" s="214"/>
      <c r="C351" s="215"/>
      <c r="D351" s="162"/>
      <c r="E351" s="216"/>
      <c r="F351" s="211"/>
      <c r="G351" s="208"/>
      <c r="H351" s="209"/>
      <c r="I351" s="200"/>
      <c r="J351" s="197"/>
    </row>
    <row r="352" ht="22.5" customHeight="1">
      <c r="A352" s="213"/>
      <c r="B352" s="214"/>
      <c r="C352" s="215"/>
      <c r="D352" s="162"/>
      <c r="E352" s="216"/>
      <c r="F352" s="211"/>
      <c r="G352" s="208"/>
      <c r="H352" s="209"/>
      <c r="I352" s="200"/>
      <c r="J352" s="197"/>
    </row>
    <row r="353" ht="22.5" customHeight="1">
      <c r="A353" s="213"/>
      <c r="B353" s="214"/>
      <c r="C353" s="215"/>
      <c r="D353" s="162"/>
      <c r="E353" s="216"/>
      <c r="F353" s="211"/>
      <c r="G353" s="208"/>
      <c r="H353" s="209"/>
      <c r="I353" s="200"/>
      <c r="J353" s="197"/>
    </row>
    <row r="354" ht="22.5" customHeight="1">
      <c r="A354" s="213"/>
      <c r="B354" s="214"/>
      <c r="C354" s="215"/>
      <c r="D354" s="162"/>
      <c r="E354" s="216"/>
      <c r="F354" s="211"/>
      <c r="G354" s="208"/>
      <c r="H354" s="209"/>
      <c r="I354" s="200"/>
      <c r="J354" s="197"/>
    </row>
    <row r="355" ht="22.5" customHeight="1">
      <c r="A355" s="213"/>
      <c r="B355" s="214"/>
      <c r="C355" s="215"/>
      <c r="D355" s="162"/>
      <c r="E355" s="216"/>
      <c r="F355" s="211"/>
      <c r="G355" s="208"/>
      <c r="H355" s="209"/>
      <c r="I355" s="200"/>
      <c r="J355" s="197"/>
    </row>
    <row r="356" ht="22.5" customHeight="1">
      <c r="A356" s="213"/>
      <c r="B356" s="214"/>
      <c r="C356" s="215"/>
      <c r="D356" s="162"/>
      <c r="E356" s="216"/>
      <c r="F356" s="211"/>
      <c r="G356" s="208"/>
      <c r="H356" s="209"/>
      <c r="I356" s="200"/>
      <c r="J356" s="197"/>
    </row>
    <row r="357" ht="22.5" customHeight="1">
      <c r="A357" s="213"/>
      <c r="B357" s="214"/>
      <c r="C357" s="215"/>
      <c r="D357" s="162"/>
      <c r="E357" s="216"/>
      <c r="F357" s="211"/>
      <c r="G357" s="208"/>
      <c r="H357" s="209"/>
      <c r="I357" s="200"/>
      <c r="J357" s="197"/>
    </row>
    <row r="358" ht="22.5" customHeight="1">
      <c r="A358" s="213"/>
      <c r="B358" s="214"/>
      <c r="C358" s="215"/>
      <c r="D358" s="162"/>
      <c r="E358" s="216"/>
      <c r="F358" s="211"/>
      <c r="G358" s="208"/>
      <c r="H358" s="209"/>
      <c r="I358" s="200"/>
      <c r="J358" s="197"/>
    </row>
    <row r="359" ht="22.5" customHeight="1">
      <c r="A359" s="213"/>
      <c r="B359" s="214"/>
      <c r="C359" s="215"/>
      <c r="D359" s="162"/>
      <c r="E359" s="216"/>
      <c r="F359" s="211"/>
      <c r="G359" s="208"/>
      <c r="H359" s="209"/>
      <c r="I359" s="200"/>
      <c r="J359" s="197"/>
    </row>
    <row r="360" ht="22.5" customHeight="1">
      <c r="A360" s="213"/>
      <c r="B360" s="214"/>
      <c r="C360" s="215"/>
      <c r="D360" s="162"/>
      <c r="E360" s="216"/>
      <c r="F360" s="211"/>
      <c r="G360" s="208"/>
      <c r="H360" s="209"/>
      <c r="I360" s="200"/>
      <c r="J360" s="197"/>
    </row>
    <row r="361" ht="22.5" customHeight="1">
      <c r="A361" s="213"/>
      <c r="B361" s="214"/>
      <c r="C361" s="215"/>
      <c r="D361" s="162"/>
      <c r="E361" s="216"/>
      <c r="F361" s="211"/>
      <c r="G361" s="208"/>
      <c r="H361" s="209"/>
      <c r="I361" s="200"/>
      <c r="J361" s="197"/>
    </row>
    <row r="362" ht="22.5" customHeight="1">
      <c r="A362" s="213"/>
      <c r="B362" s="214"/>
      <c r="C362" s="215"/>
      <c r="D362" s="162"/>
      <c r="E362" s="216"/>
      <c r="F362" s="211"/>
      <c r="G362" s="208"/>
      <c r="H362" s="209"/>
      <c r="I362" s="200"/>
      <c r="J362" s="197"/>
    </row>
    <row r="363" ht="22.5" customHeight="1">
      <c r="A363" s="213"/>
      <c r="B363" s="214"/>
      <c r="C363" s="215"/>
      <c r="D363" s="162"/>
      <c r="E363" s="216"/>
      <c r="F363" s="211"/>
      <c r="G363" s="208"/>
      <c r="H363" s="209"/>
      <c r="I363" s="200"/>
      <c r="J363" s="197"/>
    </row>
    <row r="364" ht="22.5" customHeight="1">
      <c r="A364" s="213"/>
      <c r="B364" s="214"/>
      <c r="C364" s="215"/>
      <c r="D364" s="162"/>
      <c r="E364" s="216"/>
      <c r="F364" s="211"/>
      <c r="G364" s="208"/>
      <c r="H364" s="209"/>
      <c r="I364" s="200"/>
      <c r="J364" s="197"/>
    </row>
    <row r="365" ht="22.5" customHeight="1">
      <c r="A365" s="213"/>
      <c r="B365" s="214"/>
      <c r="C365" s="215"/>
      <c r="D365" s="162"/>
      <c r="E365" s="216"/>
      <c r="F365" s="211"/>
      <c r="G365" s="208"/>
      <c r="H365" s="209"/>
      <c r="I365" s="200"/>
      <c r="J365" s="197"/>
    </row>
    <row r="366" ht="22.5" customHeight="1">
      <c r="A366" s="213"/>
      <c r="B366" s="214"/>
      <c r="C366" s="215"/>
      <c r="D366" s="162"/>
      <c r="E366" s="216"/>
      <c r="F366" s="211"/>
      <c r="G366" s="208"/>
      <c r="H366" s="209"/>
      <c r="I366" s="200"/>
      <c r="J366" s="197"/>
    </row>
    <row r="367" ht="22.5" customHeight="1">
      <c r="A367" s="213"/>
      <c r="B367" s="214"/>
      <c r="C367" s="215"/>
      <c r="D367" s="162"/>
      <c r="E367" s="216"/>
      <c r="F367" s="211"/>
      <c r="G367" s="208"/>
      <c r="H367" s="209"/>
      <c r="I367" s="200"/>
      <c r="J367" s="197"/>
    </row>
    <row r="368" ht="22.5" customHeight="1">
      <c r="A368" s="213"/>
      <c r="B368" s="214"/>
      <c r="C368" s="215"/>
      <c r="D368" s="162"/>
      <c r="E368" s="216"/>
      <c r="F368" s="211"/>
      <c r="G368" s="208"/>
      <c r="H368" s="209"/>
      <c r="I368" s="200"/>
      <c r="J368" s="197"/>
    </row>
    <row r="369" ht="22.5" customHeight="1">
      <c r="A369" s="213"/>
      <c r="B369" s="214"/>
      <c r="C369" s="215"/>
      <c r="D369" s="162"/>
      <c r="E369" s="216"/>
      <c r="F369" s="211"/>
      <c r="G369" s="208"/>
      <c r="H369" s="209"/>
      <c r="I369" s="200"/>
      <c r="J369" s="197"/>
    </row>
    <row r="370" ht="22.5" customHeight="1">
      <c r="A370" s="213"/>
      <c r="B370" s="214"/>
      <c r="C370" s="215"/>
      <c r="D370" s="162"/>
      <c r="E370" s="216"/>
      <c r="F370" s="211"/>
      <c r="G370" s="208"/>
      <c r="H370" s="209"/>
      <c r="I370" s="200"/>
      <c r="J370" s="197"/>
    </row>
    <row r="371" ht="22.5" customHeight="1">
      <c r="A371" s="213"/>
      <c r="B371" s="214"/>
      <c r="C371" s="215"/>
      <c r="D371" s="162"/>
      <c r="E371" s="216"/>
      <c r="F371" s="211"/>
      <c r="G371" s="208"/>
      <c r="H371" s="209"/>
      <c r="I371" s="200"/>
      <c r="J371" s="197"/>
    </row>
    <row r="372" ht="22.5" customHeight="1">
      <c r="A372" s="213"/>
      <c r="B372" s="214"/>
      <c r="C372" s="215"/>
      <c r="D372" s="162"/>
      <c r="E372" s="216"/>
      <c r="F372" s="211"/>
      <c r="G372" s="208"/>
      <c r="H372" s="209"/>
      <c r="I372" s="200"/>
      <c r="J372" s="197"/>
    </row>
    <row r="373" ht="22.5" customHeight="1">
      <c r="A373" s="213"/>
      <c r="B373" s="214"/>
      <c r="C373" s="215"/>
      <c r="D373" s="162"/>
      <c r="E373" s="216"/>
      <c r="F373" s="211"/>
      <c r="G373" s="208"/>
      <c r="H373" s="209"/>
      <c r="I373" s="200"/>
      <c r="J373" s="197"/>
    </row>
    <row r="374" ht="22.5" customHeight="1">
      <c r="A374" s="213"/>
      <c r="B374" s="214"/>
      <c r="C374" s="215"/>
      <c r="D374" s="162"/>
      <c r="E374" s="216"/>
      <c r="F374" s="211"/>
      <c r="G374" s="208"/>
      <c r="H374" s="209"/>
      <c r="I374" s="200"/>
      <c r="J374" s="197"/>
    </row>
    <row r="375" ht="22.5" customHeight="1">
      <c r="A375" s="213"/>
      <c r="B375" s="214"/>
      <c r="C375" s="215"/>
      <c r="D375" s="162"/>
      <c r="E375" s="216"/>
      <c r="F375" s="211"/>
      <c r="G375" s="208"/>
      <c r="H375" s="209"/>
      <c r="I375" s="200"/>
      <c r="J375" s="197"/>
    </row>
    <row r="376" ht="22.5" customHeight="1">
      <c r="A376" s="213"/>
      <c r="B376" s="214"/>
      <c r="C376" s="215"/>
      <c r="D376" s="162"/>
      <c r="E376" s="216"/>
      <c r="F376" s="211"/>
      <c r="G376" s="208"/>
      <c r="H376" s="209"/>
      <c r="I376" s="200"/>
      <c r="J376" s="197"/>
    </row>
    <row r="377" ht="22.5" customHeight="1">
      <c r="A377" s="213"/>
      <c r="B377" s="214"/>
      <c r="C377" s="215"/>
      <c r="D377" s="162"/>
      <c r="E377" s="216"/>
      <c r="F377" s="211"/>
      <c r="G377" s="208"/>
      <c r="H377" s="209"/>
      <c r="I377" s="200"/>
      <c r="J377" s="197"/>
    </row>
    <row r="378" ht="22.5" customHeight="1">
      <c r="A378" s="213"/>
      <c r="B378" s="214"/>
      <c r="C378" s="215"/>
      <c r="D378" s="162"/>
      <c r="E378" s="216"/>
      <c r="F378" s="211"/>
      <c r="G378" s="208"/>
      <c r="H378" s="209"/>
      <c r="I378" s="200"/>
      <c r="J378" s="197"/>
    </row>
    <row r="379" ht="22.5" customHeight="1">
      <c r="A379" s="213"/>
      <c r="B379" s="214"/>
      <c r="C379" s="215"/>
      <c r="D379" s="162"/>
      <c r="E379" s="216"/>
      <c r="F379" s="211"/>
      <c r="G379" s="208"/>
      <c r="H379" s="209"/>
      <c r="I379" s="200"/>
      <c r="J379" s="197"/>
    </row>
    <row r="380" ht="22.5" customHeight="1">
      <c r="A380" s="213"/>
      <c r="B380" s="214"/>
      <c r="C380" s="215"/>
      <c r="D380" s="162"/>
      <c r="E380" s="216"/>
      <c r="F380" s="211"/>
      <c r="G380" s="208"/>
      <c r="H380" s="209"/>
      <c r="I380" s="200"/>
      <c r="J380" s="197"/>
    </row>
    <row r="381" ht="22.5" customHeight="1">
      <c r="A381" s="213"/>
      <c r="B381" s="214"/>
      <c r="C381" s="215"/>
      <c r="D381" s="162"/>
      <c r="E381" s="216"/>
      <c r="F381" s="211"/>
      <c r="G381" s="208"/>
      <c r="H381" s="209"/>
      <c r="I381" s="200"/>
      <c r="J381" s="197"/>
    </row>
    <row r="382" ht="22.5" customHeight="1">
      <c r="A382" s="213"/>
      <c r="B382" s="214"/>
      <c r="C382" s="215"/>
      <c r="D382" s="162"/>
      <c r="E382" s="216"/>
      <c r="F382" s="211"/>
      <c r="G382" s="208"/>
      <c r="H382" s="209"/>
      <c r="I382" s="200"/>
      <c r="J382" s="197"/>
    </row>
    <row r="383" ht="22.5" customHeight="1">
      <c r="A383" s="213"/>
      <c r="B383" s="214"/>
      <c r="C383" s="215"/>
      <c r="D383" s="162"/>
      <c r="E383" s="216"/>
      <c r="F383" s="211"/>
      <c r="G383" s="208"/>
      <c r="H383" s="209"/>
      <c r="I383" s="200"/>
      <c r="J383" s="197"/>
    </row>
    <row r="384" ht="22.5" customHeight="1">
      <c r="A384" s="213"/>
      <c r="B384" s="214"/>
      <c r="C384" s="215"/>
      <c r="D384" s="162"/>
      <c r="E384" s="216"/>
      <c r="F384" s="211"/>
      <c r="G384" s="208"/>
      <c r="H384" s="209"/>
      <c r="I384" s="200"/>
      <c r="J384" s="197"/>
    </row>
    <row r="385" ht="22.5" customHeight="1">
      <c r="A385" s="213"/>
      <c r="B385" s="214"/>
      <c r="C385" s="215"/>
      <c r="D385" s="162"/>
      <c r="E385" s="216"/>
      <c r="F385" s="211"/>
      <c r="G385" s="208"/>
      <c r="H385" s="209"/>
      <c r="I385" s="200"/>
      <c r="J385" s="197"/>
    </row>
    <row r="386" ht="22.5" customHeight="1">
      <c r="A386" s="213"/>
      <c r="B386" s="214"/>
      <c r="C386" s="215"/>
      <c r="D386" s="162"/>
      <c r="E386" s="216"/>
      <c r="F386" s="211"/>
      <c r="G386" s="208"/>
      <c r="H386" s="209"/>
      <c r="I386" s="200"/>
      <c r="J386" s="197"/>
    </row>
    <row r="387" ht="22.5" customHeight="1">
      <c r="A387" s="213"/>
      <c r="B387" s="214"/>
      <c r="C387" s="215"/>
      <c r="D387" s="162"/>
      <c r="E387" s="216"/>
      <c r="F387" s="211"/>
      <c r="G387" s="208"/>
      <c r="H387" s="209"/>
      <c r="I387" s="200"/>
      <c r="J387" s="197"/>
    </row>
    <row r="388" ht="22.5" customHeight="1">
      <c r="A388" s="213"/>
      <c r="B388" s="214"/>
      <c r="C388" s="215"/>
      <c r="D388" s="162"/>
      <c r="E388" s="216"/>
      <c r="F388" s="211"/>
      <c r="G388" s="208"/>
      <c r="H388" s="209"/>
      <c r="I388" s="200"/>
      <c r="J388" s="197"/>
    </row>
    <row r="389" ht="22.5" customHeight="1">
      <c r="A389" s="213"/>
      <c r="B389" s="214"/>
      <c r="C389" s="215"/>
      <c r="D389" s="162"/>
      <c r="E389" s="216"/>
      <c r="F389" s="211"/>
      <c r="G389" s="208"/>
      <c r="H389" s="209"/>
      <c r="I389" s="200"/>
      <c r="J389" s="197"/>
    </row>
    <row r="390" ht="22.5" customHeight="1">
      <c r="A390" s="213"/>
      <c r="B390" s="214"/>
      <c r="C390" s="215"/>
      <c r="D390" s="162"/>
      <c r="E390" s="216"/>
      <c r="F390" s="211"/>
      <c r="G390" s="208"/>
      <c r="H390" s="209"/>
      <c r="I390" s="200"/>
      <c r="J390" s="197"/>
    </row>
    <row r="391" ht="22.5" customHeight="1">
      <c r="A391" s="213"/>
      <c r="B391" s="214"/>
      <c r="C391" s="215"/>
      <c r="D391" s="162"/>
      <c r="E391" s="216"/>
      <c r="F391" s="211"/>
      <c r="G391" s="208"/>
      <c r="H391" s="209"/>
      <c r="I391" s="200"/>
      <c r="J391" s="197"/>
    </row>
    <row r="392" ht="22.5" customHeight="1">
      <c r="A392" s="213"/>
      <c r="B392" s="214"/>
      <c r="C392" s="215"/>
      <c r="D392" s="162"/>
      <c r="E392" s="216"/>
      <c r="F392" s="211"/>
      <c r="G392" s="208"/>
      <c r="H392" s="209"/>
      <c r="I392" s="200"/>
      <c r="J392" s="197"/>
    </row>
    <row r="393" ht="22.5" customHeight="1">
      <c r="A393" s="213"/>
      <c r="B393" s="214"/>
      <c r="C393" s="215"/>
      <c r="D393" s="162"/>
      <c r="E393" s="216"/>
      <c r="F393" s="211"/>
      <c r="G393" s="208"/>
      <c r="H393" s="209"/>
      <c r="I393" s="200"/>
      <c r="J393" s="197"/>
    </row>
    <row r="394" ht="22.5" customHeight="1">
      <c r="A394" s="213"/>
      <c r="B394" s="214"/>
      <c r="C394" s="215"/>
      <c r="D394" s="162"/>
      <c r="E394" s="216"/>
      <c r="F394" s="211"/>
      <c r="G394" s="208"/>
      <c r="H394" s="209"/>
      <c r="I394" s="200"/>
      <c r="J394" s="197"/>
    </row>
    <row r="395" ht="22.5" customHeight="1">
      <c r="A395" s="213"/>
      <c r="B395" s="214"/>
      <c r="C395" s="215"/>
      <c r="D395" s="162"/>
      <c r="E395" s="216"/>
      <c r="F395" s="211"/>
      <c r="G395" s="208"/>
      <c r="H395" s="209"/>
      <c r="I395" s="200"/>
      <c r="J395" s="197"/>
    </row>
    <row r="396" ht="22.5" customHeight="1">
      <c r="A396" s="213"/>
      <c r="B396" s="214"/>
      <c r="C396" s="215"/>
      <c r="D396" s="162"/>
      <c r="E396" s="216"/>
      <c r="F396" s="211"/>
      <c r="G396" s="208"/>
      <c r="H396" s="209"/>
      <c r="I396" s="200"/>
      <c r="J396" s="197"/>
    </row>
    <row r="397" ht="22.5" customHeight="1">
      <c r="A397" s="213"/>
      <c r="B397" s="214"/>
      <c r="C397" s="215"/>
      <c r="D397" s="162"/>
      <c r="E397" s="216"/>
      <c r="F397" s="211"/>
      <c r="G397" s="208"/>
      <c r="H397" s="209"/>
      <c r="I397" s="200"/>
      <c r="J397" s="197"/>
    </row>
    <row r="398" ht="22.5" customHeight="1">
      <c r="A398" s="213"/>
      <c r="B398" s="214"/>
      <c r="C398" s="215"/>
      <c r="D398" s="162"/>
      <c r="E398" s="216"/>
      <c r="F398" s="211"/>
      <c r="G398" s="208"/>
      <c r="H398" s="209"/>
      <c r="I398" s="200"/>
      <c r="J398" s="197"/>
    </row>
    <row r="399" ht="22.5" customHeight="1">
      <c r="A399" s="213"/>
      <c r="B399" s="214"/>
      <c r="C399" s="215"/>
      <c r="D399" s="162"/>
      <c r="E399" s="216"/>
      <c r="F399" s="211"/>
      <c r="G399" s="208"/>
      <c r="H399" s="209"/>
      <c r="I399" s="200"/>
      <c r="J399" s="197"/>
    </row>
    <row r="400" ht="22.5" customHeight="1">
      <c r="A400" s="213"/>
      <c r="B400" s="214"/>
      <c r="C400" s="215"/>
      <c r="D400" s="162"/>
      <c r="E400" s="216"/>
      <c r="F400" s="211"/>
      <c r="G400" s="208"/>
      <c r="H400" s="209"/>
      <c r="I400" s="200"/>
      <c r="J400" s="197"/>
    </row>
    <row r="401" ht="22.5" customHeight="1">
      <c r="A401" s="213"/>
      <c r="B401" s="214"/>
      <c r="C401" s="215"/>
      <c r="D401" s="162"/>
      <c r="E401" s="216"/>
      <c r="F401" s="211"/>
      <c r="G401" s="208"/>
      <c r="H401" s="209"/>
      <c r="I401" s="200"/>
      <c r="J401" s="197"/>
    </row>
    <row r="402" ht="22.5" customHeight="1">
      <c r="A402" s="213"/>
      <c r="B402" s="214"/>
      <c r="C402" s="215"/>
      <c r="D402" s="162"/>
      <c r="E402" s="216"/>
      <c r="F402" s="211"/>
      <c r="G402" s="208"/>
      <c r="H402" s="209"/>
      <c r="I402" s="200"/>
      <c r="J402" s="197"/>
    </row>
    <row r="403" ht="22.5" customHeight="1">
      <c r="A403" s="213"/>
      <c r="B403" s="214"/>
      <c r="C403" s="215"/>
      <c r="D403" s="162"/>
      <c r="E403" s="216"/>
      <c r="F403" s="211"/>
      <c r="G403" s="208"/>
      <c r="H403" s="209"/>
      <c r="I403" s="200"/>
      <c r="J403" s="197"/>
    </row>
    <row r="404" ht="22.5" customHeight="1">
      <c r="A404" s="213"/>
      <c r="B404" s="214"/>
      <c r="C404" s="215"/>
      <c r="D404" s="162"/>
      <c r="E404" s="216"/>
      <c r="F404" s="211"/>
      <c r="G404" s="208"/>
      <c r="H404" s="209"/>
      <c r="I404" s="200"/>
      <c r="J404" s="197"/>
    </row>
    <row r="405" ht="22.5" customHeight="1">
      <c r="A405" s="213"/>
      <c r="B405" s="214"/>
      <c r="C405" s="215"/>
      <c r="D405" s="162"/>
      <c r="E405" s="216"/>
      <c r="F405" s="211"/>
      <c r="G405" s="208"/>
      <c r="H405" s="209"/>
      <c r="I405" s="200"/>
      <c r="J405" s="197"/>
    </row>
    <row r="406" ht="22.5" customHeight="1">
      <c r="A406" s="213"/>
      <c r="B406" s="214"/>
      <c r="C406" s="215"/>
      <c r="D406" s="162"/>
      <c r="E406" s="216"/>
      <c r="F406" s="211"/>
      <c r="G406" s="208"/>
      <c r="H406" s="209"/>
      <c r="I406" s="200"/>
      <c r="J406" s="197"/>
    </row>
    <row r="407" ht="22.5" customHeight="1">
      <c r="A407" s="213"/>
      <c r="B407" s="214"/>
      <c r="C407" s="215"/>
      <c r="D407" s="162"/>
      <c r="E407" s="216"/>
      <c r="F407" s="211"/>
      <c r="G407" s="208"/>
      <c r="H407" s="209"/>
      <c r="I407" s="200"/>
      <c r="J407" s="197"/>
    </row>
    <row r="408" ht="22.5" customHeight="1">
      <c r="A408" s="213"/>
      <c r="B408" s="214"/>
      <c r="C408" s="215"/>
      <c r="D408" s="162"/>
      <c r="E408" s="216"/>
      <c r="F408" s="211"/>
      <c r="G408" s="208"/>
      <c r="H408" s="209"/>
      <c r="I408" s="200"/>
      <c r="J408" s="197"/>
    </row>
    <row r="409" ht="22.5" customHeight="1">
      <c r="A409" s="213"/>
      <c r="B409" s="214"/>
      <c r="C409" s="215"/>
      <c r="D409" s="162"/>
      <c r="E409" s="216"/>
      <c r="F409" s="211"/>
      <c r="G409" s="208"/>
      <c r="H409" s="209"/>
      <c r="I409" s="200"/>
      <c r="J409" s="197"/>
    </row>
    <row r="410" ht="22.5" customHeight="1">
      <c r="A410" s="213"/>
      <c r="B410" s="214"/>
      <c r="C410" s="215"/>
      <c r="D410" s="162"/>
      <c r="E410" s="216"/>
      <c r="F410" s="211"/>
      <c r="G410" s="208"/>
      <c r="H410" s="209"/>
      <c r="I410" s="200"/>
      <c r="J410" s="197"/>
    </row>
    <row r="411" ht="22.5" customHeight="1">
      <c r="A411" s="213"/>
      <c r="B411" s="214"/>
      <c r="C411" s="215"/>
      <c r="D411" s="162"/>
      <c r="E411" s="216"/>
      <c r="F411" s="211"/>
      <c r="G411" s="208"/>
      <c r="H411" s="209"/>
      <c r="I411" s="200"/>
      <c r="J411" s="197"/>
    </row>
    <row r="412" ht="22.5" customHeight="1">
      <c r="A412" s="213"/>
      <c r="B412" s="214"/>
      <c r="C412" s="215"/>
      <c r="D412" s="162"/>
      <c r="E412" s="216"/>
      <c r="F412" s="211"/>
      <c r="G412" s="208"/>
      <c r="H412" s="209"/>
      <c r="I412" s="200"/>
      <c r="J412" s="197"/>
    </row>
    <row r="413" ht="22.5" customHeight="1">
      <c r="A413" s="213"/>
      <c r="B413" s="214"/>
      <c r="C413" s="215"/>
      <c r="D413" s="162"/>
      <c r="E413" s="216"/>
      <c r="F413" s="211"/>
      <c r="G413" s="208"/>
      <c r="H413" s="209"/>
      <c r="I413" s="200"/>
      <c r="J413" s="197"/>
    </row>
    <row r="414" ht="22.5" customHeight="1">
      <c r="A414" s="213"/>
      <c r="B414" s="214"/>
      <c r="C414" s="215"/>
      <c r="D414" s="162"/>
      <c r="E414" s="216"/>
      <c r="F414" s="211"/>
      <c r="G414" s="208"/>
      <c r="H414" s="209"/>
      <c r="I414" s="200"/>
      <c r="J414" s="197"/>
    </row>
    <row r="415" ht="22.5" customHeight="1">
      <c r="A415" s="213"/>
      <c r="B415" s="214"/>
      <c r="C415" s="215"/>
      <c r="D415" s="162"/>
      <c r="E415" s="216"/>
      <c r="F415" s="211"/>
      <c r="G415" s="208"/>
      <c r="H415" s="209"/>
      <c r="I415" s="200"/>
      <c r="J415" s="197"/>
    </row>
    <row r="416" ht="22.5" customHeight="1">
      <c r="A416" s="213"/>
      <c r="B416" s="214"/>
      <c r="C416" s="215"/>
      <c r="D416" s="162"/>
      <c r="E416" s="216"/>
      <c r="F416" s="211"/>
      <c r="G416" s="208"/>
      <c r="H416" s="209"/>
      <c r="I416" s="200"/>
      <c r="J416" s="197"/>
    </row>
    <row r="417" ht="22.5" customHeight="1">
      <c r="A417" s="213"/>
      <c r="B417" s="214"/>
      <c r="C417" s="215"/>
      <c r="D417" s="162"/>
      <c r="E417" s="216"/>
      <c r="F417" s="211"/>
      <c r="G417" s="208"/>
      <c r="H417" s="209"/>
      <c r="I417" s="200"/>
      <c r="J417" s="197"/>
    </row>
    <row r="418" ht="22.5" customHeight="1">
      <c r="A418" s="213"/>
      <c r="B418" s="214"/>
      <c r="C418" s="215"/>
      <c r="D418" s="162"/>
      <c r="E418" s="216"/>
      <c r="F418" s="211"/>
      <c r="G418" s="208"/>
      <c r="H418" s="209"/>
      <c r="I418" s="200"/>
      <c r="J418" s="197"/>
    </row>
    <row r="419" ht="22.5" customHeight="1">
      <c r="A419" s="213"/>
      <c r="B419" s="214"/>
      <c r="C419" s="215"/>
      <c r="D419" s="162"/>
      <c r="E419" s="216"/>
      <c r="F419" s="211"/>
      <c r="G419" s="208"/>
      <c r="H419" s="209"/>
      <c r="I419" s="200"/>
      <c r="J419" s="197"/>
    </row>
    <row r="420" ht="22.5" customHeight="1">
      <c r="A420" s="213"/>
      <c r="B420" s="214"/>
      <c r="C420" s="215"/>
      <c r="D420" s="162"/>
      <c r="E420" s="216"/>
      <c r="F420" s="211"/>
      <c r="G420" s="208"/>
      <c r="H420" s="209"/>
      <c r="I420" s="200"/>
      <c r="J420" s="197"/>
    </row>
    <row r="421" ht="22.5" customHeight="1">
      <c r="A421" s="213"/>
      <c r="B421" s="214"/>
      <c r="C421" s="215"/>
      <c r="D421" s="162"/>
      <c r="E421" s="216"/>
      <c r="F421" s="211"/>
      <c r="G421" s="208"/>
      <c r="H421" s="209"/>
      <c r="I421" s="200"/>
      <c r="J421" s="197"/>
    </row>
    <row r="422" ht="22.5" customHeight="1">
      <c r="A422" s="213"/>
      <c r="B422" s="214"/>
      <c r="C422" s="215"/>
      <c r="D422" s="162"/>
      <c r="E422" s="216"/>
      <c r="F422" s="211"/>
      <c r="G422" s="208"/>
      <c r="H422" s="209"/>
      <c r="I422" s="200"/>
      <c r="J422" s="197"/>
    </row>
    <row r="423" ht="22.5" customHeight="1">
      <c r="A423" s="213"/>
      <c r="B423" s="214"/>
      <c r="C423" s="215"/>
      <c r="D423" s="162"/>
      <c r="E423" s="216"/>
      <c r="F423" s="211"/>
      <c r="G423" s="208"/>
      <c r="H423" s="209"/>
      <c r="I423" s="200"/>
      <c r="J423" s="197"/>
    </row>
    <row r="424" ht="22.5" customHeight="1">
      <c r="A424" s="213"/>
      <c r="B424" s="214"/>
      <c r="C424" s="215"/>
      <c r="D424" s="162"/>
      <c r="E424" s="216"/>
      <c r="F424" s="211"/>
      <c r="G424" s="208"/>
      <c r="H424" s="209"/>
      <c r="I424" s="200"/>
      <c r="J424" s="197"/>
    </row>
    <row r="425" ht="22.5" customHeight="1">
      <c r="A425" s="213"/>
      <c r="B425" s="214"/>
      <c r="C425" s="215"/>
      <c r="D425" s="162"/>
      <c r="E425" s="216"/>
      <c r="F425" s="211"/>
      <c r="G425" s="208"/>
      <c r="H425" s="209"/>
      <c r="I425" s="200"/>
      <c r="J425" s="197"/>
    </row>
    <row r="426" ht="22.5" customHeight="1">
      <c r="A426" s="213"/>
      <c r="B426" s="214"/>
      <c r="C426" s="215"/>
      <c r="D426" s="162"/>
      <c r="E426" s="216"/>
      <c r="F426" s="211"/>
      <c r="G426" s="208"/>
      <c r="H426" s="209"/>
      <c r="I426" s="200"/>
      <c r="J426" s="197"/>
    </row>
    <row r="427" ht="22.5" customHeight="1">
      <c r="A427" s="213"/>
      <c r="B427" s="214"/>
      <c r="C427" s="215"/>
      <c r="D427" s="162"/>
      <c r="E427" s="216"/>
      <c r="F427" s="211"/>
      <c r="G427" s="208"/>
      <c r="H427" s="209"/>
      <c r="I427" s="200"/>
      <c r="J427" s="197"/>
    </row>
    <row r="428" ht="22.5" customHeight="1">
      <c r="A428" s="213"/>
      <c r="B428" s="214"/>
      <c r="C428" s="215"/>
      <c r="D428" s="162"/>
      <c r="E428" s="216"/>
      <c r="F428" s="211"/>
      <c r="G428" s="208"/>
      <c r="H428" s="209"/>
      <c r="I428" s="200"/>
      <c r="J428" s="197"/>
    </row>
    <row r="429" ht="22.5" customHeight="1">
      <c r="A429" s="213"/>
      <c r="B429" s="214"/>
      <c r="C429" s="215"/>
      <c r="D429" s="162"/>
      <c r="E429" s="216"/>
      <c r="F429" s="211"/>
      <c r="G429" s="208"/>
      <c r="H429" s="209"/>
      <c r="I429" s="200"/>
      <c r="J429" s="197"/>
    </row>
    <row r="430" ht="22.5" customHeight="1">
      <c r="A430" s="213"/>
      <c r="B430" s="214"/>
      <c r="C430" s="215"/>
      <c r="D430" s="162"/>
      <c r="E430" s="216"/>
      <c r="F430" s="211"/>
      <c r="G430" s="208"/>
      <c r="H430" s="209"/>
      <c r="I430" s="200"/>
      <c r="J430" s="197"/>
    </row>
    <row r="431" ht="22.5" customHeight="1">
      <c r="A431" s="213"/>
      <c r="B431" s="214"/>
      <c r="C431" s="215"/>
      <c r="D431" s="162"/>
      <c r="E431" s="216"/>
      <c r="F431" s="211"/>
      <c r="G431" s="208"/>
      <c r="H431" s="209"/>
      <c r="I431" s="200"/>
      <c r="J431" s="197"/>
    </row>
    <row r="432" ht="22.5" customHeight="1">
      <c r="A432" s="213"/>
      <c r="B432" s="214"/>
      <c r="C432" s="215"/>
      <c r="D432" s="162"/>
      <c r="E432" s="216"/>
      <c r="F432" s="211"/>
      <c r="G432" s="208"/>
      <c r="H432" s="209"/>
      <c r="I432" s="200"/>
      <c r="J432" s="197"/>
    </row>
    <row r="433" ht="22.5" customHeight="1">
      <c r="A433" s="213"/>
      <c r="B433" s="214"/>
      <c r="C433" s="215"/>
      <c r="D433" s="162"/>
      <c r="E433" s="216"/>
      <c r="F433" s="211"/>
      <c r="G433" s="208"/>
      <c r="H433" s="209"/>
      <c r="I433" s="200"/>
      <c r="J433" s="197"/>
    </row>
    <row r="434" ht="22.5" customHeight="1">
      <c r="A434" s="213"/>
      <c r="B434" s="214"/>
      <c r="C434" s="215"/>
      <c r="D434" s="162"/>
      <c r="E434" s="216"/>
      <c r="F434" s="211"/>
      <c r="G434" s="208"/>
      <c r="H434" s="209"/>
      <c r="I434" s="200"/>
      <c r="J434" s="197"/>
    </row>
    <row r="435" ht="22.5" customHeight="1">
      <c r="A435" s="213"/>
      <c r="B435" s="214"/>
      <c r="C435" s="215"/>
      <c r="D435" s="162"/>
      <c r="E435" s="216"/>
      <c r="F435" s="211"/>
      <c r="G435" s="208"/>
      <c r="H435" s="209"/>
      <c r="I435" s="200"/>
      <c r="J435" s="197"/>
    </row>
    <row r="436" ht="22.5" customHeight="1">
      <c r="A436" s="213"/>
      <c r="B436" s="214"/>
      <c r="C436" s="215"/>
      <c r="D436" s="162"/>
      <c r="E436" s="216"/>
      <c r="F436" s="211"/>
      <c r="G436" s="208"/>
      <c r="H436" s="209"/>
      <c r="I436" s="200"/>
      <c r="J436" s="197"/>
    </row>
    <row r="437" ht="22.5" customHeight="1">
      <c r="A437" s="213"/>
      <c r="B437" s="214"/>
      <c r="C437" s="215"/>
      <c r="D437" s="162"/>
      <c r="E437" s="216"/>
      <c r="F437" s="211"/>
      <c r="G437" s="208"/>
      <c r="H437" s="209"/>
      <c r="I437" s="200"/>
      <c r="J437" s="197"/>
    </row>
    <row r="438" ht="22.5" customHeight="1">
      <c r="A438" s="213"/>
      <c r="B438" s="214"/>
      <c r="C438" s="215"/>
      <c r="D438" s="162"/>
      <c r="E438" s="216"/>
      <c r="F438" s="211"/>
      <c r="G438" s="208"/>
      <c r="H438" s="209"/>
      <c r="I438" s="200"/>
      <c r="J438" s="197"/>
    </row>
    <row r="439" ht="22.5" customHeight="1">
      <c r="A439" s="213"/>
      <c r="B439" s="214"/>
      <c r="C439" s="215"/>
      <c r="D439" s="162"/>
      <c r="E439" s="216"/>
      <c r="F439" s="211"/>
      <c r="G439" s="208"/>
      <c r="H439" s="209"/>
      <c r="I439" s="200"/>
      <c r="J439" s="197"/>
    </row>
    <row r="440" ht="22.5" customHeight="1">
      <c r="A440" s="213"/>
      <c r="B440" s="214"/>
      <c r="C440" s="215"/>
      <c r="D440" s="162"/>
      <c r="E440" s="216"/>
      <c r="F440" s="211"/>
      <c r="G440" s="208"/>
      <c r="H440" s="209"/>
      <c r="I440" s="200"/>
      <c r="J440" s="197"/>
    </row>
    <row r="441" ht="22.5" customHeight="1">
      <c r="A441" s="213"/>
      <c r="B441" s="214"/>
      <c r="C441" s="215"/>
      <c r="D441" s="162"/>
      <c r="E441" s="216"/>
      <c r="F441" s="211"/>
      <c r="G441" s="208"/>
      <c r="H441" s="209"/>
      <c r="I441" s="200"/>
      <c r="J441" s="197"/>
    </row>
    <row r="442" ht="22.5" customHeight="1">
      <c r="A442" s="213"/>
      <c r="B442" s="214"/>
      <c r="C442" s="215"/>
      <c r="D442" s="162"/>
      <c r="E442" s="216"/>
      <c r="F442" s="211"/>
      <c r="G442" s="208"/>
      <c r="H442" s="209"/>
      <c r="I442" s="200"/>
      <c r="J442" s="197"/>
    </row>
    <row r="443" ht="22.5" customHeight="1">
      <c r="A443" s="213"/>
      <c r="B443" s="214"/>
      <c r="C443" s="215"/>
      <c r="D443" s="162"/>
      <c r="E443" s="216"/>
      <c r="F443" s="211"/>
      <c r="G443" s="208"/>
      <c r="H443" s="209"/>
      <c r="I443" s="200"/>
      <c r="J443" s="197"/>
    </row>
    <row r="444" ht="22.5" customHeight="1">
      <c r="A444" s="213"/>
      <c r="B444" s="214"/>
      <c r="C444" s="215"/>
      <c r="D444" s="162"/>
      <c r="E444" s="216"/>
      <c r="F444" s="211"/>
      <c r="G444" s="208"/>
      <c r="H444" s="209"/>
      <c r="I444" s="200"/>
      <c r="J444" s="197"/>
    </row>
    <row r="445" ht="22.5" customHeight="1">
      <c r="A445" s="213"/>
      <c r="B445" s="214"/>
      <c r="C445" s="215"/>
      <c r="D445" s="162"/>
      <c r="E445" s="216"/>
      <c r="F445" s="211"/>
      <c r="G445" s="208"/>
      <c r="H445" s="209"/>
      <c r="I445" s="200"/>
      <c r="J445" s="197"/>
    </row>
    <row r="446" ht="22.5" customHeight="1">
      <c r="A446" s="213"/>
      <c r="B446" s="214"/>
      <c r="C446" s="215"/>
      <c r="D446" s="162"/>
      <c r="E446" s="216"/>
      <c r="F446" s="211"/>
      <c r="G446" s="208"/>
      <c r="H446" s="209"/>
      <c r="I446" s="200"/>
      <c r="J446" s="197"/>
    </row>
    <row r="447" ht="22.5" customHeight="1">
      <c r="A447" s="213"/>
      <c r="B447" s="214"/>
      <c r="C447" s="215"/>
      <c r="D447" s="162"/>
      <c r="E447" s="216"/>
      <c r="F447" s="211"/>
      <c r="G447" s="208"/>
      <c r="H447" s="209"/>
      <c r="I447" s="200"/>
      <c r="J447" s="197"/>
    </row>
    <row r="448" ht="22.5" customHeight="1">
      <c r="A448" s="213"/>
      <c r="B448" s="214"/>
      <c r="C448" s="215"/>
      <c r="D448" s="162"/>
      <c r="E448" s="216"/>
      <c r="F448" s="211"/>
      <c r="G448" s="208"/>
      <c r="H448" s="209"/>
      <c r="I448" s="200"/>
      <c r="J448" s="197"/>
    </row>
    <row r="449" ht="22.5" customHeight="1">
      <c r="A449" s="213"/>
      <c r="B449" s="214"/>
      <c r="C449" s="215"/>
      <c r="D449" s="162"/>
      <c r="E449" s="216"/>
      <c r="F449" s="211"/>
      <c r="G449" s="208"/>
      <c r="H449" s="209"/>
      <c r="I449" s="200"/>
      <c r="J449" s="197"/>
    </row>
    <row r="450" ht="22.5" customHeight="1">
      <c r="A450" s="213"/>
      <c r="B450" s="214"/>
      <c r="C450" s="215"/>
      <c r="D450" s="162"/>
      <c r="E450" s="216"/>
      <c r="F450" s="211"/>
      <c r="G450" s="208"/>
      <c r="H450" s="209"/>
      <c r="I450" s="200"/>
      <c r="J450" s="197"/>
    </row>
    <row r="451" ht="22.5" customHeight="1">
      <c r="A451" s="213"/>
      <c r="B451" s="214"/>
      <c r="C451" s="215"/>
      <c r="D451" s="162"/>
      <c r="E451" s="216"/>
      <c r="F451" s="211"/>
      <c r="G451" s="208"/>
      <c r="H451" s="209"/>
      <c r="I451" s="200"/>
      <c r="J451" s="197"/>
    </row>
    <row r="452" ht="22.5" customHeight="1">
      <c r="A452" s="213"/>
      <c r="B452" s="214"/>
      <c r="C452" s="215"/>
      <c r="D452" s="162"/>
      <c r="E452" s="216"/>
      <c r="F452" s="211"/>
      <c r="G452" s="208"/>
      <c r="H452" s="209"/>
      <c r="I452" s="200"/>
      <c r="J452" s="197"/>
    </row>
    <row r="453" ht="22.5" customHeight="1">
      <c r="A453" s="213"/>
      <c r="B453" s="214"/>
      <c r="C453" s="215"/>
      <c r="D453" s="162"/>
      <c r="E453" s="216"/>
      <c r="F453" s="211"/>
      <c r="G453" s="208"/>
      <c r="H453" s="209"/>
      <c r="I453" s="200"/>
      <c r="J453" s="197"/>
    </row>
    <row r="454" ht="22.5" customHeight="1">
      <c r="A454" s="213"/>
      <c r="B454" s="214"/>
      <c r="C454" s="215"/>
      <c r="D454" s="162"/>
      <c r="E454" s="216"/>
      <c r="F454" s="211"/>
      <c r="G454" s="208"/>
      <c r="H454" s="209"/>
      <c r="I454" s="200"/>
      <c r="J454" s="197"/>
    </row>
    <row r="455" ht="22.5" customHeight="1">
      <c r="A455" s="213"/>
      <c r="B455" s="214"/>
      <c r="C455" s="215"/>
      <c r="D455" s="162"/>
      <c r="E455" s="216"/>
      <c r="F455" s="211"/>
      <c r="G455" s="208"/>
      <c r="H455" s="209"/>
      <c r="I455" s="200"/>
      <c r="J455" s="197"/>
    </row>
    <row r="456" ht="22.5" customHeight="1">
      <c r="A456" s="213"/>
      <c r="B456" s="214"/>
      <c r="C456" s="215"/>
      <c r="D456" s="162"/>
      <c r="E456" s="216"/>
      <c r="F456" s="211"/>
      <c r="G456" s="208"/>
      <c r="H456" s="209"/>
      <c r="I456" s="200"/>
      <c r="J456" s="197"/>
    </row>
    <row r="457" ht="22.5" customHeight="1">
      <c r="A457" s="213"/>
      <c r="B457" s="214"/>
      <c r="C457" s="215"/>
      <c r="D457" s="162"/>
      <c r="E457" s="216"/>
      <c r="F457" s="211"/>
      <c r="G457" s="208"/>
      <c r="H457" s="209"/>
      <c r="I457" s="200"/>
      <c r="J457" s="197"/>
    </row>
    <row r="458" ht="22.5" customHeight="1">
      <c r="A458" s="213"/>
      <c r="B458" s="214"/>
      <c r="C458" s="215"/>
      <c r="D458" s="162"/>
      <c r="E458" s="216"/>
      <c r="F458" s="211"/>
      <c r="G458" s="208"/>
      <c r="H458" s="209"/>
      <c r="I458" s="200"/>
      <c r="J458" s="197"/>
    </row>
    <row r="459" ht="22.5" customHeight="1">
      <c r="A459" s="213"/>
      <c r="B459" s="214"/>
      <c r="C459" s="215"/>
      <c r="D459" s="162"/>
      <c r="E459" s="216"/>
      <c r="F459" s="211"/>
      <c r="G459" s="208"/>
      <c r="H459" s="209"/>
      <c r="I459" s="200"/>
      <c r="J459" s="197"/>
    </row>
    <row r="460" ht="22.5" customHeight="1">
      <c r="A460" s="213"/>
      <c r="B460" s="214"/>
      <c r="C460" s="215"/>
      <c r="D460" s="162"/>
      <c r="E460" s="216"/>
      <c r="F460" s="211"/>
      <c r="G460" s="208"/>
      <c r="H460" s="209"/>
      <c r="I460" s="200"/>
      <c r="J460" s="197"/>
    </row>
    <row r="461" ht="22.5" customHeight="1">
      <c r="A461" s="213"/>
      <c r="B461" s="214"/>
      <c r="C461" s="215"/>
      <c r="D461" s="162"/>
      <c r="E461" s="216"/>
      <c r="F461" s="211"/>
      <c r="G461" s="208"/>
      <c r="H461" s="209"/>
      <c r="I461" s="200"/>
      <c r="J461" s="197"/>
    </row>
    <row r="462" ht="22.5" customHeight="1">
      <c r="A462" s="213"/>
      <c r="B462" s="214"/>
      <c r="C462" s="215"/>
      <c r="D462" s="162"/>
      <c r="E462" s="216"/>
      <c r="F462" s="211"/>
      <c r="G462" s="208"/>
      <c r="H462" s="209"/>
      <c r="I462" s="200"/>
      <c r="J462" s="197"/>
    </row>
    <row r="463" ht="22.5" customHeight="1">
      <c r="A463" s="213"/>
      <c r="B463" s="214"/>
      <c r="C463" s="215"/>
      <c r="D463" s="162"/>
      <c r="E463" s="216"/>
      <c r="F463" s="211"/>
      <c r="G463" s="208"/>
      <c r="H463" s="209"/>
      <c r="I463" s="200"/>
      <c r="J463" s="197"/>
    </row>
    <row r="464" ht="22.5" customHeight="1">
      <c r="A464" s="213"/>
      <c r="B464" s="214"/>
      <c r="C464" s="215"/>
      <c r="D464" s="162"/>
      <c r="E464" s="216"/>
      <c r="F464" s="211"/>
      <c r="G464" s="208"/>
      <c r="H464" s="209"/>
      <c r="I464" s="200"/>
      <c r="J464" s="197"/>
    </row>
    <row r="465" ht="22.5" customHeight="1">
      <c r="A465" s="213"/>
      <c r="B465" s="214"/>
      <c r="C465" s="215"/>
      <c r="D465" s="162"/>
      <c r="E465" s="216"/>
      <c r="F465" s="211"/>
      <c r="G465" s="208"/>
      <c r="H465" s="209"/>
      <c r="I465" s="200"/>
      <c r="J465" s="197"/>
    </row>
    <row r="466" ht="22.5" customHeight="1">
      <c r="A466" s="213"/>
      <c r="B466" s="214"/>
      <c r="C466" s="215"/>
      <c r="D466" s="162"/>
      <c r="E466" s="216"/>
      <c r="F466" s="211"/>
      <c r="G466" s="208"/>
      <c r="H466" s="209"/>
      <c r="I466" s="200"/>
      <c r="J466" s="197"/>
    </row>
    <row r="467" ht="22.5" customHeight="1">
      <c r="A467" s="213"/>
      <c r="B467" s="214"/>
      <c r="C467" s="215"/>
      <c r="D467" s="162"/>
      <c r="E467" s="216"/>
      <c r="F467" s="211"/>
      <c r="G467" s="208"/>
      <c r="H467" s="209"/>
      <c r="I467" s="200"/>
      <c r="J467" s="197"/>
    </row>
    <row r="468" ht="22.5" customHeight="1">
      <c r="A468" s="213"/>
      <c r="B468" s="214"/>
      <c r="C468" s="215"/>
      <c r="D468" s="162"/>
      <c r="E468" s="216"/>
      <c r="F468" s="211"/>
      <c r="G468" s="208"/>
      <c r="H468" s="209"/>
      <c r="I468" s="200"/>
      <c r="J468" s="197"/>
    </row>
    <row r="469" ht="22.5" customHeight="1">
      <c r="A469" s="213"/>
      <c r="B469" s="214"/>
      <c r="C469" s="215"/>
      <c r="D469" s="162"/>
      <c r="E469" s="216"/>
      <c r="F469" s="211"/>
      <c r="G469" s="208"/>
      <c r="H469" s="209"/>
      <c r="I469" s="200"/>
      <c r="J469" s="197"/>
    </row>
    <row r="470" ht="22.5" customHeight="1">
      <c r="A470" s="213"/>
      <c r="B470" s="214"/>
      <c r="C470" s="215"/>
      <c r="D470" s="162"/>
      <c r="E470" s="216"/>
      <c r="F470" s="211"/>
      <c r="G470" s="208"/>
      <c r="H470" s="209"/>
      <c r="I470" s="200"/>
      <c r="J470" s="197"/>
    </row>
    <row r="471" ht="22.5" customHeight="1">
      <c r="A471" s="213"/>
      <c r="B471" s="214"/>
      <c r="C471" s="215"/>
      <c r="D471" s="162"/>
      <c r="E471" s="216"/>
      <c r="F471" s="211"/>
      <c r="G471" s="208"/>
      <c r="H471" s="209"/>
      <c r="I471" s="200"/>
      <c r="J471" s="197"/>
    </row>
    <row r="472" ht="22.5" customHeight="1">
      <c r="A472" s="213"/>
      <c r="B472" s="214"/>
      <c r="C472" s="215"/>
      <c r="D472" s="162"/>
      <c r="E472" s="216"/>
      <c r="F472" s="211"/>
      <c r="G472" s="208"/>
      <c r="H472" s="209"/>
      <c r="I472" s="200"/>
      <c r="J472" s="197"/>
    </row>
    <row r="473" ht="22.5" customHeight="1">
      <c r="A473" s="213"/>
      <c r="B473" s="214"/>
      <c r="C473" s="215"/>
      <c r="D473" s="162"/>
      <c r="E473" s="216"/>
      <c r="F473" s="211"/>
      <c r="G473" s="208"/>
      <c r="H473" s="209"/>
      <c r="I473" s="200"/>
      <c r="J473" s="197"/>
    </row>
    <row r="474" ht="22.5" customHeight="1">
      <c r="A474" s="213"/>
      <c r="B474" s="214"/>
      <c r="C474" s="215"/>
      <c r="D474" s="162"/>
      <c r="E474" s="216"/>
      <c r="F474" s="211"/>
      <c r="G474" s="208"/>
      <c r="H474" s="209"/>
      <c r="I474" s="200"/>
      <c r="J474" s="197"/>
    </row>
    <row r="475" ht="22.5" customHeight="1">
      <c r="A475" s="213"/>
      <c r="B475" s="214"/>
      <c r="C475" s="215"/>
      <c r="D475" s="162"/>
      <c r="E475" s="216"/>
      <c r="F475" s="211"/>
      <c r="G475" s="208"/>
      <c r="H475" s="209"/>
      <c r="I475" s="200"/>
      <c r="J475" s="197"/>
    </row>
    <row r="476" ht="22.5" customHeight="1">
      <c r="A476" s="213"/>
      <c r="B476" s="214"/>
      <c r="C476" s="215"/>
      <c r="D476" s="162"/>
      <c r="E476" s="216"/>
      <c r="F476" s="211"/>
      <c r="G476" s="208"/>
      <c r="H476" s="209"/>
      <c r="I476" s="200"/>
      <c r="J476" s="197"/>
    </row>
    <row r="477" ht="22.5" customHeight="1">
      <c r="A477" s="213"/>
      <c r="B477" s="214"/>
      <c r="C477" s="215"/>
      <c r="D477" s="162"/>
      <c r="E477" s="216"/>
      <c r="F477" s="211"/>
      <c r="G477" s="208"/>
      <c r="H477" s="209"/>
      <c r="I477" s="200"/>
      <c r="J477" s="197"/>
    </row>
    <row r="478" ht="22.5" customHeight="1">
      <c r="A478" s="213"/>
      <c r="B478" s="214"/>
      <c r="C478" s="215"/>
      <c r="D478" s="162"/>
      <c r="E478" s="216"/>
      <c r="F478" s="211"/>
      <c r="G478" s="208"/>
      <c r="H478" s="209"/>
      <c r="I478" s="200"/>
      <c r="J478" s="197"/>
    </row>
    <row r="479" ht="22.5" customHeight="1">
      <c r="A479" s="213"/>
      <c r="B479" s="214"/>
      <c r="C479" s="215"/>
      <c r="D479" s="162"/>
      <c r="E479" s="216"/>
      <c r="F479" s="211"/>
      <c r="G479" s="208"/>
      <c r="H479" s="209"/>
      <c r="I479" s="200"/>
      <c r="J479" s="197"/>
    </row>
    <row r="480" ht="22.5" customHeight="1">
      <c r="A480" s="213"/>
      <c r="B480" s="214"/>
      <c r="C480" s="215"/>
      <c r="D480" s="162"/>
      <c r="E480" s="216"/>
      <c r="F480" s="211"/>
      <c r="G480" s="208"/>
      <c r="H480" s="209"/>
      <c r="I480" s="200"/>
      <c r="J480" s="197"/>
    </row>
    <row r="481" ht="22.5" customHeight="1">
      <c r="A481" s="213"/>
      <c r="B481" s="214"/>
      <c r="C481" s="215"/>
      <c r="D481" s="162"/>
      <c r="E481" s="216"/>
      <c r="F481" s="211"/>
      <c r="G481" s="208"/>
      <c r="H481" s="209"/>
      <c r="I481" s="200"/>
      <c r="J481" s="197"/>
    </row>
    <row r="482" ht="22.5" customHeight="1">
      <c r="A482" s="213"/>
      <c r="B482" s="214"/>
      <c r="C482" s="215"/>
      <c r="D482" s="162"/>
      <c r="E482" s="216"/>
      <c r="F482" s="211"/>
      <c r="G482" s="208"/>
      <c r="H482" s="209"/>
      <c r="I482" s="200"/>
      <c r="J482" s="197"/>
    </row>
    <row r="483" ht="22.5" customHeight="1">
      <c r="A483" s="213"/>
      <c r="B483" s="214"/>
      <c r="C483" s="215"/>
      <c r="D483" s="162"/>
      <c r="E483" s="216"/>
      <c r="F483" s="211"/>
      <c r="G483" s="208"/>
      <c r="H483" s="209"/>
      <c r="I483" s="200"/>
      <c r="J483" s="197"/>
    </row>
    <row r="484" ht="22.5" customHeight="1">
      <c r="A484" s="213"/>
      <c r="B484" s="214"/>
      <c r="C484" s="215"/>
      <c r="D484" s="162"/>
      <c r="E484" s="216"/>
      <c r="F484" s="211"/>
      <c r="G484" s="208"/>
      <c r="H484" s="209"/>
      <c r="I484" s="200"/>
      <c r="J484" s="197"/>
    </row>
    <row r="485" ht="22.5" customHeight="1">
      <c r="A485" s="213"/>
      <c r="B485" s="214"/>
      <c r="C485" s="215"/>
      <c r="D485" s="162"/>
      <c r="E485" s="216"/>
      <c r="F485" s="211"/>
      <c r="G485" s="208"/>
      <c r="H485" s="209"/>
      <c r="I485" s="200"/>
      <c r="J485" s="197"/>
    </row>
    <row r="486" ht="22.5" customHeight="1">
      <c r="A486" s="213"/>
      <c r="B486" s="214"/>
      <c r="C486" s="215"/>
      <c r="D486" s="162"/>
      <c r="E486" s="216"/>
      <c r="F486" s="211"/>
      <c r="G486" s="208"/>
      <c r="H486" s="209"/>
      <c r="I486" s="200"/>
      <c r="J486" s="197"/>
    </row>
    <row r="487" ht="22.5" customHeight="1">
      <c r="A487" s="213"/>
      <c r="B487" s="214"/>
      <c r="C487" s="215"/>
      <c r="D487" s="162"/>
      <c r="E487" s="216"/>
      <c r="F487" s="211"/>
      <c r="G487" s="208"/>
      <c r="H487" s="209"/>
      <c r="I487" s="200"/>
      <c r="J487" s="197"/>
    </row>
    <row r="488" ht="22.5" customHeight="1">
      <c r="A488" s="213"/>
      <c r="B488" s="214"/>
      <c r="C488" s="215"/>
      <c r="D488" s="162"/>
      <c r="E488" s="216"/>
      <c r="F488" s="211"/>
      <c r="G488" s="208"/>
      <c r="H488" s="209"/>
      <c r="I488" s="200"/>
      <c r="J488" s="197"/>
    </row>
    <row r="489" ht="22.5" customHeight="1">
      <c r="A489" s="213"/>
      <c r="B489" s="214"/>
      <c r="C489" s="215"/>
      <c r="D489" s="162"/>
      <c r="E489" s="216"/>
      <c r="F489" s="211"/>
      <c r="G489" s="208"/>
      <c r="H489" s="209"/>
      <c r="I489" s="200"/>
      <c r="J489" s="197"/>
    </row>
    <row r="490" ht="22.5" customHeight="1">
      <c r="A490" s="213"/>
      <c r="B490" s="214"/>
      <c r="C490" s="215"/>
      <c r="D490" s="162"/>
      <c r="E490" s="216"/>
      <c r="F490" s="211"/>
      <c r="G490" s="208"/>
      <c r="H490" s="209"/>
      <c r="I490" s="200"/>
      <c r="J490" s="197"/>
    </row>
    <row r="491" ht="22.5" customHeight="1">
      <c r="A491" s="213"/>
      <c r="B491" s="214"/>
      <c r="C491" s="215"/>
      <c r="D491" s="162"/>
      <c r="E491" s="216"/>
      <c r="F491" s="211"/>
      <c r="G491" s="208"/>
      <c r="H491" s="209"/>
      <c r="I491" s="200"/>
      <c r="J491" s="197"/>
    </row>
    <row r="492" ht="22.5" customHeight="1">
      <c r="A492" s="213"/>
      <c r="B492" s="214"/>
      <c r="C492" s="215"/>
      <c r="D492" s="162"/>
      <c r="E492" s="216"/>
      <c r="F492" s="211"/>
      <c r="G492" s="208"/>
      <c r="H492" s="209"/>
      <c r="I492" s="200"/>
      <c r="J492" s="197"/>
    </row>
    <row r="493" ht="22.5" customHeight="1">
      <c r="A493" s="213"/>
      <c r="B493" s="214"/>
      <c r="C493" s="215"/>
      <c r="D493" s="162"/>
      <c r="E493" s="216"/>
      <c r="F493" s="211"/>
      <c r="G493" s="208"/>
      <c r="H493" s="209"/>
      <c r="I493" s="200"/>
      <c r="J493" s="197"/>
    </row>
    <row r="494" ht="22.5" customHeight="1">
      <c r="A494" s="213"/>
      <c r="B494" s="214"/>
      <c r="C494" s="215"/>
      <c r="D494" s="162"/>
      <c r="E494" s="216"/>
      <c r="F494" s="211"/>
      <c r="G494" s="208"/>
      <c r="H494" s="209"/>
      <c r="I494" s="200"/>
      <c r="J494" s="197"/>
    </row>
    <row r="495" ht="22.5" customHeight="1">
      <c r="A495" s="213"/>
      <c r="B495" s="214"/>
      <c r="C495" s="215"/>
      <c r="D495" s="162"/>
      <c r="E495" s="216"/>
      <c r="F495" s="211"/>
      <c r="G495" s="208"/>
      <c r="H495" s="209"/>
      <c r="I495" s="200"/>
      <c r="J495" s="197"/>
    </row>
    <row r="496" ht="22.5" customHeight="1">
      <c r="A496" s="213"/>
      <c r="B496" s="214"/>
      <c r="C496" s="215"/>
      <c r="D496" s="162"/>
      <c r="E496" s="216"/>
      <c r="F496" s="211"/>
      <c r="G496" s="208"/>
      <c r="H496" s="209"/>
      <c r="I496" s="200"/>
      <c r="J496" s="197"/>
    </row>
    <row r="497" ht="22.5" customHeight="1">
      <c r="A497" s="213"/>
      <c r="B497" s="214"/>
      <c r="C497" s="215"/>
      <c r="D497" s="162"/>
      <c r="E497" s="216"/>
      <c r="F497" s="211"/>
      <c r="G497" s="208"/>
      <c r="H497" s="209"/>
      <c r="I497" s="200"/>
      <c r="J497" s="197"/>
    </row>
    <row r="498" ht="22.5" customHeight="1">
      <c r="A498" s="213"/>
      <c r="B498" s="214"/>
      <c r="C498" s="215"/>
      <c r="D498" s="162"/>
      <c r="E498" s="216"/>
      <c r="F498" s="211"/>
      <c r="G498" s="208"/>
      <c r="H498" s="209"/>
      <c r="I498" s="200"/>
      <c r="J498" s="197"/>
    </row>
    <row r="499" ht="22.5" customHeight="1">
      <c r="A499" s="213"/>
      <c r="B499" s="214"/>
      <c r="C499" s="215"/>
      <c r="D499" s="162"/>
      <c r="E499" s="216"/>
      <c r="F499" s="211"/>
      <c r="G499" s="208"/>
      <c r="H499" s="209"/>
      <c r="I499" s="200"/>
      <c r="J499" s="197"/>
    </row>
    <row r="500" ht="22.5" customHeight="1">
      <c r="A500" s="213"/>
      <c r="B500" s="214"/>
      <c r="C500" s="215"/>
      <c r="D500" s="162"/>
      <c r="E500" s="216"/>
      <c r="F500" s="211"/>
      <c r="G500" s="208"/>
      <c r="H500" s="209"/>
      <c r="I500" s="200"/>
      <c r="J500" s="197"/>
    </row>
    <row r="501" ht="22.5" customHeight="1">
      <c r="A501" s="213"/>
      <c r="B501" s="214"/>
      <c r="C501" s="215"/>
      <c r="D501" s="162"/>
      <c r="E501" s="216"/>
      <c r="F501" s="211"/>
      <c r="G501" s="208"/>
      <c r="H501" s="209"/>
      <c r="I501" s="200"/>
      <c r="J501" s="197"/>
    </row>
    <row r="502" ht="22.5" customHeight="1">
      <c r="A502" s="213"/>
      <c r="B502" s="214"/>
      <c r="C502" s="215"/>
      <c r="D502" s="162"/>
      <c r="E502" s="216"/>
      <c r="F502" s="211"/>
      <c r="G502" s="208"/>
      <c r="H502" s="209"/>
      <c r="I502" s="200"/>
      <c r="J502" s="197"/>
    </row>
    <row r="503" ht="22.5" customHeight="1">
      <c r="A503" s="213"/>
      <c r="B503" s="214"/>
      <c r="C503" s="215"/>
      <c r="D503" s="162"/>
      <c r="E503" s="216"/>
      <c r="F503" s="211"/>
      <c r="G503" s="208"/>
      <c r="H503" s="209"/>
      <c r="I503" s="200"/>
      <c r="J503" s="197"/>
    </row>
    <row r="504" ht="22.5" customHeight="1">
      <c r="A504" s="213"/>
      <c r="B504" s="214"/>
      <c r="C504" s="215"/>
      <c r="D504" s="162"/>
      <c r="E504" s="216"/>
      <c r="F504" s="211"/>
      <c r="G504" s="208"/>
      <c r="H504" s="209"/>
      <c r="I504" s="200"/>
      <c r="J504" s="197"/>
    </row>
    <row r="505" ht="22.5" customHeight="1">
      <c r="A505" s="213"/>
      <c r="B505" s="214"/>
      <c r="C505" s="215"/>
      <c r="D505" s="162"/>
      <c r="E505" s="216"/>
      <c r="F505" s="211"/>
      <c r="G505" s="208"/>
      <c r="H505" s="209"/>
      <c r="I505" s="200"/>
      <c r="J505" s="197"/>
    </row>
    <row r="506" ht="22.5" customHeight="1">
      <c r="A506" s="213"/>
      <c r="B506" s="214"/>
      <c r="C506" s="215"/>
      <c r="D506" s="162"/>
      <c r="E506" s="216"/>
      <c r="F506" s="211"/>
      <c r="G506" s="208"/>
      <c r="H506" s="209"/>
      <c r="I506" s="200"/>
      <c r="J506" s="197"/>
    </row>
    <row r="507" ht="22.5" customHeight="1">
      <c r="A507" s="213"/>
      <c r="B507" s="214"/>
      <c r="C507" s="215"/>
      <c r="D507" s="162"/>
      <c r="E507" s="216"/>
      <c r="F507" s="211"/>
      <c r="G507" s="208"/>
      <c r="H507" s="209"/>
      <c r="I507" s="200"/>
      <c r="J507" s="197"/>
    </row>
    <row r="508" ht="22.5" customHeight="1">
      <c r="A508" s="213"/>
      <c r="B508" s="214"/>
      <c r="C508" s="215"/>
      <c r="D508" s="162"/>
      <c r="E508" s="216"/>
      <c r="F508" s="211"/>
      <c r="G508" s="208"/>
      <c r="H508" s="209"/>
      <c r="I508" s="200"/>
      <c r="J508" s="197"/>
    </row>
    <row r="509" ht="22.5" customHeight="1">
      <c r="A509" s="213"/>
      <c r="B509" s="214"/>
      <c r="C509" s="215"/>
      <c r="D509" s="162"/>
      <c r="E509" s="216"/>
      <c r="F509" s="211"/>
      <c r="G509" s="208"/>
      <c r="H509" s="209"/>
      <c r="I509" s="200"/>
      <c r="J509" s="197"/>
    </row>
    <row r="510" ht="22.5" customHeight="1">
      <c r="A510" s="213"/>
      <c r="B510" s="214"/>
      <c r="C510" s="215"/>
      <c r="D510" s="162"/>
      <c r="E510" s="216"/>
      <c r="F510" s="211"/>
      <c r="G510" s="208"/>
      <c r="H510" s="209"/>
      <c r="I510" s="200"/>
      <c r="J510" s="197"/>
    </row>
    <row r="511" ht="22.5" customHeight="1">
      <c r="A511" s="213"/>
      <c r="B511" s="214"/>
      <c r="C511" s="215"/>
      <c r="D511" s="162"/>
      <c r="E511" s="216"/>
      <c r="F511" s="211"/>
      <c r="G511" s="208"/>
      <c r="H511" s="209"/>
      <c r="I511" s="200"/>
      <c r="J511" s="197"/>
    </row>
    <row r="512" ht="22.5" customHeight="1">
      <c r="A512" s="213"/>
      <c r="B512" s="214"/>
      <c r="C512" s="215"/>
      <c r="D512" s="162"/>
      <c r="E512" s="216"/>
      <c r="F512" s="211"/>
      <c r="G512" s="208"/>
      <c r="H512" s="209"/>
      <c r="I512" s="200"/>
      <c r="J512" s="197"/>
    </row>
    <row r="513" ht="22.5" customHeight="1">
      <c r="A513" s="213"/>
      <c r="B513" s="214"/>
      <c r="C513" s="215"/>
      <c r="D513" s="162"/>
      <c r="E513" s="216"/>
      <c r="F513" s="211"/>
      <c r="G513" s="208"/>
      <c r="H513" s="209"/>
      <c r="I513" s="200"/>
      <c r="J513" s="197"/>
    </row>
    <row r="514" ht="22.5" customHeight="1">
      <c r="A514" s="213"/>
      <c r="B514" s="214"/>
      <c r="C514" s="215"/>
      <c r="D514" s="162"/>
      <c r="E514" s="216"/>
      <c r="F514" s="211"/>
      <c r="G514" s="208"/>
      <c r="H514" s="209"/>
      <c r="I514" s="200"/>
      <c r="J514" s="197"/>
    </row>
    <row r="515" ht="22.5" customHeight="1">
      <c r="A515" s="213"/>
      <c r="B515" s="214"/>
      <c r="C515" s="215"/>
      <c r="D515" s="162"/>
      <c r="E515" s="216"/>
      <c r="F515" s="211"/>
      <c r="G515" s="208"/>
      <c r="H515" s="209"/>
      <c r="I515" s="200"/>
      <c r="J515" s="197"/>
    </row>
    <row r="516" ht="22.5" customHeight="1">
      <c r="A516" s="213"/>
      <c r="B516" s="214"/>
      <c r="C516" s="215"/>
      <c r="D516" s="162"/>
      <c r="E516" s="216"/>
      <c r="F516" s="211"/>
      <c r="G516" s="208"/>
      <c r="H516" s="209"/>
      <c r="I516" s="200"/>
      <c r="J516" s="197"/>
    </row>
    <row r="517" ht="22.5" customHeight="1">
      <c r="A517" s="213"/>
      <c r="B517" s="214"/>
      <c r="C517" s="215"/>
      <c r="D517" s="162"/>
      <c r="E517" s="216"/>
      <c r="F517" s="211"/>
      <c r="G517" s="208"/>
      <c r="H517" s="209"/>
      <c r="I517" s="200"/>
      <c r="J517" s="197"/>
    </row>
    <row r="518" ht="22.5" customHeight="1">
      <c r="A518" s="213"/>
      <c r="B518" s="214"/>
      <c r="C518" s="215"/>
      <c r="D518" s="162"/>
      <c r="E518" s="216"/>
      <c r="F518" s="211"/>
      <c r="G518" s="208"/>
      <c r="H518" s="209"/>
      <c r="I518" s="200"/>
      <c r="J518" s="197"/>
    </row>
    <row r="519" ht="22.5" customHeight="1">
      <c r="A519" s="213"/>
      <c r="B519" s="214"/>
      <c r="C519" s="215"/>
      <c r="D519" s="162"/>
      <c r="E519" s="216"/>
      <c r="F519" s="211"/>
      <c r="G519" s="208"/>
      <c r="H519" s="209"/>
      <c r="I519" s="200"/>
      <c r="J519" s="197"/>
    </row>
    <row r="520" ht="22.5" customHeight="1">
      <c r="A520" s="213"/>
      <c r="B520" s="214"/>
      <c r="C520" s="215"/>
      <c r="D520" s="162"/>
      <c r="E520" s="216"/>
      <c r="F520" s="211"/>
      <c r="G520" s="208"/>
      <c r="H520" s="209"/>
      <c r="I520" s="200"/>
      <c r="J520" s="197"/>
    </row>
    <row r="521" ht="22.5" customHeight="1">
      <c r="A521" s="213"/>
      <c r="B521" s="214"/>
      <c r="C521" s="215"/>
      <c r="D521" s="162"/>
      <c r="E521" s="216"/>
      <c r="F521" s="211"/>
      <c r="G521" s="208"/>
      <c r="H521" s="209"/>
      <c r="I521" s="200"/>
      <c r="J521" s="197"/>
    </row>
    <row r="522" ht="22.5" customHeight="1">
      <c r="A522" s="213"/>
      <c r="B522" s="214"/>
      <c r="C522" s="215"/>
      <c r="D522" s="162"/>
      <c r="E522" s="216"/>
      <c r="F522" s="211"/>
      <c r="G522" s="208"/>
      <c r="H522" s="209"/>
      <c r="I522" s="200"/>
      <c r="J522" s="197"/>
    </row>
    <row r="523" ht="22.5" customHeight="1">
      <c r="A523" s="213"/>
      <c r="B523" s="214"/>
      <c r="C523" s="215"/>
      <c r="D523" s="162"/>
      <c r="E523" s="216"/>
      <c r="F523" s="211"/>
      <c r="G523" s="208"/>
      <c r="H523" s="209"/>
      <c r="I523" s="200"/>
      <c r="J523" s="197"/>
    </row>
    <row r="524" ht="22.5" customHeight="1">
      <c r="A524" s="213"/>
      <c r="B524" s="214"/>
      <c r="C524" s="215"/>
      <c r="D524" s="162"/>
      <c r="E524" s="216"/>
      <c r="F524" s="211"/>
      <c r="G524" s="208"/>
      <c r="H524" s="209"/>
      <c r="I524" s="200"/>
      <c r="J524" s="197"/>
    </row>
    <row r="525" ht="22.5" customHeight="1">
      <c r="A525" s="213"/>
      <c r="B525" s="214"/>
      <c r="C525" s="215"/>
      <c r="D525" s="162"/>
      <c r="E525" s="216"/>
      <c r="F525" s="211"/>
      <c r="G525" s="208"/>
      <c r="H525" s="209"/>
      <c r="I525" s="200"/>
      <c r="J525" s="197"/>
    </row>
    <row r="526" ht="22.5" customHeight="1">
      <c r="A526" s="213"/>
      <c r="B526" s="214"/>
      <c r="C526" s="215"/>
      <c r="D526" s="162"/>
      <c r="E526" s="216"/>
      <c r="F526" s="211"/>
      <c r="G526" s="208"/>
      <c r="H526" s="209"/>
      <c r="I526" s="200"/>
      <c r="J526" s="197"/>
    </row>
    <row r="527" ht="22.5" customHeight="1">
      <c r="A527" s="213"/>
      <c r="B527" s="214"/>
      <c r="C527" s="215"/>
      <c r="D527" s="162"/>
      <c r="E527" s="216"/>
      <c r="F527" s="211"/>
      <c r="G527" s="208"/>
      <c r="H527" s="209"/>
      <c r="I527" s="200"/>
      <c r="J527" s="197"/>
    </row>
    <row r="528" ht="22.5" customHeight="1">
      <c r="A528" s="213"/>
      <c r="B528" s="214"/>
      <c r="C528" s="215"/>
      <c r="D528" s="162"/>
      <c r="E528" s="216"/>
      <c r="F528" s="211"/>
      <c r="G528" s="208"/>
      <c r="H528" s="209"/>
      <c r="I528" s="200"/>
      <c r="J528" s="197"/>
    </row>
    <row r="529" ht="22.5" customHeight="1">
      <c r="A529" s="213"/>
      <c r="B529" s="214"/>
      <c r="C529" s="215"/>
      <c r="D529" s="162"/>
      <c r="E529" s="216"/>
      <c r="F529" s="211"/>
      <c r="G529" s="208"/>
      <c r="H529" s="209"/>
      <c r="I529" s="200"/>
      <c r="J529" s="197"/>
    </row>
    <row r="530" ht="22.5" customHeight="1">
      <c r="A530" s="213"/>
      <c r="B530" s="214"/>
      <c r="C530" s="215"/>
      <c r="D530" s="162"/>
      <c r="E530" s="216"/>
      <c r="F530" s="211"/>
      <c r="G530" s="208"/>
      <c r="H530" s="209"/>
      <c r="I530" s="200"/>
      <c r="J530" s="197"/>
    </row>
    <row r="531" ht="22.5" customHeight="1">
      <c r="A531" s="213"/>
      <c r="B531" s="214"/>
      <c r="C531" s="215"/>
      <c r="D531" s="162"/>
      <c r="E531" s="216"/>
      <c r="F531" s="211"/>
      <c r="G531" s="208"/>
      <c r="H531" s="209"/>
      <c r="I531" s="200"/>
      <c r="J531" s="197"/>
    </row>
    <row r="532" ht="22.5" customHeight="1">
      <c r="A532" s="213"/>
      <c r="B532" s="214"/>
      <c r="C532" s="215"/>
      <c r="D532" s="162"/>
      <c r="E532" s="216"/>
      <c r="F532" s="211"/>
      <c r="G532" s="208"/>
      <c r="H532" s="209"/>
      <c r="I532" s="200"/>
      <c r="J532" s="197"/>
    </row>
    <row r="533" ht="22.5" customHeight="1">
      <c r="A533" s="213"/>
      <c r="B533" s="214"/>
      <c r="C533" s="215"/>
      <c r="D533" s="162"/>
      <c r="E533" s="216"/>
      <c r="F533" s="211"/>
      <c r="G533" s="208"/>
      <c r="H533" s="209"/>
      <c r="I533" s="200"/>
      <c r="J533" s="197"/>
    </row>
    <row r="534" ht="22.5" customHeight="1">
      <c r="A534" s="213"/>
      <c r="B534" s="214"/>
      <c r="C534" s="215"/>
      <c r="D534" s="162"/>
      <c r="E534" s="216"/>
      <c r="F534" s="211"/>
      <c r="G534" s="208"/>
      <c r="H534" s="209"/>
      <c r="I534" s="200"/>
      <c r="J534" s="197"/>
    </row>
    <row r="535" ht="22.5" customHeight="1">
      <c r="A535" s="213"/>
      <c r="B535" s="214"/>
      <c r="C535" s="215"/>
      <c r="D535" s="162"/>
      <c r="E535" s="216"/>
      <c r="F535" s="211"/>
      <c r="G535" s="208"/>
      <c r="H535" s="209"/>
      <c r="I535" s="200"/>
      <c r="J535" s="197"/>
    </row>
    <row r="536" ht="22.5" customHeight="1">
      <c r="A536" s="213"/>
      <c r="B536" s="214"/>
      <c r="C536" s="215"/>
      <c r="D536" s="162"/>
      <c r="E536" s="216"/>
      <c r="F536" s="211"/>
      <c r="G536" s="208"/>
      <c r="H536" s="209"/>
      <c r="I536" s="200"/>
      <c r="J536" s="197"/>
    </row>
    <row r="537" ht="22.5" customHeight="1">
      <c r="A537" s="213"/>
      <c r="B537" s="214"/>
      <c r="C537" s="215"/>
      <c r="D537" s="162"/>
      <c r="E537" s="216"/>
      <c r="F537" s="211"/>
      <c r="G537" s="208"/>
      <c r="H537" s="209"/>
      <c r="I537" s="200"/>
      <c r="J537" s="197"/>
    </row>
    <row r="538" ht="22.5" customHeight="1">
      <c r="A538" s="213"/>
      <c r="B538" s="214"/>
      <c r="C538" s="215"/>
      <c r="D538" s="162"/>
      <c r="E538" s="216"/>
      <c r="F538" s="211"/>
      <c r="G538" s="208"/>
      <c r="H538" s="209"/>
      <c r="I538" s="200"/>
      <c r="J538" s="197"/>
    </row>
    <row r="539" ht="22.5" customHeight="1">
      <c r="A539" s="213"/>
      <c r="B539" s="214"/>
      <c r="C539" s="215"/>
      <c r="D539" s="162"/>
      <c r="E539" s="216"/>
      <c r="F539" s="211"/>
      <c r="G539" s="208"/>
      <c r="H539" s="209"/>
      <c r="I539" s="200"/>
      <c r="J539" s="197"/>
    </row>
    <row r="540" ht="22.5" customHeight="1">
      <c r="A540" s="213"/>
      <c r="B540" s="214"/>
      <c r="C540" s="215"/>
      <c r="D540" s="162"/>
      <c r="E540" s="216"/>
      <c r="F540" s="211"/>
      <c r="G540" s="208"/>
      <c r="H540" s="209"/>
      <c r="I540" s="200"/>
      <c r="J540" s="197"/>
    </row>
    <row r="541" ht="22.5" customHeight="1">
      <c r="A541" s="213"/>
      <c r="B541" s="214"/>
      <c r="C541" s="215"/>
      <c r="D541" s="162"/>
      <c r="E541" s="216"/>
      <c r="F541" s="211"/>
      <c r="G541" s="208"/>
      <c r="H541" s="209"/>
      <c r="I541" s="200"/>
      <c r="J541" s="197"/>
    </row>
    <row r="542" ht="22.5" customHeight="1">
      <c r="A542" s="213"/>
      <c r="B542" s="214"/>
      <c r="C542" s="215"/>
      <c r="D542" s="162"/>
      <c r="E542" s="216"/>
      <c r="F542" s="211"/>
      <c r="G542" s="208"/>
      <c r="H542" s="209"/>
      <c r="I542" s="200"/>
      <c r="J542" s="197"/>
    </row>
    <row r="543" ht="22.5" customHeight="1">
      <c r="A543" s="213"/>
      <c r="B543" s="214"/>
      <c r="C543" s="215"/>
      <c r="D543" s="162"/>
      <c r="E543" s="216"/>
      <c r="F543" s="211"/>
      <c r="G543" s="208"/>
      <c r="H543" s="209"/>
      <c r="I543" s="200"/>
      <c r="J543" s="197"/>
    </row>
    <row r="544" ht="22.5" customHeight="1">
      <c r="A544" s="213"/>
      <c r="B544" s="214"/>
      <c r="C544" s="215"/>
      <c r="D544" s="162"/>
      <c r="E544" s="216"/>
      <c r="F544" s="211"/>
      <c r="G544" s="208"/>
      <c r="H544" s="209"/>
      <c r="I544" s="200"/>
      <c r="J544" s="197"/>
    </row>
    <row r="545" ht="22.5" customHeight="1">
      <c r="A545" s="213"/>
      <c r="B545" s="214"/>
      <c r="C545" s="215"/>
      <c r="D545" s="162"/>
      <c r="E545" s="216"/>
      <c r="F545" s="211"/>
      <c r="G545" s="208"/>
      <c r="H545" s="209"/>
      <c r="I545" s="200"/>
      <c r="J545" s="197"/>
    </row>
    <row r="546" ht="22.5" customHeight="1">
      <c r="A546" s="213"/>
      <c r="B546" s="214"/>
      <c r="C546" s="215"/>
      <c r="D546" s="162"/>
      <c r="E546" s="216"/>
      <c r="F546" s="211"/>
      <c r="G546" s="208"/>
      <c r="H546" s="209"/>
      <c r="I546" s="200"/>
      <c r="J546" s="197"/>
    </row>
    <row r="547" ht="22.5" customHeight="1">
      <c r="A547" s="213"/>
      <c r="B547" s="214"/>
      <c r="C547" s="215"/>
      <c r="D547" s="162"/>
      <c r="E547" s="216"/>
      <c r="F547" s="211"/>
      <c r="G547" s="208"/>
      <c r="H547" s="209"/>
      <c r="I547" s="200"/>
      <c r="J547" s="197"/>
    </row>
    <row r="548" ht="22.5" customHeight="1">
      <c r="A548" s="213"/>
      <c r="B548" s="214"/>
      <c r="C548" s="215"/>
      <c r="D548" s="162"/>
      <c r="E548" s="216"/>
      <c r="F548" s="211"/>
      <c r="G548" s="208"/>
      <c r="H548" s="209"/>
      <c r="I548" s="200"/>
      <c r="J548" s="197"/>
    </row>
    <row r="549" ht="22.5" customHeight="1">
      <c r="A549" s="213"/>
      <c r="B549" s="214"/>
      <c r="C549" s="215"/>
      <c r="D549" s="162"/>
      <c r="E549" s="216"/>
      <c r="F549" s="211"/>
      <c r="G549" s="208"/>
      <c r="H549" s="209"/>
      <c r="I549" s="200"/>
      <c r="J549" s="197"/>
    </row>
    <row r="550" ht="22.5" customHeight="1">
      <c r="A550" s="213"/>
      <c r="B550" s="214"/>
      <c r="C550" s="215"/>
      <c r="D550" s="162"/>
      <c r="E550" s="216"/>
      <c r="F550" s="211"/>
      <c r="G550" s="208"/>
      <c r="H550" s="209"/>
      <c r="I550" s="200"/>
      <c r="J550" s="197"/>
    </row>
    <row r="551" ht="22.5" customHeight="1">
      <c r="A551" s="213"/>
      <c r="B551" s="214"/>
      <c r="C551" s="215"/>
      <c r="D551" s="162"/>
      <c r="E551" s="216"/>
      <c r="F551" s="211"/>
      <c r="G551" s="208"/>
      <c r="H551" s="209"/>
      <c r="I551" s="200"/>
      <c r="J551" s="197"/>
    </row>
    <row r="552" ht="22.5" customHeight="1">
      <c r="A552" s="213"/>
      <c r="B552" s="214"/>
      <c r="C552" s="215"/>
      <c r="D552" s="162"/>
      <c r="E552" s="216"/>
      <c r="F552" s="211"/>
      <c r="G552" s="208"/>
      <c r="H552" s="209"/>
      <c r="I552" s="200"/>
      <c r="J552" s="197"/>
    </row>
    <row r="553" ht="22.5" customHeight="1">
      <c r="A553" s="213"/>
      <c r="B553" s="214"/>
      <c r="C553" s="215"/>
      <c r="D553" s="162"/>
      <c r="E553" s="216"/>
      <c r="F553" s="211"/>
      <c r="G553" s="208"/>
      <c r="H553" s="209"/>
      <c r="I553" s="200"/>
      <c r="J553" s="197"/>
    </row>
    <row r="554" ht="22.5" customHeight="1">
      <c r="A554" s="213"/>
      <c r="B554" s="214"/>
      <c r="C554" s="215"/>
      <c r="D554" s="162"/>
      <c r="E554" s="216"/>
      <c r="F554" s="211"/>
      <c r="G554" s="208"/>
      <c r="H554" s="209"/>
      <c r="I554" s="200"/>
      <c r="J554" s="197"/>
    </row>
    <row r="555" ht="22.5" customHeight="1">
      <c r="A555" s="213"/>
      <c r="B555" s="214"/>
      <c r="C555" s="215"/>
      <c r="D555" s="162"/>
      <c r="E555" s="216"/>
      <c r="F555" s="211"/>
      <c r="G555" s="208"/>
      <c r="H555" s="209"/>
      <c r="I555" s="200"/>
      <c r="J555" s="197"/>
    </row>
    <row r="556" ht="22.5" customHeight="1">
      <c r="A556" s="213"/>
      <c r="B556" s="214"/>
      <c r="C556" s="215"/>
      <c r="D556" s="162"/>
      <c r="E556" s="216"/>
      <c r="F556" s="211"/>
      <c r="G556" s="208"/>
      <c r="H556" s="209"/>
      <c r="I556" s="200"/>
      <c r="J556" s="197"/>
    </row>
    <row r="557" ht="22.5" customHeight="1">
      <c r="A557" s="213"/>
      <c r="B557" s="214"/>
      <c r="C557" s="215"/>
      <c r="D557" s="162"/>
      <c r="E557" s="216"/>
      <c r="F557" s="211"/>
      <c r="G557" s="208"/>
      <c r="H557" s="209"/>
      <c r="I557" s="200"/>
      <c r="J557" s="197"/>
    </row>
    <row r="558" ht="22.5" customHeight="1">
      <c r="A558" s="213"/>
      <c r="B558" s="214"/>
      <c r="C558" s="215"/>
      <c r="D558" s="162"/>
      <c r="E558" s="216"/>
      <c r="F558" s="211"/>
      <c r="G558" s="208"/>
      <c r="H558" s="209"/>
      <c r="I558" s="200"/>
      <c r="J558" s="197"/>
    </row>
    <row r="559" ht="22.5" customHeight="1">
      <c r="A559" s="213"/>
      <c r="B559" s="214"/>
      <c r="C559" s="215"/>
      <c r="D559" s="162"/>
      <c r="E559" s="216"/>
      <c r="F559" s="211"/>
      <c r="G559" s="208"/>
      <c r="H559" s="209"/>
      <c r="I559" s="200"/>
      <c r="J559" s="197"/>
    </row>
    <row r="560" ht="22.5" customHeight="1">
      <c r="A560" s="213"/>
      <c r="B560" s="214"/>
      <c r="C560" s="215"/>
      <c r="D560" s="162"/>
      <c r="E560" s="216"/>
      <c r="F560" s="211"/>
      <c r="G560" s="208"/>
      <c r="H560" s="209"/>
      <c r="I560" s="200"/>
      <c r="J560" s="197"/>
    </row>
    <row r="561" ht="22.5" customHeight="1">
      <c r="A561" s="213"/>
      <c r="B561" s="214"/>
      <c r="C561" s="215"/>
      <c r="D561" s="162"/>
      <c r="E561" s="216"/>
      <c r="F561" s="211"/>
      <c r="G561" s="208"/>
      <c r="H561" s="209"/>
      <c r="I561" s="200"/>
      <c r="J561" s="197"/>
    </row>
    <row r="562" ht="22.5" customHeight="1">
      <c r="A562" s="213"/>
      <c r="B562" s="214"/>
      <c r="C562" s="215"/>
      <c r="D562" s="162"/>
      <c r="E562" s="216"/>
      <c r="F562" s="211"/>
      <c r="G562" s="208"/>
      <c r="H562" s="209"/>
      <c r="I562" s="200"/>
      <c r="J562" s="197"/>
    </row>
    <row r="563" ht="22.5" customHeight="1">
      <c r="A563" s="213"/>
      <c r="B563" s="214"/>
      <c r="C563" s="215"/>
      <c r="D563" s="162"/>
      <c r="E563" s="216"/>
      <c r="F563" s="211"/>
      <c r="G563" s="208"/>
      <c r="H563" s="209"/>
      <c r="I563" s="200"/>
      <c r="J563" s="197"/>
    </row>
    <row r="564" ht="22.5" customHeight="1">
      <c r="A564" s="213"/>
      <c r="B564" s="214"/>
      <c r="C564" s="215"/>
      <c r="D564" s="162"/>
      <c r="E564" s="216"/>
      <c r="F564" s="211"/>
      <c r="G564" s="208"/>
      <c r="H564" s="209"/>
      <c r="I564" s="200"/>
      <c r="J564" s="197"/>
    </row>
    <row r="565" ht="22.5" customHeight="1">
      <c r="A565" s="213"/>
      <c r="B565" s="214"/>
      <c r="C565" s="215"/>
      <c r="D565" s="162"/>
      <c r="E565" s="216"/>
      <c r="F565" s="211"/>
      <c r="G565" s="208"/>
      <c r="H565" s="209"/>
      <c r="I565" s="200"/>
      <c r="J565" s="197"/>
    </row>
    <row r="566" ht="22.5" customHeight="1">
      <c r="A566" s="213"/>
      <c r="B566" s="214"/>
      <c r="C566" s="215"/>
      <c r="D566" s="162"/>
      <c r="E566" s="216"/>
      <c r="F566" s="211"/>
      <c r="G566" s="208"/>
      <c r="H566" s="209"/>
      <c r="I566" s="200"/>
      <c r="J566" s="197"/>
    </row>
    <row r="567" ht="22.5" customHeight="1">
      <c r="A567" s="213"/>
      <c r="B567" s="214"/>
      <c r="C567" s="215"/>
      <c r="D567" s="162"/>
      <c r="E567" s="216"/>
      <c r="F567" s="211"/>
      <c r="G567" s="208"/>
      <c r="H567" s="209"/>
      <c r="I567" s="200"/>
      <c r="J567" s="197"/>
    </row>
    <row r="568" ht="22.5" customHeight="1">
      <c r="A568" s="213"/>
      <c r="B568" s="214"/>
      <c r="C568" s="215"/>
      <c r="D568" s="162"/>
      <c r="E568" s="216"/>
      <c r="F568" s="211"/>
      <c r="G568" s="208"/>
      <c r="H568" s="209"/>
      <c r="I568" s="200"/>
      <c r="J568" s="197"/>
    </row>
    <row r="569" ht="22.5" customHeight="1">
      <c r="A569" s="213"/>
      <c r="B569" s="214"/>
      <c r="C569" s="215"/>
      <c r="D569" s="162"/>
      <c r="E569" s="216"/>
      <c r="F569" s="211"/>
      <c r="G569" s="208"/>
      <c r="H569" s="209"/>
      <c r="I569" s="200"/>
      <c r="J569" s="197"/>
    </row>
    <row r="570" ht="22.5" customHeight="1">
      <c r="A570" s="213"/>
      <c r="B570" s="214"/>
      <c r="C570" s="215"/>
      <c r="D570" s="162"/>
      <c r="E570" s="216"/>
      <c r="F570" s="211"/>
      <c r="G570" s="208"/>
      <c r="H570" s="209"/>
      <c r="I570" s="200"/>
      <c r="J570" s="197"/>
    </row>
    <row r="571" ht="22.5" customHeight="1">
      <c r="A571" s="213"/>
      <c r="B571" s="214"/>
      <c r="C571" s="215"/>
      <c r="D571" s="162"/>
      <c r="E571" s="216"/>
      <c r="F571" s="211"/>
      <c r="G571" s="208"/>
      <c r="H571" s="209"/>
      <c r="I571" s="200"/>
      <c r="J571" s="197"/>
    </row>
    <row r="572" ht="22.5" customHeight="1">
      <c r="A572" s="213"/>
      <c r="B572" s="214"/>
      <c r="C572" s="215"/>
      <c r="D572" s="162"/>
      <c r="E572" s="216"/>
      <c r="F572" s="211"/>
      <c r="G572" s="208"/>
      <c r="H572" s="209"/>
      <c r="I572" s="200"/>
      <c r="J572" s="197"/>
    </row>
    <row r="573" ht="22.5" customHeight="1">
      <c r="A573" s="213"/>
      <c r="B573" s="214"/>
      <c r="C573" s="215"/>
      <c r="D573" s="162"/>
      <c r="E573" s="216"/>
      <c r="F573" s="211"/>
      <c r="G573" s="208"/>
      <c r="H573" s="209"/>
      <c r="I573" s="200"/>
      <c r="J573" s="197"/>
    </row>
    <row r="574" ht="22.5" customHeight="1">
      <c r="A574" s="213"/>
      <c r="B574" s="214"/>
      <c r="C574" s="215"/>
      <c r="D574" s="162"/>
      <c r="E574" s="216"/>
      <c r="F574" s="211"/>
      <c r="G574" s="208"/>
      <c r="H574" s="209"/>
      <c r="I574" s="200"/>
      <c r="J574" s="197"/>
    </row>
    <row r="575" ht="22.5" customHeight="1">
      <c r="A575" s="213"/>
      <c r="B575" s="214"/>
      <c r="C575" s="215"/>
      <c r="D575" s="162"/>
      <c r="E575" s="216"/>
      <c r="F575" s="211"/>
      <c r="G575" s="208"/>
      <c r="H575" s="209"/>
      <c r="I575" s="200"/>
      <c r="J575" s="197"/>
    </row>
    <row r="576" ht="22.5" customHeight="1">
      <c r="A576" s="213"/>
      <c r="B576" s="214"/>
      <c r="C576" s="215"/>
      <c r="D576" s="162"/>
      <c r="E576" s="216"/>
      <c r="F576" s="211"/>
      <c r="G576" s="208"/>
      <c r="H576" s="209"/>
      <c r="I576" s="200"/>
      <c r="J576" s="197"/>
    </row>
    <row r="577" ht="22.5" customHeight="1">
      <c r="A577" s="213"/>
      <c r="B577" s="214"/>
      <c r="C577" s="215"/>
      <c r="D577" s="162"/>
      <c r="E577" s="216"/>
      <c r="F577" s="211"/>
      <c r="G577" s="208"/>
      <c r="H577" s="209"/>
      <c r="I577" s="200"/>
      <c r="J577" s="197"/>
    </row>
    <row r="578" ht="22.5" customHeight="1">
      <c r="A578" s="213"/>
      <c r="B578" s="214"/>
      <c r="C578" s="215"/>
      <c r="D578" s="162"/>
      <c r="E578" s="216"/>
      <c r="F578" s="211"/>
      <c r="G578" s="208"/>
      <c r="H578" s="209"/>
      <c r="I578" s="200"/>
      <c r="J578" s="197"/>
    </row>
    <row r="579" ht="22.5" customHeight="1">
      <c r="A579" s="213"/>
      <c r="B579" s="214"/>
      <c r="C579" s="215"/>
      <c r="D579" s="162"/>
      <c r="E579" s="216"/>
      <c r="F579" s="211"/>
      <c r="G579" s="208"/>
      <c r="H579" s="209"/>
      <c r="I579" s="200"/>
      <c r="J579" s="197"/>
    </row>
    <row r="580" ht="22.5" customHeight="1">
      <c r="A580" s="213"/>
      <c r="B580" s="214"/>
      <c r="C580" s="215"/>
      <c r="D580" s="162"/>
      <c r="E580" s="216"/>
      <c r="F580" s="211"/>
      <c r="G580" s="208"/>
      <c r="H580" s="209"/>
      <c r="I580" s="200"/>
      <c r="J580" s="197"/>
    </row>
    <row r="581" ht="22.5" customHeight="1">
      <c r="A581" s="213"/>
      <c r="B581" s="214"/>
      <c r="C581" s="215"/>
      <c r="D581" s="162"/>
      <c r="E581" s="216"/>
      <c r="F581" s="211"/>
      <c r="G581" s="208"/>
      <c r="H581" s="209"/>
      <c r="I581" s="200"/>
      <c r="J581" s="197"/>
    </row>
    <row r="582" ht="22.5" customHeight="1">
      <c r="A582" s="213"/>
      <c r="B582" s="214"/>
      <c r="C582" s="215"/>
      <c r="D582" s="162"/>
      <c r="E582" s="216"/>
      <c r="F582" s="211"/>
      <c r="G582" s="208"/>
      <c r="H582" s="209"/>
      <c r="I582" s="200"/>
      <c r="J582" s="197"/>
    </row>
    <row r="583" ht="22.5" customHeight="1">
      <c r="A583" s="213"/>
      <c r="B583" s="214"/>
      <c r="C583" s="215"/>
      <c r="D583" s="162"/>
      <c r="E583" s="216"/>
      <c r="F583" s="211"/>
      <c r="G583" s="208"/>
      <c r="H583" s="209"/>
      <c r="I583" s="200"/>
      <c r="J583" s="197"/>
    </row>
    <row r="584" ht="22.5" customHeight="1">
      <c r="A584" s="213"/>
      <c r="B584" s="214"/>
      <c r="C584" s="215"/>
      <c r="D584" s="162"/>
      <c r="E584" s="216"/>
      <c r="F584" s="211"/>
      <c r="G584" s="208"/>
      <c r="H584" s="209"/>
      <c r="I584" s="200"/>
      <c r="J584" s="197"/>
    </row>
    <row r="585" ht="22.5" customHeight="1">
      <c r="A585" s="213"/>
      <c r="B585" s="214"/>
      <c r="C585" s="215"/>
      <c r="D585" s="162"/>
      <c r="E585" s="216"/>
      <c r="F585" s="211"/>
      <c r="G585" s="208"/>
      <c r="H585" s="209"/>
      <c r="I585" s="200"/>
      <c r="J585" s="197"/>
    </row>
    <row r="586" ht="22.5" customHeight="1">
      <c r="A586" s="213"/>
      <c r="B586" s="214"/>
      <c r="C586" s="215"/>
      <c r="D586" s="162"/>
      <c r="E586" s="216"/>
      <c r="F586" s="211"/>
      <c r="G586" s="208"/>
      <c r="H586" s="209"/>
      <c r="I586" s="200"/>
      <c r="J586" s="197"/>
    </row>
    <row r="587" ht="22.5" customHeight="1">
      <c r="A587" s="213"/>
      <c r="B587" s="214"/>
      <c r="C587" s="215"/>
      <c r="D587" s="162"/>
      <c r="E587" s="216"/>
      <c r="F587" s="211"/>
      <c r="G587" s="208"/>
      <c r="H587" s="209"/>
      <c r="I587" s="200"/>
      <c r="J587" s="197"/>
    </row>
    <row r="588" ht="22.5" customHeight="1">
      <c r="A588" s="213"/>
      <c r="B588" s="214"/>
      <c r="C588" s="215"/>
      <c r="D588" s="162"/>
      <c r="E588" s="216"/>
      <c r="F588" s="211"/>
      <c r="G588" s="208"/>
      <c r="H588" s="209"/>
      <c r="I588" s="200"/>
      <c r="J588" s="197"/>
    </row>
    <row r="589" ht="22.5" customHeight="1">
      <c r="A589" s="213"/>
      <c r="B589" s="214"/>
      <c r="C589" s="215"/>
      <c r="D589" s="162"/>
      <c r="E589" s="216"/>
      <c r="F589" s="211"/>
      <c r="G589" s="208"/>
      <c r="H589" s="209"/>
      <c r="I589" s="200"/>
      <c r="J589" s="197"/>
    </row>
    <row r="590" ht="22.5" customHeight="1">
      <c r="A590" s="213"/>
      <c r="B590" s="214"/>
      <c r="C590" s="215"/>
      <c r="D590" s="162"/>
      <c r="E590" s="216"/>
      <c r="F590" s="211"/>
      <c r="G590" s="208"/>
      <c r="H590" s="209"/>
      <c r="I590" s="200"/>
      <c r="J590" s="197"/>
    </row>
    <row r="591" ht="22.5" customHeight="1">
      <c r="A591" s="213"/>
      <c r="B591" s="214"/>
      <c r="C591" s="215"/>
      <c r="D591" s="162"/>
      <c r="E591" s="216"/>
      <c r="F591" s="211"/>
      <c r="G591" s="208"/>
      <c r="H591" s="209"/>
      <c r="I591" s="200"/>
      <c r="J591" s="197"/>
    </row>
    <row r="592" ht="22.5" customHeight="1">
      <c r="A592" s="213"/>
      <c r="B592" s="214"/>
      <c r="C592" s="215"/>
      <c r="D592" s="162"/>
      <c r="E592" s="216"/>
      <c r="F592" s="211"/>
      <c r="G592" s="208"/>
      <c r="H592" s="209"/>
      <c r="I592" s="200"/>
      <c r="J592" s="197"/>
    </row>
    <row r="593" ht="22.5" customHeight="1">
      <c r="A593" s="213"/>
      <c r="B593" s="214"/>
      <c r="C593" s="215"/>
      <c r="D593" s="162"/>
      <c r="E593" s="216"/>
      <c r="F593" s="211"/>
      <c r="G593" s="208"/>
      <c r="H593" s="209"/>
      <c r="I593" s="200"/>
      <c r="J593" s="197"/>
    </row>
    <row r="594" ht="22.5" customHeight="1">
      <c r="A594" s="213"/>
      <c r="B594" s="214"/>
      <c r="C594" s="215"/>
      <c r="D594" s="162"/>
      <c r="E594" s="216"/>
      <c r="F594" s="211"/>
      <c r="G594" s="208"/>
      <c r="H594" s="209"/>
      <c r="I594" s="200"/>
      <c r="J594" s="197"/>
    </row>
    <row r="595" ht="22.5" customHeight="1">
      <c r="A595" s="213"/>
      <c r="B595" s="214"/>
      <c r="C595" s="215"/>
      <c r="D595" s="162"/>
      <c r="E595" s="216"/>
      <c r="F595" s="211"/>
      <c r="G595" s="208"/>
      <c r="H595" s="209"/>
      <c r="I595" s="200"/>
      <c r="J595" s="197"/>
    </row>
    <row r="596" ht="22.5" customHeight="1">
      <c r="A596" s="213"/>
      <c r="B596" s="214"/>
      <c r="C596" s="215"/>
      <c r="D596" s="162"/>
      <c r="E596" s="216"/>
      <c r="F596" s="211"/>
      <c r="G596" s="208"/>
      <c r="H596" s="209"/>
      <c r="I596" s="200"/>
      <c r="J596" s="197"/>
    </row>
    <row r="597" ht="22.5" customHeight="1">
      <c r="A597" s="213"/>
      <c r="B597" s="214"/>
      <c r="C597" s="215"/>
      <c r="D597" s="162"/>
      <c r="E597" s="216"/>
      <c r="F597" s="211"/>
      <c r="G597" s="208"/>
      <c r="H597" s="209"/>
      <c r="I597" s="200"/>
      <c r="J597" s="197"/>
    </row>
    <row r="598" ht="22.5" customHeight="1">
      <c r="A598" s="213"/>
      <c r="B598" s="214"/>
      <c r="C598" s="215"/>
      <c r="D598" s="162"/>
      <c r="E598" s="216"/>
      <c r="F598" s="211"/>
      <c r="G598" s="208"/>
      <c r="H598" s="209"/>
      <c r="I598" s="200"/>
      <c r="J598" s="197"/>
    </row>
    <row r="599" ht="22.5" customHeight="1">
      <c r="A599" s="213"/>
      <c r="B599" s="214"/>
      <c r="C599" s="215"/>
      <c r="D599" s="162"/>
      <c r="E599" s="216"/>
      <c r="F599" s="211"/>
      <c r="G599" s="208"/>
      <c r="H599" s="209"/>
      <c r="I599" s="200"/>
      <c r="J599" s="197"/>
    </row>
    <row r="600" ht="22.5" customHeight="1">
      <c r="A600" s="213"/>
      <c r="B600" s="214"/>
      <c r="C600" s="215"/>
      <c r="D600" s="162"/>
      <c r="E600" s="216"/>
      <c r="F600" s="211"/>
      <c r="G600" s="208"/>
      <c r="H600" s="209"/>
      <c r="I600" s="200"/>
      <c r="J600" s="197"/>
    </row>
    <row r="601" ht="22.5" customHeight="1">
      <c r="A601" s="213"/>
      <c r="B601" s="214"/>
      <c r="C601" s="215"/>
      <c r="D601" s="162"/>
      <c r="E601" s="216"/>
      <c r="F601" s="211"/>
      <c r="G601" s="208"/>
      <c r="H601" s="209"/>
      <c r="I601" s="200"/>
      <c r="J601" s="197"/>
    </row>
    <row r="602" ht="22.5" customHeight="1">
      <c r="A602" s="213"/>
      <c r="B602" s="214"/>
      <c r="C602" s="215"/>
      <c r="D602" s="162"/>
      <c r="E602" s="216"/>
      <c r="F602" s="211"/>
      <c r="G602" s="208"/>
      <c r="H602" s="209"/>
      <c r="I602" s="200"/>
      <c r="J602" s="197"/>
    </row>
    <row r="603" ht="22.5" customHeight="1">
      <c r="A603" s="213"/>
      <c r="B603" s="214"/>
      <c r="C603" s="215"/>
      <c r="D603" s="162"/>
      <c r="E603" s="216"/>
      <c r="F603" s="211"/>
      <c r="G603" s="208"/>
      <c r="H603" s="209"/>
      <c r="I603" s="200"/>
      <c r="J603" s="197"/>
    </row>
    <row r="604" ht="22.5" customHeight="1">
      <c r="A604" s="213"/>
      <c r="B604" s="214"/>
      <c r="C604" s="215"/>
      <c r="D604" s="162"/>
      <c r="E604" s="216"/>
      <c r="F604" s="211"/>
      <c r="G604" s="208"/>
      <c r="H604" s="209"/>
      <c r="I604" s="200"/>
      <c r="J604" s="197"/>
    </row>
    <row r="605" ht="22.5" customHeight="1">
      <c r="A605" s="213"/>
      <c r="B605" s="214"/>
      <c r="C605" s="215"/>
      <c r="D605" s="162"/>
      <c r="E605" s="216"/>
      <c r="F605" s="211"/>
      <c r="G605" s="208"/>
      <c r="H605" s="209"/>
      <c r="I605" s="200"/>
      <c r="J605" s="197"/>
    </row>
    <row r="606" ht="22.5" customHeight="1">
      <c r="A606" s="213"/>
      <c r="B606" s="214"/>
      <c r="C606" s="215"/>
      <c r="D606" s="162"/>
      <c r="E606" s="216"/>
      <c r="F606" s="211"/>
      <c r="G606" s="208"/>
      <c r="H606" s="209"/>
      <c r="I606" s="200"/>
      <c r="J606" s="197"/>
    </row>
    <row r="607" ht="22.5" customHeight="1">
      <c r="A607" s="213"/>
      <c r="B607" s="214"/>
      <c r="C607" s="215"/>
      <c r="D607" s="162"/>
      <c r="E607" s="216"/>
      <c r="F607" s="211"/>
      <c r="G607" s="208"/>
      <c r="H607" s="209"/>
      <c r="I607" s="200"/>
      <c r="J607" s="197"/>
    </row>
    <row r="608" ht="22.5" customHeight="1">
      <c r="A608" s="213"/>
      <c r="B608" s="214"/>
      <c r="C608" s="215"/>
      <c r="D608" s="162"/>
      <c r="E608" s="216"/>
      <c r="F608" s="211"/>
      <c r="G608" s="208"/>
      <c r="H608" s="209"/>
      <c r="I608" s="200"/>
      <c r="J608" s="197"/>
    </row>
    <row r="609" ht="22.5" customHeight="1">
      <c r="A609" s="213"/>
      <c r="B609" s="214"/>
      <c r="C609" s="215"/>
      <c r="D609" s="162"/>
      <c r="E609" s="216"/>
      <c r="F609" s="211"/>
      <c r="G609" s="208"/>
      <c r="H609" s="209"/>
      <c r="I609" s="200"/>
      <c r="J609" s="197"/>
    </row>
    <row r="610" ht="22.5" customHeight="1">
      <c r="A610" s="213"/>
      <c r="B610" s="214"/>
      <c r="C610" s="215"/>
      <c r="D610" s="162"/>
      <c r="E610" s="216"/>
      <c r="F610" s="211"/>
      <c r="G610" s="208"/>
      <c r="H610" s="209"/>
      <c r="I610" s="200"/>
      <c r="J610" s="197"/>
    </row>
    <row r="611" ht="22.5" customHeight="1">
      <c r="A611" s="213"/>
      <c r="B611" s="214"/>
      <c r="C611" s="215"/>
      <c r="D611" s="162"/>
      <c r="E611" s="216"/>
      <c r="F611" s="211"/>
      <c r="G611" s="208"/>
      <c r="H611" s="209"/>
      <c r="I611" s="200"/>
      <c r="J611" s="197"/>
    </row>
    <row r="612" ht="22.5" customHeight="1">
      <c r="A612" s="213"/>
      <c r="B612" s="214"/>
      <c r="C612" s="215"/>
      <c r="D612" s="162"/>
      <c r="E612" s="216"/>
      <c r="F612" s="211"/>
      <c r="G612" s="208"/>
      <c r="H612" s="209"/>
      <c r="I612" s="200"/>
      <c r="J612" s="197"/>
    </row>
    <row r="613" ht="22.5" customHeight="1">
      <c r="A613" s="213"/>
      <c r="B613" s="214"/>
      <c r="C613" s="215"/>
      <c r="D613" s="162"/>
      <c r="E613" s="216"/>
      <c r="F613" s="211"/>
      <c r="G613" s="208"/>
      <c r="H613" s="209"/>
      <c r="I613" s="200"/>
      <c r="J613" s="197"/>
    </row>
    <row r="614" ht="22.5" customHeight="1">
      <c r="A614" s="213"/>
      <c r="B614" s="214"/>
      <c r="C614" s="215"/>
      <c r="D614" s="162"/>
      <c r="E614" s="216"/>
      <c r="F614" s="211"/>
      <c r="G614" s="208"/>
      <c r="H614" s="209"/>
      <c r="I614" s="200"/>
      <c r="J614" s="197"/>
    </row>
    <row r="615" ht="22.5" customHeight="1">
      <c r="A615" s="213"/>
      <c r="B615" s="214"/>
      <c r="C615" s="215"/>
      <c r="D615" s="162"/>
      <c r="E615" s="216"/>
      <c r="F615" s="211"/>
      <c r="G615" s="208"/>
      <c r="H615" s="209"/>
      <c r="I615" s="200"/>
      <c r="J615" s="197"/>
    </row>
    <row r="616" ht="22.5" customHeight="1">
      <c r="A616" s="213"/>
      <c r="B616" s="214"/>
      <c r="C616" s="215"/>
      <c r="D616" s="162"/>
      <c r="E616" s="216"/>
      <c r="F616" s="211"/>
      <c r="G616" s="208"/>
      <c r="H616" s="209"/>
      <c r="I616" s="200"/>
      <c r="J616" s="197"/>
    </row>
    <row r="617" ht="22.5" customHeight="1">
      <c r="A617" s="213"/>
      <c r="B617" s="214"/>
      <c r="C617" s="215"/>
      <c r="D617" s="162"/>
      <c r="E617" s="216"/>
      <c r="F617" s="211"/>
      <c r="G617" s="208"/>
      <c r="H617" s="209"/>
      <c r="I617" s="200"/>
      <c r="J617" s="197"/>
    </row>
    <row r="618" ht="22.5" customHeight="1">
      <c r="A618" s="213"/>
      <c r="B618" s="214"/>
      <c r="C618" s="215"/>
      <c r="D618" s="162"/>
      <c r="E618" s="216"/>
      <c r="F618" s="211"/>
      <c r="G618" s="208"/>
      <c r="H618" s="209"/>
      <c r="I618" s="200"/>
      <c r="J618" s="197"/>
    </row>
    <row r="619" ht="22.5" customHeight="1">
      <c r="A619" s="213"/>
      <c r="B619" s="214"/>
      <c r="C619" s="215"/>
      <c r="D619" s="162"/>
      <c r="E619" s="216"/>
      <c r="F619" s="211"/>
      <c r="G619" s="208"/>
      <c r="H619" s="209"/>
      <c r="I619" s="200"/>
      <c r="J619" s="197"/>
    </row>
    <row r="620" ht="22.5" customHeight="1">
      <c r="A620" s="213"/>
      <c r="B620" s="214"/>
      <c r="C620" s="215"/>
      <c r="D620" s="162"/>
      <c r="E620" s="216"/>
      <c r="F620" s="211"/>
      <c r="G620" s="208"/>
      <c r="H620" s="209"/>
      <c r="I620" s="200"/>
      <c r="J620" s="197"/>
    </row>
    <row r="621" ht="22.5" customHeight="1">
      <c r="A621" s="213"/>
      <c r="B621" s="214"/>
      <c r="C621" s="215"/>
      <c r="D621" s="162"/>
      <c r="E621" s="216"/>
      <c r="F621" s="211"/>
      <c r="G621" s="208"/>
      <c r="H621" s="209"/>
      <c r="I621" s="200"/>
      <c r="J621" s="197"/>
    </row>
    <row r="622" ht="22.5" customHeight="1">
      <c r="A622" s="213"/>
      <c r="B622" s="214"/>
      <c r="C622" s="215"/>
      <c r="D622" s="162"/>
      <c r="E622" s="216"/>
      <c r="F622" s="211"/>
      <c r="G622" s="208"/>
      <c r="H622" s="209"/>
      <c r="I622" s="200"/>
      <c r="J622" s="197"/>
    </row>
    <row r="623" ht="22.5" customHeight="1">
      <c r="A623" s="213"/>
      <c r="B623" s="214"/>
      <c r="C623" s="215"/>
      <c r="D623" s="162"/>
      <c r="E623" s="216"/>
      <c r="F623" s="211"/>
      <c r="G623" s="208"/>
      <c r="H623" s="209"/>
      <c r="I623" s="200"/>
      <c r="J623" s="197"/>
    </row>
    <row r="624" ht="22.5" customHeight="1">
      <c r="A624" s="213"/>
      <c r="B624" s="214"/>
      <c r="C624" s="215"/>
      <c r="D624" s="162"/>
      <c r="E624" s="216"/>
      <c r="F624" s="211"/>
      <c r="G624" s="208"/>
      <c r="H624" s="209"/>
      <c r="I624" s="200"/>
      <c r="J624" s="197"/>
    </row>
    <row r="625" ht="22.5" customHeight="1">
      <c r="A625" s="213"/>
      <c r="B625" s="214"/>
      <c r="C625" s="215"/>
      <c r="D625" s="162"/>
      <c r="E625" s="216"/>
      <c r="F625" s="211"/>
      <c r="G625" s="208"/>
      <c r="H625" s="209"/>
      <c r="I625" s="200"/>
      <c r="J625" s="197"/>
    </row>
    <row r="626" ht="22.5" customHeight="1">
      <c r="A626" s="213"/>
      <c r="B626" s="214"/>
      <c r="C626" s="215"/>
      <c r="D626" s="162"/>
      <c r="E626" s="216"/>
      <c r="F626" s="211"/>
      <c r="G626" s="208"/>
      <c r="H626" s="209"/>
      <c r="I626" s="200"/>
      <c r="J626" s="197"/>
    </row>
    <row r="627" ht="22.5" customHeight="1">
      <c r="A627" s="213"/>
      <c r="B627" s="214"/>
      <c r="C627" s="215"/>
      <c r="D627" s="162"/>
      <c r="E627" s="216"/>
      <c r="F627" s="211"/>
      <c r="G627" s="208"/>
      <c r="H627" s="209"/>
      <c r="I627" s="200"/>
      <c r="J627" s="197"/>
    </row>
    <row r="628" ht="22.5" customHeight="1">
      <c r="A628" s="213"/>
      <c r="B628" s="214"/>
      <c r="C628" s="215"/>
      <c r="D628" s="162"/>
      <c r="E628" s="216"/>
      <c r="F628" s="211"/>
      <c r="G628" s="208"/>
      <c r="H628" s="209"/>
      <c r="I628" s="200"/>
      <c r="J628" s="197"/>
    </row>
    <row r="629" ht="22.5" customHeight="1">
      <c r="A629" s="213"/>
      <c r="B629" s="214"/>
      <c r="C629" s="215"/>
      <c r="D629" s="162"/>
      <c r="E629" s="216"/>
      <c r="F629" s="211"/>
      <c r="G629" s="208"/>
      <c r="H629" s="209"/>
      <c r="I629" s="200"/>
      <c r="J629" s="197"/>
    </row>
    <row r="630" ht="22.5" customHeight="1">
      <c r="A630" s="213"/>
      <c r="B630" s="214"/>
      <c r="C630" s="215"/>
      <c r="D630" s="162"/>
      <c r="E630" s="216"/>
      <c r="F630" s="211"/>
      <c r="G630" s="208"/>
      <c r="H630" s="209"/>
      <c r="I630" s="200"/>
      <c r="J630" s="197"/>
    </row>
    <row r="631" ht="22.5" customHeight="1">
      <c r="A631" s="213"/>
      <c r="B631" s="214"/>
      <c r="C631" s="215"/>
      <c r="D631" s="162"/>
      <c r="E631" s="216"/>
      <c r="F631" s="211"/>
      <c r="G631" s="208"/>
      <c r="H631" s="209"/>
      <c r="I631" s="200"/>
      <c r="J631" s="197"/>
    </row>
    <row r="632" ht="22.5" customHeight="1">
      <c r="A632" s="213"/>
      <c r="B632" s="214"/>
      <c r="C632" s="215"/>
      <c r="D632" s="162"/>
      <c r="E632" s="216"/>
      <c r="F632" s="211"/>
      <c r="G632" s="208"/>
      <c r="H632" s="209"/>
      <c r="I632" s="200"/>
      <c r="J632" s="197"/>
    </row>
    <row r="633" ht="22.5" customHeight="1">
      <c r="A633" s="213"/>
      <c r="B633" s="214"/>
      <c r="C633" s="215"/>
      <c r="D633" s="162"/>
      <c r="E633" s="216"/>
      <c r="F633" s="211"/>
      <c r="G633" s="208"/>
      <c r="H633" s="209"/>
      <c r="I633" s="200"/>
      <c r="J633" s="197"/>
    </row>
    <row r="634" ht="22.5" customHeight="1">
      <c r="A634" s="213"/>
      <c r="B634" s="214"/>
      <c r="C634" s="215"/>
      <c r="D634" s="162"/>
      <c r="E634" s="216"/>
      <c r="F634" s="211"/>
      <c r="G634" s="208"/>
      <c r="H634" s="209"/>
      <c r="I634" s="200"/>
      <c r="J634" s="197"/>
    </row>
    <row r="635" ht="22.5" customHeight="1">
      <c r="A635" s="213"/>
      <c r="B635" s="214"/>
      <c r="C635" s="215"/>
      <c r="D635" s="162"/>
      <c r="E635" s="216"/>
      <c r="F635" s="211"/>
      <c r="G635" s="208"/>
      <c r="H635" s="209"/>
      <c r="I635" s="200"/>
      <c r="J635" s="197"/>
    </row>
    <row r="636" ht="22.5" customHeight="1">
      <c r="A636" s="213"/>
      <c r="B636" s="214"/>
      <c r="C636" s="215"/>
      <c r="D636" s="162"/>
      <c r="E636" s="216"/>
      <c r="F636" s="211"/>
      <c r="G636" s="208"/>
      <c r="H636" s="209"/>
      <c r="I636" s="200"/>
      <c r="J636" s="197"/>
    </row>
    <row r="637" ht="22.5" customHeight="1">
      <c r="A637" s="213"/>
      <c r="B637" s="214"/>
      <c r="C637" s="215"/>
      <c r="D637" s="162"/>
      <c r="E637" s="216"/>
      <c r="F637" s="211"/>
      <c r="G637" s="208"/>
      <c r="H637" s="209"/>
      <c r="I637" s="200"/>
      <c r="J637" s="197"/>
    </row>
    <row r="638" ht="22.5" customHeight="1">
      <c r="A638" s="213"/>
      <c r="B638" s="214"/>
      <c r="C638" s="215"/>
      <c r="D638" s="162"/>
      <c r="E638" s="216"/>
      <c r="F638" s="211"/>
      <c r="G638" s="208"/>
      <c r="H638" s="209"/>
      <c r="I638" s="200"/>
      <c r="J638" s="197"/>
    </row>
    <row r="639" ht="22.5" customHeight="1">
      <c r="A639" s="213"/>
      <c r="B639" s="214"/>
      <c r="C639" s="215"/>
      <c r="D639" s="162"/>
      <c r="E639" s="216"/>
      <c r="F639" s="211"/>
      <c r="G639" s="208"/>
      <c r="H639" s="209"/>
      <c r="I639" s="200"/>
      <c r="J639" s="197"/>
    </row>
    <row r="640" ht="22.5" customHeight="1">
      <c r="A640" s="213"/>
      <c r="B640" s="214"/>
      <c r="C640" s="215"/>
      <c r="D640" s="162"/>
      <c r="E640" s="216"/>
      <c r="F640" s="211"/>
      <c r="G640" s="208"/>
      <c r="H640" s="209"/>
      <c r="I640" s="200"/>
      <c r="J640" s="197"/>
    </row>
    <row r="641" ht="22.5" customHeight="1">
      <c r="A641" s="213"/>
      <c r="B641" s="214"/>
      <c r="C641" s="215"/>
      <c r="D641" s="162"/>
      <c r="E641" s="216"/>
      <c r="F641" s="211"/>
      <c r="G641" s="208"/>
      <c r="H641" s="209"/>
      <c r="I641" s="200"/>
      <c r="J641" s="197"/>
    </row>
    <row r="642" ht="22.5" customHeight="1">
      <c r="A642" s="213"/>
      <c r="B642" s="214"/>
      <c r="C642" s="215"/>
      <c r="D642" s="162"/>
      <c r="E642" s="216"/>
      <c r="F642" s="211"/>
      <c r="G642" s="208"/>
      <c r="H642" s="209"/>
      <c r="I642" s="200"/>
      <c r="J642" s="197"/>
    </row>
    <row r="643" ht="22.5" customHeight="1">
      <c r="A643" s="213"/>
      <c r="B643" s="214"/>
      <c r="C643" s="215"/>
      <c r="D643" s="162"/>
      <c r="E643" s="216"/>
      <c r="F643" s="211"/>
      <c r="G643" s="208"/>
      <c r="H643" s="209"/>
      <c r="I643" s="200"/>
      <c r="J643" s="197"/>
    </row>
    <row r="644" ht="22.5" customHeight="1">
      <c r="A644" s="213"/>
      <c r="B644" s="214"/>
      <c r="C644" s="215"/>
      <c r="D644" s="162"/>
      <c r="E644" s="216"/>
      <c r="F644" s="211"/>
      <c r="G644" s="208"/>
      <c r="H644" s="209"/>
      <c r="I644" s="200"/>
      <c r="J644" s="197"/>
    </row>
    <row r="645" ht="22.5" customHeight="1">
      <c r="A645" s="213"/>
      <c r="B645" s="214"/>
      <c r="C645" s="215"/>
      <c r="D645" s="162"/>
      <c r="E645" s="216"/>
      <c r="F645" s="211"/>
      <c r="G645" s="208"/>
      <c r="H645" s="209"/>
      <c r="I645" s="200"/>
      <c r="J645" s="197"/>
    </row>
    <row r="646" ht="22.5" customHeight="1">
      <c r="A646" s="213"/>
      <c r="B646" s="214"/>
      <c r="C646" s="215"/>
      <c r="D646" s="162"/>
      <c r="E646" s="216"/>
      <c r="F646" s="211"/>
      <c r="G646" s="208"/>
      <c r="H646" s="209"/>
      <c r="I646" s="200"/>
      <c r="J646" s="197"/>
    </row>
    <row r="647" ht="22.5" customHeight="1">
      <c r="A647" s="213"/>
      <c r="B647" s="214"/>
      <c r="C647" s="215"/>
      <c r="D647" s="162"/>
      <c r="E647" s="216"/>
      <c r="F647" s="211"/>
      <c r="G647" s="208"/>
      <c r="H647" s="209"/>
      <c r="I647" s="200"/>
      <c r="J647" s="197"/>
    </row>
    <row r="648" ht="22.5" customHeight="1">
      <c r="A648" s="213"/>
      <c r="B648" s="214"/>
      <c r="C648" s="215"/>
      <c r="D648" s="162"/>
      <c r="E648" s="216"/>
      <c r="F648" s="211"/>
      <c r="G648" s="208"/>
      <c r="H648" s="209"/>
      <c r="I648" s="200"/>
      <c r="J648" s="197"/>
    </row>
    <row r="649" ht="22.5" customHeight="1">
      <c r="A649" s="213"/>
      <c r="B649" s="214"/>
      <c r="C649" s="215"/>
      <c r="D649" s="162"/>
      <c r="E649" s="216"/>
      <c r="F649" s="211"/>
      <c r="G649" s="208"/>
      <c r="H649" s="209"/>
      <c r="I649" s="200"/>
      <c r="J649" s="197"/>
    </row>
    <row r="650" ht="22.5" customHeight="1">
      <c r="A650" s="213"/>
      <c r="B650" s="214"/>
      <c r="C650" s="215"/>
      <c r="D650" s="162"/>
      <c r="E650" s="216"/>
      <c r="F650" s="211"/>
      <c r="G650" s="208"/>
      <c r="H650" s="209"/>
      <c r="I650" s="200"/>
      <c r="J650" s="197"/>
    </row>
    <row r="651" ht="22.5" customHeight="1">
      <c r="A651" s="213"/>
      <c r="B651" s="214"/>
      <c r="C651" s="215"/>
      <c r="D651" s="162"/>
      <c r="E651" s="216"/>
      <c r="F651" s="211"/>
      <c r="G651" s="208"/>
      <c r="H651" s="209"/>
      <c r="I651" s="200"/>
      <c r="J651" s="197"/>
    </row>
    <row r="652" ht="22.5" customHeight="1">
      <c r="A652" s="213"/>
      <c r="B652" s="214"/>
      <c r="C652" s="215"/>
      <c r="D652" s="162"/>
      <c r="E652" s="216"/>
      <c r="F652" s="211"/>
      <c r="G652" s="208"/>
      <c r="H652" s="209"/>
      <c r="I652" s="200"/>
      <c r="J652" s="197"/>
    </row>
    <row r="653" ht="22.5" customHeight="1">
      <c r="A653" s="213"/>
      <c r="B653" s="214"/>
      <c r="C653" s="215"/>
      <c r="D653" s="162"/>
      <c r="E653" s="216"/>
      <c r="F653" s="211"/>
      <c r="G653" s="208"/>
      <c r="H653" s="209"/>
      <c r="I653" s="200"/>
      <c r="J653" s="197"/>
    </row>
    <row r="654" ht="22.5" customHeight="1">
      <c r="A654" s="213"/>
      <c r="B654" s="214"/>
      <c r="C654" s="215"/>
      <c r="D654" s="162"/>
      <c r="E654" s="216"/>
      <c r="F654" s="211"/>
      <c r="G654" s="208"/>
      <c r="H654" s="209"/>
      <c r="I654" s="200"/>
      <c r="J654" s="197"/>
    </row>
    <row r="655" ht="22.5" customHeight="1">
      <c r="A655" s="213"/>
      <c r="B655" s="214"/>
      <c r="C655" s="215"/>
      <c r="D655" s="162"/>
      <c r="E655" s="216"/>
      <c r="F655" s="211"/>
      <c r="G655" s="208"/>
      <c r="H655" s="209"/>
      <c r="I655" s="200"/>
      <c r="J655" s="197"/>
    </row>
    <row r="656" ht="22.5" customHeight="1">
      <c r="A656" s="213"/>
      <c r="B656" s="214"/>
      <c r="C656" s="215"/>
      <c r="D656" s="162"/>
      <c r="E656" s="216"/>
      <c r="F656" s="211"/>
      <c r="G656" s="208"/>
      <c r="H656" s="209"/>
      <c r="I656" s="200"/>
      <c r="J656" s="197"/>
    </row>
    <row r="657" ht="22.5" customHeight="1">
      <c r="A657" s="213"/>
      <c r="B657" s="214"/>
      <c r="C657" s="215"/>
      <c r="D657" s="162"/>
      <c r="E657" s="216"/>
      <c r="F657" s="211"/>
      <c r="G657" s="208"/>
      <c r="H657" s="209"/>
      <c r="I657" s="200"/>
      <c r="J657" s="197"/>
    </row>
    <row r="658" ht="22.5" customHeight="1">
      <c r="A658" s="213"/>
      <c r="B658" s="214"/>
      <c r="C658" s="215"/>
      <c r="D658" s="162"/>
      <c r="E658" s="216"/>
      <c r="F658" s="211"/>
      <c r="G658" s="208"/>
      <c r="H658" s="209"/>
      <c r="I658" s="200"/>
      <c r="J658" s="197"/>
    </row>
    <row r="659" ht="22.5" customHeight="1">
      <c r="A659" s="213"/>
      <c r="B659" s="214"/>
      <c r="C659" s="215"/>
      <c r="D659" s="162"/>
      <c r="E659" s="216"/>
      <c r="F659" s="211"/>
      <c r="G659" s="208"/>
      <c r="H659" s="209"/>
      <c r="I659" s="200"/>
      <c r="J659" s="197"/>
    </row>
    <row r="660" ht="22.5" customHeight="1">
      <c r="A660" s="213"/>
      <c r="B660" s="214"/>
      <c r="C660" s="215"/>
      <c r="D660" s="162"/>
      <c r="E660" s="216"/>
      <c r="F660" s="211"/>
      <c r="G660" s="208"/>
      <c r="H660" s="209"/>
      <c r="I660" s="200"/>
      <c r="J660" s="197"/>
    </row>
    <row r="661" ht="22.5" customHeight="1">
      <c r="A661" s="213"/>
      <c r="B661" s="214"/>
      <c r="C661" s="215"/>
      <c r="D661" s="162"/>
      <c r="E661" s="216"/>
      <c r="F661" s="211"/>
      <c r="G661" s="208"/>
      <c r="H661" s="209"/>
      <c r="I661" s="200"/>
      <c r="J661" s="197"/>
    </row>
    <row r="662" ht="22.5" customHeight="1">
      <c r="A662" s="213"/>
      <c r="B662" s="214"/>
      <c r="C662" s="215"/>
      <c r="D662" s="162"/>
      <c r="E662" s="216"/>
      <c r="F662" s="211"/>
      <c r="G662" s="208"/>
      <c r="H662" s="209"/>
      <c r="I662" s="200"/>
      <c r="J662" s="197"/>
    </row>
    <row r="663" ht="22.5" customHeight="1">
      <c r="A663" s="213"/>
      <c r="B663" s="214"/>
      <c r="C663" s="215"/>
      <c r="D663" s="162"/>
      <c r="E663" s="216"/>
      <c r="F663" s="211"/>
      <c r="G663" s="208"/>
      <c r="H663" s="209"/>
      <c r="I663" s="200"/>
      <c r="J663" s="197"/>
    </row>
    <row r="664" ht="22.5" customHeight="1">
      <c r="A664" s="213"/>
      <c r="B664" s="214"/>
      <c r="C664" s="215"/>
      <c r="D664" s="162"/>
      <c r="E664" s="216"/>
      <c r="F664" s="211"/>
      <c r="G664" s="208"/>
      <c r="H664" s="209"/>
      <c r="I664" s="200"/>
      <c r="J664" s="197"/>
    </row>
    <row r="665" ht="22.5" customHeight="1">
      <c r="A665" s="213"/>
      <c r="B665" s="214"/>
      <c r="C665" s="215"/>
      <c r="D665" s="162"/>
      <c r="E665" s="216"/>
      <c r="F665" s="211"/>
      <c r="G665" s="208"/>
      <c r="H665" s="209"/>
      <c r="I665" s="200"/>
      <c r="J665" s="197"/>
    </row>
    <row r="666" ht="22.5" customHeight="1">
      <c r="A666" s="213"/>
      <c r="B666" s="214"/>
      <c r="C666" s="215"/>
      <c r="D666" s="162"/>
      <c r="E666" s="216"/>
      <c r="F666" s="211"/>
      <c r="G666" s="208"/>
      <c r="H666" s="209"/>
      <c r="I666" s="200"/>
      <c r="J666" s="197"/>
    </row>
    <row r="667" ht="22.5" customHeight="1">
      <c r="A667" s="213"/>
      <c r="B667" s="214"/>
      <c r="C667" s="215"/>
      <c r="D667" s="162"/>
      <c r="E667" s="216"/>
      <c r="F667" s="211"/>
      <c r="G667" s="208"/>
      <c r="H667" s="209"/>
      <c r="I667" s="200"/>
      <c r="J667" s="197"/>
    </row>
    <row r="668" ht="22.5" customHeight="1">
      <c r="A668" s="213"/>
      <c r="B668" s="214"/>
      <c r="C668" s="215"/>
      <c r="D668" s="162"/>
      <c r="E668" s="216"/>
      <c r="F668" s="211"/>
      <c r="G668" s="208"/>
      <c r="H668" s="209"/>
      <c r="I668" s="200"/>
      <c r="J668" s="197"/>
    </row>
    <row r="669" ht="22.5" customHeight="1">
      <c r="A669" s="213"/>
      <c r="B669" s="214"/>
      <c r="C669" s="215"/>
      <c r="D669" s="162"/>
      <c r="E669" s="216"/>
      <c r="F669" s="211"/>
      <c r="G669" s="208"/>
      <c r="H669" s="209"/>
      <c r="I669" s="200"/>
      <c r="J669" s="197"/>
    </row>
    <row r="670" ht="22.5" customHeight="1">
      <c r="A670" s="213"/>
      <c r="B670" s="214"/>
      <c r="C670" s="215"/>
      <c r="D670" s="162"/>
      <c r="E670" s="216"/>
      <c r="F670" s="211"/>
      <c r="G670" s="208"/>
      <c r="H670" s="209"/>
      <c r="I670" s="200"/>
      <c r="J670" s="197"/>
    </row>
    <row r="671" ht="22.5" customHeight="1">
      <c r="A671" s="213"/>
      <c r="B671" s="214"/>
      <c r="C671" s="215"/>
      <c r="D671" s="162"/>
      <c r="E671" s="216"/>
      <c r="F671" s="211"/>
      <c r="G671" s="208"/>
      <c r="H671" s="209"/>
      <c r="I671" s="200"/>
      <c r="J671" s="197"/>
    </row>
    <row r="672" ht="22.5" customHeight="1">
      <c r="A672" s="213"/>
      <c r="B672" s="214"/>
      <c r="C672" s="215"/>
      <c r="D672" s="162"/>
      <c r="E672" s="216"/>
      <c r="F672" s="211"/>
      <c r="G672" s="208"/>
      <c r="H672" s="209"/>
      <c r="I672" s="200"/>
      <c r="J672" s="197"/>
    </row>
    <row r="673" ht="22.5" customHeight="1">
      <c r="A673" s="213"/>
      <c r="B673" s="214"/>
      <c r="C673" s="215"/>
      <c r="D673" s="162"/>
      <c r="E673" s="216"/>
      <c r="F673" s="211"/>
      <c r="G673" s="208"/>
      <c r="H673" s="209"/>
      <c r="I673" s="200"/>
      <c r="J673" s="197"/>
    </row>
    <row r="674" ht="22.5" customHeight="1">
      <c r="A674" s="213"/>
      <c r="B674" s="214"/>
      <c r="C674" s="215"/>
      <c r="D674" s="162"/>
      <c r="E674" s="216"/>
      <c r="F674" s="211"/>
      <c r="G674" s="208"/>
      <c r="H674" s="209"/>
      <c r="I674" s="200"/>
      <c r="J674" s="197"/>
    </row>
    <row r="675" ht="22.5" customHeight="1">
      <c r="A675" s="213"/>
      <c r="B675" s="214"/>
      <c r="C675" s="215"/>
      <c r="D675" s="162"/>
      <c r="E675" s="216"/>
      <c r="F675" s="211"/>
      <c r="G675" s="208"/>
      <c r="H675" s="209"/>
      <c r="I675" s="200"/>
      <c r="J675" s="197"/>
    </row>
    <row r="676" ht="22.5" customHeight="1">
      <c r="A676" s="213"/>
      <c r="B676" s="214"/>
      <c r="C676" s="215"/>
      <c r="D676" s="162"/>
      <c r="E676" s="216"/>
      <c r="F676" s="211"/>
      <c r="G676" s="208"/>
      <c r="H676" s="209"/>
      <c r="I676" s="200"/>
      <c r="J676" s="197"/>
    </row>
    <row r="677" ht="22.5" customHeight="1">
      <c r="A677" s="213"/>
      <c r="B677" s="214"/>
      <c r="C677" s="215"/>
      <c r="D677" s="162"/>
      <c r="E677" s="216"/>
      <c r="F677" s="211"/>
      <c r="G677" s="208"/>
      <c r="H677" s="209"/>
      <c r="I677" s="200"/>
      <c r="J677" s="197"/>
    </row>
    <row r="678" ht="22.5" customHeight="1">
      <c r="A678" s="213"/>
      <c r="B678" s="214"/>
      <c r="C678" s="215"/>
      <c r="D678" s="162"/>
      <c r="E678" s="216"/>
      <c r="F678" s="211"/>
      <c r="G678" s="208"/>
      <c r="H678" s="209"/>
      <c r="I678" s="200"/>
      <c r="J678" s="197"/>
    </row>
    <row r="679" ht="22.5" customHeight="1">
      <c r="A679" s="213"/>
      <c r="B679" s="214"/>
      <c r="C679" s="215"/>
      <c r="D679" s="162"/>
      <c r="E679" s="216"/>
      <c r="F679" s="211"/>
      <c r="G679" s="208"/>
      <c r="H679" s="209"/>
      <c r="I679" s="200"/>
      <c r="J679" s="197"/>
    </row>
    <row r="680" ht="22.5" customHeight="1">
      <c r="A680" s="213"/>
      <c r="B680" s="214"/>
      <c r="C680" s="215"/>
      <c r="D680" s="162"/>
      <c r="E680" s="216"/>
      <c r="F680" s="211"/>
      <c r="G680" s="208"/>
      <c r="H680" s="209"/>
      <c r="I680" s="200"/>
      <c r="J680" s="197"/>
    </row>
    <row r="681" ht="22.5" customHeight="1">
      <c r="A681" s="213"/>
      <c r="B681" s="214"/>
      <c r="C681" s="215"/>
      <c r="D681" s="162"/>
      <c r="E681" s="216"/>
      <c r="F681" s="211"/>
      <c r="G681" s="208"/>
      <c r="H681" s="209"/>
      <c r="I681" s="200"/>
      <c r="J681" s="197"/>
    </row>
    <row r="682" ht="22.5" customHeight="1">
      <c r="A682" s="213"/>
      <c r="B682" s="214"/>
      <c r="C682" s="215"/>
      <c r="D682" s="162"/>
      <c r="E682" s="216"/>
      <c r="F682" s="211"/>
      <c r="G682" s="208"/>
      <c r="H682" s="209"/>
      <c r="I682" s="200"/>
      <c r="J682" s="197"/>
    </row>
    <row r="683" ht="22.5" customHeight="1">
      <c r="A683" s="213"/>
      <c r="B683" s="214"/>
      <c r="C683" s="215"/>
      <c r="D683" s="162"/>
      <c r="E683" s="216"/>
      <c r="F683" s="211"/>
      <c r="G683" s="208"/>
      <c r="H683" s="209"/>
      <c r="I683" s="200"/>
      <c r="J683" s="197"/>
    </row>
    <row r="684" ht="22.5" customHeight="1">
      <c r="A684" s="213"/>
      <c r="B684" s="214"/>
      <c r="C684" s="215"/>
      <c r="D684" s="162"/>
      <c r="E684" s="216"/>
      <c r="F684" s="211"/>
      <c r="G684" s="208"/>
      <c r="H684" s="209"/>
      <c r="I684" s="200"/>
      <c r="J684" s="197"/>
    </row>
    <row r="685" ht="22.5" customHeight="1">
      <c r="A685" s="213"/>
      <c r="B685" s="214"/>
      <c r="C685" s="215"/>
      <c r="D685" s="162"/>
      <c r="E685" s="216"/>
      <c r="F685" s="211"/>
      <c r="G685" s="208"/>
      <c r="H685" s="209"/>
      <c r="I685" s="200"/>
      <c r="J685" s="197"/>
    </row>
    <row r="686" ht="22.5" customHeight="1">
      <c r="A686" s="213"/>
      <c r="B686" s="214"/>
      <c r="C686" s="215"/>
      <c r="D686" s="162"/>
      <c r="E686" s="216"/>
      <c r="F686" s="211"/>
      <c r="G686" s="208"/>
      <c r="H686" s="209"/>
      <c r="I686" s="200"/>
      <c r="J686" s="197"/>
    </row>
    <row r="687" ht="22.5" customHeight="1">
      <c r="A687" s="213"/>
      <c r="B687" s="214"/>
      <c r="C687" s="215"/>
      <c r="D687" s="162"/>
      <c r="E687" s="216"/>
      <c r="F687" s="211"/>
      <c r="G687" s="208"/>
      <c r="H687" s="209"/>
      <c r="I687" s="200"/>
      <c r="J687" s="197"/>
    </row>
    <row r="688" ht="22.5" customHeight="1">
      <c r="A688" s="213"/>
      <c r="B688" s="214"/>
      <c r="C688" s="215"/>
      <c r="D688" s="162"/>
      <c r="E688" s="216"/>
      <c r="F688" s="211"/>
      <c r="G688" s="208"/>
      <c r="H688" s="209"/>
      <c r="I688" s="200"/>
      <c r="J688" s="197"/>
    </row>
    <row r="689" ht="22.5" customHeight="1">
      <c r="A689" s="213"/>
      <c r="B689" s="214"/>
      <c r="C689" s="215"/>
      <c r="D689" s="162"/>
      <c r="E689" s="216"/>
      <c r="F689" s="211"/>
      <c r="G689" s="208"/>
      <c r="H689" s="209"/>
      <c r="I689" s="200"/>
      <c r="J689" s="197"/>
    </row>
    <row r="690" ht="22.5" customHeight="1">
      <c r="A690" s="213"/>
      <c r="B690" s="214"/>
      <c r="C690" s="215"/>
      <c r="D690" s="162"/>
      <c r="E690" s="216"/>
      <c r="F690" s="211"/>
      <c r="G690" s="208"/>
      <c r="H690" s="209"/>
      <c r="I690" s="200"/>
      <c r="J690" s="197"/>
    </row>
    <row r="691" ht="22.5" customHeight="1">
      <c r="A691" s="213"/>
      <c r="B691" s="214"/>
      <c r="C691" s="215"/>
      <c r="D691" s="162"/>
      <c r="E691" s="216"/>
      <c r="F691" s="211"/>
      <c r="G691" s="208"/>
      <c r="H691" s="209"/>
      <c r="I691" s="200"/>
      <c r="J691" s="197"/>
    </row>
    <row r="692" ht="22.5" customHeight="1">
      <c r="A692" s="213"/>
      <c r="B692" s="214"/>
      <c r="C692" s="215"/>
      <c r="D692" s="162"/>
      <c r="E692" s="216"/>
      <c r="F692" s="211"/>
      <c r="G692" s="208"/>
      <c r="H692" s="209"/>
      <c r="I692" s="200"/>
      <c r="J692" s="197"/>
    </row>
    <row r="693" ht="22.5" customHeight="1">
      <c r="A693" s="213"/>
      <c r="B693" s="214"/>
      <c r="C693" s="215"/>
      <c r="D693" s="162"/>
      <c r="E693" s="216"/>
      <c r="F693" s="211"/>
      <c r="G693" s="208"/>
      <c r="H693" s="209"/>
      <c r="I693" s="200"/>
      <c r="J693" s="197"/>
    </row>
    <row r="694" ht="22.5" customHeight="1">
      <c r="A694" s="213"/>
      <c r="B694" s="214"/>
      <c r="C694" s="215"/>
      <c r="D694" s="162"/>
      <c r="E694" s="216"/>
      <c r="F694" s="211"/>
      <c r="G694" s="208"/>
      <c r="H694" s="209"/>
      <c r="I694" s="200"/>
      <c r="J694" s="197"/>
    </row>
    <row r="695" ht="22.5" customHeight="1">
      <c r="A695" s="213"/>
      <c r="B695" s="214"/>
      <c r="C695" s="215"/>
      <c r="D695" s="162"/>
      <c r="E695" s="216"/>
      <c r="F695" s="211"/>
      <c r="G695" s="208"/>
      <c r="H695" s="209"/>
      <c r="I695" s="200"/>
      <c r="J695" s="197"/>
    </row>
    <row r="696" ht="22.5" customHeight="1">
      <c r="A696" s="213"/>
      <c r="B696" s="214"/>
      <c r="C696" s="215"/>
      <c r="D696" s="162"/>
      <c r="E696" s="216"/>
      <c r="F696" s="211"/>
      <c r="G696" s="208"/>
      <c r="H696" s="209"/>
      <c r="I696" s="200"/>
      <c r="J696" s="197"/>
    </row>
    <row r="697" ht="22.5" customHeight="1">
      <c r="A697" s="213"/>
      <c r="B697" s="214"/>
      <c r="C697" s="215"/>
      <c r="D697" s="162"/>
      <c r="E697" s="216"/>
      <c r="F697" s="211"/>
      <c r="G697" s="208"/>
      <c r="H697" s="209"/>
      <c r="I697" s="200"/>
      <c r="J697" s="197"/>
    </row>
    <row r="698" ht="22.5" customHeight="1">
      <c r="A698" s="213"/>
      <c r="B698" s="214"/>
      <c r="C698" s="215"/>
      <c r="D698" s="162"/>
      <c r="E698" s="216"/>
      <c r="F698" s="211"/>
      <c r="G698" s="208"/>
      <c r="H698" s="209"/>
      <c r="I698" s="200"/>
      <c r="J698" s="197"/>
    </row>
    <row r="699" ht="22.5" customHeight="1">
      <c r="A699" s="213"/>
      <c r="B699" s="214"/>
      <c r="C699" s="215"/>
      <c r="D699" s="162"/>
      <c r="E699" s="216"/>
      <c r="F699" s="211"/>
      <c r="G699" s="208"/>
      <c r="H699" s="209"/>
      <c r="I699" s="200"/>
      <c r="J699" s="197"/>
    </row>
    <row r="700" ht="22.5" customHeight="1">
      <c r="A700" s="213"/>
      <c r="B700" s="214"/>
      <c r="C700" s="215"/>
      <c r="D700" s="162"/>
      <c r="E700" s="216"/>
      <c r="F700" s="211"/>
      <c r="G700" s="208"/>
      <c r="H700" s="209"/>
      <c r="I700" s="200"/>
      <c r="J700" s="197"/>
    </row>
    <row r="701" ht="22.5" customHeight="1">
      <c r="A701" s="213"/>
      <c r="B701" s="214"/>
      <c r="C701" s="215"/>
      <c r="D701" s="162"/>
      <c r="E701" s="216"/>
      <c r="F701" s="211"/>
      <c r="G701" s="208"/>
      <c r="H701" s="209"/>
      <c r="I701" s="200"/>
      <c r="J701" s="197"/>
    </row>
    <row r="702" ht="22.5" customHeight="1">
      <c r="A702" s="213"/>
      <c r="B702" s="214"/>
      <c r="C702" s="215"/>
      <c r="D702" s="162"/>
      <c r="E702" s="216"/>
      <c r="F702" s="211"/>
      <c r="G702" s="208"/>
      <c r="H702" s="209"/>
      <c r="I702" s="200"/>
      <c r="J702" s="197"/>
    </row>
    <row r="703" ht="22.5" customHeight="1">
      <c r="A703" s="213"/>
      <c r="B703" s="214"/>
      <c r="C703" s="215"/>
      <c r="D703" s="162"/>
      <c r="E703" s="216"/>
      <c r="F703" s="211"/>
      <c r="G703" s="208"/>
      <c r="H703" s="209"/>
      <c r="I703" s="200"/>
      <c r="J703" s="197"/>
    </row>
    <row r="704" ht="22.5" customHeight="1">
      <c r="A704" s="213"/>
      <c r="B704" s="214"/>
      <c r="C704" s="215"/>
      <c r="D704" s="162"/>
      <c r="E704" s="216"/>
      <c r="F704" s="211"/>
      <c r="G704" s="208"/>
      <c r="H704" s="209"/>
      <c r="I704" s="200"/>
      <c r="J704" s="197"/>
    </row>
    <row r="705" ht="22.5" customHeight="1">
      <c r="A705" s="213"/>
      <c r="B705" s="214"/>
      <c r="C705" s="215"/>
      <c r="D705" s="162"/>
      <c r="E705" s="216"/>
      <c r="F705" s="211"/>
      <c r="G705" s="208"/>
      <c r="H705" s="209"/>
      <c r="I705" s="200"/>
      <c r="J705" s="197"/>
    </row>
    <row r="706" ht="22.5" customHeight="1">
      <c r="A706" s="213"/>
      <c r="B706" s="214"/>
      <c r="C706" s="215"/>
      <c r="D706" s="162"/>
      <c r="E706" s="216"/>
      <c r="F706" s="211"/>
      <c r="G706" s="208"/>
      <c r="H706" s="209"/>
      <c r="I706" s="200"/>
      <c r="J706" s="197"/>
    </row>
    <row r="707" ht="22.5" customHeight="1">
      <c r="A707" s="213"/>
      <c r="B707" s="214"/>
      <c r="C707" s="215"/>
      <c r="D707" s="162"/>
      <c r="E707" s="216"/>
      <c r="F707" s="211"/>
      <c r="G707" s="208"/>
      <c r="H707" s="209"/>
      <c r="I707" s="200"/>
      <c r="J707" s="197"/>
    </row>
    <row r="708" ht="22.5" customHeight="1">
      <c r="A708" s="213"/>
      <c r="B708" s="214"/>
      <c r="C708" s="215"/>
      <c r="D708" s="162"/>
      <c r="E708" s="216"/>
      <c r="F708" s="211"/>
      <c r="G708" s="208"/>
      <c r="H708" s="209"/>
      <c r="I708" s="200"/>
      <c r="J708" s="197"/>
    </row>
    <row r="709" ht="22.5" customHeight="1">
      <c r="A709" s="213"/>
      <c r="B709" s="214"/>
      <c r="C709" s="215"/>
      <c r="D709" s="162"/>
      <c r="E709" s="216"/>
      <c r="F709" s="211"/>
      <c r="G709" s="208"/>
      <c r="H709" s="209"/>
      <c r="I709" s="200"/>
      <c r="J709" s="197"/>
    </row>
    <row r="710" ht="22.5" customHeight="1">
      <c r="A710" s="213"/>
      <c r="B710" s="214"/>
      <c r="C710" s="215"/>
      <c r="D710" s="162"/>
      <c r="E710" s="216"/>
      <c r="F710" s="211"/>
      <c r="G710" s="208"/>
      <c r="H710" s="209"/>
      <c r="I710" s="200"/>
      <c r="J710" s="197"/>
    </row>
    <row r="711" ht="22.5" customHeight="1">
      <c r="A711" s="213"/>
      <c r="B711" s="214"/>
      <c r="C711" s="215"/>
      <c r="D711" s="162"/>
      <c r="E711" s="216"/>
      <c r="F711" s="211"/>
      <c r="G711" s="208"/>
      <c r="H711" s="209"/>
      <c r="I711" s="200"/>
      <c r="J711" s="197"/>
    </row>
    <row r="712" ht="22.5" customHeight="1">
      <c r="A712" s="213"/>
      <c r="B712" s="214"/>
      <c r="C712" s="215"/>
      <c r="D712" s="162"/>
      <c r="E712" s="216"/>
      <c r="F712" s="211"/>
      <c r="G712" s="208"/>
      <c r="H712" s="209"/>
      <c r="I712" s="200"/>
      <c r="J712" s="197"/>
    </row>
    <row r="713" ht="22.5" customHeight="1">
      <c r="A713" s="213"/>
      <c r="B713" s="214"/>
      <c r="C713" s="215"/>
      <c r="D713" s="162"/>
      <c r="E713" s="216"/>
      <c r="F713" s="211"/>
      <c r="G713" s="208"/>
      <c r="H713" s="209"/>
      <c r="I713" s="200"/>
      <c r="J713" s="197"/>
    </row>
    <row r="714" ht="22.5" customHeight="1">
      <c r="A714" s="213"/>
      <c r="B714" s="214"/>
      <c r="C714" s="215"/>
      <c r="D714" s="162"/>
      <c r="E714" s="216"/>
      <c r="F714" s="211"/>
      <c r="G714" s="208"/>
      <c r="H714" s="209"/>
      <c r="I714" s="200"/>
      <c r="J714" s="197"/>
    </row>
    <row r="715" ht="22.5" customHeight="1">
      <c r="A715" s="213"/>
      <c r="B715" s="214"/>
      <c r="C715" s="215"/>
      <c r="D715" s="162"/>
      <c r="E715" s="216"/>
      <c r="F715" s="211"/>
      <c r="G715" s="208"/>
      <c r="H715" s="209"/>
      <c r="I715" s="200"/>
      <c r="J715" s="197"/>
    </row>
    <row r="716" ht="22.5" customHeight="1">
      <c r="A716" s="213"/>
      <c r="B716" s="214"/>
      <c r="C716" s="215"/>
      <c r="D716" s="162"/>
      <c r="E716" s="216"/>
      <c r="F716" s="211"/>
      <c r="G716" s="208"/>
      <c r="H716" s="209"/>
      <c r="I716" s="200"/>
      <c r="J716" s="197"/>
    </row>
    <row r="717" ht="22.5" customHeight="1">
      <c r="A717" s="213"/>
      <c r="B717" s="214"/>
      <c r="C717" s="215"/>
      <c r="D717" s="162"/>
      <c r="E717" s="216"/>
      <c r="F717" s="211"/>
      <c r="G717" s="208"/>
      <c r="H717" s="209"/>
      <c r="I717" s="200"/>
      <c r="J717" s="197"/>
    </row>
    <row r="718" ht="22.5" customHeight="1">
      <c r="A718" s="213"/>
      <c r="B718" s="214"/>
      <c r="C718" s="215"/>
      <c r="D718" s="162"/>
      <c r="E718" s="216"/>
      <c r="F718" s="211"/>
      <c r="G718" s="208"/>
      <c r="H718" s="209"/>
      <c r="I718" s="200"/>
      <c r="J718" s="197"/>
    </row>
    <row r="719" ht="22.5" customHeight="1">
      <c r="A719" s="213"/>
      <c r="B719" s="214"/>
      <c r="C719" s="215"/>
      <c r="D719" s="162"/>
      <c r="E719" s="216"/>
      <c r="F719" s="211"/>
      <c r="G719" s="208"/>
      <c r="H719" s="209"/>
      <c r="I719" s="200"/>
      <c r="J719" s="197"/>
    </row>
    <row r="720" ht="22.5" customHeight="1">
      <c r="A720" s="213"/>
      <c r="B720" s="214"/>
      <c r="C720" s="215"/>
      <c r="D720" s="162"/>
      <c r="E720" s="216"/>
      <c r="F720" s="211"/>
      <c r="G720" s="208"/>
      <c r="H720" s="209"/>
      <c r="I720" s="200"/>
      <c r="J720" s="197"/>
    </row>
    <row r="721" ht="22.5" customHeight="1">
      <c r="A721" s="213"/>
      <c r="B721" s="214"/>
      <c r="C721" s="215"/>
      <c r="D721" s="162"/>
      <c r="E721" s="216"/>
      <c r="F721" s="211"/>
      <c r="G721" s="208"/>
      <c r="H721" s="209"/>
      <c r="I721" s="200"/>
      <c r="J721" s="197"/>
    </row>
    <row r="722" ht="22.5" customHeight="1">
      <c r="A722" s="213"/>
      <c r="B722" s="214"/>
      <c r="C722" s="215"/>
      <c r="D722" s="162"/>
      <c r="E722" s="216"/>
      <c r="F722" s="211"/>
      <c r="G722" s="208"/>
      <c r="H722" s="209"/>
      <c r="I722" s="200"/>
      <c r="J722" s="197"/>
    </row>
    <row r="723" ht="22.5" customHeight="1">
      <c r="A723" s="213"/>
      <c r="B723" s="214"/>
      <c r="C723" s="215"/>
      <c r="D723" s="162"/>
      <c r="E723" s="216"/>
      <c r="F723" s="211"/>
      <c r="G723" s="208"/>
      <c r="H723" s="209"/>
      <c r="I723" s="200"/>
      <c r="J723" s="197"/>
    </row>
    <row r="724" ht="22.5" customHeight="1">
      <c r="A724" s="213"/>
      <c r="B724" s="214"/>
      <c r="C724" s="215"/>
      <c r="D724" s="162"/>
      <c r="E724" s="216"/>
      <c r="F724" s="211"/>
      <c r="G724" s="208"/>
      <c r="H724" s="209"/>
      <c r="I724" s="200"/>
      <c r="J724" s="197"/>
    </row>
    <row r="725" ht="22.5" customHeight="1">
      <c r="A725" s="213"/>
      <c r="B725" s="214"/>
      <c r="C725" s="215"/>
      <c r="D725" s="162"/>
      <c r="E725" s="216"/>
      <c r="F725" s="211"/>
      <c r="G725" s="208"/>
      <c r="H725" s="209"/>
      <c r="I725" s="200"/>
      <c r="J725" s="197"/>
    </row>
    <row r="726" ht="22.5" customHeight="1">
      <c r="A726" s="213"/>
      <c r="B726" s="214"/>
      <c r="C726" s="215"/>
      <c r="D726" s="162"/>
      <c r="E726" s="216"/>
      <c r="F726" s="211"/>
      <c r="G726" s="208"/>
      <c r="H726" s="209"/>
      <c r="I726" s="200"/>
      <c r="J726" s="197"/>
    </row>
    <row r="727" ht="22.5" customHeight="1">
      <c r="A727" s="213"/>
      <c r="B727" s="214"/>
      <c r="C727" s="215"/>
      <c r="D727" s="162"/>
      <c r="E727" s="216"/>
      <c r="F727" s="211"/>
      <c r="G727" s="208"/>
      <c r="H727" s="209"/>
      <c r="I727" s="200"/>
      <c r="J727" s="197"/>
    </row>
    <row r="728" ht="22.5" customHeight="1">
      <c r="A728" s="213"/>
      <c r="B728" s="214"/>
      <c r="C728" s="215"/>
      <c r="D728" s="162"/>
      <c r="E728" s="216"/>
      <c r="F728" s="211"/>
      <c r="G728" s="208"/>
      <c r="H728" s="209"/>
      <c r="I728" s="200"/>
      <c r="J728" s="197"/>
    </row>
    <row r="729" ht="22.5" customHeight="1">
      <c r="A729" s="213"/>
      <c r="B729" s="214"/>
      <c r="C729" s="215"/>
      <c r="D729" s="162"/>
      <c r="E729" s="216"/>
      <c r="F729" s="211"/>
      <c r="G729" s="208"/>
      <c r="H729" s="209"/>
      <c r="I729" s="200"/>
      <c r="J729" s="197"/>
    </row>
    <row r="730" ht="22.5" customHeight="1">
      <c r="A730" s="213"/>
      <c r="B730" s="214"/>
      <c r="C730" s="215"/>
      <c r="D730" s="162"/>
      <c r="E730" s="216"/>
      <c r="F730" s="211"/>
      <c r="G730" s="208"/>
      <c r="H730" s="209"/>
      <c r="I730" s="200"/>
      <c r="J730" s="197"/>
    </row>
    <row r="731" ht="22.5" customHeight="1">
      <c r="A731" s="213"/>
      <c r="B731" s="214"/>
      <c r="C731" s="215"/>
      <c r="D731" s="162"/>
      <c r="E731" s="216"/>
      <c r="F731" s="211"/>
      <c r="G731" s="208"/>
      <c r="H731" s="209"/>
      <c r="I731" s="200"/>
      <c r="J731" s="197"/>
    </row>
    <row r="732" ht="22.5" customHeight="1">
      <c r="A732" s="213"/>
      <c r="B732" s="214"/>
      <c r="C732" s="215"/>
      <c r="D732" s="162"/>
      <c r="E732" s="216"/>
      <c r="F732" s="211"/>
      <c r="G732" s="208"/>
      <c r="H732" s="209"/>
      <c r="I732" s="200"/>
      <c r="J732" s="197"/>
    </row>
    <row r="733" ht="22.5" customHeight="1">
      <c r="A733" s="213"/>
      <c r="B733" s="214"/>
      <c r="C733" s="215"/>
      <c r="D733" s="162"/>
      <c r="E733" s="216"/>
      <c r="F733" s="211"/>
      <c r="G733" s="208"/>
      <c r="H733" s="209"/>
      <c r="I733" s="200"/>
      <c r="J733" s="197"/>
    </row>
    <row r="734" ht="22.5" customHeight="1">
      <c r="A734" s="213"/>
      <c r="B734" s="214"/>
      <c r="C734" s="215"/>
      <c r="D734" s="162"/>
      <c r="E734" s="216"/>
      <c r="F734" s="211"/>
      <c r="G734" s="208"/>
      <c r="H734" s="209"/>
      <c r="I734" s="200"/>
      <c r="J734" s="197"/>
    </row>
    <row r="735" ht="22.5" customHeight="1">
      <c r="A735" s="213"/>
      <c r="B735" s="214"/>
      <c r="C735" s="215"/>
      <c r="D735" s="162"/>
      <c r="E735" s="216"/>
      <c r="F735" s="211"/>
      <c r="G735" s="208"/>
      <c r="H735" s="209"/>
      <c r="I735" s="200"/>
      <c r="J735" s="197"/>
    </row>
    <row r="736" ht="22.5" customHeight="1">
      <c r="A736" s="213"/>
      <c r="B736" s="214"/>
      <c r="C736" s="215"/>
      <c r="D736" s="162"/>
      <c r="E736" s="216"/>
      <c r="F736" s="211"/>
      <c r="G736" s="208"/>
      <c r="H736" s="209"/>
      <c r="I736" s="200"/>
      <c r="J736" s="197"/>
    </row>
    <row r="737" ht="22.5" customHeight="1">
      <c r="A737" s="213"/>
      <c r="B737" s="214"/>
      <c r="C737" s="215"/>
      <c r="D737" s="162"/>
      <c r="E737" s="216"/>
      <c r="F737" s="211"/>
      <c r="G737" s="208"/>
      <c r="H737" s="209"/>
      <c r="I737" s="200"/>
      <c r="J737" s="197"/>
    </row>
    <row r="738" ht="22.5" customHeight="1">
      <c r="A738" s="213"/>
      <c r="B738" s="214"/>
      <c r="C738" s="215"/>
      <c r="D738" s="162"/>
      <c r="E738" s="216"/>
      <c r="F738" s="211"/>
      <c r="G738" s="208"/>
      <c r="H738" s="209"/>
      <c r="I738" s="200"/>
      <c r="J738" s="197"/>
    </row>
    <row r="739" ht="22.5" customHeight="1">
      <c r="A739" s="213"/>
      <c r="B739" s="214"/>
      <c r="C739" s="215"/>
      <c r="D739" s="162"/>
      <c r="E739" s="216"/>
      <c r="F739" s="211"/>
      <c r="G739" s="208"/>
      <c r="H739" s="209"/>
      <c r="I739" s="200"/>
      <c r="J739" s="197"/>
    </row>
    <row r="740" ht="22.5" customHeight="1">
      <c r="A740" s="213"/>
      <c r="B740" s="214"/>
      <c r="C740" s="215"/>
      <c r="D740" s="162"/>
      <c r="E740" s="216"/>
      <c r="F740" s="211"/>
      <c r="G740" s="208"/>
      <c r="H740" s="209"/>
      <c r="I740" s="200"/>
      <c r="J740" s="197"/>
    </row>
    <row r="741" ht="22.5" customHeight="1">
      <c r="A741" s="213"/>
      <c r="B741" s="214"/>
      <c r="C741" s="215"/>
      <c r="D741" s="162"/>
      <c r="E741" s="216"/>
      <c r="F741" s="211"/>
      <c r="G741" s="208"/>
      <c r="H741" s="209"/>
      <c r="I741" s="200"/>
      <c r="J741" s="197"/>
    </row>
    <row r="742" ht="22.5" customHeight="1">
      <c r="A742" s="213"/>
      <c r="B742" s="214"/>
      <c r="C742" s="215"/>
      <c r="D742" s="162"/>
      <c r="E742" s="216"/>
      <c r="F742" s="211"/>
      <c r="G742" s="208"/>
      <c r="H742" s="209"/>
      <c r="I742" s="200"/>
      <c r="J742" s="197"/>
    </row>
    <row r="743" ht="22.5" customHeight="1">
      <c r="A743" s="213"/>
      <c r="B743" s="214"/>
      <c r="C743" s="215"/>
      <c r="D743" s="162"/>
      <c r="E743" s="216"/>
      <c r="F743" s="211"/>
      <c r="G743" s="208"/>
      <c r="H743" s="209"/>
      <c r="I743" s="200"/>
      <c r="J743" s="197"/>
    </row>
    <row r="744" ht="22.5" customHeight="1">
      <c r="A744" s="213"/>
      <c r="B744" s="214"/>
      <c r="C744" s="215"/>
      <c r="D744" s="162"/>
      <c r="E744" s="216"/>
      <c r="F744" s="211"/>
      <c r="G744" s="208"/>
      <c r="H744" s="209"/>
      <c r="I744" s="200"/>
      <c r="J744" s="197"/>
    </row>
    <row r="745" ht="22.5" customHeight="1">
      <c r="A745" s="213"/>
      <c r="B745" s="214"/>
      <c r="C745" s="215"/>
      <c r="D745" s="162"/>
      <c r="E745" s="216"/>
      <c r="F745" s="211"/>
      <c r="G745" s="208"/>
      <c r="H745" s="209"/>
      <c r="I745" s="200"/>
      <c r="J745" s="197"/>
    </row>
    <row r="746" ht="22.5" customHeight="1">
      <c r="A746" s="213"/>
      <c r="B746" s="214"/>
      <c r="C746" s="215"/>
      <c r="D746" s="162"/>
      <c r="E746" s="216"/>
      <c r="F746" s="211"/>
      <c r="G746" s="208"/>
      <c r="H746" s="209"/>
      <c r="I746" s="200"/>
      <c r="J746" s="197"/>
    </row>
    <row r="747" ht="22.5" customHeight="1">
      <c r="A747" s="213"/>
      <c r="B747" s="214"/>
      <c r="C747" s="215"/>
      <c r="D747" s="162"/>
      <c r="E747" s="216"/>
      <c r="F747" s="211"/>
      <c r="G747" s="208"/>
      <c r="H747" s="209"/>
      <c r="I747" s="200"/>
      <c r="J747" s="197"/>
    </row>
    <row r="748" ht="22.5" customHeight="1">
      <c r="A748" s="213"/>
      <c r="B748" s="214"/>
      <c r="C748" s="215"/>
      <c r="D748" s="162"/>
      <c r="E748" s="216"/>
      <c r="F748" s="211"/>
      <c r="G748" s="208"/>
      <c r="H748" s="209"/>
      <c r="I748" s="200"/>
      <c r="J748" s="197"/>
    </row>
    <row r="749" ht="22.5" customHeight="1">
      <c r="A749" s="213"/>
      <c r="B749" s="214"/>
      <c r="C749" s="215"/>
      <c r="D749" s="162"/>
      <c r="E749" s="216"/>
      <c r="F749" s="211"/>
      <c r="G749" s="208"/>
      <c r="H749" s="209"/>
      <c r="I749" s="200"/>
      <c r="J749" s="197"/>
    </row>
    <row r="750" ht="22.5" customHeight="1">
      <c r="A750" s="213"/>
      <c r="B750" s="214"/>
      <c r="C750" s="215"/>
      <c r="D750" s="162"/>
      <c r="E750" s="216"/>
      <c r="F750" s="211"/>
      <c r="G750" s="208"/>
      <c r="H750" s="209"/>
      <c r="I750" s="200"/>
      <c r="J750" s="197"/>
    </row>
    <row r="751" ht="22.5" customHeight="1">
      <c r="A751" s="213"/>
      <c r="B751" s="214"/>
      <c r="C751" s="215"/>
      <c r="D751" s="162"/>
      <c r="E751" s="216"/>
      <c r="F751" s="211"/>
      <c r="G751" s="208"/>
      <c r="H751" s="209"/>
      <c r="I751" s="200"/>
      <c r="J751" s="197"/>
    </row>
    <row r="752" ht="22.5" customHeight="1">
      <c r="A752" s="213"/>
      <c r="B752" s="214"/>
      <c r="C752" s="215"/>
      <c r="D752" s="162"/>
      <c r="E752" s="216"/>
      <c r="F752" s="211"/>
      <c r="G752" s="208"/>
      <c r="H752" s="209"/>
      <c r="I752" s="200"/>
      <c r="J752" s="197"/>
    </row>
    <row r="753" ht="22.5" customHeight="1">
      <c r="A753" s="213"/>
      <c r="B753" s="214"/>
      <c r="C753" s="215"/>
      <c r="D753" s="162"/>
      <c r="E753" s="216"/>
      <c r="F753" s="211"/>
      <c r="G753" s="208"/>
      <c r="H753" s="209"/>
      <c r="I753" s="200"/>
      <c r="J753" s="197"/>
    </row>
    <row r="754" ht="22.5" customHeight="1">
      <c r="A754" s="213"/>
      <c r="B754" s="214"/>
      <c r="C754" s="215"/>
      <c r="D754" s="162"/>
      <c r="E754" s="216"/>
      <c r="F754" s="211"/>
      <c r="G754" s="208"/>
      <c r="H754" s="209"/>
      <c r="I754" s="200"/>
      <c r="J754" s="197"/>
    </row>
    <row r="755" ht="22.5" customHeight="1">
      <c r="A755" s="213"/>
      <c r="B755" s="214"/>
      <c r="C755" s="215"/>
      <c r="D755" s="162"/>
      <c r="E755" s="216"/>
      <c r="F755" s="211"/>
      <c r="G755" s="208"/>
      <c r="H755" s="209"/>
      <c r="I755" s="200"/>
      <c r="J755" s="197"/>
    </row>
    <row r="756" ht="22.5" customHeight="1">
      <c r="A756" s="213"/>
      <c r="B756" s="214"/>
      <c r="C756" s="215"/>
      <c r="D756" s="162"/>
      <c r="E756" s="216"/>
      <c r="F756" s="211"/>
      <c r="G756" s="208"/>
      <c r="H756" s="209"/>
      <c r="I756" s="200"/>
      <c r="J756" s="197"/>
    </row>
    <row r="757" ht="22.5" customHeight="1">
      <c r="A757" s="213"/>
      <c r="B757" s="214"/>
      <c r="C757" s="215"/>
      <c r="D757" s="162"/>
      <c r="E757" s="216"/>
      <c r="F757" s="211"/>
      <c r="G757" s="208"/>
      <c r="H757" s="209"/>
      <c r="I757" s="200"/>
      <c r="J757" s="197"/>
    </row>
    <row r="758" ht="22.5" customHeight="1">
      <c r="A758" s="213"/>
      <c r="B758" s="214"/>
      <c r="C758" s="215"/>
      <c r="D758" s="162"/>
      <c r="E758" s="216"/>
      <c r="F758" s="211"/>
      <c r="G758" s="208"/>
      <c r="H758" s="209"/>
      <c r="I758" s="200"/>
      <c r="J758" s="197"/>
    </row>
    <row r="759" ht="22.5" customHeight="1">
      <c r="A759" s="213"/>
      <c r="B759" s="214"/>
      <c r="C759" s="215"/>
      <c r="D759" s="162"/>
      <c r="E759" s="216"/>
      <c r="F759" s="211"/>
      <c r="G759" s="208"/>
      <c r="H759" s="209"/>
      <c r="I759" s="200"/>
      <c r="J759" s="197"/>
    </row>
    <row r="760" ht="22.5" customHeight="1">
      <c r="A760" s="213"/>
      <c r="B760" s="214"/>
      <c r="C760" s="215"/>
      <c r="D760" s="162"/>
      <c r="E760" s="216"/>
      <c r="F760" s="211"/>
      <c r="G760" s="208"/>
      <c r="H760" s="209"/>
      <c r="I760" s="200"/>
      <c r="J760" s="197"/>
    </row>
    <row r="761" ht="22.5" customHeight="1">
      <c r="A761" s="213"/>
      <c r="B761" s="214"/>
      <c r="C761" s="215"/>
      <c r="D761" s="162"/>
      <c r="E761" s="216"/>
      <c r="F761" s="211"/>
      <c r="G761" s="208"/>
      <c r="H761" s="209"/>
      <c r="I761" s="200"/>
      <c r="J761" s="197"/>
    </row>
    <row r="762" ht="22.5" customHeight="1">
      <c r="A762" s="213"/>
      <c r="B762" s="214"/>
      <c r="C762" s="215"/>
      <c r="D762" s="162"/>
      <c r="E762" s="216"/>
      <c r="F762" s="211"/>
      <c r="G762" s="208"/>
      <c r="H762" s="209"/>
      <c r="I762" s="200"/>
      <c r="J762" s="197"/>
    </row>
    <row r="763" ht="22.5" customHeight="1">
      <c r="A763" s="213"/>
      <c r="B763" s="214"/>
      <c r="C763" s="215"/>
      <c r="D763" s="162"/>
      <c r="E763" s="216"/>
      <c r="F763" s="211"/>
      <c r="G763" s="208"/>
      <c r="H763" s="209"/>
      <c r="I763" s="200"/>
      <c r="J763" s="197"/>
    </row>
    <row r="764" ht="22.5" customHeight="1">
      <c r="A764" s="213"/>
      <c r="B764" s="214"/>
      <c r="C764" s="215"/>
      <c r="D764" s="162"/>
      <c r="E764" s="216"/>
      <c r="F764" s="211"/>
      <c r="G764" s="208"/>
      <c r="H764" s="209"/>
      <c r="I764" s="200"/>
      <c r="J764" s="197"/>
    </row>
    <row r="765" ht="22.5" customHeight="1">
      <c r="A765" s="213"/>
      <c r="B765" s="214"/>
      <c r="C765" s="215"/>
      <c r="D765" s="162"/>
      <c r="E765" s="216"/>
      <c r="F765" s="211"/>
      <c r="G765" s="208"/>
      <c r="H765" s="209"/>
      <c r="I765" s="200"/>
      <c r="J765" s="197"/>
    </row>
    <row r="766" ht="22.5" customHeight="1">
      <c r="A766" s="213"/>
      <c r="B766" s="214"/>
      <c r="C766" s="215"/>
      <c r="D766" s="162"/>
      <c r="E766" s="216"/>
      <c r="F766" s="211"/>
      <c r="G766" s="208"/>
      <c r="H766" s="209"/>
      <c r="I766" s="200"/>
      <c r="J766" s="197"/>
    </row>
    <row r="767" ht="22.5" customHeight="1">
      <c r="A767" s="213"/>
      <c r="B767" s="214"/>
      <c r="C767" s="215"/>
      <c r="D767" s="162"/>
      <c r="E767" s="216"/>
      <c r="F767" s="211"/>
      <c r="G767" s="208"/>
      <c r="H767" s="209"/>
      <c r="I767" s="200"/>
      <c r="J767" s="197"/>
    </row>
    <row r="768" ht="22.5" customHeight="1">
      <c r="A768" s="213"/>
      <c r="B768" s="214"/>
      <c r="C768" s="215"/>
      <c r="D768" s="162"/>
      <c r="E768" s="216"/>
      <c r="F768" s="211"/>
      <c r="G768" s="208"/>
      <c r="H768" s="209"/>
      <c r="I768" s="200"/>
      <c r="J768" s="197"/>
    </row>
    <row r="769" ht="22.5" customHeight="1">
      <c r="A769" s="213"/>
      <c r="B769" s="214"/>
      <c r="C769" s="215"/>
      <c r="D769" s="162"/>
      <c r="E769" s="216"/>
      <c r="F769" s="211"/>
      <c r="G769" s="208"/>
      <c r="H769" s="209"/>
      <c r="I769" s="200"/>
      <c r="J769" s="197"/>
    </row>
    <row r="770" ht="22.5" customHeight="1">
      <c r="A770" s="213"/>
      <c r="B770" s="214"/>
      <c r="C770" s="215"/>
      <c r="D770" s="162"/>
      <c r="E770" s="216"/>
      <c r="F770" s="211"/>
      <c r="G770" s="208"/>
      <c r="H770" s="209"/>
      <c r="I770" s="200"/>
      <c r="J770" s="197"/>
    </row>
    <row r="771" ht="22.5" customHeight="1">
      <c r="A771" s="213"/>
      <c r="B771" s="214"/>
      <c r="C771" s="215"/>
      <c r="D771" s="162"/>
      <c r="E771" s="216"/>
      <c r="F771" s="211"/>
      <c r="G771" s="208"/>
      <c r="H771" s="209"/>
      <c r="I771" s="200"/>
      <c r="J771" s="197"/>
    </row>
    <row r="772" ht="22.5" customHeight="1">
      <c r="A772" s="213"/>
      <c r="B772" s="214"/>
      <c r="C772" s="215"/>
      <c r="D772" s="162"/>
      <c r="E772" s="216"/>
      <c r="F772" s="211"/>
      <c r="G772" s="208"/>
      <c r="H772" s="209"/>
      <c r="I772" s="200"/>
      <c r="J772" s="197"/>
    </row>
    <row r="773" ht="22.5" customHeight="1">
      <c r="A773" s="213"/>
      <c r="B773" s="214"/>
      <c r="C773" s="215"/>
      <c r="D773" s="162"/>
      <c r="E773" s="216"/>
      <c r="F773" s="211"/>
      <c r="G773" s="208"/>
      <c r="H773" s="209"/>
      <c r="I773" s="200"/>
      <c r="J773" s="197"/>
    </row>
    <row r="774" ht="22.5" customHeight="1">
      <c r="A774" s="213"/>
      <c r="B774" s="214"/>
      <c r="C774" s="215"/>
      <c r="D774" s="162"/>
      <c r="E774" s="216"/>
      <c r="F774" s="211"/>
      <c r="G774" s="208"/>
      <c r="H774" s="209"/>
      <c r="I774" s="200"/>
      <c r="J774" s="197"/>
    </row>
    <row r="775" ht="22.5" customHeight="1">
      <c r="A775" s="213"/>
      <c r="B775" s="214"/>
      <c r="C775" s="215"/>
      <c r="D775" s="162"/>
      <c r="E775" s="216"/>
      <c r="F775" s="211"/>
      <c r="G775" s="208"/>
      <c r="H775" s="209"/>
      <c r="I775" s="200"/>
      <c r="J775" s="197"/>
    </row>
    <row r="776" ht="22.5" customHeight="1">
      <c r="A776" s="213"/>
      <c r="B776" s="214"/>
      <c r="C776" s="215"/>
      <c r="D776" s="162"/>
      <c r="E776" s="216"/>
      <c r="F776" s="211"/>
      <c r="G776" s="208"/>
      <c r="H776" s="209"/>
      <c r="I776" s="200"/>
      <c r="J776" s="197"/>
    </row>
    <row r="777" ht="22.5" customHeight="1">
      <c r="A777" s="213"/>
      <c r="B777" s="214"/>
      <c r="C777" s="215"/>
      <c r="D777" s="162"/>
      <c r="E777" s="216"/>
      <c r="F777" s="211"/>
      <c r="G777" s="208"/>
      <c r="H777" s="209"/>
      <c r="I777" s="200"/>
      <c r="J777" s="197"/>
    </row>
    <row r="778" ht="22.5" customHeight="1">
      <c r="A778" s="213"/>
      <c r="B778" s="214"/>
      <c r="C778" s="215"/>
      <c r="D778" s="162"/>
      <c r="E778" s="216"/>
      <c r="F778" s="211"/>
      <c r="G778" s="208"/>
      <c r="H778" s="209"/>
      <c r="I778" s="200"/>
      <c r="J778" s="197"/>
    </row>
    <row r="779" ht="22.5" customHeight="1">
      <c r="A779" s="213"/>
      <c r="B779" s="214"/>
      <c r="C779" s="215"/>
      <c r="D779" s="162"/>
      <c r="E779" s="216"/>
      <c r="F779" s="211"/>
      <c r="G779" s="208"/>
      <c r="H779" s="209"/>
      <c r="I779" s="200"/>
      <c r="J779" s="197"/>
    </row>
    <row r="780" ht="22.5" customHeight="1">
      <c r="A780" s="213"/>
      <c r="B780" s="214"/>
      <c r="C780" s="215"/>
      <c r="D780" s="162"/>
      <c r="E780" s="216"/>
      <c r="F780" s="211"/>
      <c r="G780" s="208"/>
      <c r="H780" s="209"/>
      <c r="I780" s="200"/>
      <c r="J780" s="197"/>
    </row>
    <row r="781" ht="22.5" customHeight="1">
      <c r="A781" s="213"/>
      <c r="B781" s="214"/>
      <c r="C781" s="215"/>
      <c r="D781" s="162"/>
      <c r="E781" s="216"/>
      <c r="F781" s="211"/>
      <c r="G781" s="208"/>
      <c r="H781" s="209"/>
      <c r="I781" s="200"/>
      <c r="J781" s="197"/>
    </row>
    <row r="782" ht="22.5" customHeight="1">
      <c r="A782" s="213"/>
      <c r="B782" s="214"/>
      <c r="C782" s="215"/>
      <c r="D782" s="162"/>
      <c r="E782" s="216"/>
      <c r="F782" s="211"/>
      <c r="G782" s="208"/>
      <c r="H782" s="209"/>
      <c r="I782" s="200"/>
      <c r="J782" s="197"/>
    </row>
    <row r="783" ht="22.5" customHeight="1">
      <c r="A783" s="213"/>
      <c r="B783" s="214"/>
      <c r="C783" s="215"/>
      <c r="D783" s="162"/>
      <c r="E783" s="216"/>
      <c r="F783" s="211"/>
      <c r="G783" s="208"/>
      <c r="H783" s="209"/>
      <c r="I783" s="200"/>
      <c r="J783" s="197"/>
    </row>
    <row r="784" ht="22.5" customHeight="1">
      <c r="A784" s="213"/>
      <c r="B784" s="214"/>
      <c r="C784" s="215"/>
      <c r="D784" s="162"/>
      <c r="E784" s="216"/>
      <c r="F784" s="211"/>
      <c r="G784" s="208"/>
      <c r="H784" s="209"/>
      <c r="I784" s="200"/>
      <c r="J784" s="197"/>
    </row>
    <row r="785" ht="22.5" customHeight="1">
      <c r="A785" s="213"/>
      <c r="B785" s="214"/>
      <c r="C785" s="215"/>
      <c r="D785" s="162"/>
      <c r="E785" s="216"/>
      <c r="F785" s="211"/>
      <c r="G785" s="208"/>
      <c r="H785" s="209"/>
      <c r="I785" s="200"/>
      <c r="J785" s="197"/>
    </row>
    <row r="786" ht="22.5" customHeight="1">
      <c r="A786" s="213"/>
      <c r="B786" s="214"/>
      <c r="C786" s="215"/>
      <c r="D786" s="162"/>
      <c r="E786" s="216"/>
      <c r="F786" s="211"/>
      <c r="G786" s="208"/>
      <c r="H786" s="209"/>
      <c r="I786" s="200"/>
      <c r="J786" s="197"/>
    </row>
    <row r="787" ht="22.5" customHeight="1">
      <c r="A787" s="213"/>
      <c r="B787" s="214"/>
      <c r="C787" s="215"/>
      <c r="D787" s="162"/>
      <c r="E787" s="216"/>
      <c r="F787" s="211"/>
      <c r="G787" s="208"/>
      <c r="H787" s="209"/>
      <c r="I787" s="200"/>
      <c r="J787" s="197"/>
    </row>
    <row r="788" ht="22.5" customHeight="1">
      <c r="A788" s="213"/>
      <c r="B788" s="214"/>
      <c r="C788" s="215"/>
      <c r="D788" s="162"/>
      <c r="E788" s="216"/>
      <c r="F788" s="211"/>
      <c r="G788" s="208"/>
      <c r="H788" s="209"/>
      <c r="I788" s="200"/>
      <c r="J788" s="197"/>
    </row>
    <row r="789" ht="22.5" customHeight="1">
      <c r="A789" s="213"/>
      <c r="B789" s="214"/>
      <c r="C789" s="215"/>
      <c r="D789" s="162"/>
      <c r="E789" s="216"/>
      <c r="F789" s="211"/>
      <c r="G789" s="208"/>
      <c r="H789" s="209"/>
      <c r="I789" s="200"/>
      <c r="J789" s="197"/>
    </row>
    <row r="790" ht="22.5" customHeight="1">
      <c r="A790" s="213"/>
      <c r="B790" s="214"/>
      <c r="C790" s="215"/>
      <c r="D790" s="162"/>
      <c r="E790" s="216"/>
      <c r="F790" s="211"/>
      <c r="G790" s="208"/>
      <c r="H790" s="209"/>
      <c r="I790" s="200"/>
      <c r="J790" s="197"/>
    </row>
    <row r="791" ht="22.5" customHeight="1">
      <c r="A791" s="213"/>
      <c r="B791" s="214"/>
      <c r="C791" s="215"/>
      <c r="D791" s="162"/>
      <c r="E791" s="216"/>
      <c r="F791" s="211"/>
      <c r="G791" s="208"/>
      <c r="H791" s="209"/>
      <c r="I791" s="200"/>
      <c r="J791" s="197"/>
    </row>
    <row r="792" ht="22.5" customHeight="1">
      <c r="A792" s="213"/>
      <c r="B792" s="214"/>
      <c r="C792" s="215"/>
      <c r="D792" s="162"/>
      <c r="E792" s="216"/>
      <c r="F792" s="211"/>
      <c r="G792" s="208"/>
      <c r="H792" s="209"/>
      <c r="I792" s="200"/>
      <c r="J792" s="197"/>
    </row>
    <row r="793" ht="22.5" customHeight="1">
      <c r="A793" s="213"/>
      <c r="B793" s="214"/>
      <c r="C793" s="215"/>
      <c r="D793" s="162"/>
      <c r="E793" s="216"/>
      <c r="F793" s="211"/>
      <c r="G793" s="208"/>
      <c r="H793" s="209"/>
      <c r="I793" s="200"/>
      <c r="J793" s="197"/>
    </row>
    <row r="794" ht="22.5" customHeight="1">
      <c r="A794" s="213"/>
      <c r="B794" s="214"/>
      <c r="C794" s="215"/>
      <c r="D794" s="162"/>
      <c r="E794" s="216"/>
      <c r="F794" s="211"/>
      <c r="G794" s="208"/>
      <c r="H794" s="209"/>
      <c r="I794" s="200"/>
      <c r="J794" s="197"/>
    </row>
    <row r="795" ht="22.5" customHeight="1">
      <c r="A795" s="213"/>
      <c r="B795" s="214"/>
      <c r="C795" s="215"/>
      <c r="D795" s="162"/>
      <c r="E795" s="216"/>
      <c r="F795" s="211"/>
      <c r="G795" s="208"/>
      <c r="H795" s="209"/>
      <c r="I795" s="200"/>
      <c r="J795" s="197"/>
    </row>
    <row r="796" ht="22.5" customHeight="1">
      <c r="A796" s="213"/>
      <c r="B796" s="214"/>
      <c r="C796" s="215"/>
      <c r="D796" s="162"/>
      <c r="E796" s="216"/>
      <c r="F796" s="211"/>
      <c r="G796" s="208"/>
      <c r="H796" s="209"/>
      <c r="I796" s="200"/>
      <c r="J796" s="197"/>
    </row>
    <row r="797" ht="22.5" customHeight="1">
      <c r="A797" s="213"/>
      <c r="B797" s="214"/>
      <c r="C797" s="215"/>
      <c r="D797" s="162"/>
      <c r="E797" s="216"/>
      <c r="F797" s="211"/>
      <c r="G797" s="208"/>
      <c r="H797" s="209"/>
      <c r="I797" s="200"/>
      <c r="J797" s="197"/>
    </row>
    <row r="798" ht="22.5" customHeight="1">
      <c r="A798" s="213"/>
      <c r="B798" s="214"/>
      <c r="C798" s="215"/>
      <c r="D798" s="162"/>
      <c r="E798" s="216"/>
      <c r="F798" s="211"/>
      <c r="G798" s="208"/>
      <c r="H798" s="209"/>
      <c r="I798" s="200"/>
      <c r="J798" s="197"/>
    </row>
    <row r="799" ht="22.5" customHeight="1">
      <c r="A799" s="213"/>
      <c r="B799" s="214"/>
      <c r="C799" s="215"/>
      <c r="D799" s="162"/>
      <c r="E799" s="216"/>
      <c r="F799" s="211"/>
      <c r="G799" s="208"/>
      <c r="H799" s="209"/>
      <c r="I799" s="200"/>
      <c r="J799" s="197"/>
    </row>
    <row r="800" ht="22.5" customHeight="1">
      <c r="A800" s="213"/>
      <c r="B800" s="214"/>
      <c r="C800" s="215"/>
      <c r="D800" s="162"/>
      <c r="E800" s="216"/>
      <c r="F800" s="211"/>
      <c r="G800" s="208"/>
      <c r="H800" s="209"/>
      <c r="I800" s="200"/>
      <c r="J800" s="197"/>
    </row>
    <row r="801" ht="22.5" customHeight="1">
      <c r="A801" s="213"/>
      <c r="B801" s="214"/>
      <c r="C801" s="215"/>
      <c r="D801" s="162"/>
      <c r="E801" s="216"/>
      <c r="F801" s="211"/>
      <c r="G801" s="208"/>
      <c r="H801" s="209"/>
      <c r="I801" s="200"/>
      <c r="J801" s="197"/>
    </row>
    <row r="802" ht="22.5" customHeight="1">
      <c r="A802" s="213"/>
      <c r="B802" s="214"/>
      <c r="C802" s="215"/>
      <c r="D802" s="162"/>
      <c r="E802" s="216"/>
      <c r="F802" s="211"/>
      <c r="G802" s="208"/>
      <c r="H802" s="209"/>
      <c r="I802" s="200"/>
      <c r="J802" s="197"/>
    </row>
    <row r="803" ht="22.5" customHeight="1">
      <c r="A803" s="213"/>
      <c r="B803" s="214"/>
      <c r="C803" s="215"/>
      <c r="D803" s="162"/>
      <c r="E803" s="216"/>
      <c r="F803" s="211"/>
      <c r="G803" s="208"/>
      <c r="H803" s="209"/>
      <c r="I803" s="200"/>
      <c r="J803" s="197"/>
    </row>
    <row r="804" ht="22.5" customHeight="1">
      <c r="A804" s="213"/>
      <c r="B804" s="214"/>
      <c r="C804" s="215"/>
      <c r="D804" s="162"/>
      <c r="E804" s="216"/>
      <c r="F804" s="211"/>
      <c r="G804" s="208"/>
      <c r="H804" s="209"/>
      <c r="I804" s="200"/>
      <c r="J804" s="197"/>
    </row>
    <row r="805" ht="22.5" customHeight="1">
      <c r="A805" s="213"/>
      <c r="B805" s="214"/>
      <c r="C805" s="215"/>
      <c r="D805" s="162"/>
      <c r="E805" s="216"/>
      <c r="F805" s="211"/>
      <c r="G805" s="208"/>
      <c r="H805" s="209"/>
      <c r="I805" s="200"/>
      <c r="J805" s="197"/>
    </row>
    <row r="806" ht="22.5" customHeight="1">
      <c r="A806" s="213"/>
      <c r="B806" s="214"/>
      <c r="C806" s="215"/>
      <c r="D806" s="162"/>
      <c r="E806" s="216"/>
      <c r="F806" s="211"/>
      <c r="G806" s="208"/>
      <c r="H806" s="209"/>
      <c r="I806" s="200"/>
      <c r="J806" s="197"/>
    </row>
    <row r="807" ht="22.5" customHeight="1">
      <c r="A807" s="213"/>
      <c r="B807" s="214"/>
      <c r="C807" s="215"/>
      <c r="D807" s="162"/>
      <c r="E807" s="216"/>
      <c r="F807" s="211"/>
      <c r="G807" s="208"/>
      <c r="H807" s="209"/>
      <c r="I807" s="200"/>
      <c r="J807" s="197"/>
    </row>
    <row r="808" ht="22.5" customHeight="1">
      <c r="A808" s="213"/>
      <c r="B808" s="214"/>
      <c r="C808" s="215"/>
      <c r="D808" s="162"/>
      <c r="E808" s="216"/>
      <c r="F808" s="211"/>
      <c r="G808" s="208"/>
      <c r="H808" s="209"/>
      <c r="I808" s="200"/>
      <c r="J808" s="197"/>
    </row>
    <row r="809" ht="22.5" customHeight="1">
      <c r="A809" s="213"/>
      <c r="B809" s="214"/>
      <c r="C809" s="215"/>
      <c r="D809" s="162"/>
      <c r="E809" s="216"/>
      <c r="F809" s="211"/>
      <c r="G809" s="208"/>
      <c r="H809" s="209"/>
      <c r="I809" s="200"/>
      <c r="J809" s="197"/>
    </row>
    <row r="810" ht="22.5" customHeight="1">
      <c r="A810" s="213"/>
      <c r="B810" s="214"/>
      <c r="C810" s="215"/>
      <c r="D810" s="162"/>
      <c r="E810" s="216"/>
      <c r="F810" s="211"/>
      <c r="G810" s="208"/>
      <c r="H810" s="209"/>
      <c r="I810" s="200"/>
      <c r="J810" s="197"/>
    </row>
    <row r="811" ht="22.5" customHeight="1">
      <c r="A811" s="213"/>
      <c r="B811" s="214"/>
      <c r="C811" s="215"/>
      <c r="D811" s="162"/>
      <c r="E811" s="216"/>
      <c r="F811" s="211"/>
      <c r="G811" s="208"/>
      <c r="H811" s="209"/>
      <c r="I811" s="200"/>
      <c r="J811" s="197"/>
    </row>
    <row r="812" ht="22.5" customHeight="1">
      <c r="A812" s="213"/>
      <c r="B812" s="214"/>
      <c r="C812" s="215"/>
      <c r="D812" s="162"/>
      <c r="E812" s="216"/>
      <c r="F812" s="211"/>
      <c r="G812" s="208"/>
      <c r="H812" s="209"/>
      <c r="I812" s="200"/>
      <c r="J812" s="197"/>
    </row>
    <row r="813" ht="22.5" customHeight="1">
      <c r="A813" s="213"/>
      <c r="B813" s="214"/>
      <c r="C813" s="215"/>
      <c r="D813" s="162"/>
      <c r="E813" s="216"/>
      <c r="F813" s="211"/>
      <c r="G813" s="208"/>
      <c r="H813" s="209"/>
      <c r="I813" s="200"/>
      <c r="J813" s="197"/>
    </row>
    <row r="814" ht="22.5" customHeight="1">
      <c r="A814" s="213"/>
      <c r="B814" s="214"/>
      <c r="C814" s="215"/>
      <c r="D814" s="162"/>
      <c r="E814" s="216"/>
      <c r="F814" s="211"/>
      <c r="G814" s="208"/>
      <c r="H814" s="209"/>
      <c r="I814" s="200"/>
      <c r="J814" s="197"/>
    </row>
    <row r="815" ht="22.5" customHeight="1">
      <c r="A815" s="213"/>
      <c r="B815" s="214"/>
      <c r="C815" s="215"/>
      <c r="D815" s="162"/>
      <c r="E815" s="216"/>
      <c r="F815" s="211"/>
      <c r="G815" s="208"/>
      <c r="H815" s="209"/>
      <c r="I815" s="200"/>
      <c r="J815" s="197"/>
    </row>
    <row r="816" ht="22.5" customHeight="1">
      <c r="A816" s="213"/>
      <c r="B816" s="214"/>
      <c r="C816" s="215"/>
      <c r="D816" s="162"/>
      <c r="E816" s="216"/>
      <c r="F816" s="211"/>
      <c r="G816" s="208"/>
      <c r="H816" s="209"/>
      <c r="I816" s="200"/>
      <c r="J816" s="197"/>
    </row>
    <row r="817" ht="22.5" customHeight="1">
      <c r="A817" s="213"/>
      <c r="B817" s="214"/>
      <c r="C817" s="215"/>
      <c r="D817" s="162"/>
      <c r="E817" s="216"/>
      <c r="F817" s="211"/>
      <c r="G817" s="208"/>
      <c r="H817" s="209"/>
      <c r="I817" s="200"/>
      <c r="J817" s="197"/>
    </row>
    <row r="818" ht="22.5" customHeight="1">
      <c r="A818" s="213"/>
      <c r="B818" s="214"/>
      <c r="C818" s="215"/>
      <c r="D818" s="162"/>
      <c r="E818" s="216"/>
      <c r="F818" s="211"/>
      <c r="G818" s="208"/>
      <c r="H818" s="209"/>
      <c r="I818" s="200"/>
      <c r="J818" s="197"/>
    </row>
    <row r="819" ht="22.5" customHeight="1">
      <c r="A819" s="213"/>
      <c r="B819" s="214"/>
      <c r="C819" s="215"/>
      <c r="D819" s="162"/>
      <c r="E819" s="216"/>
      <c r="F819" s="211"/>
      <c r="G819" s="208"/>
      <c r="H819" s="209"/>
      <c r="I819" s="200"/>
      <c r="J819" s="197"/>
    </row>
    <row r="820" ht="22.5" customHeight="1">
      <c r="A820" s="213"/>
      <c r="B820" s="214"/>
      <c r="C820" s="215"/>
      <c r="D820" s="162"/>
      <c r="E820" s="216"/>
      <c r="F820" s="211"/>
      <c r="G820" s="208"/>
      <c r="H820" s="209"/>
      <c r="I820" s="200"/>
      <c r="J820" s="197"/>
    </row>
    <row r="821" ht="22.5" customHeight="1">
      <c r="A821" s="213"/>
      <c r="B821" s="214"/>
      <c r="C821" s="215"/>
      <c r="D821" s="162"/>
      <c r="E821" s="216"/>
      <c r="F821" s="211"/>
      <c r="G821" s="208"/>
      <c r="H821" s="209"/>
      <c r="I821" s="200"/>
      <c r="J821" s="197"/>
    </row>
    <row r="822" ht="22.5" customHeight="1">
      <c r="A822" s="213"/>
      <c r="B822" s="214"/>
      <c r="C822" s="215"/>
      <c r="D822" s="162"/>
      <c r="E822" s="216"/>
      <c r="F822" s="211"/>
      <c r="G822" s="208"/>
      <c r="H822" s="209"/>
      <c r="I822" s="200"/>
      <c r="J822" s="197"/>
    </row>
    <row r="823" ht="22.5" customHeight="1">
      <c r="A823" s="213"/>
      <c r="B823" s="214"/>
      <c r="C823" s="215"/>
      <c r="D823" s="162"/>
      <c r="E823" s="216"/>
      <c r="F823" s="211"/>
      <c r="G823" s="208"/>
      <c r="H823" s="209"/>
      <c r="I823" s="200"/>
      <c r="J823" s="197"/>
    </row>
    <row r="824" ht="22.5" customHeight="1">
      <c r="A824" s="213"/>
      <c r="B824" s="214"/>
      <c r="C824" s="215"/>
      <c r="D824" s="162"/>
      <c r="E824" s="216"/>
      <c r="F824" s="211"/>
      <c r="G824" s="208"/>
      <c r="H824" s="209"/>
      <c r="I824" s="200"/>
      <c r="J824" s="197"/>
    </row>
    <row r="825" ht="22.5" customHeight="1">
      <c r="A825" s="213"/>
      <c r="B825" s="214"/>
      <c r="C825" s="215"/>
      <c r="D825" s="162"/>
      <c r="E825" s="216"/>
      <c r="F825" s="211"/>
      <c r="G825" s="208"/>
      <c r="H825" s="209"/>
      <c r="I825" s="200"/>
      <c r="J825" s="197"/>
    </row>
    <row r="826" ht="22.5" customHeight="1">
      <c r="A826" s="213"/>
      <c r="B826" s="214"/>
      <c r="C826" s="215"/>
      <c r="D826" s="162"/>
      <c r="E826" s="216"/>
      <c r="F826" s="211"/>
      <c r="G826" s="208"/>
      <c r="H826" s="209"/>
      <c r="I826" s="200"/>
      <c r="J826" s="197"/>
    </row>
    <row r="827" ht="22.5" customHeight="1">
      <c r="A827" s="213"/>
      <c r="B827" s="214"/>
      <c r="C827" s="215"/>
      <c r="D827" s="162"/>
      <c r="E827" s="216"/>
      <c r="F827" s="211"/>
      <c r="G827" s="208"/>
      <c r="H827" s="209"/>
      <c r="I827" s="200"/>
      <c r="J827" s="197"/>
    </row>
    <row r="828" ht="22.5" customHeight="1">
      <c r="A828" s="213"/>
      <c r="B828" s="214"/>
      <c r="C828" s="215"/>
      <c r="D828" s="162"/>
      <c r="E828" s="216"/>
      <c r="F828" s="211"/>
      <c r="G828" s="208"/>
      <c r="H828" s="209"/>
      <c r="I828" s="200"/>
      <c r="J828" s="197"/>
    </row>
    <row r="829" ht="22.5" customHeight="1">
      <c r="A829" s="213"/>
      <c r="B829" s="214"/>
      <c r="C829" s="215"/>
      <c r="D829" s="162"/>
      <c r="E829" s="216"/>
      <c r="F829" s="211"/>
      <c r="G829" s="208"/>
      <c r="H829" s="209"/>
      <c r="I829" s="200"/>
      <c r="J829" s="197"/>
    </row>
    <row r="830" ht="22.5" customHeight="1">
      <c r="A830" s="213"/>
      <c r="B830" s="214"/>
      <c r="C830" s="215"/>
      <c r="D830" s="162"/>
      <c r="E830" s="216"/>
      <c r="F830" s="211"/>
      <c r="G830" s="208"/>
      <c r="H830" s="209"/>
      <c r="I830" s="200"/>
      <c r="J830" s="197"/>
    </row>
    <row r="831" ht="22.5" customHeight="1">
      <c r="A831" s="213"/>
      <c r="B831" s="214"/>
      <c r="C831" s="215"/>
      <c r="D831" s="162"/>
      <c r="E831" s="216"/>
      <c r="F831" s="211"/>
      <c r="G831" s="208"/>
      <c r="H831" s="209"/>
      <c r="I831" s="200"/>
      <c r="J831" s="197"/>
    </row>
    <row r="832" ht="22.5" customHeight="1">
      <c r="A832" s="213"/>
      <c r="B832" s="214"/>
      <c r="C832" s="215"/>
      <c r="D832" s="162"/>
      <c r="E832" s="216"/>
      <c r="F832" s="211"/>
      <c r="G832" s="208"/>
      <c r="H832" s="209"/>
      <c r="I832" s="200"/>
      <c r="J832" s="197"/>
    </row>
    <row r="833" ht="22.5" customHeight="1">
      <c r="A833" s="213"/>
      <c r="B833" s="214"/>
      <c r="C833" s="215"/>
      <c r="D833" s="162"/>
      <c r="E833" s="216"/>
      <c r="F833" s="211"/>
      <c r="G833" s="208"/>
      <c r="H833" s="209"/>
      <c r="I833" s="200"/>
      <c r="J833" s="197"/>
    </row>
    <row r="834" ht="22.5" customHeight="1">
      <c r="A834" s="213"/>
      <c r="B834" s="214"/>
      <c r="C834" s="215"/>
      <c r="D834" s="162"/>
      <c r="E834" s="216"/>
      <c r="F834" s="211"/>
      <c r="G834" s="208"/>
      <c r="H834" s="209"/>
      <c r="I834" s="200"/>
      <c r="J834" s="197"/>
    </row>
    <row r="835" ht="22.5" customHeight="1">
      <c r="A835" s="213"/>
      <c r="B835" s="214"/>
      <c r="C835" s="215"/>
      <c r="D835" s="162"/>
      <c r="E835" s="216"/>
      <c r="F835" s="211"/>
      <c r="G835" s="208"/>
      <c r="H835" s="209"/>
      <c r="I835" s="200"/>
      <c r="J835" s="197"/>
    </row>
    <row r="836" ht="22.5" customHeight="1">
      <c r="A836" s="213"/>
      <c r="B836" s="214"/>
      <c r="C836" s="215"/>
      <c r="D836" s="162"/>
      <c r="E836" s="216"/>
      <c r="F836" s="211"/>
      <c r="G836" s="208"/>
      <c r="H836" s="209"/>
      <c r="I836" s="200"/>
      <c r="J836" s="197"/>
    </row>
    <row r="837" ht="22.5" customHeight="1">
      <c r="A837" s="213"/>
      <c r="B837" s="214"/>
      <c r="C837" s="215"/>
      <c r="D837" s="162"/>
      <c r="E837" s="216"/>
      <c r="F837" s="211"/>
      <c r="G837" s="208"/>
      <c r="H837" s="209"/>
      <c r="I837" s="200"/>
      <c r="J837" s="197"/>
    </row>
    <row r="838" ht="22.5" customHeight="1">
      <c r="A838" s="213"/>
      <c r="B838" s="214"/>
      <c r="C838" s="215"/>
      <c r="D838" s="162"/>
      <c r="E838" s="216"/>
      <c r="F838" s="211"/>
      <c r="G838" s="208"/>
      <c r="H838" s="209"/>
      <c r="I838" s="200"/>
      <c r="J838" s="197"/>
    </row>
    <row r="839" ht="22.5" customHeight="1">
      <c r="A839" s="213"/>
      <c r="B839" s="214"/>
      <c r="C839" s="215"/>
      <c r="D839" s="162"/>
      <c r="E839" s="216"/>
      <c r="F839" s="211"/>
      <c r="G839" s="208"/>
      <c r="H839" s="209"/>
      <c r="I839" s="200"/>
      <c r="J839" s="197"/>
    </row>
    <row r="840" ht="22.5" customHeight="1">
      <c r="A840" s="213"/>
      <c r="B840" s="214"/>
      <c r="C840" s="215"/>
      <c r="D840" s="162"/>
      <c r="E840" s="216"/>
      <c r="F840" s="211"/>
      <c r="G840" s="208"/>
      <c r="H840" s="209"/>
      <c r="I840" s="200"/>
      <c r="J840" s="197"/>
    </row>
    <row r="841" ht="22.5" customHeight="1">
      <c r="A841" s="213"/>
      <c r="B841" s="214"/>
      <c r="C841" s="215"/>
      <c r="D841" s="162"/>
      <c r="E841" s="216"/>
      <c r="F841" s="211"/>
      <c r="G841" s="208"/>
      <c r="H841" s="209"/>
      <c r="I841" s="200"/>
      <c r="J841" s="197"/>
    </row>
    <row r="842" ht="22.5" customHeight="1">
      <c r="A842" s="213"/>
      <c r="B842" s="214"/>
      <c r="C842" s="215"/>
      <c r="D842" s="162"/>
      <c r="E842" s="216"/>
      <c r="F842" s="211"/>
      <c r="G842" s="208"/>
      <c r="H842" s="209"/>
      <c r="I842" s="200"/>
      <c r="J842" s="197"/>
    </row>
    <row r="843" ht="22.5" customHeight="1">
      <c r="A843" s="213"/>
      <c r="B843" s="214"/>
      <c r="C843" s="215"/>
      <c r="D843" s="162"/>
      <c r="E843" s="216"/>
      <c r="F843" s="211"/>
      <c r="G843" s="208"/>
      <c r="H843" s="209"/>
      <c r="I843" s="200"/>
      <c r="J843" s="197"/>
    </row>
    <row r="844" ht="22.5" customHeight="1">
      <c r="A844" s="213"/>
      <c r="B844" s="214"/>
      <c r="C844" s="215"/>
      <c r="D844" s="162"/>
      <c r="E844" s="216"/>
      <c r="F844" s="211"/>
      <c r="G844" s="208"/>
      <c r="H844" s="209"/>
      <c r="I844" s="200"/>
      <c r="J844" s="197"/>
    </row>
    <row r="845" ht="22.5" customHeight="1">
      <c r="A845" s="213"/>
      <c r="B845" s="214"/>
      <c r="C845" s="215"/>
      <c r="D845" s="162"/>
      <c r="E845" s="216"/>
      <c r="F845" s="211"/>
      <c r="G845" s="208"/>
      <c r="H845" s="209"/>
      <c r="I845" s="200"/>
      <c r="J845" s="197"/>
    </row>
    <row r="846" ht="22.5" customHeight="1">
      <c r="A846" s="213"/>
      <c r="B846" s="214"/>
      <c r="C846" s="215"/>
      <c r="D846" s="162"/>
      <c r="E846" s="216"/>
      <c r="F846" s="211"/>
      <c r="G846" s="208"/>
      <c r="H846" s="209"/>
      <c r="I846" s="200"/>
      <c r="J846" s="197"/>
    </row>
    <row r="847" ht="22.5" customHeight="1">
      <c r="A847" s="213"/>
      <c r="B847" s="214"/>
      <c r="C847" s="215"/>
      <c r="D847" s="162"/>
      <c r="E847" s="216"/>
      <c r="F847" s="211"/>
      <c r="G847" s="208"/>
      <c r="H847" s="209"/>
      <c r="I847" s="200"/>
      <c r="J847" s="197"/>
    </row>
    <row r="848" ht="22.5" customHeight="1">
      <c r="A848" s="213"/>
      <c r="B848" s="214"/>
      <c r="C848" s="215"/>
      <c r="D848" s="162"/>
      <c r="E848" s="216"/>
      <c r="F848" s="211"/>
      <c r="G848" s="208"/>
      <c r="H848" s="209"/>
      <c r="I848" s="200"/>
      <c r="J848" s="197"/>
    </row>
    <row r="849" ht="22.5" customHeight="1">
      <c r="A849" s="213"/>
      <c r="B849" s="214"/>
      <c r="C849" s="215"/>
      <c r="D849" s="162"/>
      <c r="E849" s="216"/>
      <c r="F849" s="211"/>
      <c r="G849" s="208"/>
      <c r="H849" s="209"/>
      <c r="I849" s="200"/>
      <c r="J849" s="197"/>
    </row>
    <row r="850" ht="22.5" customHeight="1">
      <c r="A850" s="213"/>
      <c r="B850" s="214"/>
      <c r="C850" s="215"/>
      <c r="D850" s="162"/>
      <c r="E850" s="216"/>
      <c r="F850" s="211"/>
      <c r="G850" s="208"/>
      <c r="H850" s="209"/>
      <c r="I850" s="200"/>
      <c r="J850" s="197"/>
    </row>
    <row r="851" ht="22.5" customHeight="1">
      <c r="A851" s="213"/>
      <c r="B851" s="214"/>
      <c r="C851" s="215"/>
      <c r="D851" s="162"/>
      <c r="E851" s="216"/>
      <c r="F851" s="211"/>
      <c r="G851" s="208"/>
      <c r="H851" s="209"/>
      <c r="I851" s="200"/>
      <c r="J851" s="197"/>
    </row>
    <row r="852" ht="22.5" customHeight="1">
      <c r="A852" s="213"/>
      <c r="B852" s="214"/>
      <c r="C852" s="215"/>
      <c r="D852" s="162"/>
      <c r="E852" s="216"/>
      <c r="F852" s="211"/>
      <c r="G852" s="208"/>
      <c r="H852" s="209"/>
      <c r="I852" s="200"/>
      <c r="J852" s="197"/>
    </row>
    <row r="853" ht="22.5" customHeight="1">
      <c r="A853" s="213"/>
      <c r="B853" s="214"/>
      <c r="C853" s="215"/>
      <c r="D853" s="162"/>
      <c r="E853" s="216"/>
      <c r="F853" s="211"/>
      <c r="G853" s="208"/>
      <c r="H853" s="209"/>
      <c r="I853" s="200"/>
      <c r="J853" s="197"/>
    </row>
    <row r="854" ht="22.5" customHeight="1">
      <c r="A854" s="213"/>
      <c r="B854" s="214"/>
      <c r="C854" s="215"/>
      <c r="D854" s="162"/>
      <c r="E854" s="216"/>
      <c r="F854" s="211"/>
      <c r="G854" s="208"/>
      <c r="H854" s="209"/>
      <c r="I854" s="200"/>
      <c r="J854" s="197"/>
    </row>
    <row r="855" ht="22.5" customHeight="1">
      <c r="A855" s="213"/>
      <c r="B855" s="214"/>
      <c r="C855" s="215"/>
      <c r="D855" s="162"/>
      <c r="E855" s="216"/>
      <c r="F855" s="211"/>
      <c r="G855" s="208"/>
      <c r="H855" s="209"/>
      <c r="I855" s="200"/>
      <c r="J855" s="197"/>
    </row>
    <row r="856" ht="22.5" customHeight="1">
      <c r="A856" s="213"/>
      <c r="B856" s="214"/>
      <c r="C856" s="215"/>
      <c r="D856" s="162"/>
      <c r="E856" s="216"/>
      <c r="F856" s="211"/>
      <c r="G856" s="208"/>
      <c r="H856" s="209"/>
      <c r="I856" s="200"/>
      <c r="J856" s="197"/>
    </row>
    <row r="857" ht="22.5" customHeight="1">
      <c r="A857" s="213"/>
      <c r="B857" s="214"/>
      <c r="C857" s="215"/>
      <c r="D857" s="162"/>
      <c r="E857" s="216"/>
      <c r="F857" s="211"/>
      <c r="G857" s="208"/>
      <c r="H857" s="209"/>
      <c r="I857" s="200"/>
      <c r="J857" s="197"/>
    </row>
    <row r="858" ht="22.5" customHeight="1">
      <c r="A858" s="213"/>
      <c r="B858" s="214"/>
      <c r="C858" s="215"/>
      <c r="D858" s="162"/>
      <c r="E858" s="216"/>
      <c r="F858" s="211"/>
      <c r="G858" s="208"/>
      <c r="H858" s="209"/>
      <c r="I858" s="200"/>
      <c r="J858" s="197"/>
    </row>
    <row r="859" ht="22.5" customHeight="1">
      <c r="A859" s="213"/>
      <c r="B859" s="214"/>
      <c r="C859" s="215"/>
      <c r="D859" s="162"/>
      <c r="E859" s="216"/>
      <c r="F859" s="211"/>
      <c r="G859" s="208"/>
      <c r="H859" s="209"/>
      <c r="I859" s="200"/>
      <c r="J859" s="197"/>
    </row>
    <row r="860" ht="22.5" customHeight="1">
      <c r="A860" s="213"/>
      <c r="B860" s="214"/>
      <c r="C860" s="215"/>
      <c r="D860" s="162"/>
      <c r="E860" s="216"/>
      <c r="F860" s="211"/>
      <c r="G860" s="208"/>
      <c r="H860" s="209"/>
      <c r="I860" s="200"/>
      <c r="J860" s="197"/>
    </row>
    <row r="861" ht="22.5" customHeight="1">
      <c r="A861" s="213"/>
      <c r="B861" s="214"/>
      <c r="C861" s="215"/>
      <c r="D861" s="162"/>
      <c r="E861" s="216"/>
      <c r="F861" s="211"/>
      <c r="G861" s="208"/>
      <c r="H861" s="209"/>
      <c r="I861" s="200"/>
      <c r="J861" s="197"/>
    </row>
    <row r="862" ht="22.5" customHeight="1">
      <c r="A862" s="213"/>
      <c r="B862" s="214"/>
      <c r="C862" s="215"/>
      <c r="D862" s="162"/>
      <c r="E862" s="216"/>
      <c r="F862" s="211"/>
      <c r="G862" s="208"/>
      <c r="H862" s="209"/>
      <c r="I862" s="200"/>
      <c r="J862" s="197"/>
    </row>
    <row r="863" ht="22.5" customHeight="1">
      <c r="A863" s="213"/>
      <c r="B863" s="214"/>
      <c r="C863" s="215"/>
      <c r="D863" s="162"/>
      <c r="E863" s="216"/>
      <c r="F863" s="211"/>
      <c r="G863" s="208"/>
      <c r="H863" s="209"/>
      <c r="I863" s="200"/>
      <c r="J863" s="197"/>
    </row>
    <row r="864" ht="22.5" customHeight="1">
      <c r="A864" s="213"/>
      <c r="B864" s="214"/>
      <c r="C864" s="215"/>
      <c r="D864" s="162"/>
      <c r="E864" s="216"/>
      <c r="F864" s="211"/>
      <c r="G864" s="208"/>
      <c r="H864" s="209"/>
      <c r="I864" s="200"/>
      <c r="J864" s="197"/>
    </row>
    <row r="865" ht="22.5" customHeight="1">
      <c r="A865" s="213"/>
      <c r="B865" s="214"/>
      <c r="C865" s="215"/>
      <c r="D865" s="162"/>
      <c r="E865" s="216"/>
      <c r="F865" s="211"/>
      <c r="G865" s="208"/>
      <c r="H865" s="209"/>
      <c r="I865" s="200"/>
      <c r="J865" s="197"/>
    </row>
    <row r="866" ht="22.5" customHeight="1">
      <c r="A866" s="213"/>
      <c r="B866" s="214"/>
      <c r="C866" s="215"/>
      <c r="D866" s="162"/>
      <c r="E866" s="216"/>
      <c r="F866" s="211"/>
      <c r="G866" s="208"/>
      <c r="H866" s="209"/>
      <c r="I866" s="200"/>
      <c r="J866" s="197"/>
    </row>
    <row r="867" ht="22.5" customHeight="1">
      <c r="A867" s="213"/>
      <c r="B867" s="214"/>
      <c r="C867" s="215"/>
      <c r="D867" s="162"/>
      <c r="E867" s="216"/>
      <c r="F867" s="211"/>
      <c r="G867" s="208"/>
      <c r="H867" s="209"/>
      <c r="I867" s="200"/>
      <c r="J867" s="197"/>
    </row>
    <row r="868" ht="22.5" customHeight="1">
      <c r="A868" s="213"/>
      <c r="B868" s="214"/>
      <c r="C868" s="215"/>
      <c r="D868" s="162"/>
      <c r="E868" s="216"/>
      <c r="F868" s="211"/>
      <c r="G868" s="208"/>
      <c r="H868" s="209"/>
      <c r="I868" s="200"/>
      <c r="J868" s="197"/>
    </row>
    <row r="869" ht="22.5" customHeight="1">
      <c r="A869" s="213"/>
      <c r="B869" s="214"/>
      <c r="C869" s="215"/>
      <c r="D869" s="162"/>
      <c r="E869" s="216"/>
      <c r="F869" s="211"/>
      <c r="G869" s="208"/>
      <c r="H869" s="209"/>
      <c r="I869" s="200"/>
      <c r="J869" s="197"/>
    </row>
    <row r="870" ht="22.5" customHeight="1">
      <c r="A870" s="213"/>
      <c r="B870" s="214"/>
      <c r="C870" s="215"/>
      <c r="D870" s="162"/>
      <c r="E870" s="216"/>
      <c r="F870" s="211"/>
      <c r="G870" s="208"/>
      <c r="H870" s="209"/>
      <c r="I870" s="200"/>
      <c r="J870" s="197"/>
    </row>
    <row r="871" ht="22.5" customHeight="1">
      <c r="A871" s="213"/>
      <c r="B871" s="214"/>
      <c r="C871" s="215"/>
      <c r="D871" s="162"/>
      <c r="E871" s="216"/>
      <c r="F871" s="211"/>
      <c r="G871" s="208"/>
      <c r="H871" s="209"/>
      <c r="I871" s="200"/>
      <c r="J871" s="197"/>
    </row>
    <row r="872" ht="22.5" customHeight="1">
      <c r="A872" s="213"/>
      <c r="B872" s="214"/>
      <c r="C872" s="215"/>
      <c r="D872" s="162"/>
      <c r="E872" s="216"/>
      <c r="F872" s="211"/>
      <c r="G872" s="208"/>
      <c r="H872" s="209"/>
      <c r="I872" s="200"/>
      <c r="J872" s="197"/>
    </row>
    <row r="873" ht="22.5" customHeight="1">
      <c r="A873" s="213"/>
      <c r="B873" s="214"/>
      <c r="C873" s="215"/>
      <c r="D873" s="162"/>
      <c r="E873" s="216"/>
      <c r="F873" s="211"/>
      <c r="G873" s="208"/>
      <c r="H873" s="209"/>
      <c r="I873" s="200"/>
      <c r="J873" s="197"/>
    </row>
    <row r="874" ht="22.5" customHeight="1">
      <c r="A874" s="213"/>
      <c r="B874" s="214"/>
      <c r="C874" s="215"/>
      <c r="D874" s="162"/>
      <c r="E874" s="216"/>
      <c r="F874" s="211"/>
      <c r="G874" s="208"/>
      <c r="H874" s="209"/>
      <c r="I874" s="200"/>
      <c r="J874" s="197"/>
    </row>
    <row r="875" ht="22.5" customHeight="1">
      <c r="A875" s="213"/>
      <c r="B875" s="214"/>
      <c r="C875" s="215"/>
      <c r="D875" s="162"/>
      <c r="E875" s="216"/>
      <c r="F875" s="211"/>
      <c r="G875" s="208"/>
      <c r="H875" s="209"/>
      <c r="I875" s="200"/>
      <c r="J875" s="197"/>
    </row>
    <row r="876" ht="22.5" customHeight="1">
      <c r="A876" s="213"/>
      <c r="B876" s="214"/>
      <c r="C876" s="215"/>
      <c r="D876" s="162"/>
      <c r="E876" s="216"/>
      <c r="F876" s="211"/>
      <c r="G876" s="208"/>
      <c r="H876" s="209"/>
      <c r="I876" s="200"/>
      <c r="J876" s="197"/>
    </row>
    <row r="877" ht="22.5" customHeight="1">
      <c r="A877" s="213"/>
      <c r="B877" s="214"/>
      <c r="C877" s="215"/>
      <c r="D877" s="162"/>
      <c r="E877" s="216"/>
      <c r="F877" s="211"/>
      <c r="G877" s="208"/>
      <c r="H877" s="209"/>
      <c r="I877" s="200"/>
      <c r="J877" s="197"/>
    </row>
    <row r="878" ht="22.5" customHeight="1">
      <c r="A878" s="213"/>
      <c r="B878" s="214"/>
      <c r="C878" s="215"/>
      <c r="D878" s="162"/>
      <c r="E878" s="216"/>
      <c r="F878" s="211"/>
      <c r="G878" s="208"/>
      <c r="H878" s="209"/>
      <c r="I878" s="200"/>
      <c r="J878" s="197"/>
    </row>
    <row r="879" ht="22.5" customHeight="1">
      <c r="A879" s="213"/>
      <c r="B879" s="214"/>
      <c r="C879" s="215"/>
      <c r="D879" s="162"/>
      <c r="E879" s="216"/>
      <c r="F879" s="211"/>
      <c r="G879" s="208"/>
      <c r="H879" s="209"/>
      <c r="I879" s="200"/>
      <c r="J879" s="197"/>
    </row>
    <row r="880" ht="22.5" customHeight="1">
      <c r="A880" s="213"/>
      <c r="B880" s="214"/>
      <c r="C880" s="215"/>
      <c r="D880" s="162"/>
      <c r="E880" s="216"/>
      <c r="F880" s="211"/>
      <c r="G880" s="208"/>
      <c r="H880" s="209"/>
      <c r="I880" s="200"/>
      <c r="J880" s="197"/>
    </row>
    <row r="881" ht="22.5" customHeight="1">
      <c r="A881" s="213"/>
      <c r="B881" s="214"/>
      <c r="C881" s="215"/>
      <c r="D881" s="162"/>
      <c r="E881" s="216"/>
      <c r="F881" s="211"/>
      <c r="G881" s="208"/>
      <c r="H881" s="209"/>
      <c r="I881" s="200"/>
      <c r="J881" s="197"/>
    </row>
    <row r="882" ht="22.5" customHeight="1">
      <c r="A882" s="213"/>
      <c r="B882" s="214"/>
      <c r="C882" s="215"/>
      <c r="D882" s="162"/>
      <c r="E882" s="216"/>
      <c r="F882" s="211"/>
      <c r="G882" s="208"/>
      <c r="H882" s="209"/>
      <c r="I882" s="200"/>
      <c r="J882" s="197"/>
    </row>
    <row r="883" ht="22.5" customHeight="1">
      <c r="A883" s="213"/>
      <c r="B883" s="214"/>
      <c r="C883" s="215"/>
      <c r="D883" s="162"/>
      <c r="E883" s="216"/>
      <c r="F883" s="211"/>
      <c r="G883" s="208"/>
      <c r="H883" s="209"/>
      <c r="I883" s="200"/>
      <c r="J883" s="197"/>
    </row>
    <row r="884" ht="22.5" customHeight="1">
      <c r="A884" s="213"/>
      <c r="B884" s="214"/>
      <c r="C884" s="215"/>
      <c r="D884" s="162"/>
      <c r="E884" s="216"/>
      <c r="F884" s="211"/>
      <c r="G884" s="208"/>
      <c r="H884" s="209"/>
      <c r="I884" s="200"/>
      <c r="J884" s="197"/>
    </row>
    <row r="885" ht="22.5" customHeight="1">
      <c r="A885" s="213"/>
      <c r="B885" s="214"/>
      <c r="C885" s="215"/>
      <c r="D885" s="162"/>
      <c r="E885" s="216"/>
      <c r="F885" s="211"/>
      <c r="G885" s="208"/>
      <c r="H885" s="209"/>
      <c r="I885" s="200"/>
      <c r="J885" s="197"/>
    </row>
    <row r="886" ht="22.5" customHeight="1">
      <c r="A886" s="213"/>
      <c r="B886" s="214"/>
      <c r="C886" s="215"/>
      <c r="D886" s="162"/>
      <c r="E886" s="216"/>
      <c r="F886" s="211"/>
      <c r="G886" s="208"/>
      <c r="H886" s="209"/>
      <c r="I886" s="200"/>
      <c r="J886" s="197"/>
    </row>
    <row r="887" ht="22.5" customHeight="1">
      <c r="A887" s="213"/>
      <c r="B887" s="214"/>
      <c r="C887" s="215"/>
      <c r="D887" s="162"/>
      <c r="E887" s="216"/>
      <c r="F887" s="211"/>
      <c r="G887" s="208"/>
      <c r="H887" s="209"/>
      <c r="I887" s="200"/>
      <c r="J887" s="197"/>
    </row>
    <row r="888" ht="22.5" customHeight="1">
      <c r="A888" s="213"/>
      <c r="B888" s="214"/>
      <c r="C888" s="215"/>
      <c r="D888" s="162"/>
      <c r="E888" s="216"/>
      <c r="F888" s="211"/>
      <c r="G888" s="208"/>
      <c r="H888" s="209"/>
      <c r="I888" s="200"/>
      <c r="J888" s="197"/>
    </row>
    <row r="889" ht="22.5" customHeight="1">
      <c r="A889" s="213"/>
      <c r="B889" s="214"/>
      <c r="C889" s="215"/>
      <c r="D889" s="162"/>
      <c r="E889" s="216"/>
      <c r="F889" s="211"/>
      <c r="G889" s="208"/>
      <c r="H889" s="209"/>
      <c r="I889" s="200"/>
      <c r="J889" s="197"/>
    </row>
    <row r="890" ht="22.5" customHeight="1">
      <c r="A890" s="213"/>
      <c r="B890" s="214"/>
      <c r="C890" s="215"/>
      <c r="D890" s="162"/>
      <c r="E890" s="216"/>
      <c r="F890" s="211"/>
      <c r="G890" s="208"/>
      <c r="H890" s="209"/>
      <c r="I890" s="200"/>
      <c r="J890" s="197"/>
    </row>
    <row r="891" ht="22.5" customHeight="1">
      <c r="A891" s="213"/>
      <c r="B891" s="214"/>
      <c r="C891" s="215"/>
      <c r="D891" s="162"/>
      <c r="E891" s="216"/>
      <c r="F891" s="211"/>
      <c r="G891" s="208"/>
      <c r="H891" s="209"/>
      <c r="I891" s="200"/>
      <c r="J891" s="197"/>
    </row>
    <row r="892" ht="22.5" customHeight="1">
      <c r="A892" s="213"/>
      <c r="B892" s="214"/>
      <c r="C892" s="215"/>
      <c r="D892" s="162"/>
      <c r="E892" s="216"/>
      <c r="F892" s="211"/>
      <c r="G892" s="208"/>
      <c r="H892" s="209"/>
      <c r="I892" s="200"/>
      <c r="J892" s="197"/>
    </row>
    <row r="893" ht="22.5" customHeight="1">
      <c r="A893" s="213"/>
      <c r="B893" s="214"/>
      <c r="C893" s="215"/>
      <c r="D893" s="162"/>
      <c r="E893" s="216"/>
      <c r="F893" s="211"/>
      <c r="G893" s="208"/>
      <c r="H893" s="209"/>
      <c r="I893" s="200"/>
      <c r="J893" s="197"/>
    </row>
    <row r="894" ht="22.5" customHeight="1">
      <c r="A894" s="213"/>
      <c r="B894" s="214"/>
      <c r="C894" s="215"/>
      <c r="D894" s="162"/>
      <c r="E894" s="216"/>
      <c r="F894" s="211"/>
      <c r="G894" s="208"/>
      <c r="H894" s="209"/>
      <c r="I894" s="200"/>
      <c r="J894" s="197"/>
    </row>
    <row r="895" ht="22.5" customHeight="1">
      <c r="A895" s="213"/>
      <c r="B895" s="214"/>
      <c r="C895" s="215"/>
      <c r="D895" s="162"/>
      <c r="E895" s="216"/>
      <c r="F895" s="211"/>
      <c r="G895" s="208"/>
      <c r="H895" s="209"/>
      <c r="I895" s="200"/>
      <c r="J895" s="197"/>
    </row>
    <row r="896" ht="22.5" customHeight="1">
      <c r="A896" s="213"/>
      <c r="B896" s="214"/>
      <c r="C896" s="215"/>
      <c r="D896" s="162"/>
      <c r="E896" s="216"/>
      <c r="F896" s="211"/>
      <c r="G896" s="208"/>
      <c r="H896" s="209"/>
      <c r="I896" s="200"/>
      <c r="J896" s="197"/>
    </row>
    <row r="897" ht="22.5" customHeight="1">
      <c r="A897" s="213"/>
      <c r="B897" s="214"/>
      <c r="C897" s="215"/>
      <c r="D897" s="162"/>
      <c r="E897" s="216"/>
      <c r="F897" s="211"/>
      <c r="G897" s="208"/>
      <c r="H897" s="209"/>
      <c r="I897" s="200"/>
      <c r="J897" s="197"/>
    </row>
    <row r="898" ht="22.5" customHeight="1">
      <c r="A898" s="213"/>
      <c r="B898" s="214"/>
      <c r="C898" s="215"/>
      <c r="D898" s="162"/>
      <c r="E898" s="216"/>
      <c r="F898" s="211"/>
      <c r="G898" s="208"/>
      <c r="H898" s="209"/>
      <c r="I898" s="200"/>
      <c r="J898" s="197"/>
    </row>
    <row r="899" ht="22.5" customHeight="1">
      <c r="A899" s="213"/>
      <c r="B899" s="214"/>
      <c r="C899" s="215"/>
      <c r="D899" s="162"/>
      <c r="E899" s="216"/>
      <c r="F899" s="211"/>
      <c r="G899" s="208"/>
      <c r="H899" s="209"/>
      <c r="I899" s="200"/>
      <c r="J899" s="197"/>
    </row>
    <row r="900" ht="22.5" customHeight="1">
      <c r="A900" s="213"/>
      <c r="B900" s="214"/>
      <c r="C900" s="215"/>
      <c r="D900" s="162"/>
      <c r="E900" s="216"/>
      <c r="F900" s="211"/>
      <c r="G900" s="208"/>
      <c r="H900" s="209"/>
      <c r="I900" s="200"/>
      <c r="J900" s="197"/>
    </row>
    <row r="901" ht="22.5" customHeight="1">
      <c r="A901" s="213"/>
      <c r="B901" s="214"/>
      <c r="C901" s="215"/>
      <c r="D901" s="162"/>
      <c r="E901" s="216"/>
      <c r="F901" s="211"/>
      <c r="G901" s="208"/>
      <c r="H901" s="209"/>
      <c r="I901" s="200"/>
      <c r="J901" s="197"/>
    </row>
    <row r="902" ht="22.5" customHeight="1">
      <c r="A902" s="213"/>
      <c r="B902" s="214"/>
      <c r="C902" s="215"/>
      <c r="D902" s="162"/>
      <c r="E902" s="216"/>
      <c r="F902" s="211"/>
      <c r="G902" s="208"/>
      <c r="H902" s="209"/>
      <c r="I902" s="200"/>
      <c r="J902" s="197"/>
    </row>
    <row r="903" ht="22.5" customHeight="1">
      <c r="A903" s="213"/>
      <c r="B903" s="214"/>
      <c r="C903" s="215"/>
      <c r="D903" s="162"/>
      <c r="E903" s="216"/>
      <c r="F903" s="211"/>
      <c r="G903" s="208"/>
      <c r="H903" s="209"/>
      <c r="I903" s="200"/>
      <c r="J903" s="197"/>
    </row>
    <row r="904" ht="22.5" customHeight="1">
      <c r="A904" s="213"/>
      <c r="B904" s="214"/>
      <c r="C904" s="215"/>
      <c r="D904" s="162"/>
      <c r="E904" s="216"/>
      <c r="F904" s="211"/>
      <c r="G904" s="208"/>
      <c r="H904" s="209"/>
      <c r="I904" s="200"/>
      <c r="J904" s="197"/>
    </row>
    <row r="905" ht="22.5" customHeight="1">
      <c r="A905" s="213"/>
      <c r="B905" s="214"/>
      <c r="C905" s="215"/>
      <c r="D905" s="162"/>
      <c r="E905" s="216"/>
      <c r="F905" s="211"/>
      <c r="G905" s="208"/>
      <c r="H905" s="209"/>
      <c r="I905" s="200"/>
      <c r="J905" s="197"/>
    </row>
    <row r="906" ht="22.5" customHeight="1">
      <c r="A906" s="213"/>
      <c r="B906" s="214"/>
      <c r="C906" s="215"/>
      <c r="D906" s="162"/>
      <c r="E906" s="216"/>
      <c r="F906" s="211"/>
      <c r="G906" s="208"/>
      <c r="H906" s="209"/>
      <c r="I906" s="200"/>
      <c r="J906" s="197"/>
    </row>
    <row r="907" ht="22.5" customHeight="1">
      <c r="A907" s="213"/>
      <c r="B907" s="214"/>
      <c r="C907" s="215"/>
      <c r="D907" s="162"/>
      <c r="E907" s="216"/>
      <c r="F907" s="211"/>
      <c r="G907" s="208"/>
      <c r="H907" s="209"/>
      <c r="I907" s="200"/>
      <c r="J907" s="197"/>
    </row>
    <row r="908" ht="22.5" customHeight="1">
      <c r="A908" s="213"/>
      <c r="B908" s="214"/>
      <c r="C908" s="215"/>
      <c r="D908" s="162"/>
      <c r="E908" s="216"/>
      <c r="F908" s="211"/>
      <c r="G908" s="208"/>
      <c r="H908" s="209"/>
      <c r="I908" s="200"/>
      <c r="J908" s="197"/>
    </row>
    <row r="909" ht="22.5" customHeight="1">
      <c r="A909" s="213"/>
      <c r="B909" s="214"/>
      <c r="C909" s="215"/>
      <c r="D909" s="162"/>
      <c r="E909" s="216"/>
      <c r="F909" s="211"/>
      <c r="G909" s="208"/>
      <c r="H909" s="209"/>
      <c r="I909" s="200"/>
      <c r="J909" s="197"/>
    </row>
    <row r="910" ht="22.5" customHeight="1">
      <c r="A910" s="213"/>
      <c r="B910" s="214"/>
      <c r="C910" s="215"/>
      <c r="D910" s="162"/>
      <c r="E910" s="216"/>
      <c r="F910" s="211"/>
      <c r="G910" s="208"/>
      <c r="H910" s="209"/>
      <c r="I910" s="200"/>
      <c r="J910" s="197"/>
    </row>
    <row r="911" ht="22.5" customHeight="1">
      <c r="A911" s="213"/>
      <c r="B911" s="214"/>
      <c r="C911" s="215"/>
      <c r="D911" s="162"/>
      <c r="E911" s="216"/>
      <c r="F911" s="211"/>
      <c r="G911" s="208"/>
      <c r="H911" s="209"/>
      <c r="I911" s="200"/>
      <c r="J911" s="197"/>
    </row>
    <row r="912" ht="22.5" customHeight="1">
      <c r="A912" s="213"/>
      <c r="B912" s="214"/>
      <c r="C912" s="215"/>
      <c r="D912" s="162"/>
      <c r="E912" s="216"/>
      <c r="F912" s="211"/>
      <c r="G912" s="208"/>
      <c r="H912" s="209"/>
      <c r="I912" s="200"/>
      <c r="J912" s="197"/>
    </row>
    <row r="913" ht="22.5" customHeight="1">
      <c r="A913" s="213"/>
      <c r="B913" s="214"/>
      <c r="C913" s="215"/>
      <c r="D913" s="162"/>
      <c r="E913" s="216"/>
      <c r="F913" s="211"/>
      <c r="G913" s="208"/>
      <c r="H913" s="209"/>
      <c r="I913" s="200"/>
      <c r="J913" s="197"/>
    </row>
    <row r="914" ht="22.5" customHeight="1">
      <c r="A914" s="213"/>
      <c r="B914" s="214"/>
      <c r="C914" s="215"/>
      <c r="D914" s="162"/>
      <c r="E914" s="216"/>
      <c r="F914" s="211"/>
      <c r="G914" s="208"/>
      <c r="H914" s="209"/>
      <c r="I914" s="200"/>
      <c r="J914" s="197"/>
    </row>
    <row r="915" ht="22.5" customHeight="1">
      <c r="A915" s="213"/>
      <c r="B915" s="214"/>
      <c r="C915" s="215"/>
      <c r="D915" s="162"/>
      <c r="E915" s="216"/>
      <c r="F915" s="211"/>
      <c r="G915" s="208"/>
      <c r="H915" s="209"/>
      <c r="I915" s="200"/>
      <c r="J915" s="197"/>
    </row>
    <row r="916" ht="22.5" customHeight="1">
      <c r="A916" s="213"/>
      <c r="B916" s="214"/>
      <c r="C916" s="215"/>
      <c r="D916" s="162"/>
      <c r="E916" s="216"/>
      <c r="F916" s="211"/>
      <c r="G916" s="208"/>
      <c r="H916" s="209"/>
      <c r="I916" s="200"/>
      <c r="J916" s="197"/>
    </row>
    <row r="917" ht="22.5" customHeight="1">
      <c r="A917" s="213"/>
      <c r="B917" s="214"/>
      <c r="C917" s="215"/>
      <c r="D917" s="162"/>
      <c r="E917" s="216"/>
      <c r="F917" s="211"/>
      <c r="G917" s="208"/>
      <c r="H917" s="209"/>
      <c r="I917" s="200"/>
      <c r="J917" s="197"/>
    </row>
    <row r="918" ht="22.5" customHeight="1">
      <c r="A918" s="213"/>
      <c r="B918" s="214"/>
      <c r="C918" s="215"/>
      <c r="D918" s="162"/>
      <c r="E918" s="216"/>
      <c r="F918" s="211"/>
      <c r="G918" s="208"/>
      <c r="H918" s="209"/>
      <c r="I918" s="200"/>
      <c r="J918" s="197"/>
    </row>
    <row r="919" ht="22.5" customHeight="1">
      <c r="A919" s="213"/>
      <c r="B919" s="214"/>
      <c r="C919" s="215"/>
      <c r="D919" s="162"/>
      <c r="E919" s="216"/>
      <c r="F919" s="211"/>
      <c r="G919" s="208"/>
      <c r="H919" s="209"/>
      <c r="I919" s="200"/>
      <c r="J919" s="197"/>
    </row>
    <row r="920" ht="22.5" customHeight="1">
      <c r="A920" s="213"/>
      <c r="B920" s="214"/>
      <c r="C920" s="215"/>
      <c r="D920" s="162"/>
      <c r="E920" s="216"/>
      <c r="F920" s="211"/>
      <c r="G920" s="208"/>
      <c r="H920" s="209"/>
      <c r="I920" s="200"/>
      <c r="J920" s="197"/>
    </row>
    <row r="921" ht="22.5" customHeight="1">
      <c r="A921" s="213"/>
      <c r="B921" s="214"/>
      <c r="C921" s="215"/>
      <c r="D921" s="162"/>
      <c r="E921" s="216"/>
      <c r="F921" s="211"/>
      <c r="G921" s="208"/>
      <c r="H921" s="209"/>
      <c r="I921" s="200"/>
      <c r="J921" s="197"/>
    </row>
    <row r="922" ht="22.5" customHeight="1">
      <c r="A922" s="213"/>
      <c r="B922" s="214"/>
      <c r="C922" s="215"/>
      <c r="D922" s="162"/>
      <c r="E922" s="216"/>
      <c r="F922" s="211"/>
      <c r="G922" s="208"/>
      <c r="H922" s="209"/>
      <c r="I922" s="200"/>
      <c r="J922" s="197"/>
    </row>
    <row r="923" ht="22.5" customHeight="1">
      <c r="A923" s="213"/>
      <c r="B923" s="214"/>
      <c r="C923" s="215"/>
      <c r="D923" s="162"/>
      <c r="E923" s="216"/>
      <c r="F923" s="211"/>
      <c r="G923" s="208"/>
      <c r="H923" s="209"/>
      <c r="I923" s="200"/>
      <c r="J923" s="197"/>
    </row>
    <row r="924" ht="22.5" customHeight="1">
      <c r="A924" s="213"/>
      <c r="B924" s="214"/>
      <c r="C924" s="215"/>
      <c r="D924" s="162"/>
      <c r="E924" s="216"/>
      <c r="F924" s="211"/>
      <c r="G924" s="208"/>
      <c r="H924" s="209"/>
      <c r="I924" s="200"/>
      <c r="J924" s="197"/>
    </row>
    <row r="925" ht="22.5" customHeight="1">
      <c r="A925" s="213"/>
      <c r="B925" s="214"/>
      <c r="C925" s="215"/>
      <c r="D925" s="162"/>
      <c r="E925" s="216"/>
      <c r="F925" s="211"/>
      <c r="G925" s="208"/>
      <c r="H925" s="209"/>
      <c r="I925" s="200"/>
      <c r="J925" s="197"/>
    </row>
    <row r="926" ht="22.5" customHeight="1">
      <c r="A926" s="213"/>
      <c r="B926" s="214"/>
      <c r="C926" s="215"/>
      <c r="D926" s="162"/>
      <c r="E926" s="216"/>
      <c r="F926" s="211"/>
      <c r="G926" s="208"/>
      <c r="H926" s="209"/>
      <c r="I926" s="200"/>
      <c r="J926" s="197"/>
    </row>
    <row r="927" ht="22.5" customHeight="1">
      <c r="A927" s="213"/>
      <c r="B927" s="214"/>
      <c r="C927" s="215"/>
      <c r="D927" s="162"/>
      <c r="E927" s="216"/>
      <c r="F927" s="211"/>
      <c r="G927" s="208"/>
      <c r="H927" s="209"/>
      <c r="I927" s="200"/>
      <c r="J927" s="197"/>
    </row>
    <row r="928" ht="22.5" customHeight="1">
      <c r="A928" s="213"/>
      <c r="B928" s="214"/>
      <c r="C928" s="215"/>
      <c r="D928" s="162"/>
      <c r="E928" s="216"/>
      <c r="F928" s="211"/>
      <c r="G928" s="208"/>
      <c r="H928" s="209"/>
      <c r="I928" s="200"/>
      <c r="J928" s="197"/>
    </row>
    <row r="929" ht="22.5" customHeight="1">
      <c r="A929" s="213"/>
      <c r="B929" s="214"/>
      <c r="C929" s="215"/>
      <c r="D929" s="162"/>
      <c r="E929" s="216"/>
      <c r="F929" s="211"/>
      <c r="G929" s="208"/>
      <c r="H929" s="209"/>
      <c r="I929" s="200"/>
      <c r="J929" s="197"/>
    </row>
    <row r="930" ht="22.5" customHeight="1">
      <c r="A930" s="213"/>
      <c r="B930" s="214"/>
      <c r="C930" s="215"/>
      <c r="D930" s="162"/>
      <c r="E930" s="216"/>
      <c r="F930" s="211"/>
      <c r="G930" s="208"/>
      <c r="H930" s="209"/>
      <c r="I930" s="200"/>
      <c r="J930" s="197"/>
    </row>
    <row r="931" ht="22.5" customHeight="1">
      <c r="A931" s="213"/>
      <c r="B931" s="214"/>
      <c r="C931" s="215"/>
      <c r="D931" s="162"/>
      <c r="E931" s="216"/>
      <c r="F931" s="211"/>
      <c r="G931" s="208"/>
      <c r="H931" s="209"/>
      <c r="I931" s="200"/>
      <c r="J931" s="197"/>
    </row>
    <row r="932" ht="22.5" customHeight="1">
      <c r="A932" s="213"/>
      <c r="B932" s="214"/>
      <c r="C932" s="215"/>
      <c r="D932" s="162"/>
      <c r="E932" s="216"/>
      <c r="F932" s="211"/>
      <c r="G932" s="208"/>
      <c r="H932" s="209"/>
      <c r="I932" s="200"/>
      <c r="J932" s="197"/>
    </row>
    <row r="933" ht="22.5" customHeight="1">
      <c r="A933" s="213"/>
      <c r="B933" s="214"/>
      <c r="C933" s="215"/>
      <c r="D933" s="162"/>
      <c r="E933" s="216"/>
      <c r="F933" s="211"/>
      <c r="G933" s="208"/>
      <c r="H933" s="209"/>
      <c r="I933" s="200"/>
      <c r="J933" s="197"/>
    </row>
    <row r="934" ht="22.5" customHeight="1">
      <c r="A934" s="213"/>
      <c r="B934" s="214"/>
      <c r="C934" s="215"/>
      <c r="D934" s="162"/>
      <c r="E934" s="216"/>
      <c r="F934" s="211"/>
      <c r="G934" s="208"/>
      <c r="H934" s="209"/>
      <c r="I934" s="200"/>
      <c r="J934" s="197"/>
    </row>
    <row r="935" ht="22.5" customHeight="1">
      <c r="A935" s="213"/>
      <c r="B935" s="214"/>
      <c r="C935" s="215"/>
      <c r="D935" s="162"/>
      <c r="E935" s="216"/>
      <c r="F935" s="211"/>
      <c r="G935" s="208"/>
      <c r="H935" s="209"/>
      <c r="I935" s="200"/>
      <c r="J935" s="197"/>
    </row>
    <row r="936" ht="22.5" customHeight="1">
      <c r="A936" s="213"/>
      <c r="B936" s="214"/>
      <c r="C936" s="215"/>
      <c r="D936" s="162"/>
      <c r="E936" s="216"/>
      <c r="F936" s="211"/>
      <c r="G936" s="208"/>
      <c r="H936" s="209"/>
      <c r="I936" s="200"/>
      <c r="J936" s="197"/>
    </row>
    <row r="937" ht="22.5" customHeight="1">
      <c r="A937" s="213"/>
      <c r="B937" s="214"/>
      <c r="C937" s="215"/>
      <c r="D937" s="162"/>
      <c r="E937" s="216"/>
      <c r="F937" s="211"/>
      <c r="G937" s="208"/>
      <c r="H937" s="209"/>
      <c r="I937" s="200"/>
      <c r="J937" s="197"/>
    </row>
    <row r="938" ht="22.5" customHeight="1">
      <c r="A938" s="213"/>
      <c r="B938" s="214"/>
      <c r="C938" s="215"/>
      <c r="D938" s="162"/>
      <c r="E938" s="216"/>
      <c r="F938" s="211"/>
      <c r="G938" s="208"/>
      <c r="H938" s="209"/>
      <c r="I938" s="200"/>
      <c r="J938" s="197"/>
    </row>
    <row r="939" ht="22.5" customHeight="1">
      <c r="A939" s="213"/>
      <c r="B939" s="214"/>
      <c r="C939" s="215"/>
      <c r="D939" s="162"/>
      <c r="E939" s="216"/>
      <c r="F939" s="211"/>
      <c r="G939" s="208"/>
      <c r="H939" s="209"/>
      <c r="I939" s="200"/>
      <c r="J939" s="197"/>
    </row>
    <row r="940" ht="22.5" customHeight="1">
      <c r="A940" s="213"/>
      <c r="B940" s="214"/>
      <c r="C940" s="215"/>
      <c r="D940" s="162"/>
      <c r="E940" s="216"/>
      <c r="F940" s="211"/>
      <c r="G940" s="208"/>
      <c r="H940" s="209"/>
      <c r="I940" s="200"/>
      <c r="J940" s="197"/>
    </row>
    <row r="941" ht="22.5" customHeight="1">
      <c r="A941" s="213"/>
      <c r="B941" s="214"/>
      <c r="C941" s="215"/>
      <c r="D941" s="162"/>
      <c r="E941" s="216"/>
      <c r="F941" s="211"/>
      <c r="G941" s="208"/>
      <c r="H941" s="209"/>
      <c r="I941" s="200"/>
      <c r="J941" s="197"/>
    </row>
    <row r="942" ht="22.5" customHeight="1">
      <c r="A942" s="213"/>
      <c r="B942" s="214"/>
      <c r="C942" s="215"/>
      <c r="D942" s="162"/>
      <c r="E942" s="216"/>
      <c r="F942" s="211"/>
      <c r="G942" s="208"/>
      <c r="H942" s="209"/>
      <c r="I942" s="200"/>
      <c r="J942" s="197"/>
    </row>
    <row r="943" ht="22.5" customHeight="1">
      <c r="A943" s="213"/>
      <c r="B943" s="214"/>
      <c r="C943" s="215"/>
      <c r="D943" s="162"/>
      <c r="E943" s="216"/>
      <c r="F943" s="211"/>
      <c r="G943" s="208"/>
      <c r="H943" s="209"/>
      <c r="I943" s="200"/>
      <c r="J943" s="197"/>
    </row>
    <row r="944" ht="22.5" customHeight="1">
      <c r="A944" s="213"/>
      <c r="B944" s="214"/>
      <c r="C944" s="215"/>
      <c r="D944" s="162"/>
      <c r="E944" s="216"/>
      <c r="F944" s="211"/>
      <c r="G944" s="208"/>
      <c r="H944" s="209"/>
      <c r="I944" s="200"/>
      <c r="J944" s="197"/>
    </row>
    <row r="945" ht="22.5" customHeight="1">
      <c r="A945" s="213"/>
      <c r="B945" s="214"/>
      <c r="C945" s="215"/>
      <c r="D945" s="162"/>
      <c r="E945" s="216"/>
      <c r="F945" s="211"/>
      <c r="G945" s="208"/>
      <c r="H945" s="209"/>
      <c r="I945" s="200"/>
      <c r="J945" s="197"/>
    </row>
    <row r="946" ht="22.5" customHeight="1">
      <c r="A946" s="213"/>
      <c r="B946" s="214"/>
      <c r="C946" s="215"/>
      <c r="D946" s="162"/>
      <c r="E946" s="216"/>
      <c r="F946" s="211"/>
      <c r="G946" s="208"/>
      <c r="H946" s="209"/>
      <c r="I946" s="200"/>
      <c r="J946" s="197"/>
    </row>
    <row r="947" ht="22.5" customHeight="1">
      <c r="A947" s="213"/>
      <c r="B947" s="214"/>
      <c r="C947" s="215"/>
      <c r="D947" s="162"/>
      <c r="E947" s="216"/>
      <c r="F947" s="211"/>
      <c r="G947" s="208"/>
      <c r="H947" s="209"/>
      <c r="I947" s="200"/>
      <c r="J947" s="197"/>
    </row>
    <row r="948" ht="22.5" customHeight="1">
      <c r="A948" s="213"/>
      <c r="B948" s="214"/>
      <c r="C948" s="215"/>
      <c r="D948" s="162"/>
      <c r="E948" s="216"/>
      <c r="F948" s="211"/>
      <c r="G948" s="208"/>
      <c r="H948" s="209"/>
      <c r="I948" s="200"/>
      <c r="J948" s="197"/>
    </row>
    <row r="949" ht="22.5" customHeight="1">
      <c r="A949" s="213"/>
      <c r="B949" s="214"/>
      <c r="C949" s="215"/>
      <c r="D949" s="162"/>
      <c r="E949" s="216"/>
      <c r="F949" s="211"/>
      <c r="G949" s="208"/>
      <c r="H949" s="209"/>
      <c r="I949" s="200"/>
      <c r="J949" s="197"/>
    </row>
    <row r="950" ht="22.5" customHeight="1">
      <c r="A950" s="213"/>
      <c r="B950" s="214"/>
      <c r="C950" s="215"/>
      <c r="D950" s="162"/>
      <c r="E950" s="216"/>
      <c r="F950" s="211"/>
      <c r="G950" s="208"/>
      <c r="H950" s="209"/>
      <c r="I950" s="200"/>
      <c r="J950" s="197"/>
    </row>
    <row r="951" ht="22.5" customHeight="1">
      <c r="A951" s="213"/>
      <c r="B951" s="214"/>
      <c r="C951" s="215"/>
      <c r="D951" s="162"/>
      <c r="E951" s="216"/>
      <c r="F951" s="211"/>
      <c r="G951" s="208"/>
      <c r="H951" s="209"/>
      <c r="I951" s="200"/>
      <c r="J951" s="197"/>
    </row>
    <row r="952" ht="22.5" customHeight="1">
      <c r="A952" s="213"/>
      <c r="B952" s="214"/>
      <c r="C952" s="215"/>
      <c r="D952" s="162"/>
      <c r="E952" s="216"/>
      <c r="F952" s="211"/>
      <c r="G952" s="208"/>
      <c r="H952" s="209"/>
      <c r="I952" s="200"/>
      <c r="J952" s="197"/>
    </row>
    <row r="953" ht="22.5" customHeight="1">
      <c r="A953" s="213"/>
      <c r="B953" s="214"/>
      <c r="C953" s="215"/>
      <c r="D953" s="162"/>
      <c r="E953" s="216"/>
      <c r="F953" s="211"/>
      <c r="G953" s="208"/>
      <c r="H953" s="209"/>
      <c r="I953" s="200"/>
      <c r="J953" s="197"/>
    </row>
    <row r="954" ht="22.5" customHeight="1">
      <c r="A954" s="213"/>
      <c r="B954" s="214"/>
      <c r="C954" s="215"/>
      <c r="D954" s="162"/>
      <c r="E954" s="216"/>
      <c r="F954" s="211"/>
      <c r="G954" s="208"/>
      <c r="H954" s="209"/>
      <c r="I954" s="200"/>
      <c r="J954" s="197"/>
    </row>
    <row r="955" ht="22.5" customHeight="1">
      <c r="A955" s="213"/>
      <c r="B955" s="214"/>
      <c r="C955" s="215"/>
      <c r="D955" s="162"/>
      <c r="E955" s="216"/>
      <c r="F955" s="211"/>
      <c r="G955" s="208"/>
      <c r="H955" s="209"/>
      <c r="I955" s="200"/>
      <c r="J955" s="197"/>
    </row>
    <row r="956" ht="22.5" customHeight="1">
      <c r="A956" s="213"/>
      <c r="B956" s="214"/>
      <c r="C956" s="215"/>
      <c r="D956" s="162"/>
      <c r="E956" s="216"/>
      <c r="F956" s="211"/>
      <c r="G956" s="208"/>
      <c r="H956" s="209"/>
      <c r="I956" s="200"/>
      <c r="J956" s="197"/>
    </row>
    <row r="957" ht="22.5" customHeight="1">
      <c r="A957" s="213"/>
      <c r="B957" s="214"/>
      <c r="C957" s="215"/>
      <c r="D957" s="162"/>
      <c r="E957" s="216"/>
      <c r="F957" s="211"/>
      <c r="G957" s="208"/>
      <c r="H957" s="209"/>
      <c r="I957" s="200"/>
      <c r="J957" s="197"/>
    </row>
    <row r="958" ht="22.5" customHeight="1">
      <c r="A958" s="213"/>
      <c r="B958" s="214"/>
      <c r="C958" s="215"/>
      <c r="D958" s="162"/>
      <c r="E958" s="216"/>
      <c r="F958" s="211"/>
      <c r="G958" s="208"/>
      <c r="H958" s="209"/>
      <c r="I958" s="200"/>
      <c r="J958" s="197"/>
    </row>
    <row r="959" ht="22.5" customHeight="1">
      <c r="A959" s="213"/>
      <c r="B959" s="214"/>
      <c r="C959" s="215"/>
      <c r="D959" s="162"/>
      <c r="E959" s="216"/>
      <c r="F959" s="211"/>
      <c r="G959" s="208"/>
      <c r="H959" s="209"/>
      <c r="I959" s="200"/>
      <c r="J959" s="197"/>
    </row>
    <row r="960" ht="22.5" customHeight="1">
      <c r="A960" s="213"/>
      <c r="B960" s="214"/>
      <c r="C960" s="215"/>
      <c r="D960" s="162"/>
      <c r="E960" s="216"/>
      <c r="F960" s="211"/>
      <c r="G960" s="208"/>
      <c r="H960" s="209"/>
      <c r="I960" s="200"/>
      <c r="J960" s="197"/>
    </row>
    <row r="961" ht="22.5" customHeight="1">
      <c r="A961" s="213"/>
      <c r="B961" s="214"/>
      <c r="C961" s="215"/>
      <c r="D961" s="162"/>
      <c r="E961" s="216"/>
      <c r="F961" s="211"/>
      <c r="G961" s="208"/>
      <c r="H961" s="209"/>
      <c r="I961" s="200"/>
      <c r="J961" s="197"/>
    </row>
    <row r="962" ht="22.5" customHeight="1">
      <c r="A962" s="213"/>
      <c r="B962" s="214"/>
      <c r="C962" s="215"/>
      <c r="D962" s="162"/>
      <c r="E962" s="216"/>
      <c r="F962" s="211"/>
      <c r="G962" s="208"/>
      <c r="H962" s="209"/>
      <c r="I962" s="200"/>
      <c r="J962" s="197"/>
    </row>
    <row r="963" ht="22.5" customHeight="1">
      <c r="A963" s="213"/>
      <c r="B963" s="214"/>
      <c r="C963" s="215"/>
      <c r="D963" s="162"/>
      <c r="E963" s="216"/>
      <c r="F963" s="211"/>
      <c r="G963" s="208"/>
      <c r="H963" s="209"/>
      <c r="I963" s="200"/>
      <c r="J963" s="197"/>
    </row>
    <row r="964" ht="22.5" customHeight="1">
      <c r="A964" s="213"/>
      <c r="B964" s="214"/>
      <c r="C964" s="215"/>
      <c r="D964" s="162"/>
      <c r="E964" s="216"/>
      <c r="F964" s="211"/>
      <c r="G964" s="208"/>
      <c r="H964" s="209"/>
      <c r="I964" s="200"/>
      <c r="J964" s="197"/>
    </row>
    <row r="965" ht="22.5" customHeight="1">
      <c r="A965" s="213"/>
      <c r="B965" s="214"/>
      <c r="C965" s="215"/>
      <c r="D965" s="162"/>
      <c r="E965" s="216"/>
      <c r="F965" s="211"/>
      <c r="G965" s="208"/>
      <c r="H965" s="209"/>
      <c r="I965" s="200"/>
      <c r="J965" s="197"/>
    </row>
    <row r="966" ht="22.5" customHeight="1">
      <c r="A966" s="213"/>
      <c r="B966" s="214"/>
      <c r="C966" s="215"/>
      <c r="D966" s="162"/>
      <c r="E966" s="216"/>
      <c r="F966" s="211"/>
      <c r="G966" s="208"/>
      <c r="H966" s="209"/>
      <c r="I966" s="200"/>
      <c r="J966" s="197"/>
    </row>
    <row r="967" ht="22.5" customHeight="1">
      <c r="A967" s="213"/>
      <c r="B967" s="214"/>
      <c r="C967" s="215"/>
      <c r="D967" s="162"/>
      <c r="E967" s="216"/>
      <c r="F967" s="211"/>
      <c r="G967" s="208"/>
      <c r="H967" s="209"/>
      <c r="I967" s="200"/>
      <c r="J967" s="197"/>
    </row>
    <row r="968" ht="22.5" customHeight="1">
      <c r="A968" s="213"/>
      <c r="B968" s="214"/>
      <c r="C968" s="215"/>
      <c r="D968" s="162"/>
      <c r="E968" s="216"/>
      <c r="F968" s="211"/>
      <c r="G968" s="208"/>
      <c r="H968" s="209"/>
      <c r="I968" s="200"/>
      <c r="J968" s="197"/>
    </row>
    <row r="969" ht="22.5" customHeight="1">
      <c r="A969" s="213"/>
      <c r="B969" s="214"/>
      <c r="C969" s="215"/>
      <c r="D969" s="162"/>
      <c r="E969" s="216"/>
      <c r="F969" s="211"/>
      <c r="G969" s="208"/>
      <c r="H969" s="209"/>
      <c r="I969" s="200"/>
      <c r="J969" s="197"/>
    </row>
    <row r="970" ht="22.5" customHeight="1">
      <c r="A970" s="213"/>
      <c r="B970" s="214"/>
      <c r="C970" s="215"/>
      <c r="D970" s="162"/>
      <c r="E970" s="216"/>
      <c r="F970" s="211"/>
      <c r="G970" s="208"/>
      <c r="H970" s="209"/>
      <c r="I970" s="200"/>
      <c r="J970" s="197"/>
    </row>
    <row r="971" ht="22.5" customHeight="1">
      <c r="A971" s="213"/>
      <c r="B971" s="214"/>
      <c r="C971" s="215"/>
      <c r="D971" s="162"/>
      <c r="E971" s="216"/>
      <c r="F971" s="211"/>
      <c r="G971" s="208"/>
      <c r="H971" s="209"/>
      <c r="I971" s="200"/>
      <c r="J971" s="197"/>
    </row>
    <row r="972" ht="22.5" customHeight="1">
      <c r="A972" s="213"/>
      <c r="B972" s="214"/>
      <c r="C972" s="215"/>
      <c r="D972" s="162"/>
      <c r="E972" s="216"/>
      <c r="F972" s="211"/>
      <c r="G972" s="208"/>
      <c r="H972" s="209"/>
      <c r="I972" s="200"/>
      <c r="J972" s="197"/>
    </row>
    <row r="973" ht="22.5" customHeight="1">
      <c r="A973" s="213"/>
      <c r="B973" s="214"/>
      <c r="C973" s="215"/>
      <c r="D973" s="162"/>
      <c r="E973" s="216"/>
      <c r="F973" s="211"/>
      <c r="G973" s="208"/>
      <c r="H973" s="209"/>
      <c r="I973" s="200"/>
      <c r="J973" s="197"/>
    </row>
    <row r="974" ht="22.5" customHeight="1">
      <c r="A974" s="213"/>
      <c r="B974" s="214"/>
      <c r="C974" s="215"/>
      <c r="D974" s="162"/>
      <c r="E974" s="216"/>
      <c r="F974" s="211"/>
      <c r="G974" s="208"/>
      <c r="H974" s="209"/>
      <c r="I974" s="200"/>
      <c r="J974" s="197"/>
    </row>
    <row r="975" ht="22.5" customHeight="1">
      <c r="A975" s="213"/>
      <c r="B975" s="214"/>
      <c r="C975" s="215"/>
      <c r="D975" s="162"/>
      <c r="E975" s="216"/>
      <c r="F975" s="211"/>
      <c r="G975" s="208"/>
      <c r="H975" s="209"/>
      <c r="I975" s="200"/>
      <c r="J975" s="197"/>
    </row>
    <row r="976" ht="22.5" customHeight="1">
      <c r="A976" s="213"/>
      <c r="B976" s="214"/>
      <c r="C976" s="215"/>
      <c r="D976" s="162"/>
      <c r="E976" s="216"/>
      <c r="F976" s="211"/>
      <c r="G976" s="208"/>
      <c r="H976" s="209"/>
      <c r="I976" s="200"/>
      <c r="J976" s="197"/>
    </row>
    <row r="977" ht="22.5" customHeight="1">
      <c r="A977" s="213"/>
      <c r="B977" s="214"/>
      <c r="C977" s="215"/>
      <c r="D977" s="162"/>
      <c r="E977" s="216"/>
      <c r="F977" s="211"/>
      <c r="G977" s="208"/>
      <c r="H977" s="209"/>
      <c r="I977" s="200"/>
      <c r="J977" s="197"/>
    </row>
    <row r="978" ht="22.5" customHeight="1">
      <c r="A978" s="213"/>
      <c r="B978" s="214"/>
      <c r="C978" s="215"/>
      <c r="D978" s="162"/>
      <c r="E978" s="216"/>
      <c r="F978" s="211"/>
      <c r="G978" s="208"/>
      <c r="H978" s="209"/>
      <c r="I978" s="200"/>
      <c r="J978" s="197"/>
    </row>
    <row r="979" ht="22.5" customHeight="1">
      <c r="A979" s="213"/>
      <c r="B979" s="214"/>
      <c r="C979" s="215"/>
      <c r="D979" s="162"/>
      <c r="E979" s="216"/>
      <c r="F979" s="211"/>
      <c r="G979" s="208"/>
      <c r="H979" s="209"/>
      <c r="I979" s="200"/>
      <c r="J979" s="197"/>
    </row>
    <row r="980" ht="22.5" customHeight="1">
      <c r="A980" s="213"/>
      <c r="B980" s="214"/>
      <c r="C980" s="215"/>
      <c r="D980" s="162"/>
      <c r="E980" s="216"/>
      <c r="F980" s="211"/>
      <c r="G980" s="208"/>
      <c r="H980" s="209"/>
      <c r="I980" s="200"/>
      <c r="J980" s="197"/>
    </row>
    <row r="981" ht="22.5" customHeight="1">
      <c r="A981" s="213"/>
      <c r="B981" s="214"/>
      <c r="C981" s="215"/>
      <c r="D981" s="162"/>
      <c r="E981" s="216"/>
      <c r="F981" s="211"/>
      <c r="G981" s="208"/>
      <c r="H981" s="209"/>
      <c r="I981" s="200"/>
      <c r="J981" s="197"/>
    </row>
    <row r="982" ht="22.5" customHeight="1">
      <c r="A982" s="213"/>
      <c r="B982" s="214"/>
      <c r="C982" s="215"/>
      <c r="D982" s="162"/>
      <c r="E982" s="216"/>
      <c r="F982" s="211"/>
      <c r="G982" s="208"/>
      <c r="H982" s="209"/>
      <c r="I982" s="200"/>
      <c r="J982" s="197"/>
    </row>
    <row r="983" ht="22.5" customHeight="1">
      <c r="A983" s="213"/>
      <c r="B983" s="214"/>
      <c r="C983" s="215"/>
      <c r="D983" s="162"/>
      <c r="E983" s="216"/>
      <c r="F983" s="211"/>
      <c r="G983" s="208"/>
      <c r="H983" s="209"/>
      <c r="I983" s="200"/>
      <c r="J983" s="197"/>
    </row>
    <row r="984" ht="22.5" customHeight="1">
      <c r="A984" s="213"/>
      <c r="B984" s="214"/>
      <c r="C984" s="215"/>
      <c r="D984" s="162"/>
      <c r="E984" s="216"/>
      <c r="F984" s="211"/>
      <c r="G984" s="208"/>
      <c r="H984" s="209"/>
      <c r="I984" s="200"/>
      <c r="J984" s="197"/>
    </row>
    <row r="985" ht="22.5" customHeight="1">
      <c r="A985" s="213"/>
      <c r="B985" s="214"/>
      <c r="C985" s="215"/>
      <c r="D985" s="162"/>
      <c r="E985" s="216"/>
      <c r="F985" s="211"/>
      <c r="G985" s="208"/>
      <c r="H985" s="209"/>
      <c r="I985" s="200"/>
      <c r="J985" s="197"/>
    </row>
    <row r="986" ht="22.5" customHeight="1">
      <c r="A986" s="213"/>
      <c r="B986" s="214"/>
      <c r="C986" s="215"/>
      <c r="D986" s="162"/>
      <c r="E986" s="216"/>
      <c r="F986" s="211"/>
      <c r="G986" s="208"/>
      <c r="H986" s="209"/>
      <c r="I986" s="200"/>
      <c r="J986" s="197"/>
    </row>
    <row r="987" ht="22.5" customHeight="1">
      <c r="A987" s="213"/>
      <c r="B987" s="214"/>
      <c r="C987" s="215"/>
      <c r="D987" s="162"/>
      <c r="E987" s="216"/>
      <c r="F987" s="211"/>
      <c r="G987" s="208"/>
      <c r="H987" s="209"/>
      <c r="I987" s="200"/>
      <c r="J987" s="197"/>
    </row>
    <row r="988" ht="22.5" customHeight="1">
      <c r="A988" s="213"/>
      <c r="B988" s="214"/>
      <c r="C988" s="215"/>
      <c r="D988" s="162"/>
      <c r="E988" s="216"/>
      <c r="F988" s="211"/>
      <c r="G988" s="208"/>
      <c r="H988" s="209"/>
      <c r="I988" s="200"/>
      <c r="J988" s="197"/>
    </row>
    <row r="989" ht="22.5" customHeight="1">
      <c r="A989" s="213"/>
      <c r="B989" s="214"/>
      <c r="C989" s="215"/>
      <c r="D989" s="162"/>
      <c r="E989" s="216"/>
      <c r="F989" s="211"/>
      <c r="G989" s="208"/>
      <c r="H989" s="209"/>
      <c r="I989" s="200"/>
      <c r="J989" s="197"/>
    </row>
    <row r="990" ht="22.5" customHeight="1">
      <c r="A990" s="213"/>
      <c r="B990" s="214"/>
      <c r="C990" s="215"/>
      <c r="D990" s="162"/>
      <c r="E990" s="216"/>
      <c r="F990" s="211"/>
      <c r="G990" s="208"/>
      <c r="H990" s="209"/>
      <c r="I990" s="200"/>
      <c r="J990" s="197"/>
    </row>
    <row r="991" ht="22.5" customHeight="1">
      <c r="A991" s="213"/>
      <c r="B991" s="214"/>
      <c r="C991" s="215"/>
      <c r="D991" s="162"/>
      <c r="E991" s="216"/>
      <c r="F991" s="211"/>
      <c r="G991" s="208"/>
      <c r="H991" s="209"/>
      <c r="I991" s="200"/>
      <c r="J991" s="197"/>
    </row>
    <row r="992" ht="22.5" customHeight="1">
      <c r="A992" s="213"/>
      <c r="B992" s="214"/>
      <c r="C992" s="215"/>
      <c r="D992" s="162"/>
      <c r="E992" s="216"/>
      <c r="F992" s="211"/>
      <c r="G992" s="208"/>
      <c r="H992" s="209"/>
      <c r="I992" s="200"/>
      <c r="J992" s="197"/>
    </row>
    <row r="993" ht="22.5" customHeight="1">
      <c r="A993" s="213"/>
      <c r="B993" s="214"/>
      <c r="C993" s="215"/>
      <c r="D993" s="162"/>
      <c r="E993" s="216"/>
      <c r="F993" s="211"/>
      <c r="G993" s="208"/>
      <c r="H993" s="209"/>
      <c r="I993" s="200"/>
      <c r="J993" s="197"/>
    </row>
    <row r="994" ht="22.5" customHeight="1">
      <c r="A994" s="213"/>
      <c r="B994" s="214"/>
      <c r="C994" s="215"/>
      <c r="D994" s="162"/>
      <c r="E994" s="216"/>
      <c r="F994" s="211"/>
      <c r="G994" s="208"/>
      <c r="H994" s="209"/>
      <c r="I994" s="200"/>
      <c r="J994" s="197"/>
    </row>
    <row r="995" ht="22.5" customHeight="1">
      <c r="A995" s="213"/>
      <c r="B995" s="214"/>
      <c r="C995" s="215"/>
      <c r="D995" s="162"/>
      <c r="E995" s="216"/>
      <c r="F995" s="211"/>
      <c r="G995" s="208"/>
      <c r="H995" s="209"/>
      <c r="I995" s="200"/>
      <c r="J995" s="197"/>
    </row>
    <row r="996" ht="22.5" customHeight="1">
      <c r="A996" s="213"/>
      <c r="B996" s="214"/>
      <c r="C996" s="215"/>
      <c r="D996" s="162"/>
      <c r="E996" s="216"/>
      <c r="F996" s="211"/>
      <c r="G996" s="208"/>
      <c r="H996" s="209"/>
      <c r="I996" s="200"/>
      <c r="J996" s="197"/>
    </row>
    <row r="997" ht="22.5" customHeight="1">
      <c r="A997" s="213"/>
      <c r="B997" s="214"/>
      <c r="C997" s="215"/>
      <c r="D997" s="162"/>
      <c r="E997" s="216"/>
      <c r="F997" s="211"/>
      <c r="G997" s="208"/>
      <c r="H997" s="209"/>
      <c r="I997" s="200"/>
      <c r="J997" s="197"/>
    </row>
    <row r="998" ht="22.5" customHeight="1">
      <c r="A998" s="213"/>
      <c r="B998" s="214"/>
      <c r="C998" s="215"/>
      <c r="D998" s="162"/>
      <c r="E998" s="216"/>
      <c r="F998" s="211"/>
      <c r="G998" s="208"/>
      <c r="H998" s="209"/>
      <c r="I998" s="200"/>
      <c r="J998" s="197"/>
    </row>
    <row r="999" ht="22.5" customHeight="1">
      <c r="A999" s="213"/>
      <c r="B999" s="214"/>
      <c r="C999" s="215"/>
      <c r="D999" s="162"/>
      <c r="E999" s="216"/>
      <c r="F999" s="211"/>
      <c r="G999" s="208"/>
      <c r="H999" s="209"/>
      <c r="I999" s="200"/>
      <c r="J999" s="197"/>
    </row>
    <row r="1000" ht="22.5" customHeight="1">
      <c r="A1000" s="213"/>
      <c r="B1000" s="214"/>
      <c r="C1000" s="215"/>
      <c r="D1000" s="162"/>
      <c r="E1000" s="216"/>
      <c r="F1000" s="211"/>
      <c r="G1000" s="208"/>
      <c r="H1000" s="209"/>
      <c r="I1000" s="200"/>
      <c r="J1000" s="197"/>
    </row>
    <row r="1001" ht="22.5" customHeight="1">
      <c r="A1001" s="213"/>
      <c r="B1001" s="214"/>
      <c r="C1001" s="215"/>
      <c r="D1001" s="162"/>
      <c r="E1001" s="216"/>
      <c r="F1001" s="211"/>
      <c r="G1001" s="208"/>
      <c r="H1001" s="209"/>
      <c r="I1001" s="200"/>
      <c r="J1001" s="197"/>
    </row>
    <row r="1002" ht="22.5" customHeight="1">
      <c r="A1002" s="213"/>
      <c r="B1002" s="214"/>
      <c r="C1002" s="215"/>
      <c r="D1002" s="162"/>
      <c r="E1002" s="216"/>
      <c r="F1002" s="211"/>
      <c r="G1002" s="208"/>
      <c r="H1002" s="209"/>
      <c r="I1002" s="200"/>
      <c r="J1002" s="197"/>
    </row>
    <row r="1003" ht="22.5" customHeight="1">
      <c r="A1003" s="213"/>
      <c r="B1003" s="214"/>
      <c r="C1003" s="215"/>
      <c r="D1003" s="162"/>
      <c r="E1003" s="216"/>
      <c r="F1003" s="211"/>
      <c r="G1003" s="208"/>
      <c r="H1003" s="209"/>
      <c r="I1003" s="200"/>
      <c r="J1003" s="197"/>
    </row>
  </sheetData>
  <customSheetViews>
    <customSheetView guid="{6EC50E29-9690-420A-A092-47BC53FD5CDD}" filter="1" showAutoFilter="1">
      <autoFilter ref="$A$1:$J$1003"/>
    </customSheetView>
  </customSheetViews>
  <dataValidations>
    <dataValidation type="list" allowBlank="1" sqref="G2:G1003">
      <formula1>"M,F,N/A"</formula1>
    </dataValidation>
    <dataValidation type="custom" allowBlank="1" showDropDown="1" sqref="B2:B1003">
      <formula1>OR(NOT(ISERROR(DATEVALUE(B2))), AND(ISNUMBER(B2), LEFT(CELL("format", B2))="D"))</formula1>
    </dataValidation>
    <dataValidation type="list" allowBlank="1" sqref="C2:C1003">
      <formula1>"Completed,Ongoing,Cancelled"</formula1>
    </dataValidation>
    <dataValidation type="custom" allowBlank="1" showDropDown="1" sqref="J2:J1003">
      <formula1>AND(ISNUMBER(J2),(NOT(OR(NOT(ISERROR(DATEVALUE(J2))), AND(ISNUMBER(J2), LEFT(CELL("format", J2))="D")))))</formula1>
    </dataValidation>
    <dataValidation allowBlank="1" showDropDown="1" sqref="D2:E1003 H2:H1003"/>
  </dataValidations>
  <hyperlinks>
    <hyperlink r:id="rId1" ref="I3"/>
    <hyperlink r:id="rId2" ref="I4"/>
    <hyperlink r:id="rId3" ref="I5"/>
    <hyperlink r:id="rId4" ref="I6"/>
    <hyperlink r:id="rId5" ref="I7"/>
    <hyperlink r:id="rId6" ref="I8"/>
    <hyperlink r:id="rId7" ref="I9"/>
    <hyperlink r:id="rId8" ref="I10"/>
    <hyperlink r:id="rId9" ref="I11"/>
    <hyperlink r:id="rId10" ref="I12"/>
    <hyperlink r:id="rId11" ref="I13"/>
    <hyperlink r:id="rId12" ref="I14"/>
    <hyperlink r:id="rId13" ref="I15"/>
    <hyperlink r:id="rId14" ref="I16"/>
    <hyperlink r:id="rId15" ref="I17"/>
    <hyperlink r:id="rId16" ref="I18"/>
    <hyperlink r:id="rId17" ref="I19"/>
    <hyperlink r:id="rId18" ref="I20"/>
    <hyperlink r:id="rId19" ref="I21"/>
    <hyperlink r:id="rId20" ref="I22"/>
    <hyperlink r:id="rId21" ref="I23"/>
    <hyperlink r:id="rId22" ref="I25"/>
    <hyperlink r:id="rId23" ref="I26"/>
    <hyperlink r:id="rId24" ref="I27"/>
    <hyperlink r:id="rId25" ref="I28"/>
    <hyperlink r:id="rId26" ref="I29"/>
    <hyperlink r:id="rId27" ref="I30"/>
    <hyperlink r:id="rId28" ref="I31"/>
    <hyperlink r:id="rId29" ref="I32"/>
    <hyperlink r:id="rId30" ref="I33"/>
    <hyperlink r:id="rId31" ref="I34"/>
    <hyperlink r:id="rId32" ref="I35"/>
    <hyperlink r:id="rId33" ref="I36"/>
    <hyperlink r:id="rId34" ref="I37"/>
    <hyperlink r:id="rId35" ref="I38"/>
    <hyperlink r:id="rId36" ref="I39"/>
    <hyperlink r:id="rId37" ref="I40"/>
    <hyperlink r:id="rId38" ref="I41"/>
    <hyperlink r:id="rId39" ref="I42"/>
    <hyperlink r:id="rId40" ref="I43"/>
    <hyperlink r:id="rId41" ref="I44"/>
    <hyperlink r:id="rId42" ref="I45"/>
    <hyperlink r:id="rId43" ref="I46"/>
    <hyperlink r:id="rId44" ref="I47"/>
    <hyperlink r:id="rId45" ref="I308"/>
  </hyperlinks>
  <drawing r:id="rId46"/>
  <tableParts count="1">
    <tablePart r:id="rId48"/>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75"/>
  <cols>
    <col customWidth="1" min="1" max="1" width="9.25"/>
    <col customWidth="1" min="2" max="2" width="14.63"/>
    <col customWidth="1" min="3" max="3" width="13.0"/>
    <col customWidth="1" min="4" max="4" width="22.38"/>
    <col customWidth="1" min="5" max="5" width="29.0"/>
    <col customWidth="1" min="6" max="6" width="13.63"/>
    <col customWidth="1" min="7" max="7" width="45.63"/>
    <col customWidth="1" min="8" max="8" width="20.88"/>
    <col customWidth="1" min="9" max="9" width="15.13"/>
    <col customWidth="1" min="10" max="10" width="19.13"/>
    <col customWidth="1" min="11" max="11" width="17.38"/>
    <col customWidth="1" min="12" max="12" width="20.0"/>
    <col customWidth="1" min="13" max="13" width="22.38"/>
    <col customWidth="1" min="14" max="14" width="27.63"/>
    <col customWidth="1" min="15" max="15" width="25.5"/>
  </cols>
  <sheetData>
    <row r="1" ht="22.5" customHeight="1">
      <c r="A1" s="120" t="s">
        <v>840</v>
      </c>
      <c r="B1" s="217" t="s">
        <v>1398</v>
      </c>
      <c r="C1" s="217" t="s">
        <v>1399</v>
      </c>
      <c r="D1" s="120" t="s">
        <v>1400</v>
      </c>
      <c r="E1" s="122" t="s">
        <v>834</v>
      </c>
      <c r="F1" s="120" t="s">
        <v>835</v>
      </c>
      <c r="G1" s="121" t="s">
        <v>836</v>
      </c>
      <c r="H1" s="122" t="s">
        <v>837</v>
      </c>
      <c r="I1" s="120" t="s">
        <v>4</v>
      </c>
      <c r="J1" s="120" t="s">
        <v>1401</v>
      </c>
      <c r="K1" s="120" t="s">
        <v>1402</v>
      </c>
      <c r="L1" s="120" t="s">
        <v>1403</v>
      </c>
      <c r="M1" s="120" t="s">
        <v>1404</v>
      </c>
      <c r="N1" s="120" t="s">
        <v>1405</v>
      </c>
      <c r="O1" s="120" t="s">
        <v>1406</v>
      </c>
      <c r="P1" s="87"/>
      <c r="Q1" s="87"/>
      <c r="R1" s="87"/>
      <c r="S1" s="87"/>
      <c r="T1" s="87"/>
      <c r="U1" s="87"/>
      <c r="V1" s="87"/>
      <c r="W1" s="87"/>
      <c r="X1" s="87"/>
      <c r="Y1" s="87"/>
      <c r="Z1" s="87"/>
      <c r="AA1" s="87"/>
      <c r="AB1" s="87"/>
      <c r="AC1" s="87"/>
      <c r="AD1" s="87"/>
      <c r="AE1" s="87"/>
      <c r="AF1" s="87"/>
    </row>
    <row r="2" ht="22.5" customHeight="1">
      <c r="A2" s="206">
        <v>2019.0</v>
      </c>
      <c r="B2" s="218">
        <v>43525.0</v>
      </c>
      <c r="C2" s="218"/>
      <c r="D2" s="219" t="s">
        <v>26</v>
      </c>
      <c r="E2" s="220" t="s">
        <v>841</v>
      </c>
      <c r="F2" s="221" t="s">
        <v>1407</v>
      </c>
      <c r="G2" s="222" t="s">
        <v>1408</v>
      </c>
      <c r="H2" s="223" t="s">
        <v>1409</v>
      </c>
      <c r="I2" s="224" t="s">
        <v>17</v>
      </c>
      <c r="J2" s="225" t="s">
        <v>26</v>
      </c>
      <c r="K2" s="226" t="s">
        <v>1410</v>
      </c>
      <c r="L2" s="227" t="s">
        <v>1411</v>
      </c>
      <c r="M2" s="226" t="s">
        <v>26</v>
      </c>
      <c r="N2" s="228"/>
      <c r="O2" s="229"/>
    </row>
    <row r="3" ht="22.5" customHeight="1">
      <c r="A3" s="230">
        <v>2020.0</v>
      </c>
      <c r="B3" s="218">
        <v>43903.0</v>
      </c>
      <c r="C3" s="218">
        <v>44196.0</v>
      </c>
      <c r="D3" s="219" t="s">
        <v>26</v>
      </c>
      <c r="E3" s="231" t="s">
        <v>64</v>
      </c>
      <c r="F3" s="221" t="s">
        <v>1412</v>
      </c>
      <c r="G3" s="232" t="s">
        <v>1413</v>
      </c>
      <c r="H3" s="223" t="s">
        <v>1414</v>
      </c>
      <c r="I3" s="224" t="s">
        <v>22</v>
      </c>
      <c r="J3" s="225" t="s">
        <v>1415</v>
      </c>
      <c r="K3" s="233" t="s">
        <v>1416</v>
      </c>
      <c r="L3" s="234" t="s">
        <v>1417</v>
      </c>
      <c r="M3" s="226" t="s">
        <v>1418</v>
      </c>
      <c r="N3" s="235" t="s">
        <v>1419</v>
      </c>
      <c r="O3" s="229"/>
    </row>
    <row r="4" ht="22.5" customHeight="1">
      <c r="A4" s="230">
        <v>2020.0</v>
      </c>
      <c r="B4" s="218">
        <v>43903.0</v>
      </c>
      <c r="C4" s="218">
        <v>44408.0</v>
      </c>
      <c r="D4" s="219" t="s">
        <v>118</v>
      </c>
      <c r="E4" s="236" t="s">
        <v>70</v>
      </c>
      <c r="F4" s="221" t="s">
        <v>1420</v>
      </c>
      <c r="G4" s="232" t="s">
        <v>1421</v>
      </c>
      <c r="H4" s="223" t="s">
        <v>1422</v>
      </c>
      <c r="I4" s="224" t="s">
        <v>22</v>
      </c>
      <c r="J4" s="237" t="s">
        <v>1415</v>
      </c>
      <c r="K4" s="233" t="s">
        <v>1416</v>
      </c>
      <c r="L4" s="238" t="s">
        <v>26</v>
      </c>
      <c r="M4" s="226" t="s">
        <v>1418</v>
      </c>
      <c r="N4" s="235" t="s">
        <v>1419</v>
      </c>
      <c r="O4" s="229"/>
    </row>
    <row r="5" ht="22.5" customHeight="1">
      <c r="A5" s="230">
        <v>2020.0</v>
      </c>
      <c r="B5" s="239">
        <v>43990.0</v>
      </c>
      <c r="C5" s="218">
        <v>44316.0</v>
      </c>
      <c r="D5" s="219" t="s">
        <v>1423</v>
      </c>
      <c r="E5" s="236" t="s">
        <v>79</v>
      </c>
      <c r="F5" s="221" t="s">
        <v>1424</v>
      </c>
      <c r="G5" s="232" t="s">
        <v>1425</v>
      </c>
      <c r="H5" s="223" t="s">
        <v>1426</v>
      </c>
      <c r="I5" s="240" t="s">
        <v>22</v>
      </c>
      <c r="J5" s="237" t="s">
        <v>1415</v>
      </c>
      <c r="K5" s="233" t="s">
        <v>1416</v>
      </c>
      <c r="L5" s="234" t="s">
        <v>1427</v>
      </c>
      <c r="M5" s="226" t="s">
        <v>1418</v>
      </c>
      <c r="N5" s="235" t="s">
        <v>1179</v>
      </c>
      <c r="O5" s="229"/>
    </row>
    <row r="6" ht="22.5" customHeight="1">
      <c r="A6" s="230">
        <v>2020.0</v>
      </c>
      <c r="B6" s="218">
        <v>44015.0</v>
      </c>
      <c r="C6" s="218">
        <v>44347.0</v>
      </c>
      <c r="D6" s="241"/>
      <c r="E6" s="236" t="s">
        <v>1428</v>
      </c>
      <c r="F6" s="221" t="s">
        <v>1429</v>
      </c>
      <c r="G6" s="232" t="s">
        <v>1430</v>
      </c>
      <c r="H6" s="223" t="s">
        <v>1431</v>
      </c>
      <c r="I6" s="240" t="s">
        <v>22</v>
      </c>
      <c r="J6" s="242" t="s">
        <v>1415</v>
      </c>
      <c r="K6" s="233" t="s">
        <v>1416</v>
      </c>
      <c r="L6" s="243" t="s">
        <v>1432</v>
      </c>
      <c r="M6" s="226" t="s">
        <v>1418</v>
      </c>
      <c r="N6" s="235" t="s">
        <v>1419</v>
      </c>
      <c r="O6" s="229"/>
    </row>
    <row r="7" ht="22.5" customHeight="1">
      <c r="A7" s="230">
        <v>2020.0</v>
      </c>
      <c r="B7" s="218">
        <v>44034.0</v>
      </c>
      <c r="C7" s="218"/>
      <c r="D7" s="219" t="s">
        <v>122</v>
      </c>
      <c r="E7" s="236" t="s">
        <v>88</v>
      </c>
      <c r="F7" s="221" t="s">
        <v>1433</v>
      </c>
      <c r="G7" s="232" t="s">
        <v>1434</v>
      </c>
      <c r="H7" s="244" t="s">
        <v>1435</v>
      </c>
      <c r="I7" s="240" t="s">
        <v>17</v>
      </c>
      <c r="J7" s="242" t="s">
        <v>1415</v>
      </c>
      <c r="K7" s="233" t="s">
        <v>1416</v>
      </c>
      <c r="L7" s="243" t="s">
        <v>1427</v>
      </c>
      <c r="M7" s="226" t="s">
        <v>1418</v>
      </c>
      <c r="N7" s="235" t="s">
        <v>1419</v>
      </c>
      <c r="O7" s="245"/>
    </row>
    <row r="8" ht="22.5" customHeight="1">
      <c r="A8" s="230">
        <v>2020.0</v>
      </c>
      <c r="B8" s="218">
        <v>44034.0</v>
      </c>
      <c r="C8" s="218">
        <v>44742.0</v>
      </c>
      <c r="D8" s="219" t="s">
        <v>97</v>
      </c>
      <c r="E8" s="236" t="s">
        <v>93</v>
      </c>
      <c r="F8" s="221" t="s">
        <v>1436</v>
      </c>
      <c r="G8" s="222" t="s">
        <v>1437</v>
      </c>
      <c r="H8" s="223" t="s">
        <v>1438</v>
      </c>
      <c r="I8" s="240" t="s">
        <v>22</v>
      </c>
      <c r="J8" s="242" t="s">
        <v>1415</v>
      </c>
      <c r="K8" s="233" t="s">
        <v>1416</v>
      </c>
      <c r="L8" s="206" t="s">
        <v>1439</v>
      </c>
      <c r="M8" s="226" t="s">
        <v>1418</v>
      </c>
      <c r="N8" s="235" t="s">
        <v>1419</v>
      </c>
      <c r="O8" s="229"/>
    </row>
    <row r="9" ht="22.5" customHeight="1">
      <c r="A9" s="230">
        <v>2020.0</v>
      </c>
      <c r="B9" s="218">
        <v>44035.0</v>
      </c>
      <c r="C9" s="246"/>
      <c r="D9" s="241"/>
      <c r="E9" s="236" t="s">
        <v>100</v>
      </c>
      <c r="F9" s="221" t="s">
        <v>1440</v>
      </c>
      <c r="G9" s="232" t="s">
        <v>1441</v>
      </c>
      <c r="H9" s="223" t="s">
        <v>1442</v>
      </c>
      <c r="I9" s="240" t="s">
        <v>101</v>
      </c>
      <c r="J9" s="242" t="s">
        <v>1415</v>
      </c>
      <c r="K9" s="233" t="s">
        <v>1416</v>
      </c>
      <c r="L9" s="206" t="s">
        <v>26</v>
      </c>
      <c r="M9" s="226" t="s">
        <v>1418</v>
      </c>
      <c r="N9" s="235" t="s">
        <v>1179</v>
      </c>
      <c r="O9" s="229"/>
    </row>
    <row r="10" ht="22.5" customHeight="1">
      <c r="A10" s="230">
        <v>2020.0</v>
      </c>
      <c r="B10" s="218">
        <v>44048.0</v>
      </c>
      <c r="C10" s="218">
        <v>44620.0</v>
      </c>
      <c r="D10" s="219" t="s">
        <v>1443</v>
      </c>
      <c r="E10" s="236" t="s">
        <v>104</v>
      </c>
      <c r="F10" s="221" t="s">
        <v>1444</v>
      </c>
      <c r="G10" s="232" t="s">
        <v>1445</v>
      </c>
      <c r="H10" s="223" t="s">
        <v>1446</v>
      </c>
      <c r="I10" s="240" t="s">
        <v>22</v>
      </c>
      <c r="J10" s="242" t="s">
        <v>1415</v>
      </c>
      <c r="K10" s="233" t="s">
        <v>1416</v>
      </c>
      <c r="L10" s="247" t="s">
        <v>1447</v>
      </c>
      <c r="M10" s="226" t="s">
        <v>1418</v>
      </c>
      <c r="N10" s="235" t="s">
        <v>1179</v>
      </c>
      <c r="O10" s="229"/>
    </row>
    <row r="11" ht="22.5" customHeight="1">
      <c r="A11" s="230">
        <v>2020.0</v>
      </c>
      <c r="B11" s="248">
        <v>44062.0</v>
      </c>
      <c r="C11" s="218"/>
      <c r="D11" s="241"/>
      <c r="E11" s="220" t="s">
        <v>116</v>
      </c>
      <c r="F11" s="221" t="s">
        <v>1448</v>
      </c>
      <c r="G11" s="232" t="s">
        <v>1449</v>
      </c>
      <c r="H11" s="223" t="s">
        <v>1450</v>
      </c>
      <c r="I11" s="240" t="s">
        <v>101</v>
      </c>
      <c r="J11" s="242" t="s">
        <v>1415</v>
      </c>
      <c r="K11" s="233" t="s">
        <v>1416</v>
      </c>
      <c r="L11" s="247" t="s">
        <v>26</v>
      </c>
      <c r="M11" s="226" t="s">
        <v>1418</v>
      </c>
      <c r="N11" s="235" t="s">
        <v>1451</v>
      </c>
      <c r="O11" s="229"/>
    </row>
    <row r="12" ht="22.5" customHeight="1">
      <c r="A12" s="136">
        <v>2021.0</v>
      </c>
      <c r="B12" s="249">
        <v>44250.0</v>
      </c>
      <c r="C12" s="250">
        <v>44377.0</v>
      </c>
      <c r="D12" s="219"/>
      <c r="E12" s="236" t="s">
        <v>143</v>
      </c>
      <c r="F12" s="221" t="s">
        <v>1452</v>
      </c>
      <c r="G12" s="251" t="s">
        <v>1453</v>
      </c>
      <c r="H12" s="252" t="s">
        <v>1454</v>
      </c>
      <c r="I12" s="253" t="s">
        <v>22</v>
      </c>
      <c r="J12" s="225" t="s">
        <v>1455</v>
      </c>
      <c r="K12" s="233" t="s">
        <v>1416</v>
      </c>
      <c r="L12" s="247" t="s">
        <v>26</v>
      </c>
      <c r="M12" s="226" t="s">
        <v>1456</v>
      </c>
      <c r="N12" s="235" t="s">
        <v>1179</v>
      </c>
      <c r="O12" s="229"/>
    </row>
    <row r="13" ht="22.5" customHeight="1">
      <c r="A13" s="136">
        <v>2021.0</v>
      </c>
      <c r="B13" s="249">
        <v>44280.0</v>
      </c>
      <c r="C13" s="250">
        <v>44882.0</v>
      </c>
      <c r="D13" s="189" t="s">
        <v>157</v>
      </c>
      <c r="E13" s="254" t="s">
        <v>151</v>
      </c>
      <c r="F13" s="221" t="s">
        <v>1457</v>
      </c>
      <c r="G13" s="251" t="s">
        <v>1458</v>
      </c>
      <c r="H13" s="252" t="s">
        <v>1459</v>
      </c>
      <c r="I13" s="253" t="s">
        <v>22</v>
      </c>
      <c r="J13" s="225" t="s">
        <v>1415</v>
      </c>
      <c r="K13" s="233" t="s">
        <v>1416</v>
      </c>
      <c r="L13" s="247" t="s">
        <v>1447</v>
      </c>
      <c r="M13" s="226" t="s">
        <v>1418</v>
      </c>
      <c r="N13" s="255"/>
      <c r="O13" s="229"/>
    </row>
    <row r="14" ht="22.5" customHeight="1">
      <c r="A14" s="136">
        <v>2021.0</v>
      </c>
      <c r="B14" s="249">
        <v>44302.0</v>
      </c>
      <c r="C14" s="250">
        <v>44681.0</v>
      </c>
      <c r="D14" s="189"/>
      <c r="E14" s="254" t="s">
        <v>161</v>
      </c>
      <c r="F14" s="221" t="s">
        <v>1460</v>
      </c>
      <c r="G14" s="251" t="s">
        <v>1461</v>
      </c>
      <c r="H14" s="252" t="s">
        <v>1462</v>
      </c>
      <c r="I14" s="253" t="s">
        <v>22</v>
      </c>
      <c r="J14" s="225" t="s">
        <v>1415</v>
      </c>
      <c r="K14" s="233" t="s">
        <v>1416</v>
      </c>
      <c r="L14" s="256" t="s">
        <v>1463</v>
      </c>
      <c r="M14" s="226" t="s">
        <v>1418</v>
      </c>
      <c r="N14" s="255"/>
      <c r="O14" s="229"/>
    </row>
    <row r="15" ht="22.5" customHeight="1">
      <c r="A15" s="136">
        <v>2021.0</v>
      </c>
      <c r="B15" s="249">
        <v>44334.0</v>
      </c>
      <c r="C15" s="257"/>
      <c r="D15" s="219" t="s">
        <v>1464</v>
      </c>
      <c r="E15" s="236" t="s">
        <v>165</v>
      </c>
      <c r="F15" s="221" t="s">
        <v>1465</v>
      </c>
      <c r="G15" s="258" t="s">
        <v>1466</v>
      </c>
      <c r="H15" s="252" t="s">
        <v>1467</v>
      </c>
      <c r="I15" s="253" t="s">
        <v>17</v>
      </c>
      <c r="J15" s="259" t="s">
        <v>1455</v>
      </c>
      <c r="K15" s="233" t="s">
        <v>1416</v>
      </c>
      <c r="L15" s="247" t="s">
        <v>1427</v>
      </c>
      <c r="M15" s="226" t="s">
        <v>1456</v>
      </c>
      <c r="N15" s="235" t="s">
        <v>1468</v>
      </c>
      <c r="O15" s="229"/>
    </row>
    <row r="16" ht="22.5" customHeight="1">
      <c r="A16" s="136">
        <v>2021.0</v>
      </c>
      <c r="B16" s="249">
        <v>44382.0</v>
      </c>
      <c r="C16" s="250">
        <v>44553.0</v>
      </c>
      <c r="D16" s="219" t="s">
        <v>179</v>
      </c>
      <c r="E16" s="236" t="s">
        <v>183</v>
      </c>
      <c r="F16" s="221" t="s">
        <v>1469</v>
      </c>
      <c r="G16" s="251" t="s">
        <v>1470</v>
      </c>
      <c r="H16" s="252" t="s">
        <v>1471</v>
      </c>
      <c r="I16" s="253" t="s">
        <v>22</v>
      </c>
      <c r="J16" s="225" t="s">
        <v>1455</v>
      </c>
      <c r="K16" s="233" t="s">
        <v>1416</v>
      </c>
      <c r="L16" s="247" t="s">
        <v>1447</v>
      </c>
      <c r="M16" s="226" t="s">
        <v>1472</v>
      </c>
      <c r="N16" s="255" t="s">
        <v>26</v>
      </c>
      <c r="O16" s="229"/>
    </row>
    <row r="17" ht="22.5" customHeight="1">
      <c r="A17" s="136">
        <v>2021.0</v>
      </c>
      <c r="B17" s="249">
        <v>44435.0</v>
      </c>
      <c r="C17" s="250"/>
      <c r="D17" s="189"/>
      <c r="E17" s="254" t="s">
        <v>186</v>
      </c>
      <c r="F17" s="221" t="s">
        <v>1473</v>
      </c>
      <c r="G17" s="260" t="s">
        <v>1474</v>
      </c>
      <c r="H17" s="252" t="s">
        <v>1475</v>
      </c>
      <c r="I17" s="253" t="s">
        <v>101</v>
      </c>
      <c r="J17" s="259" t="s">
        <v>1415</v>
      </c>
      <c r="K17" s="261"/>
      <c r="L17" s="247" t="s">
        <v>26</v>
      </c>
      <c r="M17" s="262"/>
      <c r="N17" s="263" t="s">
        <v>26</v>
      </c>
      <c r="O17" s="229"/>
    </row>
    <row r="18" ht="22.5" customHeight="1">
      <c r="A18" s="264">
        <v>2022.0</v>
      </c>
      <c r="B18" s="250">
        <v>44579.0</v>
      </c>
      <c r="C18" s="257"/>
      <c r="D18" s="265"/>
      <c r="E18" s="266" t="s">
        <v>192</v>
      </c>
      <c r="F18" s="221" t="s">
        <v>1476</v>
      </c>
      <c r="G18" s="267" t="s">
        <v>1477</v>
      </c>
      <c r="H18" s="268" t="s">
        <v>1478</v>
      </c>
      <c r="I18" s="269" t="s">
        <v>101</v>
      </c>
      <c r="J18" s="270" t="s">
        <v>1415</v>
      </c>
      <c r="K18" s="233" t="s">
        <v>1416</v>
      </c>
      <c r="L18" s="271" t="s">
        <v>1427</v>
      </c>
      <c r="M18" s="226" t="s">
        <v>1418</v>
      </c>
      <c r="N18" s="263" t="s">
        <v>26</v>
      </c>
      <c r="O18" s="229"/>
    </row>
    <row r="19" ht="22.5" customHeight="1">
      <c r="A19" s="264">
        <v>2022.0</v>
      </c>
      <c r="B19" s="250">
        <v>44622.0</v>
      </c>
      <c r="C19" s="250"/>
      <c r="D19" s="272" t="s">
        <v>201</v>
      </c>
      <c r="E19" s="273" t="s">
        <v>197</v>
      </c>
      <c r="F19" s="221" t="s">
        <v>1479</v>
      </c>
      <c r="G19" s="267" t="s">
        <v>1480</v>
      </c>
      <c r="H19" s="274" t="s">
        <v>1481</v>
      </c>
      <c r="I19" s="275" t="s">
        <v>17</v>
      </c>
      <c r="J19" s="276" t="s">
        <v>1415</v>
      </c>
      <c r="K19" s="233" t="s">
        <v>1416</v>
      </c>
      <c r="L19" s="277" t="s">
        <v>1482</v>
      </c>
      <c r="M19" s="226" t="s">
        <v>1418</v>
      </c>
      <c r="N19" s="278" t="s">
        <v>1468</v>
      </c>
      <c r="O19" s="229"/>
    </row>
    <row r="20" ht="22.5" customHeight="1">
      <c r="A20" s="264">
        <v>2022.0</v>
      </c>
      <c r="B20" s="250">
        <v>44622.0</v>
      </c>
      <c r="C20" s="250">
        <v>44865.0</v>
      </c>
      <c r="D20" s="265"/>
      <c r="E20" s="266" t="s">
        <v>205</v>
      </c>
      <c r="F20" s="221" t="s">
        <v>1483</v>
      </c>
      <c r="G20" s="267" t="s">
        <v>1484</v>
      </c>
      <c r="H20" s="279" t="s">
        <v>1485</v>
      </c>
      <c r="I20" s="275" t="s">
        <v>22</v>
      </c>
      <c r="J20" s="270" t="s">
        <v>1415</v>
      </c>
      <c r="K20" s="233" t="s">
        <v>1416</v>
      </c>
      <c r="L20" s="277" t="s">
        <v>1463</v>
      </c>
      <c r="M20" s="226" t="s">
        <v>1418</v>
      </c>
      <c r="N20" s="278" t="s">
        <v>1468</v>
      </c>
      <c r="O20" s="229"/>
    </row>
    <row r="21" ht="22.5" customHeight="1">
      <c r="A21" s="264">
        <v>2022.0</v>
      </c>
      <c r="B21" s="250">
        <v>44624.0</v>
      </c>
      <c r="C21" s="250">
        <v>44687.0</v>
      </c>
      <c r="D21" s="265"/>
      <c r="E21" s="266" t="s">
        <v>210</v>
      </c>
      <c r="F21" s="221" t="s">
        <v>1486</v>
      </c>
      <c r="G21" s="267" t="s">
        <v>1487</v>
      </c>
      <c r="H21" s="279" t="s">
        <v>1488</v>
      </c>
      <c r="I21" s="269" t="s">
        <v>22</v>
      </c>
      <c r="J21" s="276" t="s">
        <v>1415</v>
      </c>
      <c r="K21" s="233" t="s">
        <v>1416</v>
      </c>
      <c r="L21" s="277" t="s">
        <v>1489</v>
      </c>
      <c r="M21" s="226" t="s">
        <v>1418</v>
      </c>
      <c r="N21" s="278" t="s">
        <v>1468</v>
      </c>
      <c r="O21" s="229"/>
    </row>
    <row r="22" ht="22.5" customHeight="1">
      <c r="A22" s="264">
        <v>2022.0</v>
      </c>
      <c r="B22" s="250">
        <v>44628.0</v>
      </c>
      <c r="C22" s="250">
        <v>44986.0</v>
      </c>
      <c r="D22" s="265"/>
      <c r="E22" s="266" t="s">
        <v>215</v>
      </c>
      <c r="F22" s="221" t="s">
        <v>1490</v>
      </c>
      <c r="G22" s="267" t="s">
        <v>1491</v>
      </c>
      <c r="H22" s="279" t="s">
        <v>1492</v>
      </c>
      <c r="I22" s="269" t="s">
        <v>22</v>
      </c>
      <c r="J22" s="280" t="s">
        <v>1455</v>
      </c>
      <c r="K22" s="233" t="s">
        <v>1416</v>
      </c>
      <c r="L22" s="271" t="s">
        <v>26</v>
      </c>
      <c r="M22" s="226" t="s">
        <v>1418</v>
      </c>
      <c r="N22" s="278" t="s">
        <v>1179</v>
      </c>
      <c r="O22" s="229"/>
    </row>
    <row r="23" ht="22.5" customHeight="1">
      <c r="A23" s="264">
        <v>2022.0</v>
      </c>
      <c r="B23" s="250">
        <v>44634.0</v>
      </c>
      <c r="C23" s="250">
        <v>44687.0</v>
      </c>
      <c r="D23" s="265"/>
      <c r="E23" s="266" t="s">
        <v>221</v>
      </c>
      <c r="F23" s="221" t="s">
        <v>1493</v>
      </c>
      <c r="G23" s="267" t="s">
        <v>1494</v>
      </c>
      <c r="H23" s="274" t="s">
        <v>1495</v>
      </c>
      <c r="I23" s="269" t="s">
        <v>22</v>
      </c>
      <c r="J23" s="276" t="s">
        <v>1415</v>
      </c>
      <c r="K23" s="233" t="s">
        <v>1416</v>
      </c>
      <c r="L23" s="271" t="s">
        <v>1496</v>
      </c>
      <c r="M23" s="226" t="s">
        <v>1418</v>
      </c>
      <c r="N23" s="278" t="s">
        <v>1419</v>
      </c>
      <c r="O23" s="229"/>
    </row>
    <row r="24" ht="22.5" customHeight="1">
      <c r="A24" s="264">
        <v>2022.0</v>
      </c>
      <c r="B24" s="250">
        <v>44644.0</v>
      </c>
      <c r="C24" s="250">
        <v>44712.0</v>
      </c>
      <c r="D24" s="265"/>
      <c r="E24" s="266" t="s">
        <v>225</v>
      </c>
      <c r="F24" s="221" t="s">
        <v>1497</v>
      </c>
      <c r="G24" s="267" t="s">
        <v>1498</v>
      </c>
      <c r="H24" s="274" t="s">
        <v>1499</v>
      </c>
      <c r="I24" s="269" t="s">
        <v>22</v>
      </c>
      <c r="J24" s="276" t="s">
        <v>1415</v>
      </c>
      <c r="K24" s="233" t="s">
        <v>1416</v>
      </c>
      <c r="L24" s="277" t="s">
        <v>1463</v>
      </c>
      <c r="M24" s="226" t="s">
        <v>1472</v>
      </c>
      <c r="N24" s="228" t="s">
        <v>26</v>
      </c>
      <c r="O24" s="229"/>
    </row>
    <row r="25" ht="22.5" customHeight="1">
      <c r="A25" s="264">
        <v>2022.0</v>
      </c>
      <c r="B25" s="250">
        <v>44645.0</v>
      </c>
      <c r="C25" s="250">
        <v>44727.0</v>
      </c>
      <c r="D25" s="265"/>
      <c r="E25" s="266" t="s">
        <v>230</v>
      </c>
      <c r="F25" s="221" t="s">
        <v>1500</v>
      </c>
      <c r="G25" s="267" t="s">
        <v>1501</v>
      </c>
      <c r="H25" s="274" t="s">
        <v>1502</v>
      </c>
      <c r="I25" s="269" t="s">
        <v>22</v>
      </c>
      <c r="J25" s="276" t="s">
        <v>1415</v>
      </c>
      <c r="K25" s="233" t="s">
        <v>1416</v>
      </c>
      <c r="L25" s="271" t="s">
        <v>1503</v>
      </c>
      <c r="M25" s="226" t="s">
        <v>1418</v>
      </c>
      <c r="N25" s="278" t="s">
        <v>1179</v>
      </c>
      <c r="O25" s="229"/>
    </row>
    <row r="26" ht="22.5" customHeight="1">
      <c r="A26" s="264">
        <v>2022.0</v>
      </c>
      <c r="B26" s="250">
        <v>44680.0</v>
      </c>
      <c r="C26" s="250">
        <v>45016.0</v>
      </c>
      <c r="D26" s="265"/>
      <c r="E26" s="266" t="s">
        <v>241</v>
      </c>
      <c r="F26" s="221" t="s">
        <v>1504</v>
      </c>
      <c r="G26" s="267" t="s">
        <v>1505</v>
      </c>
      <c r="H26" s="274" t="s">
        <v>1506</v>
      </c>
      <c r="I26" s="269" t="s">
        <v>22</v>
      </c>
      <c r="J26" s="276" t="s">
        <v>1415</v>
      </c>
      <c r="K26" s="233" t="s">
        <v>1416</v>
      </c>
      <c r="L26" s="203" t="s">
        <v>1181</v>
      </c>
      <c r="M26" s="226" t="s">
        <v>1418</v>
      </c>
      <c r="N26" s="228" t="s">
        <v>26</v>
      </c>
      <c r="O26" s="229"/>
    </row>
    <row r="27" ht="22.5" customHeight="1">
      <c r="A27" s="264">
        <v>2022.0</v>
      </c>
      <c r="B27" s="250">
        <v>44680.0</v>
      </c>
      <c r="C27" s="218"/>
      <c r="D27" s="265"/>
      <c r="E27" s="273" t="s">
        <v>242</v>
      </c>
      <c r="F27" s="221" t="s">
        <v>1507</v>
      </c>
      <c r="G27" s="267" t="s">
        <v>1508</v>
      </c>
      <c r="H27" s="274" t="s">
        <v>1509</v>
      </c>
      <c r="I27" s="275" t="s">
        <v>17</v>
      </c>
      <c r="J27" s="276" t="s">
        <v>1415</v>
      </c>
      <c r="K27" s="226" t="s">
        <v>1410</v>
      </c>
      <c r="L27" s="203" t="s">
        <v>1181</v>
      </c>
      <c r="M27" s="226" t="s">
        <v>1418</v>
      </c>
      <c r="N27" s="278" t="s">
        <v>1179</v>
      </c>
      <c r="O27" s="229"/>
    </row>
    <row r="28" ht="22.5" customHeight="1">
      <c r="A28" s="264">
        <v>2022.0</v>
      </c>
      <c r="B28" s="250">
        <v>44682.0</v>
      </c>
      <c r="C28" s="218"/>
      <c r="D28" s="265"/>
      <c r="E28" s="266" t="s">
        <v>327</v>
      </c>
      <c r="F28" s="221" t="s">
        <v>1510</v>
      </c>
      <c r="G28" s="267" t="s">
        <v>1511</v>
      </c>
      <c r="H28" s="274" t="s">
        <v>1512</v>
      </c>
      <c r="I28" s="269" t="s">
        <v>17</v>
      </c>
      <c r="J28" s="280" t="s">
        <v>1455</v>
      </c>
      <c r="K28" s="226" t="s">
        <v>1410</v>
      </c>
      <c r="L28" s="203" t="s">
        <v>1181</v>
      </c>
      <c r="M28" s="226" t="s">
        <v>1456</v>
      </c>
      <c r="N28" s="278" t="s">
        <v>1419</v>
      </c>
      <c r="O28" s="229"/>
    </row>
    <row r="29" ht="22.5" customHeight="1">
      <c r="A29" s="264">
        <v>2022.0</v>
      </c>
      <c r="B29" s="250">
        <v>44682.0</v>
      </c>
      <c r="C29" s="250">
        <v>45229.0</v>
      </c>
      <c r="D29" s="265"/>
      <c r="E29" s="266" t="s">
        <v>254</v>
      </c>
      <c r="F29" s="221" t="s">
        <v>1513</v>
      </c>
      <c r="G29" s="267" t="s">
        <v>1514</v>
      </c>
      <c r="H29" s="274" t="s">
        <v>1515</v>
      </c>
      <c r="I29" s="275" t="s">
        <v>22</v>
      </c>
      <c r="J29" s="280" t="s">
        <v>1455</v>
      </c>
      <c r="K29" s="226" t="s">
        <v>1416</v>
      </c>
      <c r="L29" s="271" t="s">
        <v>1516</v>
      </c>
      <c r="M29" s="226" t="s">
        <v>1418</v>
      </c>
      <c r="N29" s="278" t="s">
        <v>1419</v>
      </c>
      <c r="O29" s="229"/>
    </row>
    <row r="30" ht="22.5" customHeight="1">
      <c r="A30" s="264">
        <v>2022.0</v>
      </c>
      <c r="B30" s="250">
        <v>44718.0</v>
      </c>
      <c r="C30" s="250">
        <v>44926.0</v>
      </c>
      <c r="D30" s="265"/>
      <c r="E30" s="266" t="s">
        <v>247</v>
      </c>
      <c r="F30" s="221" t="s">
        <v>1517</v>
      </c>
      <c r="G30" s="267" t="s">
        <v>1518</v>
      </c>
      <c r="H30" s="274" t="s">
        <v>1519</v>
      </c>
      <c r="I30" s="269" t="s">
        <v>22</v>
      </c>
      <c r="J30" s="280" t="s">
        <v>1415</v>
      </c>
      <c r="K30" s="226" t="s">
        <v>1416</v>
      </c>
      <c r="L30" s="203" t="s">
        <v>1181</v>
      </c>
      <c r="M30" s="226" t="s">
        <v>1418</v>
      </c>
      <c r="N30" s="278" t="s">
        <v>1419</v>
      </c>
      <c r="O30" s="229"/>
    </row>
    <row r="31" ht="22.5" customHeight="1">
      <c r="A31" s="264">
        <v>2022.0</v>
      </c>
      <c r="B31" s="250">
        <v>44725.0</v>
      </c>
      <c r="C31" s="218"/>
      <c r="D31" s="272" t="s">
        <v>260</v>
      </c>
      <c r="E31" s="273" t="s">
        <v>635</v>
      </c>
      <c r="F31" s="221" t="s">
        <v>1520</v>
      </c>
      <c r="G31" s="267" t="s">
        <v>1521</v>
      </c>
      <c r="H31" s="274" t="s">
        <v>1522</v>
      </c>
      <c r="I31" s="275" t="s">
        <v>17</v>
      </c>
      <c r="J31" s="276" t="s">
        <v>1415</v>
      </c>
      <c r="K31" s="226" t="s">
        <v>1410</v>
      </c>
      <c r="L31" s="203" t="s">
        <v>1181</v>
      </c>
      <c r="M31" s="226" t="s">
        <v>1456</v>
      </c>
      <c r="N31" s="278" t="s">
        <v>263</v>
      </c>
      <c r="O31" s="229"/>
    </row>
    <row r="32" ht="22.5" customHeight="1">
      <c r="A32" s="264">
        <v>2022.0</v>
      </c>
      <c r="B32" s="250">
        <v>44729.0</v>
      </c>
      <c r="C32" s="250">
        <v>44773.0</v>
      </c>
      <c r="D32" s="265"/>
      <c r="E32" s="266" t="s">
        <v>258</v>
      </c>
      <c r="F32" s="221" t="s">
        <v>1523</v>
      </c>
      <c r="G32" s="267" t="s">
        <v>1524</v>
      </c>
      <c r="H32" s="274" t="s">
        <v>1525</v>
      </c>
      <c r="I32" s="269" t="s">
        <v>22</v>
      </c>
      <c r="J32" s="270" t="s">
        <v>1415</v>
      </c>
      <c r="K32" s="226" t="s">
        <v>1416</v>
      </c>
      <c r="L32" s="271" t="s">
        <v>1447</v>
      </c>
      <c r="M32" s="226" t="s">
        <v>1418</v>
      </c>
      <c r="N32" s="278" t="s">
        <v>1419</v>
      </c>
      <c r="O32" s="229"/>
    </row>
    <row r="33" ht="22.5" customHeight="1">
      <c r="A33" s="264">
        <v>2022.0</v>
      </c>
      <c r="B33" s="250">
        <v>44754.0</v>
      </c>
      <c r="C33" s="250">
        <v>44773.0</v>
      </c>
      <c r="D33" s="265"/>
      <c r="E33" s="266" t="s">
        <v>79</v>
      </c>
      <c r="F33" s="221" t="s">
        <v>1526</v>
      </c>
      <c r="G33" s="267" t="s">
        <v>1425</v>
      </c>
      <c r="H33" s="274" t="s">
        <v>1426</v>
      </c>
      <c r="I33" s="275" t="s">
        <v>22</v>
      </c>
      <c r="J33" s="276" t="s">
        <v>1415</v>
      </c>
      <c r="K33" s="226" t="s">
        <v>1416</v>
      </c>
      <c r="L33" s="277" t="s">
        <v>1427</v>
      </c>
      <c r="M33" s="226" t="s">
        <v>1418</v>
      </c>
      <c r="N33" s="278" t="s">
        <v>1419</v>
      </c>
      <c r="O33" s="229"/>
    </row>
    <row r="34" ht="22.5" customHeight="1">
      <c r="A34" s="264">
        <v>2022.0</v>
      </c>
      <c r="B34" s="250">
        <v>44763.0</v>
      </c>
      <c r="C34" s="250">
        <v>45107.0</v>
      </c>
      <c r="D34" s="272" t="s">
        <v>243</v>
      </c>
      <c r="E34" s="273" t="s">
        <v>267</v>
      </c>
      <c r="F34" s="221" t="s">
        <v>1527</v>
      </c>
      <c r="G34" s="267" t="s">
        <v>1528</v>
      </c>
      <c r="H34" s="274" t="s">
        <v>1529</v>
      </c>
      <c r="I34" s="275" t="s">
        <v>22</v>
      </c>
      <c r="J34" s="270" t="s">
        <v>1415</v>
      </c>
      <c r="K34" s="226" t="s">
        <v>1410</v>
      </c>
      <c r="L34" s="277" t="s">
        <v>1530</v>
      </c>
      <c r="M34" s="226" t="s">
        <v>1456</v>
      </c>
      <c r="N34" s="278" t="s">
        <v>1179</v>
      </c>
      <c r="O34" s="229"/>
    </row>
    <row r="35" ht="22.5" customHeight="1">
      <c r="A35" s="264">
        <v>2022.0</v>
      </c>
      <c r="B35" s="250">
        <v>44835.0</v>
      </c>
      <c r="C35" s="218"/>
      <c r="D35" s="272" t="s">
        <v>294</v>
      </c>
      <c r="E35" s="273" t="s">
        <v>289</v>
      </c>
      <c r="F35" s="221" t="s">
        <v>1531</v>
      </c>
      <c r="G35" s="267" t="s">
        <v>1532</v>
      </c>
      <c r="H35" s="274" t="s">
        <v>1533</v>
      </c>
      <c r="I35" s="275" t="s">
        <v>17</v>
      </c>
      <c r="J35" s="276" t="s">
        <v>1415</v>
      </c>
      <c r="K35" s="281" t="s">
        <v>1416</v>
      </c>
      <c r="L35" s="271" t="s">
        <v>1534</v>
      </c>
      <c r="M35" s="226" t="s">
        <v>1418</v>
      </c>
      <c r="N35" s="278" t="s">
        <v>1419</v>
      </c>
      <c r="O35" s="229"/>
    </row>
    <row r="36" ht="22.5" customHeight="1">
      <c r="A36" s="264">
        <v>2022.0</v>
      </c>
      <c r="B36" s="250">
        <v>44859.0</v>
      </c>
      <c r="C36" s="218"/>
      <c r="D36" s="272" t="s">
        <v>1535</v>
      </c>
      <c r="E36" s="273" t="s">
        <v>297</v>
      </c>
      <c r="F36" s="221" t="s">
        <v>1536</v>
      </c>
      <c r="G36" s="267" t="s">
        <v>1537</v>
      </c>
      <c r="H36" s="274" t="s">
        <v>1538</v>
      </c>
      <c r="I36" s="269" t="s">
        <v>22</v>
      </c>
      <c r="J36" s="276" t="s">
        <v>1415</v>
      </c>
      <c r="K36" s="282" t="s">
        <v>1416</v>
      </c>
      <c r="L36" s="283" t="s">
        <v>1539</v>
      </c>
      <c r="M36" s="226" t="s">
        <v>1418</v>
      </c>
      <c r="N36" s="278" t="s">
        <v>1179</v>
      </c>
      <c r="O36" s="229"/>
    </row>
    <row r="37" ht="22.5" customHeight="1">
      <c r="A37" s="264">
        <v>2022.0</v>
      </c>
      <c r="B37" s="250">
        <v>44902.0</v>
      </c>
      <c r="C37" s="250">
        <v>45107.0</v>
      </c>
      <c r="D37" s="284"/>
      <c r="E37" s="285" t="s">
        <v>314</v>
      </c>
      <c r="F37" s="221" t="s">
        <v>1540</v>
      </c>
      <c r="G37" s="267" t="s">
        <v>1541</v>
      </c>
      <c r="H37" s="274" t="s">
        <v>1542</v>
      </c>
      <c r="I37" s="269" t="s">
        <v>22</v>
      </c>
      <c r="J37" s="276" t="s">
        <v>1415</v>
      </c>
      <c r="K37" s="282" t="s">
        <v>1416</v>
      </c>
      <c r="L37" s="203" t="s">
        <v>26</v>
      </c>
      <c r="M37" s="226" t="s">
        <v>1456</v>
      </c>
      <c r="N37" s="278" t="s">
        <v>1468</v>
      </c>
      <c r="O37" s="229"/>
    </row>
    <row r="38" ht="22.5" customHeight="1">
      <c r="A38" s="264">
        <v>2022.0</v>
      </c>
      <c r="B38" s="250">
        <v>44910.0</v>
      </c>
      <c r="C38" s="250">
        <v>45069.0</v>
      </c>
      <c r="D38" s="272" t="s">
        <v>1543</v>
      </c>
      <c r="E38" s="273" t="s">
        <v>319</v>
      </c>
      <c r="F38" s="221" t="s">
        <v>1544</v>
      </c>
      <c r="G38" s="267" t="s">
        <v>1545</v>
      </c>
      <c r="H38" s="274" t="s">
        <v>1546</v>
      </c>
      <c r="I38" s="275" t="s">
        <v>22</v>
      </c>
      <c r="J38" s="270" t="s">
        <v>1415</v>
      </c>
      <c r="K38" s="286" t="s">
        <v>1410</v>
      </c>
      <c r="L38" s="203" t="s">
        <v>26</v>
      </c>
      <c r="M38" s="226" t="s">
        <v>1456</v>
      </c>
      <c r="N38" s="278" t="s">
        <v>1179</v>
      </c>
      <c r="O38" s="229"/>
    </row>
    <row r="39" ht="22.5" customHeight="1">
      <c r="A39" s="287">
        <v>2023.0</v>
      </c>
      <c r="B39" s="250">
        <v>44964.0</v>
      </c>
      <c r="C39" s="218"/>
      <c r="D39" s="265"/>
      <c r="E39" s="273" t="s">
        <v>330</v>
      </c>
      <c r="F39" s="221" t="s">
        <v>1547</v>
      </c>
      <c r="G39" s="288" t="s">
        <v>1548</v>
      </c>
      <c r="H39" s="279" t="s">
        <v>1549</v>
      </c>
      <c r="I39" s="269" t="s">
        <v>17</v>
      </c>
      <c r="J39" s="161" t="s">
        <v>1455</v>
      </c>
      <c r="K39" s="167" t="s">
        <v>1416</v>
      </c>
      <c r="L39" s="203" t="s">
        <v>1550</v>
      </c>
      <c r="M39" s="167" t="s">
        <v>1456</v>
      </c>
      <c r="N39" s="278" t="s">
        <v>1468</v>
      </c>
      <c r="O39" s="229"/>
    </row>
    <row r="40" ht="22.5" customHeight="1">
      <c r="A40" s="287">
        <v>2023.0</v>
      </c>
      <c r="B40" s="250">
        <v>44993.0</v>
      </c>
      <c r="C40" s="289">
        <v>45069.0</v>
      </c>
      <c r="D40" s="265"/>
      <c r="E40" s="266" t="s">
        <v>1181</v>
      </c>
      <c r="F40" s="221" t="s">
        <v>1551</v>
      </c>
      <c r="G40" s="290" t="s">
        <v>1552</v>
      </c>
      <c r="H40" s="279" t="s">
        <v>1553</v>
      </c>
      <c r="I40" s="275" t="s">
        <v>22</v>
      </c>
      <c r="J40" s="270" t="s">
        <v>1415</v>
      </c>
      <c r="K40" s="286" t="s">
        <v>1410</v>
      </c>
      <c r="L40" s="203" t="s">
        <v>1181</v>
      </c>
      <c r="M40" s="262" t="s">
        <v>1554</v>
      </c>
      <c r="N40" s="228" t="s">
        <v>26</v>
      </c>
      <c r="O40" s="229"/>
    </row>
    <row r="41" ht="22.5" customHeight="1">
      <c r="A41" s="287">
        <v>2023.0</v>
      </c>
      <c r="B41" s="250">
        <v>44999.0</v>
      </c>
      <c r="C41" s="291">
        <v>45199.0</v>
      </c>
      <c r="D41" s="292" t="s">
        <v>354</v>
      </c>
      <c r="E41" s="293" t="s">
        <v>284</v>
      </c>
      <c r="F41" s="221" t="s">
        <v>1555</v>
      </c>
      <c r="G41" s="95" t="s">
        <v>1556</v>
      </c>
      <c r="H41" s="279" t="s">
        <v>1557</v>
      </c>
      <c r="I41" s="294" t="s">
        <v>22</v>
      </c>
      <c r="J41" s="276" t="s">
        <v>1415</v>
      </c>
      <c r="K41" s="167" t="s">
        <v>1410</v>
      </c>
      <c r="L41" s="203" t="s">
        <v>1181</v>
      </c>
      <c r="M41" s="167" t="s">
        <v>1418</v>
      </c>
      <c r="N41" s="228" t="s">
        <v>26</v>
      </c>
      <c r="O41" s="229"/>
    </row>
    <row r="42" ht="22.5" customHeight="1">
      <c r="A42" s="287">
        <v>2023.0</v>
      </c>
      <c r="B42" s="250">
        <v>44999.0</v>
      </c>
      <c r="C42" s="218"/>
      <c r="D42" s="284"/>
      <c r="E42" s="285" t="s">
        <v>354</v>
      </c>
      <c r="F42" s="221" t="s">
        <v>1558</v>
      </c>
      <c r="G42" s="95" t="s">
        <v>1559</v>
      </c>
      <c r="H42" s="279" t="s">
        <v>1560</v>
      </c>
      <c r="I42" s="294" t="s">
        <v>17</v>
      </c>
      <c r="J42" s="85" t="s">
        <v>1415</v>
      </c>
      <c r="K42" s="167" t="s">
        <v>1410</v>
      </c>
      <c r="L42" s="203" t="s">
        <v>1181</v>
      </c>
      <c r="M42" s="167" t="s">
        <v>1418</v>
      </c>
      <c r="N42" s="228" t="s">
        <v>26</v>
      </c>
      <c r="O42" s="229"/>
    </row>
    <row r="43" ht="22.5" customHeight="1">
      <c r="A43" s="287">
        <v>2023.0</v>
      </c>
      <c r="B43" s="250">
        <v>45007.0</v>
      </c>
      <c r="C43" s="289">
        <v>45072.0</v>
      </c>
      <c r="D43" s="272" t="s">
        <v>362</v>
      </c>
      <c r="E43" s="273" t="s">
        <v>356</v>
      </c>
      <c r="F43" s="221" t="s">
        <v>1561</v>
      </c>
      <c r="G43" s="95" t="s">
        <v>1562</v>
      </c>
      <c r="H43" s="295" t="s">
        <v>1563</v>
      </c>
      <c r="I43" s="294" t="s">
        <v>22</v>
      </c>
      <c r="J43" s="85" t="s">
        <v>1415</v>
      </c>
      <c r="K43" s="167" t="s">
        <v>1410</v>
      </c>
      <c r="L43" s="203" t="s">
        <v>1181</v>
      </c>
      <c r="M43" s="296" t="s">
        <v>1418</v>
      </c>
      <c r="N43" s="278" t="s">
        <v>1468</v>
      </c>
      <c r="O43" s="229"/>
    </row>
    <row r="44" ht="22.5" customHeight="1">
      <c r="A44" s="287">
        <v>2023.0</v>
      </c>
      <c r="B44" s="250">
        <v>45035.0</v>
      </c>
      <c r="C44" s="289">
        <v>45083.0</v>
      </c>
      <c r="D44" s="265"/>
      <c r="E44" s="266" t="s">
        <v>367</v>
      </c>
      <c r="F44" s="221" t="s">
        <v>1564</v>
      </c>
      <c r="G44" s="95" t="s">
        <v>1565</v>
      </c>
      <c r="H44" s="295" t="s">
        <v>1566</v>
      </c>
      <c r="I44" s="294" t="s">
        <v>22</v>
      </c>
      <c r="J44" s="85" t="s">
        <v>1415</v>
      </c>
      <c r="K44" s="167" t="s">
        <v>1416</v>
      </c>
      <c r="L44" s="203" t="s">
        <v>26</v>
      </c>
      <c r="M44" s="296" t="s">
        <v>1418</v>
      </c>
      <c r="N44" s="278" t="s">
        <v>1567</v>
      </c>
      <c r="O44" s="229"/>
    </row>
    <row r="45" ht="22.5" customHeight="1">
      <c r="A45" s="287">
        <v>2023.0</v>
      </c>
      <c r="B45" s="250">
        <v>45035.0</v>
      </c>
      <c r="C45" s="289">
        <v>45083.0</v>
      </c>
      <c r="D45" s="265"/>
      <c r="E45" s="266" t="s">
        <v>371</v>
      </c>
      <c r="F45" s="221" t="s">
        <v>1568</v>
      </c>
      <c r="G45" s="95" t="s">
        <v>1569</v>
      </c>
      <c r="H45" s="295" t="s">
        <v>1570</v>
      </c>
      <c r="I45" s="294" t="s">
        <v>22</v>
      </c>
      <c r="J45" s="85" t="s">
        <v>1415</v>
      </c>
      <c r="K45" s="167" t="s">
        <v>1416</v>
      </c>
      <c r="L45" s="203" t="s">
        <v>26</v>
      </c>
      <c r="M45" s="296" t="s">
        <v>1418</v>
      </c>
      <c r="N45" s="278" t="s">
        <v>1567</v>
      </c>
      <c r="O45" s="229"/>
    </row>
    <row r="46" ht="22.5" customHeight="1">
      <c r="A46" s="287">
        <v>2023.0</v>
      </c>
      <c r="B46" s="250">
        <v>45036.0</v>
      </c>
      <c r="C46" s="289">
        <v>45083.0</v>
      </c>
      <c r="D46" s="265"/>
      <c r="E46" s="266" t="s">
        <v>373</v>
      </c>
      <c r="F46" s="221" t="s">
        <v>1571</v>
      </c>
      <c r="G46" s="95" t="s">
        <v>1569</v>
      </c>
      <c r="H46" s="295" t="s">
        <v>1572</v>
      </c>
      <c r="I46" s="294" t="s">
        <v>22</v>
      </c>
      <c r="J46" s="85" t="s">
        <v>1415</v>
      </c>
      <c r="K46" s="167" t="s">
        <v>1416</v>
      </c>
      <c r="L46" s="203" t="s">
        <v>26</v>
      </c>
      <c r="M46" s="296" t="s">
        <v>1418</v>
      </c>
      <c r="N46" s="278" t="s">
        <v>1567</v>
      </c>
      <c r="O46" s="229"/>
    </row>
    <row r="47" ht="22.5" customHeight="1">
      <c r="A47" s="287">
        <v>2023.0</v>
      </c>
      <c r="B47" s="250">
        <v>45051.0</v>
      </c>
      <c r="C47" s="289">
        <v>45079.0</v>
      </c>
      <c r="D47" s="265"/>
      <c r="E47" s="266" t="s">
        <v>375</v>
      </c>
      <c r="F47" s="221" t="s">
        <v>1573</v>
      </c>
      <c r="G47" s="95" t="s">
        <v>1574</v>
      </c>
      <c r="H47" s="295" t="s">
        <v>1575</v>
      </c>
      <c r="I47" s="294" t="s">
        <v>22</v>
      </c>
      <c r="J47" s="85" t="s">
        <v>1415</v>
      </c>
      <c r="K47" s="167" t="s">
        <v>1410</v>
      </c>
      <c r="L47" s="203" t="s">
        <v>26</v>
      </c>
      <c r="M47" s="296" t="s">
        <v>1418</v>
      </c>
      <c r="N47" s="278" t="s">
        <v>1468</v>
      </c>
      <c r="O47" s="229"/>
    </row>
    <row r="48" ht="22.5" customHeight="1">
      <c r="A48" s="287">
        <v>2023.0</v>
      </c>
      <c r="B48" s="250">
        <v>45051.0</v>
      </c>
      <c r="C48" s="289">
        <v>45079.0</v>
      </c>
      <c r="D48" s="265"/>
      <c r="E48" s="273" t="s">
        <v>1576</v>
      </c>
      <c r="F48" s="221" t="s">
        <v>1577</v>
      </c>
      <c r="G48" s="95" t="s">
        <v>1578</v>
      </c>
      <c r="H48" s="295" t="s">
        <v>1579</v>
      </c>
      <c r="I48" s="294" t="s">
        <v>22</v>
      </c>
      <c r="J48" s="85" t="s">
        <v>1415</v>
      </c>
      <c r="K48" s="167" t="s">
        <v>1410</v>
      </c>
      <c r="L48" s="203" t="s">
        <v>26</v>
      </c>
      <c r="M48" s="297" t="s">
        <v>1418</v>
      </c>
      <c r="N48" s="278" t="s">
        <v>1468</v>
      </c>
      <c r="O48" s="229"/>
    </row>
    <row r="49" ht="22.5" customHeight="1">
      <c r="A49" s="287">
        <v>2023.0</v>
      </c>
      <c r="B49" s="250">
        <v>45062.0</v>
      </c>
      <c r="C49" s="289">
        <v>45107.0</v>
      </c>
      <c r="D49" s="272"/>
      <c r="E49" s="273" t="s">
        <v>382</v>
      </c>
      <c r="F49" s="221" t="s">
        <v>1580</v>
      </c>
      <c r="G49" s="95" t="s">
        <v>1581</v>
      </c>
      <c r="H49" s="295" t="s">
        <v>1582</v>
      </c>
      <c r="I49" s="294" t="s">
        <v>22</v>
      </c>
      <c r="J49" s="85" t="s">
        <v>1415</v>
      </c>
      <c r="K49" s="167" t="s">
        <v>1410</v>
      </c>
      <c r="L49" s="203" t="s">
        <v>26</v>
      </c>
      <c r="M49" s="204" t="s">
        <v>1472</v>
      </c>
      <c r="N49" s="278" t="s">
        <v>1583</v>
      </c>
      <c r="O49" s="229"/>
    </row>
    <row r="50" ht="22.5" customHeight="1">
      <c r="A50" s="287">
        <v>2023.0</v>
      </c>
      <c r="B50" s="250">
        <v>45062.0</v>
      </c>
      <c r="C50" s="289">
        <v>45107.0</v>
      </c>
      <c r="D50" s="272"/>
      <c r="E50" s="273" t="s">
        <v>386</v>
      </c>
      <c r="F50" s="221" t="s">
        <v>1580</v>
      </c>
      <c r="G50" s="95" t="s">
        <v>1581</v>
      </c>
      <c r="H50" s="295" t="s">
        <v>1582</v>
      </c>
      <c r="I50" s="294" t="s">
        <v>22</v>
      </c>
      <c r="J50" s="85" t="s">
        <v>1415</v>
      </c>
      <c r="K50" s="167" t="s">
        <v>1410</v>
      </c>
      <c r="L50" s="203" t="s">
        <v>26</v>
      </c>
      <c r="M50" s="204" t="s">
        <v>1472</v>
      </c>
      <c r="N50" s="278" t="s">
        <v>1583</v>
      </c>
      <c r="O50" s="229"/>
    </row>
    <row r="51" ht="22.5" customHeight="1">
      <c r="A51" s="287">
        <v>2023.0</v>
      </c>
      <c r="B51" s="250">
        <v>45082.0</v>
      </c>
      <c r="C51" s="289">
        <v>45229.0</v>
      </c>
      <c r="D51" s="265"/>
      <c r="E51" s="266" t="s">
        <v>404</v>
      </c>
      <c r="F51" s="221" t="s">
        <v>1584</v>
      </c>
      <c r="G51" s="95" t="s">
        <v>1585</v>
      </c>
      <c r="H51" s="295" t="s">
        <v>1586</v>
      </c>
      <c r="I51" s="294" t="s">
        <v>22</v>
      </c>
      <c r="J51" s="85" t="s">
        <v>1415</v>
      </c>
      <c r="K51" s="167" t="s">
        <v>1416</v>
      </c>
      <c r="L51" s="203" t="s">
        <v>1181</v>
      </c>
      <c r="M51" s="298" t="s">
        <v>1456</v>
      </c>
      <c r="N51" s="278" t="s">
        <v>1419</v>
      </c>
      <c r="O51" s="229"/>
    </row>
    <row r="52" ht="22.5" customHeight="1">
      <c r="A52" s="287">
        <v>2023.0</v>
      </c>
      <c r="B52" s="250">
        <v>45083.0</v>
      </c>
      <c r="C52" s="289">
        <v>45107.0</v>
      </c>
      <c r="D52" s="265"/>
      <c r="E52" s="266" t="s">
        <v>389</v>
      </c>
      <c r="F52" s="221" t="s">
        <v>1587</v>
      </c>
      <c r="G52" s="95" t="s">
        <v>1588</v>
      </c>
      <c r="H52" s="295" t="s">
        <v>1589</v>
      </c>
      <c r="I52" s="294" t="s">
        <v>22</v>
      </c>
      <c r="J52" s="85" t="s">
        <v>1415</v>
      </c>
      <c r="K52" s="167" t="s">
        <v>1416</v>
      </c>
      <c r="L52" s="203" t="s">
        <v>26</v>
      </c>
      <c r="M52" s="297" t="s">
        <v>1472</v>
      </c>
      <c r="N52" s="278" t="s">
        <v>1583</v>
      </c>
      <c r="O52" s="229"/>
    </row>
    <row r="53" ht="22.5" customHeight="1">
      <c r="A53" s="287">
        <v>2023.0</v>
      </c>
      <c r="B53" s="250">
        <v>45083.0</v>
      </c>
      <c r="C53" s="289">
        <v>45229.0</v>
      </c>
      <c r="D53" s="272" t="s">
        <v>400</v>
      </c>
      <c r="E53" s="273" t="s">
        <v>393</v>
      </c>
      <c r="F53" s="221" t="s">
        <v>1590</v>
      </c>
      <c r="G53" s="95" t="s">
        <v>1591</v>
      </c>
      <c r="H53" s="295" t="s">
        <v>1592</v>
      </c>
      <c r="I53" s="294" t="s">
        <v>22</v>
      </c>
      <c r="J53" s="161" t="s">
        <v>1593</v>
      </c>
      <c r="K53" s="167" t="s">
        <v>1410</v>
      </c>
      <c r="L53" s="203" t="s">
        <v>1181</v>
      </c>
      <c r="M53" s="286" t="s">
        <v>1456</v>
      </c>
      <c r="N53" s="278" t="s">
        <v>1468</v>
      </c>
      <c r="O53" s="229"/>
    </row>
    <row r="54" ht="22.5" customHeight="1">
      <c r="A54" s="287">
        <v>2023.0</v>
      </c>
      <c r="B54" s="250">
        <v>45091.0</v>
      </c>
      <c r="C54" s="289">
        <v>45199.0</v>
      </c>
      <c r="D54" s="265"/>
      <c r="E54" s="266" t="s">
        <v>408</v>
      </c>
      <c r="F54" s="221" t="s">
        <v>1594</v>
      </c>
      <c r="G54" s="95" t="s">
        <v>1595</v>
      </c>
      <c r="H54" s="295" t="s">
        <v>1596</v>
      </c>
      <c r="I54" s="294" t="s">
        <v>22</v>
      </c>
      <c r="J54" s="85" t="s">
        <v>1415</v>
      </c>
      <c r="K54" s="167" t="s">
        <v>1416</v>
      </c>
      <c r="L54" s="299" t="s">
        <v>1597</v>
      </c>
      <c r="M54" s="167" t="s">
        <v>1418</v>
      </c>
      <c r="N54" s="278" t="s">
        <v>1419</v>
      </c>
      <c r="O54" s="229"/>
    </row>
    <row r="55" ht="22.5" customHeight="1">
      <c r="A55" s="287">
        <v>2023.0</v>
      </c>
      <c r="B55" s="250">
        <v>45119.0</v>
      </c>
      <c r="C55" s="218"/>
      <c r="D55" s="272" t="s">
        <v>1598</v>
      </c>
      <c r="E55" s="273" t="s">
        <v>966</v>
      </c>
      <c r="F55" s="221" t="s">
        <v>1599</v>
      </c>
      <c r="G55" s="95" t="s">
        <v>1600</v>
      </c>
      <c r="H55" s="295" t="s">
        <v>1601</v>
      </c>
      <c r="I55" s="253" t="s">
        <v>17</v>
      </c>
      <c r="J55" s="161" t="s">
        <v>1415</v>
      </c>
      <c r="K55" s="167" t="s">
        <v>1410</v>
      </c>
      <c r="L55" s="203" t="s">
        <v>1602</v>
      </c>
      <c r="M55" s="286" t="s">
        <v>1456</v>
      </c>
      <c r="N55" s="278" t="s">
        <v>1179</v>
      </c>
      <c r="O55" s="229"/>
    </row>
    <row r="56" ht="22.5" customHeight="1">
      <c r="A56" s="287">
        <v>2023.0</v>
      </c>
      <c r="B56" s="250">
        <v>45125.0</v>
      </c>
      <c r="C56" s="289">
        <v>45229.0</v>
      </c>
      <c r="D56" s="265"/>
      <c r="E56" s="266" t="s">
        <v>432</v>
      </c>
      <c r="F56" s="221" t="s">
        <v>1603</v>
      </c>
      <c r="G56" s="95" t="s">
        <v>1604</v>
      </c>
      <c r="H56" s="295" t="s">
        <v>1605</v>
      </c>
      <c r="I56" s="253" t="s">
        <v>22</v>
      </c>
      <c r="J56" s="161" t="s">
        <v>1606</v>
      </c>
      <c r="K56" s="95" t="s">
        <v>1416</v>
      </c>
      <c r="L56" s="203" t="s">
        <v>1181</v>
      </c>
      <c r="M56" s="286" t="s">
        <v>1456</v>
      </c>
      <c r="N56" s="278" t="s">
        <v>1468</v>
      </c>
      <c r="O56" s="229"/>
    </row>
    <row r="57" ht="22.5" customHeight="1">
      <c r="A57" s="287">
        <v>2023.0</v>
      </c>
      <c r="B57" s="250">
        <v>45140.0</v>
      </c>
      <c r="C57" s="289">
        <v>45149.0</v>
      </c>
      <c r="D57" s="265"/>
      <c r="E57" s="266" t="s">
        <v>438</v>
      </c>
      <c r="F57" s="221" t="s">
        <v>1607</v>
      </c>
      <c r="G57" s="95" t="s">
        <v>1608</v>
      </c>
      <c r="H57" s="295" t="s">
        <v>1609</v>
      </c>
      <c r="I57" s="253" t="s">
        <v>22</v>
      </c>
      <c r="J57" s="85" t="s">
        <v>1415</v>
      </c>
      <c r="K57" s="167" t="s">
        <v>1416</v>
      </c>
      <c r="L57" s="203" t="s">
        <v>26</v>
      </c>
      <c r="M57" s="300" t="s">
        <v>1472</v>
      </c>
      <c r="N57" s="278" t="s">
        <v>1583</v>
      </c>
      <c r="O57" s="229"/>
    </row>
    <row r="58" ht="22.5" customHeight="1">
      <c r="A58" s="287">
        <v>2023.0</v>
      </c>
      <c r="B58" s="250">
        <v>45154.0</v>
      </c>
      <c r="C58" s="289">
        <v>45301.0</v>
      </c>
      <c r="D58" s="189" t="s">
        <v>1610</v>
      </c>
      <c r="E58" s="254" t="s">
        <v>1611</v>
      </c>
      <c r="F58" s="221" t="s">
        <v>1612</v>
      </c>
      <c r="G58" s="95" t="s">
        <v>1613</v>
      </c>
      <c r="H58" s="295" t="s">
        <v>1614</v>
      </c>
      <c r="I58" s="253" t="s">
        <v>22</v>
      </c>
      <c r="J58" s="85" t="s">
        <v>1455</v>
      </c>
      <c r="K58" s="167" t="s">
        <v>1410</v>
      </c>
      <c r="L58" s="203" t="s">
        <v>26</v>
      </c>
      <c r="M58" s="296" t="s">
        <v>1456</v>
      </c>
      <c r="N58" s="278" t="s">
        <v>1179</v>
      </c>
      <c r="O58" s="229"/>
    </row>
    <row r="59" ht="22.5" customHeight="1">
      <c r="A59" s="287">
        <v>2023.0</v>
      </c>
      <c r="B59" s="250">
        <v>45167.0</v>
      </c>
      <c r="C59" s="289">
        <v>45189.0</v>
      </c>
      <c r="D59" s="265"/>
      <c r="E59" s="273" t="s">
        <v>479</v>
      </c>
      <c r="F59" s="221" t="s">
        <v>1615</v>
      </c>
      <c r="G59" s="95" t="s">
        <v>1616</v>
      </c>
      <c r="H59" s="295" t="s">
        <v>1617</v>
      </c>
      <c r="I59" s="253" t="s">
        <v>22</v>
      </c>
      <c r="J59" s="161" t="s">
        <v>1606</v>
      </c>
      <c r="K59" s="167" t="s">
        <v>1416</v>
      </c>
      <c r="L59" s="203" t="s">
        <v>26</v>
      </c>
      <c r="M59" s="296" t="s">
        <v>1456</v>
      </c>
      <c r="N59" s="278" t="s">
        <v>1419</v>
      </c>
      <c r="O59" s="229"/>
    </row>
    <row r="60" ht="22.5" customHeight="1">
      <c r="A60" s="287">
        <v>2023.0</v>
      </c>
      <c r="B60" s="250">
        <v>45180.0</v>
      </c>
      <c r="C60" s="218"/>
      <c r="D60" s="265"/>
      <c r="E60" s="266" t="s">
        <v>485</v>
      </c>
      <c r="F60" s="221" t="s">
        <v>1618</v>
      </c>
      <c r="G60" s="95" t="s">
        <v>1619</v>
      </c>
      <c r="H60" s="295" t="s">
        <v>1620</v>
      </c>
      <c r="I60" s="253" t="s">
        <v>22</v>
      </c>
      <c r="J60" s="85" t="s">
        <v>1415</v>
      </c>
      <c r="K60" s="167" t="s">
        <v>1416</v>
      </c>
      <c r="L60" s="203" t="s">
        <v>26</v>
      </c>
      <c r="M60" s="167" t="s">
        <v>1418</v>
      </c>
      <c r="N60" s="278" t="s">
        <v>1419</v>
      </c>
      <c r="O60" s="229"/>
    </row>
    <row r="61" ht="22.5" customHeight="1">
      <c r="A61" s="287">
        <v>2023.0</v>
      </c>
      <c r="B61" s="250">
        <v>45190.0</v>
      </c>
      <c r="C61" s="218"/>
      <c r="D61" s="189" t="s">
        <v>197</v>
      </c>
      <c r="E61" s="254" t="s">
        <v>490</v>
      </c>
      <c r="F61" s="221" t="s">
        <v>1621</v>
      </c>
      <c r="G61" s="95" t="s">
        <v>1622</v>
      </c>
      <c r="H61" s="295" t="s">
        <v>1623</v>
      </c>
      <c r="I61" s="253" t="s">
        <v>17</v>
      </c>
      <c r="J61" s="85" t="s">
        <v>1415</v>
      </c>
      <c r="K61" s="167" t="s">
        <v>1416</v>
      </c>
      <c r="L61" s="203" t="s">
        <v>1624</v>
      </c>
      <c r="M61" s="167" t="s">
        <v>1418</v>
      </c>
      <c r="N61" s="278" t="s">
        <v>155</v>
      </c>
      <c r="O61" s="229"/>
    </row>
    <row r="62" ht="22.5" customHeight="1">
      <c r="A62" s="287">
        <v>2023.0</v>
      </c>
      <c r="B62" s="250">
        <v>45222.0</v>
      </c>
      <c r="C62" s="289">
        <v>45308.0</v>
      </c>
      <c r="D62" s="265"/>
      <c r="E62" s="273" t="s">
        <v>841</v>
      </c>
      <c r="F62" s="221" t="s">
        <v>1625</v>
      </c>
      <c r="G62" s="95" t="s">
        <v>1626</v>
      </c>
      <c r="H62" s="295" t="s">
        <v>1627</v>
      </c>
      <c r="I62" s="253" t="s">
        <v>17</v>
      </c>
      <c r="J62" s="85" t="s">
        <v>1415</v>
      </c>
      <c r="K62" s="167" t="s">
        <v>1410</v>
      </c>
      <c r="L62" s="203"/>
      <c r="M62" s="204" t="s">
        <v>1456</v>
      </c>
      <c r="N62" s="278" t="s">
        <v>1468</v>
      </c>
      <c r="O62" s="229"/>
    </row>
    <row r="63" ht="22.5" customHeight="1">
      <c r="A63" s="287">
        <v>2023.0</v>
      </c>
      <c r="B63" s="250">
        <v>45239.0</v>
      </c>
      <c r="C63" s="248">
        <v>45239.0</v>
      </c>
      <c r="D63" s="189"/>
      <c r="E63" s="254" t="s">
        <v>1628</v>
      </c>
      <c r="F63" s="221" t="s">
        <v>1629</v>
      </c>
      <c r="G63" s="95" t="s">
        <v>1630</v>
      </c>
      <c r="H63" s="295" t="s">
        <v>1628</v>
      </c>
      <c r="I63" s="253" t="s">
        <v>101</v>
      </c>
      <c r="J63" s="85" t="s">
        <v>1415</v>
      </c>
      <c r="K63" s="167" t="s">
        <v>26</v>
      </c>
      <c r="L63" s="203" t="s">
        <v>26</v>
      </c>
      <c r="M63" s="167" t="s">
        <v>1418</v>
      </c>
      <c r="N63" s="228"/>
      <c r="O63" s="229"/>
    </row>
    <row r="64" ht="22.5" customHeight="1">
      <c r="A64" s="287">
        <v>2023.0</v>
      </c>
      <c r="B64" s="250">
        <v>45240.0</v>
      </c>
      <c r="C64" s="289">
        <v>45272.0</v>
      </c>
      <c r="D64" s="272" t="s">
        <v>510</v>
      </c>
      <c r="E64" s="273" t="s">
        <v>507</v>
      </c>
      <c r="F64" s="221" t="s">
        <v>1631</v>
      </c>
      <c r="G64" s="95" t="s">
        <v>1632</v>
      </c>
      <c r="H64" s="295" t="s">
        <v>1633</v>
      </c>
      <c r="I64" s="253" t="s">
        <v>22</v>
      </c>
      <c r="J64" s="161" t="s">
        <v>1415</v>
      </c>
      <c r="K64" s="167" t="s">
        <v>1410</v>
      </c>
      <c r="L64" s="203" t="s">
        <v>1634</v>
      </c>
      <c r="M64" s="204" t="s">
        <v>1456</v>
      </c>
      <c r="N64" s="278" t="s">
        <v>1419</v>
      </c>
      <c r="O64" s="229"/>
    </row>
    <row r="65" ht="22.5" customHeight="1">
      <c r="A65" s="287">
        <v>2023.0</v>
      </c>
      <c r="B65" s="250">
        <v>45247.0</v>
      </c>
      <c r="C65" s="218"/>
      <c r="D65" s="265"/>
      <c r="E65" s="266" t="s">
        <v>521</v>
      </c>
      <c r="F65" s="221" t="s">
        <v>1635</v>
      </c>
      <c r="G65" s="95" t="s">
        <v>1636</v>
      </c>
      <c r="H65" s="295" t="s">
        <v>1637</v>
      </c>
      <c r="I65" s="253" t="s">
        <v>17</v>
      </c>
      <c r="J65" s="85" t="s">
        <v>1415</v>
      </c>
      <c r="K65" s="167" t="s">
        <v>1416</v>
      </c>
      <c r="L65" s="203" t="s">
        <v>1427</v>
      </c>
      <c r="M65" s="167" t="s">
        <v>1418</v>
      </c>
      <c r="N65" s="278" t="s">
        <v>1419</v>
      </c>
      <c r="O65" s="229"/>
    </row>
    <row r="66" ht="22.5" customHeight="1">
      <c r="A66" s="301">
        <v>2023.0</v>
      </c>
      <c r="B66" s="302">
        <v>45272.0</v>
      </c>
      <c r="C66" s="303">
        <v>45316.0</v>
      </c>
      <c r="D66" s="304"/>
      <c r="E66" s="305" t="s">
        <v>400</v>
      </c>
      <c r="F66" s="306" t="s">
        <v>1638</v>
      </c>
      <c r="G66" s="307" t="s">
        <v>1639</v>
      </c>
      <c r="H66" s="308" t="s">
        <v>1640</v>
      </c>
      <c r="I66" s="309" t="s">
        <v>22</v>
      </c>
      <c r="J66" s="310" t="s">
        <v>1593</v>
      </c>
      <c r="K66" s="311" t="s">
        <v>1410</v>
      </c>
      <c r="L66" s="312" t="s">
        <v>26</v>
      </c>
      <c r="M66" s="313" t="s">
        <v>1456</v>
      </c>
      <c r="N66" s="314" t="s">
        <v>1468</v>
      </c>
      <c r="O66" s="315"/>
    </row>
    <row r="67" ht="22.5" customHeight="1">
      <c r="A67" s="316">
        <v>2024.0</v>
      </c>
      <c r="B67" s="289">
        <v>45316.0</v>
      </c>
      <c r="C67" s="218"/>
      <c r="D67" s="189"/>
      <c r="E67" s="254" t="s">
        <v>531</v>
      </c>
      <c r="F67" s="221" t="s">
        <v>1641</v>
      </c>
      <c r="G67" s="317" t="s">
        <v>1642</v>
      </c>
      <c r="H67" s="274" t="s">
        <v>1643</v>
      </c>
      <c r="I67" s="253" t="s">
        <v>17</v>
      </c>
      <c r="J67" s="318" t="s">
        <v>1455</v>
      </c>
      <c r="K67" s="167" t="s">
        <v>1416</v>
      </c>
      <c r="L67" s="271" t="s">
        <v>1644</v>
      </c>
      <c r="M67" s="204" t="s">
        <v>1456</v>
      </c>
      <c r="N67" s="228"/>
      <c r="O67" s="319"/>
    </row>
    <row r="68" ht="22.5" customHeight="1">
      <c r="A68" s="316">
        <v>2024.0</v>
      </c>
      <c r="B68" s="289">
        <v>45321.0</v>
      </c>
      <c r="C68" s="218"/>
      <c r="D68" s="189"/>
      <c r="E68" s="254" t="s">
        <v>1181</v>
      </c>
      <c r="F68" s="221" t="s">
        <v>1645</v>
      </c>
      <c r="G68" s="317" t="s">
        <v>1646</v>
      </c>
      <c r="H68" s="274" t="s">
        <v>1647</v>
      </c>
      <c r="I68" s="253" t="s">
        <v>22</v>
      </c>
      <c r="J68" s="318" t="s">
        <v>1415</v>
      </c>
      <c r="K68" s="167" t="s">
        <v>1410</v>
      </c>
      <c r="L68" s="203" t="s">
        <v>1181</v>
      </c>
      <c r="M68" s="204" t="s">
        <v>1456</v>
      </c>
      <c r="N68" s="228"/>
      <c r="O68" s="317"/>
    </row>
    <row r="69" ht="22.5" customHeight="1">
      <c r="A69" s="316">
        <v>2024.0</v>
      </c>
      <c r="B69" s="289">
        <v>45321.0</v>
      </c>
      <c r="C69" s="218"/>
      <c r="D69" s="189"/>
      <c r="E69" s="254" t="s">
        <v>1181</v>
      </c>
      <c r="F69" s="221" t="s">
        <v>1648</v>
      </c>
      <c r="G69" s="317" t="s">
        <v>1649</v>
      </c>
      <c r="H69" s="274" t="s">
        <v>1650</v>
      </c>
      <c r="I69" s="253" t="s">
        <v>17</v>
      </c>
      <c r="J69" s="276" t="s">
        <v>1415</v>
      </c>
      <c r="K69" s="167" t="s">
        <v>1410</v>
      </c>
      <c r="L69" s="203" t="s">
        <v>1181</v>
      </c>
      <c r="M69" s="204" t="s">
        <v>1456</v>
      </c>
      <c r="N69" s="228"/>
      <c r="O69" s="317"/>
    </row>
    <row r="70" ht="22.5" customHeight="1">
      <c r="A70" s="316">
        <v>2024.0</v>
      </c>
      <c r="B70" s="289">
        <v>45329.0</v>
      </c>
      <c r="C70" s="250">
        <v>45329.0</v>
      </c>
      <c r="D70" s="265"/>
      <c r="E70" s="266" t="s">
        <v>558</v>
      </c>
      <c r="F70" s="221" t="s">
        <v>1651</v>
      </c>
      <c r="G70" s="317" t="s">
        <v>1652</v>
      </c>
      <c r="H70" s="274" t="s">
        <v>1653</v>
      </c>
      <c r="I70" s="253" t="s">
        <v>22</v>
      </c>
      <c r="J70" s="276" t="s">
        <v>1415</v>
      </c>
      <c r="K70" s="167" t="s">
        <v>1416</v>
      </c>
      <c r="L70" s="271" t="s">
        <v>26</v>
      </c>
      <c r="M70" s="204" t="s">
        <v>1472</v>
      </c>
      <c r="N70" s="278" t="s">
        <v>1583</v>
      </c>
      <c r="O70" s="319"/>
    </row>
    <row r="71" ht="22.5" customHeight="1">
      <c r="A71" s="316">
        <v>2024.0</v>
      </c>
      <c r="B71" s="289">
        <v>45335.0</v>
      </c>
      <c r="C71" s="250">
        <v>45335.0</v>
      </c>
      <c r="D71" s="189"/>
      <c r="E71" s="254" t="s">
        <v>566</v>
      </c>
      <c r="F71" s="221" t="s">
        <v>1654</v>
      </c>
      <c r="G71" s="317" t="s">
        <v>1655</v>
      </c>
      <c r="H71" s="274" t="s">
        <v>1656</v>
      </c>
      <c r="I71" s="253" t="s">
        <v>22</v>
      </c>
      <c r="J71" s="276" t="s">
        <v>1415</v>
      </c>
      <c r="K71" s="167" t="s">
        <v>1416</v>
      </c>
      <c r="L71" s="271" t="s">
        <v>26</v>
      </c>
      <c r="M71" s="204" t="s">
        <v>1472</v>
      </c>
      <c r="N71" s="278" t="s">
        <v>1583</v>
      </c>
      <c r="O71" s="319"/>
    </row>
    <row r="72" ht="22.5" customHeight="1">
      <c r="A72" s="316">
        <v>2024.0</v>
      </c>
      <c r="B72" s="289">
        <v>45337.0</v>
      </c>
      <c r="C72" s="218"/>
      <c r="D72" s="272" t="s">
        <v>573</v>
      </c>
      <c r="E72" s="273" t="s">
        <v>568</v>
      </c>
      <c r="F72" s="221" t="s">
        <v>1657</v>
      </c>
      <c r="G72" s="317" t="s">
        <v>1658</v>
      </c>
      <c r="H72" s="274" t="s">
        <v>1659</v>
      </c>
      <c r="I72" s="253" t="s">
        <v>22</v>
      </c>
      <c r="J72" s="320" t="s">
        <v>1455</v>
      </c>
      <c r="K72" s="167" t="s">
        <v>1410</v>
      </c>
      <c r="L72" s="203" t="s">
        <v>1181</v>
      </c>
      <c r="M72" s="204" t="s">
        <v>1418</v>
      </c>
      <c r="N72" s="278" t="s">
        <v>155</v>
      </c>
      <c r="O72" s="319"/>
    </row>
    <row r="73" ht="22.5" customHeight="1">
      <c r="A73" s="316">
        <v>2024.0</v>
      </c>
      <c r="B73" s="289">
        <v>45344.0</v>
      </c>
      <c r="C73" s="218"/>
      <c r="D73" s="272" t="s">
        <v>580</v>
      </c>
      <c r="E73" s="273" t="s">
        <v>576</v>
      </c>
      <c r="F73" s="221" t="s">
        <v>1660</v>
      </c>
      <c r="G73" s="317" t="s">
        <v>1661</v>
      </c>
      <c r="H73" s="274" t="s">
        <v>1662</v>
      </c>
      <c r="I73" s="253" t="s">
        <v>22</v>
      </c>
      <c r="J73" s="276" t="s">
        <v>1455</v>
      </c>
      <c r="K73" s="167" t="s">
        <v>1410</v>
      </c>
      <c r="L73" s="271" t="s">
        <v>26</v>
      </c>
      <c r="M73" s="204" t="s">
        <v>1456</v>
      </c>
      <c r="N73" s="228"/>
      <c r="O73" s="319"/>
    </row>
    <row r="74" ht="22.5" customHeight="1">
      <c r="A74" s="316">
        <v>2024.0</v>
      </c>
      <c r="B74" s="289">
        <v>45355.0</v>
      </c>
      <c r="C74" s="218"/>
      <c r="D74" s="265"/>
      <c r="E74" s="266" t="s">
        <v>547</v>
      </c>
      <c r="F74" s="221" t="s">
        <v>1663</v>
      </c>
      <c r="G74" s="317" t="s">
        <v>1664</v>
      </c>
      <c r="H74" s="274" t="s">
        <v>1665</v>
      </c>
      <c r="I74" s="253" t="s">
        <v>22</v>
      </c>
      <c r="J74" s="276" t="s">
        <v>1455</v>
      </c>
      <c r="K74" s="167" t="s">
        <v>1416</v>
      </c>
      <c r="L74" s="271" t="s">
        <v>1666</v>
      </c>
      <c r="M74" s="204" t="s">
        <v>1456</v>
      </c>
      <c r="N74" s="278" t="s">
        <v>1419</v>
      </c>
      <c r="O74" s="319"/>
    </row>
    <row r="75" ht="22.5" customHeight="1">
      <c r="A75" s="316">
        <v>2024.0</v>
      </c>
      <c r="B75" s="289">
        <v>45355.0</v>
      </c>
      <c r="C75" s="218"/>
      <c r="D75" s="265"/>
      <c r="E75" s="266" t="s">
        <v>547</v>
      </c>
      <c r="F75" s="221" t="s">
        <v>1667</v>
      </c>
      <c r="G75" s="317" t="s">
        <v>1668</v>
      </c>
      <c r="H75" s="274" t="s">
        <v>1669</v>
      </c>
      <c r="I75" s="253" t="s">
        <v>22</v>
      </c>
      <c r="J75" s="276" t="s">
        <v>1455</v>
      </c>
      <c r="K75" s="167" t="s">
        <v>1416</v>
      </c>
      <c r="L75" s="271" t="s">
        <v>1666</v>
      </c>
      <c r="M75" s="204" t="s">
        <v>1456</v>
      </c>
      <c r="N75" s="278" t="s">
        <v>1419</v>
      </c>
      <c r="O75" s="319"/>
    </row>
    <row r="76" ht="22.5" customHeight="1">
      <c r="A76" s="316">
        <v>2024.0</v>
      </c>
      <c r="B76" s="289">
        <v>45355.0</v>
      </c>
      <c r="C76" s="218"/>
      <c r="D76" s="265"/>
      <c r="E76" s="266" t="s">
        <v>547</v>
      </c>
      <c r="F76" s="221" t="s">
        <v>1670</v>
      </c>
      <c r="G76" s="169"/>
      <c r="H76" s="274" t="s">
        <v>1671</v>
      </c>
      <c r="I76" s="253" t="s">
        <v>22</v>
      </c>
      <c r="J76" s="320" t="s">
        <v>1455</v>
      </c>
      <c r="K76" s="167" t="s">
        <v>1416</v>
      </c>
      <c r="L76" s="271" t="s">
        <v>26</v>
      </c>
      <c r="M76" s="204" t="s">
        <v>1456</v>
      </c>
      <c r="N76" s="278" t="s">
        <v>1419</v>
      </c>
      <c r="O76" s="317"/>
    </row>
    <row r="77" ht="22.5" customHeight="1">
      <c r="A77" s="316">
        <v>2024.0</v>
      </c>
      <c r="B77" s="289">
        <v>45364.0</v>
      </c>
      <c r="C77" s="218"/>
      <c r="D77" s="265"/>
      <c r="E77" s="266" t="s">
        <v>588</v>
      </c>
      <c r="F77" s="221" t="s">
        <v>1672</v>
      </c>
      <c r="G77" s="317" t="s">
        <v>1673</v>
      </c>
      <c r="H77" s="274" t="s">
        <v>1674</v>
      </c>
      <c r="I77" s="253" t="s">
        <v>22</v>
      </c>
      <c r="J77" s="276" t="s">
        <v>1415</v>
      </c>
      <c r="K77" s="167" t="s">
        <v>1410</v>
      </c>
      <c r="L77" s="203" t="s">
        <v>1181</v>
      </c>
      <c r="M77" s="204" t="s">
        <v>1418</v>
      </c>
      <c r="N77" s="278" t="s">
        <v>1468</v>
      </c>
      <c r="O77" s="321" t="s">
        <v>1675</v>
      </c>
    </row>
    <row r="78" ht="22.5" customHeight="1">
      <c r="A78" s="316">
        <v>2024.0</v>
      </c>
      <c r="B78" s="289">
        <v>45364.0</v>
      </c>
      <c r="C78" s="218"/>
      <c r="D78" s="265"/>
      <c r="E78" s="266" t="s">
        <v>592</v>
      </c>
      <c r="F78" s="221" t="s">
        <v>1676</v>
      </c>
      <c r="G78" s="317" t="s">
        <v>1677</v>
      </c>
      <c r="H78" s="274" t="s">
        <v>1678</v>
      </c>
      <c r="I78" s="253" t="s">
        <v>22</v>
      </c>
      <c r="J78" s="276" t="s">
        <v>1415</v>
      </c>
      <c r="K78" s="167" t="s">
        <v>1410</v>
      </c>
      <c r="L78" s="203" t="s">
        <v>1181</v>
      </c>
      <c r="M78" s="204" t="s">
        <v>1418</v>
      </c>
      <c r="N78" s="278" t="s">
        <v>1468</v>
      </c>
      <c r="O78" s="321" t="s">
        <v>1675</v>
      </c>
    </row>
    <row r="79" ht="22.5" customHeight="1">
      <c r="A79" s="316">
        <v>2024.0</v>
      </c>
      <c r="B79" s="289">
        <v>45364.0</v>
      </c>
      <c r="C79" s="218"/>
      <c r="D79" s="265"/>
      <c r="E79" s="266" t="s">
        <v>595</v>
      </c>
      <c r="F79" s="221" t="s">
        <v>1679</v>
      </c>
      <c r="G79" s="317" t="s">
        <v>1680</v>
      </c>
      <c r="H79" s="274" t="s">
        <v>1681</v>
      </c>
      <c r="I79" s="253" t="s">
        <v>22</v>
      </c>
      <c r="J79" s="276" t="s">
        <v>1415</v>
      </c>
      <c r="K79" s="167" t="s">
        <v>1410</v>
      </c>
      <c r="L79" s="203" t="s">
        <v>1181</v>
      </c>
      <c r="M79" s="204" t="s">
        <v>1418</v>
      </c>
      <c r="N79" s="278" t="s">
        <v>1468</v>
      </c>
      <c r="O79" s="321" t="s">
        <v>1675</v>
      </c>
    </row>
    <row r="80" ht="22.5" customHeight="1">
      <c r="A80" s="316">
        <v>2024.0</v>
      </c>
      <c r="B80" s="289">
        <v>45364.0</v>
      </c>
      <c r="C80" s="218"/>
      <c r="D80" s="272" t="s">
        <v>598</v>
      </c>
      <c r="E80" s="273" t="s">
        <v>597</v>
      </c>
      <c r="F80" s="221" t="s">
        <v>1682</v>
      </c>
      <c r="G80" s="321" t="s">
        <v>1683</v>
      </c>
      <c r="H80" s="274" t="s">
        <v>1684</v>
      </c>
      <c r="I80" s="253" t="s">
        <v>22</v>
      </c>
      <c r="J80" s="276" t="s">
        <v>1415</v>
      </c>
      <c r="K80" s="167" t="s">
        <v>1410</v>
      </c>
      <c r="L80" s="271" t="s">
        <v>487</v>
      </c>
      <c r="M80" s="204" t="s">
        <v>1418</v>
      </c>
      <c r="N80" s="278" t="s">
        <v>1468</v>
      </c>
      <c r="O80" s="317"/>
    </row>
    <row r="81" ht="22.5" customHeight="1">
      <c r="A81" s="316">
        <v>2024.0</v>
      </c>
      <c r="B81" s="289">
        <v>45364.0</v>
      </c>
      <c r="C81" s="218"/>
      <c r="D81" s="322"/>
      <c r="E81" s="323" t="s">
        <v>1163</v>
      </c>
      <c r="F81" s="221" t="s">
        <v>1685</v>
      </c>
      <c r="G81" s="317" t="s">
        <v>1686</v>
      </c>
      <c r="H81" s="274" t="s">
        <v>1687</v>
      </c>
      <c r="I81" s="253" t="s">
        <v>22</v>
      </c>
      <c r="J81" s="276" t="s">
        <v>1415</v>
      </c>
      <c r="K81" s="167" t="s">
        <v>1410</v>
      </c>
      <c r="L81" s="271" t="s">
        <v>487</v>
      </c>
      <c r="M81" s="204" t="s">
        <v>1418</v>
      </c>
      <c r="N81" s="228"/>
      <c r="O81" s="317"/>
    </row>
    <row r="82" ht="22.5" customHeight="1">
      <c r="A82" s="316">
        <v>2024.0</v>
      </c>
      <c r="B82" s="289">
        <v>45364.0</v>
      </c>
      <c r="C82" s="218"/>
      <c r="D82" s="265"/>
      <c r="E82" s="266" t="s">
        <v>582</v>
      </c>
      <c r="F82" s="221" t="s">
        <v>1688</v>
      </c>
      <c r="G82" s="317" t="s">
        <v>1689</v>
      </c>
      <c r="H82" s="274" t="s">
        <v>1690</v>
      </c>
      <c r="I82" s="253" t="s">
        <v>22</v>
      </c>
      <c r="J82" s="270" t="s">
        <v>1455</v>
      </c>
      <c r="K82" s="167" t="s">
        <v>1416</v>
      </c>
      <c r="L82" s="203" t="s">
        <v>1181</v>
      </c>
      <c r="M82" s="204" t="s">
        <v>1456</v>
      </c>
      <c r="N82" s="228"/>
      <c r="O82" s="321" t="s">
        <v>1691</v>
      </c>
    </row>
    <row r="83" ht="22.5" customHeight="1">
      <c r="A83" s="316">
        <v>2024.0</v>
      </c>
      <c r="B83" s="289">
        <v>45362.0</v>
      </c>
      <c r="C83" s="218"/>
      <c r="D83" s="189"/>
      <c r="E83" s="254" t="s">
        <v>599</v>
      </c>
      <c r="F83" s="221" t="s">
        <v>1692</v>
      </c>
      <c r="G83" s="317" t="s">
        <v>1693</v>
      </c>
      <c r="H83" s="274" t="s">
        <v>1694</v>
      </c>
      <c r="I83" s="253" t="s">
        <v>22</v>
      </c>
      <c r="J83" s="270" t="s">
        <v>1415</v>
      </c>
      <c r="K83" s="167" t="s">
        <v>1416</v>
      </c>
      <c r="L83" s="271" t="s">
        <v>26</v>
      </c>
      <c r="M83" s="204" t="s">
        <v>1456</v>
      </c>
      <c r="N83" s="278" t="s">
        <v>1567</v>
      </c>
      <c r="O83" s="317"/>
    </row>
    <row r="84" ht="22.5" customHeight="1">
      <c r="A84" s="316">
        <v>2024.0</v>
      </c>
      <c r="B84" s="250">
        <v>45378.0</v>
      </c>
      <c r="C84" s="250">
        <v>45393.0</v>
      </c>
      <c r="D84" s="189"/>
      <c r="E84" s="254" t="s">
        <v>603</v>
      </c>
      <c r="F84" s="221" t="s">
        <v>1695</v>
      </c>
      <c r="G84" s="172" t="s">
        <v>1696</v>
      </c>
      <c r="H84" s="324" t="s">
        <v>1697</v>
      </c>
      <c r="I84" s="253" t="s">
        <v>22</v>
      </c>
      <c r="J84" s="320" t="s">
        <v>1593</v>
      </c>
      <c r="K84" s="167" t="s">
        <v>1416</v>
      </c>
      <c r="L84" s="271" t="s">
        <v>26</v>
      </c>
      <c r="M84" s="204" t="s">
        <v>1456</v>
      </c>
      <c r="N84" s="228"/>
      <c r="O84" s="317"/>
    </row>
    <row r="85" ht="22.5" customHeight="1">
      <c r="A85" s="316">
        <v>2024.0</v>
      </c>
      <c r="B85" s="250">
        <v>45385.0</v>
      </c>
      <c r="C85" s="250">
        <v>45399.0</v>
      </c>
      <c r="D85" s="189" t="s">
        <v>1698</v>
      </c>
      <c r="E85" s="254" t="s">
        <v>608</v>
      </c>
      <c r="F85" s="221" t="s">
        <v>1699</v>
      </c>
      <c r="G85" s="172" t="s">
        <v>1700</v>
      </c>
      <c r="H85" s="295" t="s">
        <v>1701</v>
      </c>
      <c r="I85" s="253" t="s">
        <v>22</v>
      </c>
      <c r="J85" s="161" t="s">
        <v>1455</v>
      </c>
      <c r="K85" s="167" t="s">
        <v>1416</v>
      </c>
      <c r="L85" s="203" t="s">
        <v>26</v>
      </c>
      <c r="M85" s="204" t="s">
        <v>1456</v>
      </c>
      <c r="N85" s="278" t="s">
        <v>1179</v>
      </c>
      <c r="O85" s="319"/>
    </row>
    <row r="86" ht="22.5" customHeight="1">
      <c r="A86" s="316">
        <v>2024.0</v>
      </c>
      <c r="B86" s="250">
        <v>45385.0</v>
      </c>
      <c r="C86" s="250">
        <v>45399.0</v>
      </c>
      <c r="D86" s="189" t="s">
        <v>1702</v>
      </c>
      <c r="E86" s="254" t="s">
        <v>623</v>
      </c>
      <c r="F86" s="221" t="s">
        <v>1703</v>
      </c>
      <c r="G86" s="172" t="s">
        <v>1704</v>
      </c>
      <c r="H86" s="295" t="s">
        <v>1705</v>
      </c>
      <c r="I86" s="253" t="s">
        <v>22</v>
      </c>
      <c r="J86" s="161" t="s">
        <v>1455</v>
      </c>
      <c r="K86" s="167" t="s">
        <v>1416</v>
      </c>
      <c r="L86" s="203" t="s">
        <v>26</v>
      </c>
      <c r="M86" s="204" t="s">
        <v>1456</v>
      </c>
      <c r="N86" s="278" t="s">
        <v>1179</v>
      </c>
      <c r="O86" s="319"/>
    </row>
    <row r="87" ht="22.5" customHeight="1">
      <c r="A87" s="316">
        <v>2024.0</v>
      </c>
      <c r="B87" s="289">
        <v>45390.0</v>
      </c>
      <c r="C87" s="218"/>
      <c r="D87" s="325" t="s">
        <v>112</v>
      </c>
      <c r="E87" s="326" t="s">
        <v>378</v>
      </c>
      <c r="F87" s="221" t="s">
        <v>1706</v>
      </c>
      <c r="G87" s="327" t="s">
        <v>1707</v>
      </c>
      <c r="H87" s="328" t="s">
        <v>1708</v>
      </c>
      <c r="I87" s="253" t="s">
        <v>17</v>
      </c>
      <c r="J87" s="259" t="s">
        <v>1415</v>
      </c>
      <c r="K87" s="167" t="s">
        <v>1416</v>
      </c>
      <c r="L87" s="247" t="s">
        <v>1709</v>
      </c>
      <c r="M87" s="262" t="s">
        <v>1456</v>
      </c>
      <c r="N87" s="278" t="s">
        <v>1419</v>
      </c>
      <c r="O87" s="229"/>
    </row>
    <row r="88" ht="22.5" customHeight="1">
      <c r="A88" s="316">
        <v>2024.0</v>
      </c>
      <c r="B88" s="289">
        <v>45399.0</v>
      </c>
      <c r="C88" s="218"/>
      <c r="D88" s="265"/>
      <c r="E88" s="266" t="s">
        <v>638</v>
      </c>
      <c r="F88" s="221" t="s">
        <v>1710</v>
      </c>
      <c r="G88" s="317" t="s">
        <v>1711</v>
      </c>
      <c r="H88" s="329" t="s">
        <v>1712</v>
      </c>
      <c r="I88" s="253" t="s">
        <v>22</v>
      </c>
      <c r="J88" s="320" t="s">
        <v>1415</v>
      </c>
      <c r="K88" s="167" t="s">
        <v>1410</v>
      </c>
      <c r="L88" s="271" t="s">
        <v>26</v>
      </c>
      <c r="M88" s="262" t="s">
        <v>1418</v>
      </c>
      <c r="N88" s="278" t="s">
        <v>1419</v>
      </c>
      <c r="O88" s="229"/>
    </row>
    <row r="89" ht="22.5" customHeight="1">
      <c r="A89" s="316">
        <v>2024.0</v>
      </c>
      <c r="B89" s="250">
        <v>45414.0</v>
      </c>
      <c r="C89" s="250">
        <v>45469.0</v>
      </c>
      <c r="D89" s="330"/>
      <c r="E89" s="266" t="s">
        <v>651</v>
      </c>
      <c r="F89" s="221" t="s">
        <v>1713</v>
      </c>
      <c r="G89" s="317" t="s">
        <v>1714</v>
      </c>
      <c r="H89" s="329" t="s">
        <v>1715</v>
      </c>
      <c r="I89" s="253" t="s">
        <v>22</v>
      </c>
      <c r="J89" s="320" t="s">
        <v>1455</v>
      </c>
      <c r="K89" s="167" t="s">
        <v>1416</v>
      </c>
      <c r="L89" s="271"/>
      <c r="M89" s="262" t="s">
        <v>1456</v>
      </c>
      <c r="N89" s="228"/>
      <c r="O89" s="245" t="s">
        <v>1716</v>
      </c>
    </row>
    <row r="90" ht="22.5" customHeight="1">
      <c r="A90" s="316">
        <v>2024.0</v>
      </c>
      <c r="B90" s="248">
        <v>45415.0</v>
      </c>
      <c r="C90" s="218"/>
      <c r="D90" s="325" t="s">
        <v>1717</v>
      </c>
      <c r="E90" s="326" t="s">
        <v>657</v>
      </c>
      <c r="F90" s="221" t="s">
        <v>1718</v>
      </c>
      <c r="G90" s="327" t="s">
        <v>1719</v>
      </c>
      <c r="H90" s="328" t="s">
        <v>1720</v>
      </c>
      <c r="I90" s="253" t="s">
        <v>17</v>
      </c>
      <c r="J90" s="259" t="s">
        <v>1415</v>
      </c>
      <c r="K90" s="167" t="s">
        <v>1416</v>
      </c>
      <c r="L90" s="247" t="s">
        <v>1709</v>
      </c>
      <c r="M90" s="262" t="s">
        <v>1721</v>
      </c>
      <c r="N90" s="278" t="s">
        <v>1419</v>
      </c>
      <c r="O90" s="229"/>
    </row>
    <row r="91" ht="22.5" customHeight="1">
      <c r="A91" s="316">
        <v>2024.0</v>
      </c>
      <c r="B91" s="250">
        <v>45418.0</v>
      </c>
      <c r="C91" s="250">
        <v>45469.0</v>
      </c>
      <c r="D91" s="330"/>
      <c r="E91" s="266" t="s">
        <v>667</v>
      </c>
      <c r="F91" s="221" t="s">
        <v>1722</v>
      </c>
      <c r="G91" s="317" t="s">
        <v>1723</v>
      </c>
      <c r="H91" s="324" t="s">
        <v>1724</v>
      </c>
      <c r="I91" s="269" t="s">
        <v>22</v>
      </c>
      <c r="J91" s="320" t="s">
        <v>1455</v>
      </c>
      <c r="K91" s="167" t="s">
        <v>1416</v>
      </c>
      <c r="L91" s="271" t="s">
        <v>26</v>
      </c>
      <c r="M91" s="262" t="s">
        <v>1456</v>
      </c>
      <c r="N91" s="278" t="s">
        <v>1567</v>
      </c>
      <c r="O91" s="229"/>
    </row>
    <row r="92" ht="22.5" customHeight="1">
      <c r="A92" s="316">
        <v>2024.0</v>
      </c>
      <c r="B92" s="250">
        <v>45419.0</v>
      </c>
      <c r="C92" s="250">
        <v>45447.0</v>
      </c>
      <c r="D92" s="330"/>
      <c r="E92" s="266" t="s">
        <v>671</v>
      </c>
      <c r="F92" s="221" t="s">
        <v>1725</v>
      </c>
      <c r="G92" s="317" t="s">
        <v>1726</v>
      </c>
      <c r="H92" s="324" t="s">
        <v>1727</v>
      </c>
      <c r="I92" s="269" t="s">
        <v>22</v>
      </c>
      <c r="J92" s="320" t="s">
        <v>1455</v>
      </c>
      <c r="K92" s="167" t="s">
        <v>1416</v>
      </c>
      <c r="L92" s="271" t="s">
        <v>26</v>
      </c>
      <c r="M92" s="262" t="s">
        <v>1456</v>
      </c>
      <c r="N92" s="278" t="s">
        <v>1179</v>
      </c>
      <c r="O92" s="229"/>
    </row>
    <row r="93" ht="22.5" customHeight="1">
      <c r="A93" s="316">
        <v>2024.0</v>
      </c>
      <c r="B93" s="331">
        <v>45427.0</v>
      </c>
      <c r="C93" s="218"/>
      <c r="D93" s="332" t="s">
        <v>678</v>
      </c>
      <c r="E93" s="273" t="s">
        <v>674</v>
      </c>
      <c r="F93" s="221" t="s">
        <v>1728</v>
      </c>
      <c r="G93" s="317" t="s">
        <v>1729</v>
      </c>
      <c r="H93" s="324" t="s">
        <v>1730</v>
      </c>
      <c r="I93" s="275" t="s">
        <v>22</v>
      </c>
      <c r="J93" s="320" t="s">
        <v>1455</v>
      </c>
      <c r="K93" s="167" t="s">
        <v>1416</v>
      </c>
      <c r="L93" s="271" t="s">
        <v>1731</v>
      </c>
      <c r="M93" s="262" t="s">
        <v>1456</v>
      </c>
      <c r="N93" s="278" t="s">
        <v>1179</v>
      </c>
      <c r="O93" s="229"/>
    </row>
    <row r="94" ht="22.5" customHeight="1">
      <c r="A94" s="316">
        <v>2024.0</v>
      </c>
      <c r="B94" s="250">
        <v>45414.0</v>
      </c>
      <c r="C94" s="218"/>
      <c r="D94" s="189" t="s">
        <v>112</v>
      </c>
      <c r="E94" s="254" t="s">
        <v>681</v>
      </c>
      <c r="F94" s="221" t="s">
        <v>1732</v>
      </c>
      <c r="G94" s="317" t="s">
        <v>1733</v>
      </c>
      <c r="H94" s="324" t="s">
        <v>1734</v>
      </c>
      <c r="I94" s="269" t="s">
        <v>17</v>
      </c>
      <c r="J94" s="320" t="s">
        <v>1415</v>
      </c>
      <c r="K94" s="167" t="s">
        <v>1416</v>
      </c>
      <c r="L94" s="271" t="s">
        <v>1709</v>
      </c>
      <c r="M94" s="262" t="s">
        <v>1456</v>
      </c>
      <c r="N94" s="278" t="s">
        <v>1419</v>
      </c>
      <c r="O94" s="229"/>
    </row>
    <row r="95" ht="22.5" customHeight="1">
      <c r="A95" s="316">
        <v>2024.0</v>
      </c>
      <c r="B95" s="250">
        <v>45456.0</v>
      </c>
      <c r="C95" s="218"/>
      <c r="D95" s="330"/>
      <c r="E95" s="266" t="s">
        <v>684</v>
      </c>
      <c r="F95" s="221" t="s">
        <v>1735</v>
      </c>
      <c r="G95" s="317" t="s">
        <v>1736</v>
      </c>
      <c r="H95" s="324" t="s">
        <v>1737</v>
      </c>
      <c r="I95" s="275" t="s">
        <v>22</v>
      </c>
      <c r="J95" s="320" t="s">
        <v>1606</v>
      </c>
      <c r="K95" s="167" t="s">
        <v>1416</v>
      </c>
      <c r="L95" s="271" t="s">
        <v>26</v>
      </c>
      <c r="M95" s="262" t="s">
        <v>1456</v>
      </c>
      <c r="N95" s="278" t="s">
        <v>1419</v>
      </c>
      <c r="O95" s="229"/>
    </row>
    <row r="96" ht="22.5" customHeight="1">
      <c r="A96" s="316">
        <v>2024.0</v>
      </c>
      <c r="B96" s="250">
        <v>45483.0</v>
      </c>
      <c r="C96" s="218"/>
      <c r="D96" s="265"/>
      <c r="E96" s="273" t="s">
        <v>525</v>
      </c>
      <c r="F96" s="221" t="s">
        <v>1738</v>
      </c>
      <c r="G96" s="317" t="s">
        <v>1739</v>
      </c>
      <c r="H96" s="324" t="s">
        <v>1740</v>
      </c>
      <c r="I96" s="269" t="s">
        <v>22</v>
      </c>
      <c r="J96" s="320" t="s">
        <v>1593</v>
      </c>
      <c r="K96" s="167" t="s">
        <v>1416</v>
      </c>
      <c r="L96" s="271" t="s">
        <v>1741</v>
      </c>
      <c r="M96" s="262" t="s">
        <v>1456</v>
      </c>
      <c r="N96" s="278" t="s">
        <v>1179</v>
      </c>
      <c r="O96" s="229"/>
    </row>
    <row r="97" ht="22.5" customHeight="1">
      <c r="A97" s="316">
        <v>2024.0</v>
      </c>
      <c r="B97" s="250">
        <v>45491.0</v>
      </c>
      <c r="C97" s="218"/>
      <c r="D97" s="330"/>
      <c r="E97" s="266" t="s">
        <v>693</v>
      </c>
      <c r="F97" s="221" t="s">
        <v>1742</v>
      </c>
      <c r="G97" s="317" t="s">
        <v>1743</v>
      </c>
      <c r="H97" s="324" t="s">
        <v>1744</v>
      </c>
      <c r="I97" s="275" t="s">
        <v>22</v>
      </c>
      <c r="J97" s="320" t="s">
        <v>1415</v>
      </c>
      <c r="K97" s="167" t="s">
        <v>1416</v>
      </c>
      <c r="L97" s="271" t="s">
        <v>1432</v>
      </c>
      <c r="M97" s="262" t="s">
        <v>1456</v>
      </c>
      <c r="N97" s="278" t="s">
        <v>1179</v>
      </c>
      <c r="O97" s="229"/>
    </row>
    <row r="98" ht="22.5" customHeight="1">
      <c r="A98" s="316">
        <v>2024.0</v>
      </c>
      <c r="B98" s="250">
        <v>45518.0</v>
      </c>
      <c r="C98" s="218"/>
      <c r="D98" s="265"/>
      <c r="E98" s="266" t="s">
        <v>704</v>
      </c>
      <c r="F98" s="221" t="s">
        <v>1745</v>
      </c>
      <c r="G98" s="317" t="s">
        <v>1746</v>
      </c>
      <c r="H98" s="324" t="s">
        <v>1747</v>
      </c>
      <c r="I98" s="275" t="s">
        <v>22</v>
      </c>
      <c r="J98" s="320" t="s">
        <v>1455</v>
      </c>
      <c r="K98" s="167" t="s">
        <v>1416</v>
      </c>
      <c r="L98" s="271" t="s">
        <v>699</v>
      </c>
      <c r="M98" s="262" t="s">
        <v>1456</v>
      </c>
      <c r="N98" s="278" t="s">
        <v>155</v>
      </c>
      <c r="O98" s="229"/>
    </row>
    <row r="99" ht="22.5" customHeight="1">
      <c r="A99" s="316">
        <v>2024.0</v>
      </c>
      <c r="B99" s="250">
        <v>45531.0</v>
      </c>
      <c r="C99" s="218"/>
      <c r="D99" s="265"/>
      <c r="E99" s="266" t="s">
        <v>709</v>
      </c>
      <c r="F99" s="221" t="s">
        <v>1748</v>
      </c>
      <c r="G99" s="317" t="s">
        <v>1749</v>
      </c>
      <c r="H99" s="324" t="s">
        <v>1750</v>
      </c>
      <c r="I99" s="275" t="s">
        <v>22</v>
      </c>
      <c r="J99" s="320" t="s">
        <v>1455</v>
      </c>
      <c r="K99" s="167" t="s">
        <v>1416</v>
      </c>
      <c r="L99" s="203" t="s">
        <v>1751</v>
      </c>
      <c r="M99" s="262" t="s">
        <v>1456</v>
      </c>
      <c r="N99" s="278" t="s">
        <v>1179</v>
      </c>
      <c r="O99" s="229"/>
    </row>
    <row r="100" ht="22.5" customHeight="1">
      <c r="A100" s="316">
        <v>2024.0</v>
      </c>
      <c r="B100" s="291">
        <v>45539.0</v>
      </c>
      <c r="C100" s="218"/>
      <c r="D100" s="265"/>
      <c r="E100" s="266" t="s">
        <v>1752</v>
      </c>
      <c r="F100" s="221" t="s">
        <v>1753</v>
      </c>
      <c r="G100" s="317" t="s">
        <v>1754</v>
      </c>
      <c r="H100" s="324" t="s">
        <v>1755</v>
      </c>
      <c r="I100" s="269" t="s">
        <v>22</v>
      </c>
      <c r="J100" s="320" t="s">
        <v>1593</v>
      </c>
      <c r="K100" s="167" t="s">
        <v>1416</v>
      </c>
      <c r="L100" s="271" t="s">
        <v>1756</v>
      </c>
      <c r="M100" s="262" t="s">
        <v>1456</v>
      </c>
      <c r="N100" s="278" t="s">
        <v>1419</v>
      </c>
      <c r="O100" s="229"/>
    </row>
    <row r="101" ht="22.5" customHeight="1">
      <c r="A101" s="316">
        <v>2024.0</v>
      </c>
      <c r="B101" s="331">
        <v>45540.0</v>
      </c>
      <c r="C101" s="218"/>
      <c r="D101" s="265"/>
      <c r="E101" s="266" t="s">
        <v>717</v>
      </c>
      <c r="F101" s="221" t="s">
        <v>1757</v>
      </c>
      <c r="G101" s="317" t="s">
        <v>1758</v>
      </c>
      <c r="H101" s="324" t="s">
        <v>1759</v>
      </c>
      <c r="I101" s="275" t="s">
        <v>22</v>
      </c>
      <c r="J101" s="320" t="s">
        <v>1415</v>
      </c>
      <c r="K101" s="167" t="s">
        <v>1416</v>
      </c>
      <c r="L101" s="283" t="s">
        <v>26</v>
      </c>
      <c r="M101" s="262" t="s">
        <v>1418</v>
      </c>
      <c r="N101" s="278" t="s">
        <v>1468</v>
      </c>
      <c r="O101" s="229"/>
    </row>
    <row r="102" ht="22.5" customHeight="1">
      <c r="A102" s="316">
        <v>2024.0</v>
      </c>
      <c r="B102" s="291">
        <v>45545.0</v>
      </c>
      <c r="C102" s="218"/>
      <c r="D102" s="265"/>
      <c r="E102" s="266" t="s">
        <v>723</v>
      </c>
      <c r="F102" s="221" t="s">
        <v>1760</v>
      </c>
      <c r="G102" s="321" t="s">
        <v>1761</v>
      </c>
      <c r="H102" s="324" t="s">
        <v>1762</v>
      </c>
      <c r="I102" s="269" t="s">
        <v>17</v>
      </c>
      <c r="J102" s="320" t="s">
        <v>1415</v>
      </c>
      <c r="K102" s="167" t="s">
        <v>1416</v>
      </c>
      <c r="L102" s="271" t="s">
        <v>26</v>
      </c>
      <c r="M102" s="262" t="s">
        <v>1456</v>
      </c>
      <c r="N102" s="278" t="s">
        <v>155</v>
      </c>
      <c r="O102" s="229"/>
    </row>
    <row r="103" ht="22.5" customHeight="1">
      <c r="A103" s="316">
        <v>2024.0</v>
      </c>
      <c r="B103" s="250">
        <v>45545.0</v>
      </c>
      <c r="C103" s="218"/>
      <c r="D103" s="265"/>
      <c r="E103" s="266" t="s">
        <v>724</v>
      </c>
      <c r="F103" s="221" t="s">
        <v>1763</v>
      </c>
      <c r="G103" s="317" t="s">
        <v>1418</v>
      </c>
      <c r="H103" s="324" t="s">
        <v>1764</v>
      </c>
      <c r="I103" s="275" t="s">
        <v>22</v>
      </c>
      <c r="J103" s="320" t="s">
        <v>1415</v>
      </c>
      <c r="K103" s="167" t="s">
        <v>1416</v>
      </c>
      <c r="L103" s="283" t="s">
        <v>26</v>
      </c>
      <c r="M103" s="262" t="s">
        <v>1418</v>
      </c>
      <c r="N103" s="278" t="s">
        <v>1419</v>
      </c>
      <c r="O103" s="229"/>
    </row>
    <row r="104" ht="22.5" customHeight="1">
      <c r="A104" s="316">
        <v>2024.0</v>
      </c>
      <c r="B104" s="291">
        <v>45554.0</v>
      </c>
      <c r="C104" s="218"/>
      <c r="D104" s="265"/>
      <c r="E104" s="266" t="s">
        <v>112</v>
      </c>
      <c r="F104" s="221" t="s">
        <v>1765</v>
      </c>
      <c r="G104" s="317" t="s">
        <v>1766</v>
      </c>
      <c r="H104" s="324" t="s">
        <v>1767</v>
      </c>
      <c r="I104" s="269" t="s">
        <v>17</v>
      </c>
      <c r="J104" s="320" t="s">
        <v>1415</v>
      </c>
      <c r="K104" s="167" t="s">
        <v>1416</v>
      </c>
      <c r="L104" s="271" t="s">
        <v>1539</v>
      </c>
      <c r="M104" s="262" t="s">
        <v>1456</v>
      </c>
      <c r="N104" s="278" t="s">
        <v>1419</v>
      </c>
      <c r="O104" s="229"/>
    </row>
    <row r="105" ht="22.5" customHeight="1">
      <c r="A105" s="316">
        <v>2024.0</v>
      </c>
      <c r="B105" s="291">
        <v>45556.0</v>
      </c>
      <c r="C105" s="218"/>
      <c r="D105" s="272"/>
      <c r="E105" s="273" t="s">
        <v>1181</v>
      </c>
      <c r="F105" s="221" t="s">
        <v>1768</v>
      </c>
      <c r="G105" s="172" t="s">
        <v>1769</v>
      </c>
      <c r="H105" s="295" t="s">
        <v>1770</v>
      </c>
      <c r="I105" s="269" t="s">
        <v>17</v>
      </c>
      <c r="J105" s="320" t="s">
        <v>1415</v>
      </c>
      <c r="K105" s="167" t="s">
        <v>1416</v>
      </c>
      <c r="L105" s="271" t="s">
        <v>1409</v>
      </c>
      <c r="M105" s="262" t="s">
        <v>1456</v>
      </c>
      <c r="N105" s="228" t="s">
        <v>26</v>
      </c>
      <c r="O105" s="229"/>
    </row>
    <row r="106" ht="22.5" customHeight="1">
      <c r="A106" s="316">
        <v>2024.0</v>
      </c>
      <c r="B106" s="250">
        <v>45567.0</v>
      </c>
      <c r="C106" s="218"/>
      <c r="D106" s="265"/>
      <c r="E106" s="266" t="s">
        <v>1181</v>
      </c>
      <c r="F106" s="221" t="s">
        <v>1771</v>
      </c>
      <c r="G106" s="317" t="s">
        <v>1772</v>
      </c>
      <c r="H106" s="295" t="s">
        <v>1773</v>
      </c>
      <c r="I106" s="269" t="s">
        <v>17</v>
      </c>
      <c r="J106" s="270" t="s">
        <v>1415</v>
      </c>
      <c r="K106" s="167" t="s">
        <v>1410</v>
      </c>
      <c r="L106" s="271" t="s">
        <v>1409</v>
      </c>
      <c r="M106" s="262" t="s">
        <v>1456</v>
      </c>
      <c r="N106" s="228" t="s">
        <v>26</v>
      </c>
      <c r="O106" s="229"/>
    </row>
    <row r="107" ht="22.5" customHeight="1">
      <c r="A107" s="316">
        <v>2024.0</v>
      </c>
      <c r="B107" s="333">
        <v>45579.0</v>
      </c>
      <c r="C107" s="218"/>
      <c r="D107" s="189" t="s">
        <v>1774</v>
      </c>
      <c r="E107" s="254" t="s">
        <v>752</v>
      </c>
      <c r="F107" s="221" t="s">
        <v>1775</v>
      </c>
      <c r="G107" s="321" t="s">
        <v>1776</v>
      </c>
      <c r="H107" s="324" t="s">
        <v>1777</v>
      </c>
      <c r="I107" s="269" t="s">
        <v>17</v>
      </c>
      <c r="J107" s="161" t="s">
        <v>1415</v>
      </c>
      <c r="K107" s="334" t="s">
        <v>1416</v>
      </c>
      <c r="L107" s="271" t="s">
        <v>1539</v>
      </c>
      <c r="M107" s="262" t="s">
        <v>1456</v>
      </c>
      <c r="N107" s="228" t="s">
        <v>26</v>
      </c>
      <c r="O107" s="229"/>
    </row>
    <row r="108" ht="22.5" customHeight="1">
      <c r="A108" s="316">
        <v>2024.0</v>
      </c>
      <c r="B108" s="333">
        <v>45609.0</v>
      </c>
      <c r="C108" s="218"/>
      <c r="D108" s="265"/>
      <c r="E108" s="266" t="s">
        <v>795</v>
      </c>
      <c r="F108" s="221" t="s">
        <v>1778</v>
      </c>
      <c r="G108" s="169"/>
      <c r="H108" s="335" t="s">
        <v>1779</v>
      </c>
      <c r="I108" s="166" t="s">
        <v>17</v>
      </c>
      <c r="J108" s="161" t="s">
        <v>1415</v>
      </c>
      <c r="K108" s="334" t="s">
        <v>1416</v>
      </c>
      <c r="L108" s="271" t="s">
        <v>1602</v>
      </c>
      <c r="M108" s="262" t="s">
        <v>1456</v>
      </c>
      <c r="N108" s="278" t="s">
        <v>1567</v>
      </c>
      <c r="O108" s="229"/>
    </row>
    <row r="109" ht="22.5" customHeight="1">
      <c r="A109" s="316">
        <v>2024.0</v>
      </c>
      <c r="B109" s="248">
        <v>45610.0</v>
      </c>
      <c r="C109" s="218"/>
      <c r="D109" s="325"/>
      <c r="E109" s="326" t="s">
        <v>800</v>
      </c>
      <c r="F109" s="221" t="s">
        <v>1780</v>
      </c>
      <c r="G109" s="336"/>
      <c r="H109" s="328" t="s">
        <v>1781</v>
      </c>
      <c r="I109" s="253" t="s">
        <v>22</v>
      </c>
      <c r="J109" s="259" t="s">
        <v>1455</v>
      </c>
      <c r="K109" s="334" t="s">
        <v>1416</v>
      </c>
      <c r="L109" s="337"/>
      <c r="M109" s="262"/>
      <c r="N109" s="278" t="s">
        <v>1179</v>
      </c>
      <c r="O109" s="229"/>
    </row>
    <row r="110" ht="22.5" customHeight="1">
      <c r="A110" s="316">
        <v>2024.0</v>
      </c>
      <c r="B110" s="248">
        <v>45611.0</v>
      </c>
      <c r="C110" s="218"/>
      <c r="D110" s="272" t="s">
        <v>197</v>
      </c>
      <c r="E110" s="273" t="s">
        <v>729</v>
      </c>
      <c r="F110" s="221" t="s">
        <v>1782</v>
      </c>
      <c r="G110" s="327" t="s">
        <v>1783</v>
      </c>
      <c r="H110" s="329" t="s">
        <v>1784</v>
      </c>
      <c r="I110" s="253" t="s">
        <v>17</v>
      </c>
      <c r="J110" s="259" t="s">
        <v>1415</v>
      </c>
      <c r="K110" s="334" t="s">
        <v>1416</v>
      </c>
      <c r="L110" s="271" t="s">
        <v>1539</v>
      </c>
      <c r="M110" s="262" t="s">
        <v>1456</v>
      </c>
      <c r="N110" s="278" t="s">
        <v>1419</v>
      </c>
      <c r="O110" s="229"/>
    </row>
    <row r="111" ht="22.5" customHeight="1">
      <c r="A111" s="316">
        <v>2024.0</v>
      </c>
      <c r="B111" s="248">
        <v>45618.0</v>
      </c>
      <c r="C111" s="218"/>
      <c r="E111" s="326" t="s">
        <v>1122</v>
      </c>
      <c r="F111" s="221" t="s">
        <v>1785</v>
      </c>
      <c r="G111" s="327" t="s">
        <v>1786</v>
      </c>
      <c r="H111" s="328" t="s">
        <v>1787</v>
      </c>
      <c r="I111" s="253" t="s">
        <v>22</v>
      </c>
      <c r="J111" s="259" t="s">
        <v>1415</v>
      </c>
      <c r="K111" s="334" t="s">
        <v>1416</v>
      </c>
      <c r="L111" s="271" t="s">
        <v>1539</v>
      </c>
      <c r="M111" s="262" t="s">
        <v>1456</v>
      </c>
      <c r="N111" s="228" t="s">
        <v>26</v>
      </c>
      <c r="O111" s="229"/>
    </row>
    <row r="112" ht="22.5" customHeight="1">
      <c r="A112" s="316">
        <v>2024.0</v>
      </c>
      <c r="B112" s="248">
        <v>45623.0</v>
      </c>
      <c r="C112" s="218"/>
      <c r="D112" s="338"/>
      <c r="E112" s="326" t="s">
        <v>1125</v>
      </c>
      <c r="F112" s="221" t="s">
        <v>1788</v>
      </c>
      <c r="G112" s="327" t="s">
        <v>1789</v>
      </c>
      <c r="H112" s="328" t="s">
        <v>1790</v>
      </c>
      <c r="I112" s="253" t="s">
        <v>17</v>
      </c>
      <c r="J112" s="259" t="s">
        <v>1415</v>
      </c>
      <c r="K112" s="334" t="s">
        <v>1416</v>
      </c>
      <c r="L112" s="271" t="s">
        <v>1539</v>
      </c>
      <c r="M112" s="262" t="s">
        <v>1456</v>
      </c>
      <c r="N112" s="278" t="s">
        <v>1419</v>
      </c>
      <c r="O112" s="229"/>
    </row>
    <row r="113" ht="22.5" customHeight="1">
      <c r="A113" s="316">
        <v>2024.0</v>
      </c>
      <c r="B113" s="248">
        <v>45624.0</v>
      </c>
      <c r="C113" s="218"/>
      <c r="D113" s="338"/>
      <c r="E113" s="326" t="s">
        <v>1128</v>
      </c>
      <c r="F113" s="221" t="s">
        <v>1791</v>
      </c>
      <c r="G113" s="327" t="s">
        <v>1792</v>
      </c>
      <c r="H113" s="328" t="s">
        <v>1793</v>
      </c>
      <c r="I113" s="253" t="s">
        <v>17</v>
      </c>
      <c r="J113" s="259" t="s">
        <v>1415</v>
      </c>
      <c r="K113" s="334" t="s">
        <v>1416</v>
      </c>
      <c r="L113" s="247" t="s">
        <v>1794</v>
      </c>
      <c r="M113" s="262" t="s">
        <v>1472</v>
      </c>
      <c r="N113" s="278" t="s">
        <v>1419</v>
      </c>
      <c r="O113" s="229"/>
    </row>
    <row r="114" ht="22.5" customHeight="1">
      <c r="A114" s="316">
        <v>2024.0</v>
      </c>
      <c r="B114" s="248">
        <v>45630.0</v>
      </c>
      <c r="C114" s="218"/>
      <c r="D114" s="338"/>
      <c r="E114" s="326" t="s">
        <v>1132</v>
      </c>
      <c r="F114" s="221" t="s">
        <v>1795</v>
      </c>
      <c r="G114" s="327" t="s">
        <v>1796</v>
      </c>
      <c r="H114" s="328" t="s">
        <v>1797</v>
      </c>
      <c r="I114" s="253" t="s">
        <v>22</v>
      </c>
      <c r="J114" s="259" t="s">
        <v>1415</v>
      </c>
      <c r="K114" s="334" t="s">
        <v>1410</v>
      </c>
      <c r="L114" s="247" t="s">
        <v>26</v>
      </c>
      <c r="M114" s="262" t="s">
        <v>1456</v>
      </c>
      <c r="N114" s="278" t="s">
        <v>1419</v>
      </c>
      <c r="O114" s="229"/>
    </row>
    <row r="115" ht="22.5" customHeight="1">
      <c r="A115" s="316">
        <v>2024.0</v>
      </c>
      <c r="B115" s="248">
        <v>45638.0</v>
      </c>
      <c r="C115" s="218"/>
      <c r="D115" s="338"/>
      <c r="E115" s="326" t="s">
        <v>762</v>
      </c>
      <c r="F115" s="221" t="s">
        <v>1798</v>
      </c>
      <c r="G115" s="327" t="s">
        <v>1799</v>
      </c>
      <c r="H115" s="328" t="s">
        <v>1800</v>
      </c>
      <c r="I115" s="253" t="s">
        <v>17</v>
      </c>
      <c r="J115" s="259" t="s">
        <v>1455</v>
      </c>
      <c r="K115" s="334" t="s">
        <v>1416</v>
      </c>
      <c r="L115" s="247" t="s">
        <v>1666</v>
      </c>
      <c r="M115" s="262" t="s">
        <v>1456</v>
      </c>
      <c r="N115" s="278" t="s">
        <v>1419</v>
      </c>
      <c r="O115" s="229"/>
    </row>
    <row r="116" ht="22.5" customHeight="1">
      <c r="A116" s="339">
        <v>2025.0</v>
      </c>
      <c r="B116" s="248">
        <v>45664.0</v>
      </c>
      <c r="C116" s="218"/>
      <c r="D116" s="338"/>
      <c r="E116" s="326" t="s">
        <v>1176</v>
      </c>
      <c r="F116" s="221" t="s">
        <v>1801</v>
      </c>
      <c r="G116" s="327" t="s">
        <v>1802</v>
      </c>
      <c r="H116" s="328" t="s">
        <v>1803</v>
      </c>
      <c r="I116" s="253" t="s">
        <v>22</v>
      </c>
      <c r="J116" s="259" t="s">
        <v>1455</v>
      </c>
      <c r="K116" s="334" t="s">
        <v>1416</v>
      </c>
      <c r="L116" s="283" t="s">
        <v>26</v>
      </c>
      <c r="M116" s="262" t="s">
        <v>1456</v>
      </c>
      <c r="N116" s="278" t="s">
        <v>1179</v>
      </c>
      <c r="O116" s="229"/>
    </row>
    <row r="117" ht="22.5" customHeight="1">
      <c r="A117" s="339">
        <v>2025.0</v>
      </c>
      <c r="B117" s="248">
        <v>45666.0</v>
      </c>
      <c r="C117" s="218"/>
      <c r="D117" s="338"/>
      <c r="E117" s="326" t="s">
        <v>597</v>
      </c>
      <c r="F117" s="221" t="s">
        <v>1804</v>
      </c>
      <c r="G117" s="327" t="s">
        <v>1805</v>
      </c>
      <c r="H117" s="328" t="s">
        <v>1806</v>
      </c>
      <c r="I117" s="253" t="s">
        <v>17</v>
      </c>
      <c r="J117" s="259" t="s">
        <v>1415</v>
      </c>
      <c r="K117" s="334" t="s">
        <v>1416</v>
      </c>
      <c r="L117" s="247" t="s">
        <v>1602</v>
      </c>
      <c r="M117" s="262" t="s">
        <v>1456</v>
      </c>
      <c r="N117" s="278" t="s">
        <v>155</v>
      </c>
      <c r="O117" s="229"/>
    </row>
    <row r="118" ht="22.5" customHeight="1">
      <c r="A118" s="339">
        <v>2025.0</v>
      </c>
      <c r="B118" s="248">
        <v>45684.0</v>
      </c>
      <c r="C118" s="218"/>
      <c r="D118" s="338"/>
      <c r="E118" s="326" t="s">
        <v>1203</v>
      </c>
      <c r="F118" s="221" t="s">
        <v>1807</v>
      </c>
      <c r="G118" s="327" t="s">
        <v>1808</v>
      </c>
      <c r="H118" s="328" t="s">
        <v>1809</v>
      </c>
      <c r="I118" s="253" t="s">
        <v>17</v>
      </c>
      <c r="J118" s="259" t="s">
        <v>1415</v>
      </c>
      <c r="K118" s="334" t="s">
        <v>1410</v>
      </c>
      <c r="L118" s="283" t="s">
        <v>26</v>
      </c>
      <c r="M118" s="262" t="s">
        <v>1456</v>
      </c>
      <c r="N118" s="278" t="s">
        <v>1468</v>
      </c>
      <c r="O118" s="229"/>
    </row>
    <row r="119" ht="22.5" customHeight="1">
      <c r="A119" s="339">
        <v>2025.0</v>
      </c>
      <c r="B119" s="248">
        <v>45685.0</v>
      </c>
      <c r="C119" s="218"/>
      <c r="D119" s="338"/>
      <c r="E119" s="326" t="s">
        <v>841</v>
      </c>
      <c r="F119" s="221" t="s">
        <v>1810</v>
      </c>
      <c r="G119" s="327" t="s">
        <v>1811</v>
      </c>
      <c r="H119" s="328" t="s">
        <v>1812</v>
      </c>
      <c r="I119" s="253" t="s">
        <v>22</v>
      </c>
      <c r="J119" s="259" t="s">
        <v>1415</v>
      </c>
      <c r="K119" s="334" t="s">
        <v>1410</v>
      </c>
      <c r="L119" s="247" t="s">
        <v>26</v>
      </c>
      <c r="M119" s="262" t="s">
        <v>1456</v>
      </c>
      <c r="N119" s="228"/>
      <c r="O119" s="229"/>
    </row>
    <row r="120" ht="22.5" customHeight="1">
      <c r="A120" s="339">
        <v>2025.0</v>
      </c>
      <c r="B120" s="248">
        <v>45700.0</v>
      </c>
      <c r="C120" s="218"/>
      <c r="D120" s="338"/>
      <c r="E120" s="326" t="s">
        <v>1214</v>
      </c>
      <c r="F120" s="221" t="s">
        <v>1813</v>
      </c>
      <c r="G120" s="327" t="s">
        <v>1814</v>
      </c>
      <c r="H120" s="328" t="s">
        <v>1815</v>
      </c>
      <c r="I120" s="253" t="s">
        <v>22</v>
      </c>
      <c r="J120" s="259" t="s">
        <v>1415</v>
      </c>
      <c r="K120" s="334" t="s">
        <v>1410</v>
      </c>
      <c r="L120" s="247" t="s">
        <v>26</v>
      </c>
      <c r="M120" s="262" t="s">
        <v>1456</v>
      </c>
      <c r="N120" s="278" t="s">
        <v>1816</v>
      </c>
      <c r="O120" s="229"/>
    </row>
    <row r="121" ht="22.5" customHeight="1">
      <c r="A121" s="339">
        <v>2025.0</v>
      </c>
      <c r="B121" s="248">
        <v>45707.0</v>
      </c>
      <c r="C121" s="218"/>
      <c r="D121" s="338"/>
      <c r="E121" s="326" t="s">
        <v>1217</v>
      </c>
      <c r="F121" s="221" t="s">
        <v>1817</v>
      </c>
      <c r="G121" s="327" t="s">
        <v>1818</v>
      </c>
      <c r="H121" s="328" t="s">
        <v>1819</v>
      </c>
      <c r="I121" s="253" t="s">
        <v>17</v>
      </c>
      <c r="J121" s="259" t="s">
        <v>1415</v>
      </c>
      <c r="K121" s="334" t="s">
        <v>1416</v>
      </c>
      <c r="L121" s="247" t="s">
        <v>26</v>
      </c>
      <c r="M121" s="262" t="s">
        <v>1456</v>
      </c>
      <c r="N121" s="228"/>
      <c r="O121" s="229"/>
    </row>
    <row r="122" ht="22.5" customHeight="1">
      <c r="A122" s="339">
        <v>2025.0</v>
      </c>
      <c r="B122" s="248">
        <v>45708.0</v>
      </c>
      <c r="C122" s="218"/>
      <c r="D122" s="338"/>
      <c r="E122" s="326" t="s">
        <v>565</v>
      </c>
      <c r="F122" s="221" t="s">
        <v>1820</v>
      </c>
      <c r="G122" s="327" t="s">
        <v>1821</v>
      </c>
      <c r="H122" s="328" t="s">
        <v>1822</v>
      </c>
      <c r="I122" s="253" t="s">
        <v>17</v>
      </c>
      <c r="J122" s="259" t="s">
        <v>1415</v>
      </c>
      <c r="K122" s="334" t="s">
        <v>1416</v>
      </c>
      <c r="L122" s="247" t="s">
        <v>1602</v>
      </c>
      <c r="M122" s="262" t="s">
        <v>1456</v>
      </c>
      <c r="N122" s="278" t="s">
        <v>1179</v>
      </c>
      <c r="O122" s="229"/>
    </row>
    <row r="123" ht="22.5" customHeight="1">
      <c r="A123" s="339">
        <v>2025.0</v>
      </c>
      <c r="B123" s="248">
        <v>45712.0</v>
      </c>
      <c r="C123" s="218"/>
      <c r="D123" s="338"/>
      <c r="E123" s="326" t="s">
        <v>1220</v>
      </c>
      <c r="F123" s="221" t="s">
        <v>1823</v>
      </c>
      <c r="G123" s="327" t="s">
        <v>1824</v>
      </c>
      <c r="H123" s="328" t="s">
        <v>1825</v>
      </c>
      <c r="I123" s="253" t="s">
        <v>22</v>
      </c>
      <c r="J123" s="259" t="s">
        <v>1415</v>
      </c>
      <c r="K123" s="340" t="s">
        <v>1416</v>
      </c>
      <c r="L123" s="247" t="s">
        <v>1826</v>
      </c>
      <c r="M123" s="262" t="s">
        <v>1418</v>
      </c>
      <c r="N123" s="278" t="s">
        <v>263</v>
      </c>
      <c r="O123" s="229"/>
    </row>
    <row r="124" ht="22.5" customHeight="1">
      <c r="A124" s="339">
        <v>2025.0</v>
      </c>
      <c r="B124" s="248">
        <v>45741.0</v>
      </c>
      <c r="C124" s="218"/>
      <c r="D124" s="338"/>
      <c r="E124" s="326" t="s">
        <v>1125</v>
      </c>
      <c r="F124" s="221" t="s">
        <v>1827</v>
      </c>
      <c r="G124" s="336"/>
      <c r="H124" s="341"/>
      <c r="I124" s="253" t="s">
        <v>17</v>
      </c>
      <c r="J124" s="259" t="s">
        <v>1415</v>
      </c>
      <c r="K124" s="340" t="s">
        <v>1416</v>
      </c>
      <c r="L124" s="247" t="s">
        <v>1602</v>
      </c>
      <c r="M124" s="262" t="s">
        <v>1456</v>
      </c>
      <c r="N124" s="278" t="s">
        <v>1179</v>
      </c>
      <c r="O124" s="229"/>
    </row>
    <row r="125" ht="22.5" customHeight="1">
      <c r="A125" s="339">
        <v>2025.0</v>
      </c>
      <c r="B125" s="248">
        <v>45750.0</v>
      </c>
      <c r="C125" s="218"/>
      <c r="D125" s="325" t="s">
        <v>1278</v>
      </c>
      <c r="E125" s="326" t="s">
        <v>1268</v>
      </c>
      <c r="F125" s="221" t="s">
        <v>1828</v>
      </c>
      <c r="G125" s="327" t="s">
        <v>1829</v>
      </c>
      <c r="H125" s="328" t="s">
        <v>1830</v>
      </c>
      <c r="I125" s="253" t="s">
        <v>17</v>
      </c>
      <c r="J125" s="259" t="s">
        <v>1415</v>
      </c>
      <c r="K125" s="340" t="s">
        <v>1831</v>
      </c>
      <c r="L125" s="247" t="s">
        <v>1602</v>
      </c>
      <c r="M125" s="262" t="s">
        <v>1418</v>
      </c>
      <c r="N125" s="278" t="s">
        <v>1468</v>
      </c>
      <c r="O125" s="229"/>
    </row>
    <row r="126" ht="22.5" customHeight="1">
      <c r="A126" s="206">
        <v>2025.0</v>
      </c>
      <c r="B126" s="248">
        <v>45742.0</v>
      </c>
      <c r="C126" s="218"/>
      <c r="D126" s="338"/>
      <c r="E126" s="326" t="s">
        <v>1265</v>
      </c>
      <c r="F126" s="221" t="s">
        <v>1832</v>
      </c>
      <c r="G126" s="327" t="s">
        <v>1833</v>
      </c>
      <c r="H126" s="328" t="s">
        <v>1834</v>
      </c>
      <c r="I126" s="253" t="s">
        <v>17</v>
      </c>
      <c r="J126" s="259" t="s">
        <v>1455</v>
      </c>
      <c r="K126" s="340" t="s">
        <v>1416</v>
      </c>
      <c r="L126" s="247" t="s">
        <v>26</v>
      </c>
      <c r="M126" s="262" t="s">
        <v>1456</v>
      </c>
      <c r="N126" s="278" t="s">
        <v>155</v>
      </c>
      <c r="O126" s="229"/>
    </row>
    <row r="127" ht="22.5" customHeight="1">
      <c r="A127" s="206">
        <v>2025.0</v>
      </c>
      <c r="B127" s="248">
        <v>45769.0</v>
      </c>
      <c r="C127" s="218"/>
      <c r="D127" s="338"/>
      <c r="E127" s="326" t="s">
        <v>1281</v>
      </c>
      <c r="F127" s="221" t="s">
        <v>1835</v>
      </c>
      <c r="G127" s="327" t="s">
        <v>1836</v>
      </c>
      <c r="H127" s="328" t="s">
        <v>1837</v>
      </c>
      <c r="I127" s="253" t="s">
        <v>22</v>
      </c>
      <c r="J127" s="259" t="s">
        <v>1455</v>
      </c>
      <c r="K127" s="340" t="s">
        <v>1416</v>
      </c>
      <c r="L127" s="247" t="s">
        <v>26</v>
      </c>
      <c r="M127" s="262" t="s">
        <v>1456</v>
      </c>
      <c r="N127" s="278" t="s">
        <v>1816</v>
      </c>
      <c r="O127" s="229"/>
    </row>
    <row r="128" ht="22.5" customHeight="1">
      <c r="A128" s="206">
        <v>2025.0</v>
      </c>
      <c r="B128" s="248">
        <v>45770.0</v>
      </c>
      <c r="C128" s="218"/>
      <c r="D128" s="338"/>
      <c r="E128" s="326" t="s">
        <v>1285</v>
      </c>
      <c r="F128" s="221" t="s">
        <v>1838</v>
      </c>
      <c r="G128" s="327" t="s">
        <v>1839</v>
      </c>
      <c r="H128" s="328" t="s">
        <v>1840</v>
      </c>
      <c r="I128" s="253" t="s">
        <v>22</v>
      </c>
      <c r="J128" s="259" t="s">
        <v>1415</v>
      </c>
      <c r="K128" s="340" t="s">
        <v>1416</v>
      </c>
      <c r="L128" s="247" t="s">
        <v>26</v>
      </c>
      <c r="M128" s="262" t="s">
        <v>1456</v>
      </c>
      <c r="N128" s="278" t="s">
        <v>1567</v>
      </c>
      <c r="O128" s="229"/>
    </row>
    <row r="129" ht="22.5" customHeight="1">
      <c r="A129" s="206">
        <v>2025.0</v>
      </c>
      <c r="B129" s="248">
        <v>45771.0</v>
      </c>
      <c r="C129" s="218"/>
      <c r="D129" s="338"/>
      <c r="E129" s="326" t="s">
        <v>1289</v>
      </c>
      <c r="F129" s="221" t="s">
        <v>1841</v>
      </c>
      <c r="G129" s="327" t="s">
        <v>1842</v>
      </c>
      <c r="H129" s="328" t="s">
        <v>1843</v>
      </c>
      <c r="I129" s="253" t="s">
        <v>101</v>
      </c>
      <c r="J129" s="259" t="s">
        <v>1455</v>
      </c>
      <c r="K129" s="340" t="s">
        <v>1416</v>
      </c>
      <c r="L129" s="342"/>
      <c r="M129" s="262" t="s">
        <v>1456</v>
      </c>
      <c r="N129" s="228"/>
      <c r="O129" s="229"/>
    </row>
    <row r="130" ht="22.5" customHeight="1">
      <c r="A130" s="206">
        <v>2025.0</v>
      </c>
      <c r="B130" s="248">
        <v>45772.0</v>
      </c>
      <c r="C130" s="218"/>
      <c r="D130" s="338"/>
      <c r="E130" s="326" t="s">
        <v>1293</v>
      </c>
      <c r="F130" s="221" t="s">
        <v>1844</v>
      </c>
      <c r="G130" s="327" t="s">
        <v>1845</v>
      </c>
      <c r="H130" s="328" t="s">
        <v>1846</v>
      </c>
      <c r="I130" s="253" t="s">
        <v>17</v>
      </c>
      <c r="J130" s="259" t="s">
        <v>1415</v>
      </c>
      <c r="K130" s="340" t="s">
        <v>1416</v>
      </c>
      <c r="L130" s="247" t="s">
        <v>1602</v>
      </c>
      <c r="M130" s="262" t="s">
        <v>1418</v>
      </c>
      <c r="N130" s="278" t="s">
        <v>1468</v>
      </c>
      <c r="O130" s="229"/>
    </row>
    <row r="131" ht="22.5" customHeight="1">
      <c r="A131" s="206">
        <v>2025.0</v>
      </c>
      <c r="B131" s="248">
        <v>45796.0</v>
      </c>
      <c r="C131" s="218"/>
      <c r="D131" s="338"/>
      <c r="E131" s="326" t="s">
        <v>1296</v>
      </c>
      <c r="F131" s="221" t="s">
        <v>1847</v>
      </c>
      <c r="G131" s="327" t="s">
        <v>1848</v>
      </c>
      <c r="H131" s="328" t="s">
        <v>1849</v>
      </c>
      <c r="I131" s="253" t="s">
        <v>22</v>
      </c>
      <c r="J131" s="259" t="s">
        <v>1850</v>
      </c>
      <c r="K131" s="340" t="s">
        <v>1416</v>
      </c>
      <c r="L131" s="342"/>
      <c r="M131" s="262" t="s">
        <v>1456</v>
      </c>
      <c r="N131" s="278" t="s">
        <v>1179</v>
      </c>
      <c r="O131" s="229"/>
    </row>
    <row r="132" ht="22.5" customHeight="1">
      <c r="A132" s="206">
        <v>2025.0</v>
      </c>
      <c r="B132" s="248">
        <v>45797.0</v>
      </c>
      <c r="C132" s="218"/>
      <c r="D132" s="338"/>
      <c r="E132" s="326" t="s">
        <v>1300</v>
      </c>
      <c r="F132" s="221" t="s">
        <v>1851</v>
      </c>
      <c r="G132" s="327" t="s">
        <v>1852</v>
      </c>
      <c r="H132" s="328" t="s">
        <v>1853</v>
      </c>
      <c r="I132" s="253" t="s">
        <v>22</v>
      </c>
      <c r="J132" s="259" t="s">
        <v>1455</v>
      </c>
      <c r="K132" s="340" t="s">
        <v>1416</v>
      </c>
      <c r="L132" s="247" t="s">
        <v>1854</v>
      </c>
      <c r="M132" s="262" t="s">
        <v>1554</v>
      </c>
      <c r="N132" s="278" t="s">
        <v>1567</v>
      </c>
      <c r="O132" s="229"/>
    </row>
    <row r="133" ht="22.5" customHeight="1">
      <c r="A133" s="206">
        <v>2025.0</v>
      </c>
      <c r="B133" s="248">
        <v>45828.0</v>
      </c>
      <c r="C133" s="218"/>
      <c r="D133" s="338"/>
      <c r="E133" s="326" t="s">
        <v>1330</v>
      </c>
      <c r="F133" s="221" t="s">
        <v>1855</v>
      </c>
      <c r="G133" s="327" t="s">
        <v>1856</v>
      </c>
      <c r="H133" s="328" t="s">
        <v>1857</v>
      </c>
      <c r="I133" s="253" t="s">
        <v>17</v>
      </c>
      <c r="J133" s="259" t="s">
        <v>1455</v>
      </c>
      <c r="K133" s="340" t="s">
        <v>1410</v>
      </c>
      <c r="L133" s="247" t="s">
        <v>1409</v>
      </c>
      <c r="M133" s="262" t="s">
        <v>1456</v>
      </c>
      <c r="N133" s="278" t="s">
        <v>155</v>
      </c>
      <c r="O133" s="229"/>
    </row>
    <row r="134" ht="22.5" customHeight="1">
      <c r="A134" s="206">
        <v>2025.0</v>
      </c>
      <c r="B134" s="248">
        <v>45831.0</v>
      </c>
      <c r="C134" s="218"/>
      <c r="D134" s="338"/>
      <c r="E134" s="326" t="s">
        <v>284</v>
      </c>
      <c r="F134" s="221" t="s">
        <v>1858</v>
      </c>
      <c r="G134" s="327" t="s">
        <v>1859</v>
      </c>
      <c r="H134" s="328" t="s">
        <v>1860</v>
      </c>
      <c r="I134" s="253" t="s">
        <v>17</v>
      </c>
      <c r="J134" s="259" t="s">
        <v>1415</v>
      </c>
      <c r="K134" s="340" t="s">
        <v>1416</v>
      </c>
      <c r="L134" s="247" t="s">
        <v>1432</v>
      </c>
      <c r="M134" s="262" t="s">
        <v>1456</v>
      </c>
      <c r="N134" s="278" t="s">
        <v>1816</v>
      </c>
      <c r="O134" s="229"/>
    </row>
    <row r="135" ht="22.5" customHeight="1">
      <c r="A135" s="206">
        <v>2025.0</v>
      </c>
      <c r="B135" s="248">
        <v>45831.0</v>
      </c>
      <c r="C135" s="218"/>
      <c r="D135" s="338"/>
      <c r="E135" s="326" t="s">
        <v>568</v>
      </c>
      <c r="F135" s="221" t="s">
        <v>1861</v>
      </c>
      <c r="G135" s="327" t="s">
        <v>1862</v>
      </c>
      <c r="H135" s="328" t="s">
        <v>1863</v>
      </c>
      <c r="I135" s="253" t="s">
        <v>17</v>
      </c>
      <c r="J135" s="259" t="s">
        <v>1415</v>
      </c>
      <c r="K135" s="340" t="s">
        <v>1416</v>
      </c>
      <c r="L135" s="247" t="s">
        <v>1432</v>
      </c>
      <c r="M135" s="262" t="s">
        <v>1456</v>
      </c>
      <c r="N135" s="278" t="s">
        <v>1816</v>
      </c>
      <c r="O135" s="229"/>
    </row>
    <row r="136" ht="22.5" customHeight="1">
      <c r="A136" s="206">
        <v>2025.0</v>
      </c>
      <c r="B136" s="248">
        <v>45846.0</v>
      </c>
      <c r="C136" s="218"/>
      <c r="D136" s="338"/>
      <c r="E136" s="326" t="s">
        <v>1321</v>
      </c>
      <c r="F136" s="221" t="s">
        <v>1864</v>
      </c>
      <c r="G136" s="327" t="s">
        <v>1865</v>
      </c>
      <c r="H136" s="328" t="s">
        <v>1866</v>
      </c>
      <c r="I136" s="253" t="s">
        <v>17</v>
      </c>
      <c r="J136" s="259" t="s">
        <v>1415</v>
      </c>
      <c r="K136" s="340" t="s">
        <v>1410</v>
      </c>
      <c r="L136" s="247" t="s">
        <v>1409</v>
      </c>
      <c r="M136" s="262" t="s">
        <v>1456</v>
      </c>
      <c r="N136" s="228"/>
      <c r="O136" s="229"/>
    </row>
    <row r="137" ht="22.5" customHeight="1">
      <c r="A137" s="206">
        <v>2025.0</v>
      </c>
      <c r="B137" s="248">
        <v>45852.0</v>
      </c>
      <c r="C137" s="218"/>
      <c r="D137" s="338"/>
      <c r="E137" s="326" t="s">
        <v>1326</v>
      </c>
      <c r="F137" s="221" t="s">
        <v>1867</v>
      </c>
      <c r="G137" s="327" t="s">
        <v>1868</v>
      </c>
      <c r="H137" s="328" t="s">
        <v>1869</v>
      </c>
      <c r="I137" s="253" t="s">
        <v>17</v>
      </c>
      <c r="J137" s="259" t="s">
        <v>26</v>
      </c>
      <c r="K137" s="340" t="s">
        <v>1410</v>
      </c>
      <c r="L137" s="247" t="s">
        <v>1409</v>
      </c>
      <c r="M137" s="262" t="s">
        <v>1456</v>
      </c>
      <c r="N137" s="278" t="s">
        <v>1419</v>
      </c>
      <c r="O137" s="229"/>
    </row>
    <row r="138" ht="22.5" customHeight="1">
      <c r="A138" s="206">
        <v>2025.0</v>
      </c>
      <c r="B138" s="248">
        <v>45867.0</v>
      </c>
      <c r="C138" s="218"/>
      <c r="D138" s="325" t="s">
        <v>1870</v>
      </c>
      <c r="E138" s="326" t="s">
        <v>1336</v>
      </c>
      <c r="F138" s="221" t="s">
        <v>1871</v>
      </c>
      <c r="G138" s="327" t="s">
        <v>1872</v>
      </c>
      <c r="H138" s="328" t="s">
        <v>1873</v>
      </c>
      <c r="I138" s="253" t="s">
        <v>17</v>
      </c>
      <c r="J138" s="259" t="s">
        <v>1593</v>
      </c>
      <c r="K138" s="340" t="s">
        <v>1416</v>
      </c>
      <c r="L138" s="247" t="s">
        <v>1751</v>
      </c>
      <c r="M138" s="262" t="s">
        <v>1554</v>
      </c>
      <c r="N138" s="278" t="s">
        <v>1468</v>
      </c>
      <c r="O138" s="229"/>
    </row>
    <row r="139" ht="22.5" customHeight="1">
      <c r="A139" s="206">
        <v>2025.0</v>
      </c>
      <c r="B139" s="248">
        <v>45904.0</v>
      </c>
      <c r="C139" s="218"/>
      <c r="D139" s="338"/>
      <c r="E139" s="326" t="s">
        <v>1348</v>
      </c>
      <c r="F139" s="221" t="s">
        <v>1874</v>
      </c>
      <c r="G139" s="327" t="s">
        <v>1875</v>
      </c>
      <c r="H139" s="328" t="s">
        <v>1876</v>
      </c>
      <c r="I139" s="253" t="s">
        <v>17</v>
      </c>
      <c r="J139" s="259" t="s">
        <v>1606</v>
      </c>
      <c r="K139" s="340" t="s">
        <v>1416</v>
      </c>
      <c r="L139" s="247" t="s">
        <v>1877</v>
      </c>
      <c r="M139" s="262" t="s">
        <v>1456</v>
      </c>
      <c r="N139" s="278" t="s">
        <v>1816</v>
      </c>
      <c r="O139" s="229"/>
    </row>
    <row r="140" ht="22.5" customHeight="1">
      <c r="A140" s="206">
        <v>2025.0</v>
      </c>
      <c r="B140" s="248">
        <v>45909.0</v>
      </c>
      <c r="C140" s="218"/>
      <c r="D140" s="338"/>
      <c r="E140" s="326" t="s">
        <v>1362</v>
      </c>
      <c r="F140" s="221" t="s">
        <v>1878</v>
      </c>
      <c r="G140" s="327" t="s">
        <v>1879</v>
      </c>
      <c r="H140" s="328" t="s">
        <v>1880</v>
      </c>
      <c r="I140" s="253" t="s">
        <v>17</v>
      </c>
      <c r="J140" s="259" t="s">
        <v>1455</v>
      </c>
      <c r="K140" s="340" t="s">
        <v>1416</v>
      </c>
      <c r="L140" s="247" t="s">
        <v>26</v>
      </c>
      <c r="M140" s="262" t="s">
        <v>1554</v>
      </c>
      <c r="N140" s="278" t="s">
        <v>1881</v>
      </c>
      <c r="O140" s="229"/>
    </row>
    <row r="141" ht="22.5" customHeight="1">
      <c r="A141" s="206">
        <v>2025.0</v>
      </c>
      <c r="B141" s="248">
        <v>45910.0</v>
      </c>
      <c r="C141" s="218"/>
      <c r="D141" s="338"/>
      <c r="E141" s="326" t="s">
        <v>1245</v>
      </c>
      <c r="F141" s="221" t="s">
        <v>1882</v>
      </c>
      <c r="G141" s="327" t="s">
        <v>1883</v>
      </c>
      <c r="H141" s="328" t="s">
        <v>1884</v>
      </c>
      <c r="I141" s="253" t="s">
        <v>17</v>
      </c>
      <c r="J141" s="259" t="s">
        <v>1455</v>
      </c>
      <c r="K141" s="340" t="s">
        <v>1416</v>
      </c>
      <c r="L141" s="247" t="s">
        <v>26</v>
      </c>
      <c r="M141" s="262" t="s">
        <v>1456</v>
      </c>
      <c r="N141" s="228"/>
      <c r="O141" s="229"/>
    </row>
    <row r="142" ht="22.5" customHeight="1">
      <c r="A142" s="206">
        <v>2025.0</v>
      </c>
      <c r="B142" s="248">
        <v>45929.0</v>
      </c>
      <c r="C142" s="218"/>
      <c r="D142" s="338"/>
      <c r="E142" s="326" t="s">
        <v>1338</v>
      </c>
      <c r="F142" s="221" t="s">
        <v>1885</v>
      </c>
      <c r="G142" s="327" t="s">
        <v>1886</v>
      </c>
      <c r="H142" s="328" t="s">
        <v>1340</v>
      </c>
      <c r="I142" s="253" t="s">
        <v>17</v>
      </c>
      <c r="J142" s="259" t="s">
        <v>1455</v>
      </c>
      <c r="K142" s="340" t="s">
        <v>1410</v>
      </c>
      <c r="L142" s="247" t="s">
        <v>1409</v>
      </c>
      <c r="M142" s="262" t="s">
        <v>1554</v>
      </c>
      <c r="N142" s="228"/>
      <c r="O142" s="229"/>
    </row>
    <row r="143" ht="22.5" customHeight="1">
      <c r="A143" s="206">
        <v>2025.0</v>
      </c>
      <c r="B143" s="248">
        <v>45929.0</v>
      </c>
      <c r="C143" s="218"/>
      <c r="D143" s="338"/>
      <c r="E143" s="326" t="s">
        <v>474</v>
      </c>
      <c r="F143" s="221" t="s">
        <v>1887</v>
      </c>
      <c r="G143" s="327" t="s">
        <v>1888</v>
      </c>
      <c r="H143" s="328" t="s">
        <v>1889</v>
      </c>
      <c r="I143" s="253" t="s">
        <v>17</v>
      </c>
      <c r="J143" s="259" t="s">
        <v>1415</v>
      </c>
      <c r="K143" s="340" t="s">
        <v>1416</v>
      </c>
      <c r="L143" s="247">
        <v>0.0</v>
      </c>
      <c r="M143" s="262"/>
      <c r="N143" s="228"/>
      <c r="O143" s="229"/>
    </row>
    <row r="144" ht="22.5" customHeight="1">
      <c r="A144" s="206">
        <v>2025.0</v>
      </c>
      <c r="B144" s="248">
        <v>45951.0</v>
      </c>
      <c r="C144" s="218"/>
      <c r="D144" s="338"/>
      <c r="E144" s="326" t="s">
        <v>1382</v>
      </c>
      <c r="F144" s="221" t="s">
        <v>1890</v>
      </c>
      <c r="G144" s="327" t="s">
        <v>1891</v>
      </c>
      <c r="H144" s="328" t="s">
        <v>1892</v>
      </c>
      <c r="I144" s="253" t="s">
        <v>17</v>
      </c>
      <c r="J144" s="259" t="s">
        <v>1415</v>
      </c>
      <c r="K144" s="340" t="s">
        <v>1416</v>
      </c>
      <c r="L144" s="247" t="s">
        <v>26</v>
      </c>
      <c r="M144" s="262" t="s">
        <v>1418</v>
      </c>
      <c r="N144" s="228"/>
      <c r="O144" s="229"/>
    </row>
    <row r="145" ht="22.5" customHeight="1">
      <c r="A145" s="206">
        <v>2025.0</v>
      </c>
      <c r="B145" s="248">
        <v>45958.0</v>
      </c>
      <c r="C145" s="218"/>
      <c r="D145" s="338"/>
      <c r="E145" s="326" t="s">
        <v>1379</v>
      </c>
      <c r="F145" s="221" t="s">
        <v>1893</v>
      </c>
      <c r="G145" s="327" t="s">
        <v>1894</v>
      </c>
      <c r="H145" s="328" t="s">
        <v>1895</v>
      </c>
      <c r="I145" s="253" t="s">
        <v>17</v>
      </c>
      <c r="J145" s="259" t="s">
        <v>1415</v>
      </c>
      <c r="K145" s="340" t="s">
        <v>1416</v>
      </c>
      <c r="L145" s="247" t="s">
        <v>1432</v>
      </c>
      <c r="M145" s="262" t="s">
        <v>1554</v>
      </c>
      <c r="N145" s="228"/>
      <c r="O145" s="229"/>
    </row>
    <row r="146" ht="22.5" customHeight="1">
      <c r="A146" s="206">
        <v>2025.0</v>
      </c>
      <c r="B146" s="248">
        <v>45960.0</v>
      </c>
      <c r="C146" s="218"/>
      <c r="D146" s="338"/>
      <c r="E146" s="326" t="s">
        <v>769</v>
      </c>
      <c r="F146" s="221" t="s">
        <v>1896</v>
      </c>
      <c r="G146" s="336"/>
      <c r="H146" s="328" t="s">
        <v>1897</v>
      </c>
      <c r="I146" s="253" t="s">
        <v>17</v>
      </c>
      <c r="J146" s="343"/>
      <c r="K146" s="340" t="s">
        <v>1416</v>
      </c>
      <c r="L146" s="247" t="s">
        <v>1432</v>
      </c>
      <c r="M146" s="262" t="s">
        <v>1456</v>
      </c>
      <c r="N146" s="278" t="s">
        <v>1898</v>
      </c>
      <c r="O146" s="229"/>
    </row>
    <row r="147" ht="22.5" customHeight="1">
      <c r="A147" s="206">
        <v>2025.0</v>
      </c>
      <c r="B147" s="248">
        <v>45973.0</v>
      </c>
      <c r="C147" s="218"/>
      <c r="D147" s="338"/>
      <c r="E147" s="326" t="s">
        <v>1390</v>
      </c>
      <c r="F147" s="221" t="s">
        <v>1899</v>
      </c>
      <c r="G147" s="327" t="s">
        <v>1900</v>
      </c>
      <c r="H147" s="328" t="s">
        <v>1901</v>
      </c>
      <c r="I147" s="253" t="s">
        <v>1902</v>
      </c>
      <c r="J147" s="259" t="s">
        <v>1455</v>
      </c>
      <c r="K147" s="340" t="s">
        <v>1416</v>
      </c>
      <c r="L147" s="247" t="s">
        <v>1903</v>
      </c>
      <c r="M147" s="262" t="s">
        <v>1456</v>
      </c>
      <c r="N147" s="278" t="s">
        <v>1881</v>
      </c>
      <c r="O147" s="229"/>
    </row>
    <row r="148" ht="22.5" customHeight="1">
      <c r="A148" s="206">
        <v>2025.0</v>
      </c>
      <c r="B148" s="248">
        <v>45985.0</v>
      </c>
      <c r="C148" s="218"/>
      <c r="D148" s="338"/>
      <c r="E148" s="326" t="s">
        <v>1394</v>
      </c>
      <c r="F148" s="221" t="s">
        <v>1904</v>
      </c>
      <c r="G148" s="327" t="s">
        <v>1905</v>
      </c>
      <c r="H148" s="328" t="s">
        <v>1906</v>
      </c>
      <c r="I148" s="253" t="s">
        <v>1902</v>
      </c>
      <c r="J148" s="259" t="s">
        <v>1455</v>
      </c>
      <c r="K148" s="340" t="s">
        <v>1416</v>
      </c>
      <c r="L148" s="247" t="s">
        <v>26</v>
      </c>
      <c r="M148" s="262" t="s">
        <v>1554</v>
      </c>
      <c r="N148" s="228"/>
      <c r="O148" s="229"/>
    </row>
    <row r="149" ht="22.5" customHeight="1">
      <c r="A149" s="206">
        <v>2025.0</v>
      </c>
      <c r="B149" s="248"/>
      <c r="C149" s="218"/>
      <c r="D149" s="338"/>
      <c r="E149" s="326"/>
      <c r="F149" s="344"/>
      <c r="G149" s="336"/>
      <c r="H149" s="341"/>
      <c r="I149" s="240"/>
      <c r="J149" s="343"/>
      <c r="K149" s="261"/>
      <c r="L149" s="342"/>
      <c r="M149" s="262"/>
      <c r="N149" s="228"/>
      <c r="O149" s="229"/>
    </row>
    <row r="150" ht="22.5" customHeight="1">
      <c r="A150" s="206">
        <v>2025.0</v>
      </c>
      <c r="B150" s="218"/>
      <c r="C150" s="218"/>
      <c r="D150" s="338"/>
      <c r="E150" s="345"/>
      <c r="F150" s="344"/>
      <c r="G150" s="336"/>
      <c r="H150" s="341"/>
      <c r="I150" s="240"/>
      <c r="J150" s="343"/>
      <c r="K150" s="261"/>
      <c r="L150" s="342"/>
      <c r="M150" s="262"/>
      <c r="N150" s="228"/>
      <c r="O150" s="229"/>
    </row>
    <row r="151" ht="22.5" customHeight="1">
      <c r="A151" s="346"/>
      <c r="B151" s="218"/>
      <c r="C151" s="218"/>
      <c r="D151" s="338"/>
      <c r="E151" s="345"/>
      <c r="F151" s="344"/>
      <c r="G151" s="336"/>
      <c r="H151" s="341"/>
      <c r="I151" s="240"/>
      <c r="J151" s="343"/>
      <c r="K151" s="261"/>
      <c r="L151" s="342"/>
      <c r="M151" s="262"/>
      <c r="N151" s="228"/>
      <c r="O151" s="229"/>
    </row>
    <row r="152" ht="22.5" customHeight="1">
      <c r="A152" s="346"/>
      <c r="B152" s="218"/>
      <c r="C152" s="218"/>
      <c r="D152" s="338"/>
      <c r="E152" s="345"/>
      <c r="F152" s="344"/>
      <c r="G152" s="336"/>
      <c r="H152" s="341"/>
      <c r="I152" s="240"/>
      <c r="J152" s="343"/>
      <c r="K152" s="261"/>
      <c r="L152" s="342"/>
      <c r="M152" s="262"/>
      <c r="N152" s="228"/>
      <c r="O152" s="229"/>
    </row>
    <row r="153" ht="22.5" customHeight="1">
      <c r="A153" s="346"/>
      <c r="B153" s="218"/>
      <c r="C153" s="218"/>
      <c r="D153" s="338"/>
      <c r="E153" s="345"/>
      <c r="F153" s="344"/>
      <c r="G153" s="336"/>
      <c r="H153" s="341"/>
      <c r="I153" s="240"/>
      <c r="J153" s="343"/>
      <c r="K153" s="261"/>
      <c r="L153" s="342"/>
      <c r="M153" s="262"/>
      <c r="N153" s="228"/>
      <c r="O153" s="229"/>
    </row>
    <row r="154" ht="22.5" customHeight="1">
      <c r="A154" s="346"/>
      <c r="B154" s="218"/>
      <c r="C154" s="218"/>
      <c r="D154" s="338"/>
      <c r="E154" s="345"/>
      <c r="F154" s="344"/>
      <c r="G154" s="336"/>
      <c r="H154" s="341"/>
      <c r="I154" s="240"/>
      <c r="J154" s="343"/>
      <c r="K154" s="261"/>
      <c r="L154" s="342"/>
      <c r="M154" s="262"/>
      <c r="N154" s="228"/>
      <c r="O154" s="229"/>
    </row>
    <row r="155" ht="22.5" customHeight="1">
      <c r="A155" s="346"/>
      <c r="B155" s="218"/>
      <c r="C155" s="218"/>
      <c r="D155" s="338"/>
      <c r="E155" s="345"/>
      <c r="F155" s="344"/>
      <c r="G155" s="336"/>
      <c r="H155" s="341"/>
      <c r="I155" s="240"/>
      <c r="J155" s="343"/>
      <c r="K155" s="261"/>
      <c r="L155" s="342"/>
      <c r="M155" s="262"/>
      <c r="N155" s="228"/>
      <c r="O155" s="229"/>
    </row>
    <row r="156" ht="22.5" customHeight="1">
      <c r="A156" s="346"/>
      <c r="B156" s="218"/>
      <c r="C156" s="218"/>
      <c r="D156" s="338"/>
      <c r="E156" s="345"/>
      <c r="F156" s="344"/>
      <c r="G156" s="336"/>
      <c r="H156" s="341"/>
      <c r="I156" s="240"/>
      <c r="J156" s="343"/>
      <c r="K156" s="261"/>
      <c r="L156" s="342"/>
      <c r="M156" s="262"/>
      <c r="N156" s="228"/>
      <c r="O156" s="229"/>
    </row>
    <row r="157" ht="22.5" customHeight="1">
      <c r="A157" s="346"/>
      <c r="B157" s="218"/>
      <c r="C157" s="218"/>
      <c r="D157" s="338"/>
      <c r="E157" s="345"/>
      <c r="F157" s="344"/>
      <c r="G157" s="336"/>
      <c r="H157" s="341"/>
      <c r="I157" s="240"/>
      <c r="J157" s="343"/>
      <c r="K157" s="261"/>
      <c r="L157" s="342"/>
      <c r="M157" s="262"/>
      <c r="N157" s="228"/>
      <c r="O157" s="229"/>
    </row>
    <row r="158" ht="22.5" customHeight="1">
      <c r="A158" s="346"/>
      <c r="B158" s="218"/>
      <c r="C158" s="218"/>
      <c r="D158" s="338"/>
      <c r="E158" s="345"/>
      <c r="F158" s="344"/>
      <c r="G158" s="336"/>
      <c r="H158" s="341"/>
      <c r="I158" s="240"/>
      <c r="J158" s="343"/>
      <c r="K158" s="261"/>
      <c r="L158" s="342"/>
      <c r="M158" s="262"/>
      <c r="N158" s="228"/>
      <c r="O158" s="229"/>
    </row>
    <row r="159" ht="22.5" customHeight="1">
      <c r="A159" s="346"/>
      <c r="B159" s="218"/>
      <c r="C159" s="218"/>
      <c r="D159" s="338"/>
      <c r="E159" s="345"/>
      <c r="F159" s="344"/>
      <c r="G159" s="336"/>
      <c r="H159" s="341"/>
      <c r="I159" s="240"/>
      <c r="J159" s="343"/>
      <c r="K159" s="261"/>
      <c r="L159" s="342"/>
      <c r="M159" s="262"/>
      <c r="N159" s="228"/>
      <c r="O159" s="229"/>
    </row>
    <row r="160" ht="22.5" customHeight="1">
      <c r="A160" s="346"/>
      <c r="B160" s="218"/>
      <c r="C160" s="218"/>
      <c r="D160" s="338"/>
      <c r="E160" s="345"/>
      <c r="F160" s="344"/>
      <c r="G160" s="336"/>
      <c r="H160" s="341"/>
      <c r="I160" s="240"/>
      <c r="J160" s="343"/>
      <c r="K160" s="261"/>
      <c r="L160" s="342"/>
      <c r="M160" s="262"/>
      <c r="N160" s="228"/>
      <c r="O160" s="229"/>
    </row>
    <row r="161" ht="22.5" customHeight="1">
      <c r="A161" s="346"/>
      <c r="B161" s="218"/>
      <c r="C161" s="218"/>
      <c r="D161" s="338"/>
      <c r="E161" s="345"/>
      <c r="F161" s="344"/>
      <c r="G161" s="336"/>
      <c r="H161" s="341"/>
      <c r="I161" s="240"/>
      <c r="J161" s="343"/>
      <c r="K161" s="261"/>
      <c r="L161" s="342"/>
      <c r="M161" s="262"/>
      <c r="N161" s="228"/>
      <c r="O161" s="229"/>
    </row>
    <row r="162" ht="22.5" customHeight="1">
      <c r="A162" s="346"/>
      <c r="B162" s="218"/>
      <c r="C162" s="218"/>
      <c r="D162" s="338"/>
      <c r="E162" s="345"/>
      <c r="F162" s="344"/>
      <c r="G162" s="336"/>
      <c r="H162" s="341"/>
      <c r="I162" s="240"/>
      <c r="J162" s="343"/>
      <c r="K162" s="261"/>
      <c r="L162" s="342"/>
      <c r="M162" s="262"/>
      <c r="N162" s="228"/>
      <c r="O162" s="229"/>
    </row>
    <row r="163" ht="22.5" customHeight="1">
      <c r="A163" s="346"/>
      <c r="B163" s="218"/>
      <c r="C163" s="218"/>
      <c r="D163" s="338"/>
      <c r="E163" s="345"/>
      <c r="F163" s="344"/>
      <c r="G163" s="336"/>
      <c r="H163" s="341"/>
      <c r="I163" s="240"/>
      <c r="J163" s="343"/>
      <c r="K163" s="261"/>
      <c r="L163" s="342"/>
      <c r="M163" s="262"/>
      <c r="N163" s="228"/>
      <c r="O163" s="229"/>
    </row>
    <row r="164" ht="22.5" customHeight="1">
      <c r="A164" s="346"/>
      <c r="B164" s="218"/>
      <c r="C164" s="218"/>
      <c r="D164" s="338"/>
      <c r="E164" s="345"/>
      <c r="F164" s="344"/>
      <c r="G164" s="336"/>
      <c r="H164" s="341"/>
      <c r="I164" s="240"/>
      <c r="J164" s="343"/>
      <c r="K164" s="261"/>
      <c r="L164" s="342"/>
      <c r="M164" s="262"/>
      <c r="N164" s="228"/>
      <c r="O164" s="229"/>
    </row>
    <row r="165" ht="22.5" customHeight="1">
      <c r="A165" s="346"/>
      <c r="B165" s="218"/>
      <c r="C165" s="218"/>
      <c r="D165" s="338"/>
      <c r="E165" s="345"/>
      <c r="F165" s="344"/>
      <c r="G165" s="336"/>
      <c r="H165" s="341"/>
      <c r="I165" s="240"/>
      <c r="J165" s="343"/>
      <c r="K165" s="261"/>
      <c r="L165" s="342"/>
      <c r="M165" s="262"/>
      <c r="N165" s="228"/>
      <c r="O165" s="229"/>
    </row>
    <row r="166" ht="22.5" customHeight="1">
      <c r="A166" s="346"/>
      <c r="B166" s="218"/>
      <c r="C166" s="218"/>
      <c r="D166" s="338"/>
      <c r="E166" s="345"/>
      <c r="F166" s="344"/>
      <c r="G166" s="336"/>
      <c r="H166" s="341"/>
      <c r="I166" s="240"/>
      <c r="J166" s="343"/>
      <c r="K166" s="261"/>
      <c r="L166" s="342"/>
      <c r="M166" s="262"/>
      <c r="N166" s="228"/>
      <c r="O166" s="229"/>
    </row>
    <row r="167" ht="22.5" customHeight="1">
      <c r="A167" s="346"/>
      <c r="B167" s="218"/>
      <c r="C167" s="218"/>
      <c r="D167" s="338"/>
      <c r="E167" s="345"/>
      <c r="F167" s="344"/>
      <c r="G167" s="336"/>
      <c r="H167" s="341"/>
      <c r="I167" s="240"/>
      <c r="J167" s="343"/>
      <c r="K167" s="261"/>
      <c r="L167" s="342"/>
      <c r="M167" s="262"/>
      <c r="N167" s="228"/>
      <c r="O167" s="229"/>
    </row>
    <row r="168" ht="22.5" customHeight="1">
      <c r="A168" s="346"/>
      <c r="B168" s="218"/>
      <c r="C168" s="218"/>
      <c r="D168" s="338"/>
      <c r="E168" s="345"/>
      <c r="F168" s="344"/>
      <c r="G168" s="336"/>
      <c r="H168" s="341"/>
      <c r="I168" s="240"/>
      <c r="J168" s="343"/>
      <c r="K168" s="261"/>
      <c r="L168" s="342"/>
      <c r="M168" s="262"/>
      <c r="N168" s="228"/>
      <c r="O168" s="229"/>
    </row>
    <row r="169" ht="22.5" customHeight="1">
      <c r="A169" s="346"/>
      <c r="B169" s="218"/>
      <c r="C169" s="218"/>
      <c r="D169" s="338"/>
      <c r="E169" s="345"/>
      <c r="F169" s="344"/>
      <c r="G169" s="336"/>
      <c r="H169" s="341"/>
      <c r="I169" s="240"/>
      <c r="J169" s="343"/>
      <c r="K169" s="261"/>
      <c r="L169" s="342"/>
      <c r="M169" s="262"/>
      <c r="N169" s="228"/>
      <c r="O169" s="229"/>
    </row>
    <row r="170" ht="22.5" customHeight="1">
      <c r="A170" s="346"/>
      <c r="B170" s="218"/>
      <c r="C170" s="218"/>
      <c r="D170" s="338"/>
      <c r="E170" s="345"/>
      <c r="F170" s="344"/>
      <c r="G170" s="336"/>
      <c r="H170" s="341"/>
      <c r="I170" s="240"/>
      <c r="J170" s="343"/>
      <c r="K170" s="261"/>
      <c r="L170" s="342"/>
      <c r="M170" s="262"/>
      <c r="N170" s="228"/>
      <c r="O170" s="229"/>
    </row>
    <row r="171" ht="22.5" customHeight="1">
      <c r="A171" s="346"/>
      <c r="B171" s="218"/>
      <c r="C171" s="218"/>
      <c r="D171" s="338"/>
      <c r="E171" s="345"/>
      <c r="F171" s="344"/>
      <c r="G171" s="336"/>
      <c r="H171" s="341"/>
      <c r="I171" s="240"/>
      <c r="J171" s="343"/>
      <c r="K171" s="261"/>
      <c r="L171" s="342"/>
      <c r="M171" s="262"/>
      <c r="N171" s="228"/>
      <c r="O171" s="229"/>
    </row>
    <row r="172" ht="22.5" customHeight="1">
      <c r="A172" s="346"/>
      <c r="B172" s="218"/>
      <c r="C172" s="218"/>
      <c r="D172" s="338"/>
      <c r="E172" s="345"/>
      <c r="F172" s="344"/>
      <c r="G172" s="336"/>
      <c r="H172" s="341"/>
      <c r="I172" s="240"/>
      <c r="J172" s="343"/>
      <c r="K172" s="261"/>
      <c r="L172" s="342"/>
      <c r="M172" s="262"/>
      <c r="N172" s="228"/>
      <c r="O172" s="229"/>
    </row>
    <row r="173" ht="22.5" customHeight="1">
      <c r="A173" s="346"/>
      <c r="B173" s="218"/>
      <c r="C173" s="218"/>
      <c r="D173" s="338"/>
      <c r="E173" s="345"/>
      <c r="F173" s="344"/>
      <c r="G173" s="336"/>
      <c r="H173" s="341"/>
      <c r="I173" s="240"/>
      <c r="J173" s="343"/>
      <c r="K173" s="261"/>
      <c r="L173" s="342"/>
      <c r="M173" s="262"/>
      <c r="N173" s="228"/>
      <c r="O173" s="229"/>
    </row>
    <row r="174" ht="22.5" customHeight="1">
      <c r="A174" s="346"/>
      <c r="B174" s="218"/>
      <c r="C174" s="218"/>
      <c r="D174" s="338"/>
      <c r="E174" s="345"/>
      <c r="F174" s="344"/>
      <c r="G174" s="336"/>
      <c r="H174" s="341"/>
      <c r="I174" s="240"/>
      <c r="J174" s="343"/>
      <c r="K174" s="261"/>
      <c r="L174" s="342"/>
      <c r="M174" s="262"/>
      <c r="N174" s="228"/>
      <c r="O174" s="229"/>
    </row>
    <row r="175" ht="22.5" customHeight="1">
      <c r="A175" s="346"/>
      <c r="B175" s="218"/>
      <c r="C175" s="218"/>
      <c r="D175" s="338"/>
      <c r="E175" s="345"/>
      <c r="F175" s="344"/>
      <c r="G175" s="336"/>
      <c r="H175" s="341"/>
      <c r="I175" s="240"/>
      <c r="J175" s="343"/>
      <c r="K175" s="261"/>
      <c r="L175" s="342"/>
      <c r="M175" s="262"/>
      <c r="N175" s="228"/>
      <c r="O175" s="229"/>
    </row>
    <row r="176" ht="22.5" customHeight="1">
      <c r="A176" s="346"/>
      <c r="B176" s="218"/>
      <c r="C176" s="218"/>
      <c r="D176" s="338"/>
      <c r="E176" s="345"/>
      <c r="F176" s="344"/>
      <c r="G176" s="336"/>
      <c r="H176" s="341"/>
      <c r="I176" s="240"/>
      <c r="J176" s="343"/>
      <c r="K176" s="261"/>
      <c r="L176" s="342"/>
      <c r="M176" s="262"/>
      <c r="N176" s="228"/>
      <c r="O176" s="229"/>
    </row>
    <row r="177" ht="22.5" customHeight="1">
      <c r="A177" s="346"/>
      <c r="B177" s="218"/>
      <c r="C177" s="218"/>
      <c r="D177" s="338"/>
      <c r="E177" s="345"/>
      <c r="F177" s="344"/>
      <c r="G177" s="336"/>
      <c r="H177" s="341"/>
      <c r="I177" s="240"/>
      <c r="J177" s="343"/>
      <c r="K177" s="261"/>
      <c r="L177" s="342"/>
      <c r="M177" s="262"/>
      <c r="N177" s="228"/>
      <c r="O177" s="229"/>
    </row>
    <row r="178" ht="22.5" customHeight="1">
      <c r="A178" s="346"/>
      <c r="B178" s="218"/>
      <c r="C178" s="218"/>
      <c r="D178" s="338"/>
      <c r="E178" s="345"/>
      <c r="F178" s="344"/>
      <c r="G178" s="336"/>
      <c r="H178" s="341"/>
      <c r="I178" s="240"/>
      <c r="J178" s="343"/>
      <c r="K178" s="261"/>
      <c r="L178" s="342"/>
      <c r="M178" s="262"/>
      <c r="N178" s="228"/>
      <c r="O178" s="229"/>
    </row>
    <row r="179" ht="22.5" customHeight="1">
      <c r="A179" s="346"/>
      <c r="B179" s="218"/>
      <c r="C179" s="218"/>
      <c r="D179" s="338"/>
      <c r="E179" s="345"/>
      <c r="F179" s="344"/>
      <c r="G179" s="336"/>
      <c r="H179" s="341"/>
      <c r="I179" s="240"/>
      <c r="J179" s="343"/>
      <c r="K179" s="261"/>
      <c r="L179" s="342"/>
      <c r="M179" s="262"/>
      <c r="N179" s="228"/>
      <c r="O179" s="229"/>
    </row>
    <row r="180" ht="22.5" customHeight="1">
      <c r="A180" s="346"/>
      <c r="B180" s="218"/>
      <c r="C180" s="218"/>
      <c r="D180" s="338"/>
      <c r="E180" s="345"/>
      <c r="F180" s="344"/>
      <c r="G180" s="336"/>
      <c r="H180" s="341"/>
      <c r="I180" s="240"/>
      <c r="J180" s="343"/>
      <c r="K180" s="261"/>
      <c r="L180" s="342"/>
      <c r="M180" s="262"/>
      <c r="N180" s="228"/>
      <c r="O180" s="229"/>
    </row>
    <row r="181" ht="22.5" customHeight="1">
      <c r="A181" s="346"/>
      <c r="B181" s="218"/>
      <c r="C181" s="218"/>
      <c r="D181" s="338"/>
      <c r="E181" s="345"/>
      <c r="F181" s="344"/>
      <c r="G181" s="336"/>
      <c r="H181" s="341"/>
      <c r="I181" s="240"/>
      <c r="J181" s="343"/>
      <c r="K181" s="261"/>
      <c r="L181" s="342"/>
      <c r="M181" s="262"/>
      <c r="N181" s="228"/>
      <c r="O181" s="229"/>
    </row>
    <row r="182" ht="22.5" customHeight="1">
      <c r="A182" s="346"/>
      <c r="B182" s="218"/>
      <c r="C182" s="218"/>
      <c r="D182" s="338"/>
      <c r="E182" s="345"/>
      <c r="F182" s="344"/>
      <c r="G182" s="336"/>
      <c r="H182" s="341"/>
      <c r="I182" s="240"/>
      <c r="J182" s="343"/>
      <c r="K182" s="261"/>
      <c r="L182" s="342"/>
      <c r="M182" s="262"/>
      <c r="N182" s="228"/>
      <c r="O182" s="229"/>
    </row>
    <row r="183" ht="22.5" customHeight="1">
      <c r="A183" s="346"/>
      <c r="B183" s="218"/>
      <c r="C183" s="218"/>
      <c r="D183" s="338"/>
      <c r="E183" s="345"/>
      <c r="F183" s="344"/>
      <c r="G183" s="336"/>
      <c r="H183" s="341"/>
      <c r="I183" s="240"/>
      <c r="J183" s="343"/>
      <c r="K183" s="261"/>
      <c r="L183" s="342"/>
      <c r="M183" s="262"/>
      <c r="N183" s="228"/>
      <c r="O183" s="229"/>
    </row>
    <row r="184" ht="22.5" customHeight="1">
      <c r="A184" s="346"/>
      <c r="B184" s="218"/>
      <c r="C184" s="218"/>
      <c r="D184" s="338"/>
      <c r="E184" s="345"/>
      <c r="F184" s="344"/>
      <c r="G184" s="336"/>
      <c r="H184" s="341"/>
      <c r="I184" s="240"/>
      <c r="J184" s="343"/>
      <c r="K184" s="261"/>
      <c r="L184" s="342"/>
      <c r="M184" s="262"/>
      <c r="N184" s="228"/>
      <c r="O184" s="229"/>
    </row>
    <row r="185" ht="22.5" customHeight="1">
      <c r="A185" s="346"/>
      <c r="B185" s="218"/>
      <c r="C185" s="218"/>
      <c r="D185" s="338"/>
      <c r="E185" s="345"/>
      <c r="F185" s="344"/>
      <c r="G185" s="336"/>
      <c r="H185" s="341"/>
      <c r="I185" s="240"/>
      <c r="J185" s="343"/>
      <c r="K185" s="261"/>
      <c r="L185" s="342"/>
      <c r="M185" s="262"/>
      <c r="N185" s="228"/>
      <c r="O185" s="229"/>
    </row>
    <row r="186" ht="22.5" customHeight="1">
      <c r="A186" s="346"/>
      <c r="B186" s="218"/>
      <c r="C186" s="218"/>
      <c r="D186" s="338"/>
      <c r="E186" s="345"/>
      <c r="F186" s="344"/>
      <c r="G186" s="336"/>
      <c r="H186" s="341"/>
      <c r="I186" s="240"/>
      <c r="J186" s="343"/>
      <c r="K186" s="261"/>
      <c r="L186" s="342"/>
      <c r="M186" s="262"/>
      <c r="N186" s="228"/>
      <c r="O186" s="229"/>
    </row>
    <row r="187" ht="22.5" customHeight="1">
      <c r="A187" s="346"/>
      <c r="B187" s="218"/>
      <c r="C187" s="218"/>
      <c r="D187" s="338"/>
      <c r="E187" s="345"/>
      <c r="F187" s="344"/>
      <c r="G187" s="336"/>
      <c r="H187" s="341"/>
      <c r="I187" s="240"/>
      <c r="J187" s="343"/>
      <c r="K187" s="261"/>
      <c r="L187" s="342"/>
      <c r="M187" s="262"/>
      <c r="N187" s="228"/>
      <c r="O187" s="229"/>
    </row>
    <row r="188" ht="22.5" customHeight="1">
      <c r="A188" s="346"/>
      <c r="B188" s="218"/>
      <c r="C188" s="218"/>
      <c r="D188" s="338"/>
      <c r="E188" s="345"/>
      <c r="F188" s="344"/>
      <c r="G188" s="336"/>
      <c r="H188" s="341"/>
      <c r="I188" s="240"/>
      <c r="J188" s="343"/>
      <c r="K188" s="261"/>
      <c r="L188" s="342"/>
      <c r="M188" s="262"/>
      <c r="N188" s="228"/>
      <c r="O188" s="229"/>
    </row>
    <row r="189" ht="22.5" customHeight="1">
      <c r="A189" s="346"/>
      <c r="B189" s="218"/>
      <c r="C189" s="218"/>
      <c r="D189" s="338"/>
      <c r="E189" s="345"/>
      <c r="F189" s="344"/>
      <c r="G189" s="336"/>
      <c r="H189" s="341"/>
      <c r="I189" s="240"/>
      <c r="J189" s="343"/>
      <c r="K189" s="261"/>
      <c r="L189" s="342"/>
      <c r="M189" s="262"/>
      <c r="N189" s="228"/>
      <c r="O189" s="229"/>
    </row>
    <row r="190" ht="22.5" customHeight="1">
      <c r="A190" s="346"/>
      <c r="B190" s="218"/>
      <c r="C190" s="218"/>
      <c r="D190" s="338"/>
      <c r="E190" s="345"/>
      <c r="F190" s="344"/>
      <c r="G190" s="336"/>
      <c r="H190" s="341"/>
      <c r="I190" s="240"/>
      <c r="J190" s="343"/>
      <c r="K190" s="261"/>
      <c r="L190" s="342"/>
      <c r="M190" s="262"/>
      <c r="N190" s="228"/>
      <c r="O190" s="229"/>
    </row>
    <row r="191" ht="22.5" customHeight="1">
      <c r="A191" s="346"/>
      <c r="B191" s="218"/>
      <c r="C191" s="218"/>
      <c r="D191" s="338"/>
      <c r="E191" s="345"/>
      <c r="F191" s="344"/>
      <c r="G191" s="336"/>
      <c r="H191" s="341"/>
      <c r="I191" s="240"/>
      <c r="J191" s="343"/>
      <c r="K191" s="261"/>
      <c r="L191" s="342"/>
      <c r="M191" s="262"/>
      <c r="N191" s="228"/>
      <c r="O191" s="229"/>
    </row>
    <row r="192" ht="22.5" customHeight="1">
      <c r="A192" s="346"/>
      <c r="B192" s="218"/>
      <c r="C192" s="218"/>
      <c r="D192" s="338"/>
      <c r="E192" s="345"/>
      <c r="F192" s="344"/>
      <c r="G192" s="336"/>
      <c r="H192" s="341"/>
      <c r="I192" s="240"/>
      <c r="J192" s="343"/>
      <c r="K192" s="261"/>
      <c r="L192" s="342"/>
      <c r="M192" s="262"/>
      <c r="N192" s="228"/>
      <c r="O192" s="229"/>
    </row>
    <row r="193" ht="22.5" customHeight="1">
      <c r="A193" s="346"/>
      <c r="B193" s="218"/>
      <c r="C193" s="218"/>
      <c r="D193" s="338"/>
      <c r="E193" s="345"/>
      <c r="F193" s="344"/>
      <c r="G193" s="336"/>
      <c r="H193" s="341"/>
      <c r="I193" s="240"/>
      <c r="J193" s="343"/>
      <c r="K193" s="261"/>
      <c r="L193" s="342"/>
      <c r="M193" s="262"/>
      <c r="N193" s="228"/>
      <c r="O193" s="229"/>
    </row>
    <row r="194" ht="22.5" customHeight="1">
      <c r="A194" s="346"/>
      <c r="B194" s="218"/>
      <c r="C194" s="218"/>
      <c r="D194" s="338"/>
      <c r="E194" s="345"/>
      <c r="F194" s="344"/>
      <c r="G194" s="336"/>
      <c r="H194" s="341"/>
      <c r="I194" s="240"/>
      <c r="J194" s="343"/>
      <c r="K194" s="261"/>
      <c r="L194" s="342"/>
      <c r="M194" s="262"/>
      <c r="N194" s="228"/>
      <c r="O194" s="229"/>
    </row>
    <row r="195" ht="22.5" customHeight="1">
      <c r="A195" s="346"/>
      <c r="B195" s="218"/>
      <c r="C195" s="218"/>
      <c r="D195" s="338"/>
      <c r="E195" s="345"/>
      <c r="F195" s="344"/>
      <c r="G195" s="336"/>
      <c r="H195" s="341"/>
      <c r="I195" s="240"/>
      <c r="J195" s="343"/>
      <c r="K195" s="261"/>
      <c r="L195" s="342"/>
      <c r="M195" s="262"/>
      <c r="N195" s="228"/>
      <c r="O195" s="229"/>
    </row>
    <row r="196" ht="22.5" customHeight="1">
      <c r="A196" s="346"/>
      <c r="B196" s="218"/>
      <c r="C196" s="218"/>
      <c r="D196" s="338"/>
      <c r="E196" s="345"/>
      <c r="F196" s="344"/>
      <c r="G196" s="336"/>
      <c r="H196" s="341"/>
      <c r="I196" s="240"/>
      <c r="J196" s="343"/>
      <c r="K196" s="261"/>
      <c r="L196" s="342"/>
      <c r="M196" s="262"/>
      <c r="N196" s="228"/>
      <c r="O196" s="229"/>
    </row>
    <row r="197" ht="22.5" customHeight="1">
      <c r="A197" s="346"/>
      <c r="B197" s="218"/>
      <c r="C197" s="218"/>
      <c r="D197" s="338"/>
      <c r="E197" s="345"/>
      <c r="F197" s="344"/>
      <c r="G197" s="336"/>
      <c r="H197" s="341"/>
      <c r="I197" s="240"/>
      <c r="J197" s="343"/>
      <c r="K197" s="261"/>
      <c r="L197" s="342"/>
      <c r="M197" s="262"/>
      <c r="N197" s="228"/>
      <c r="O197" s="229"/>
    </row>
    <row r="198" ht="22.5" customHeight="1">
      <c r="A198" s="346"/>
      <c r="B198" s="218"/>
      <c r="C198" s="218"/>
      <c r="D198" s="338"/>
      <c r="E198" s="345"/>
      <c r="F198" s="344"/>
      <c r="G198" s="336"/>
      <c r="H198" s="341"/>
      <c r="I198" s="240"/>
      <c r="J198" s="343"/>
      <c r="K198" s="261"/>
      <c r="L198" s="342"/>
      <c r="M198" s="262"/>
      <c r="N198" s="228"/>
      <c r="O198" s="229"/>
    </row>
    <row r="199" ht="22.5" customHeight="1">
      <c r="A199" s="346"/>
      <c r="B199" s="218"/>
      <c r="C199" s="218"/>
      <c r="D199" s="338"/>
      <c r="E199" s="345"/>
      <c r="F199" s="344"/>
      <c r="G199" s="336"/>
      <c r="H199" s="341"/>
      <c r="I199" s="240"/>
      <c r="J199" s="343"/>
      <c r="K199" s="261"/>
      <c r="L199" s="342"/>
      <c r="M199" s="262"/>
      <c r="N199" s="228"/>
      <c r="O199" s="229"/>
    </row>
    <row r="200" ht="22.5" customHeight="1">
      <c r="A200" s="346"/>
      <c r="B200" s="218"/>
      <c r="C200" s="218"/>
      <c r="D200" s="338"/>
      <c r="E200" s="345"/>
      <c r="F200" s="344"/>
      <c r="G200" s="336"/>
      <c r="H200" s="341"/>
      <c r="I200" s="240"/>
      <c r="J200" s="343"/>
      <c r="K200" s="261"/>
      <c r="L200" s="342"/>
      <c r="M200" s="262"/>
      <c r="N200" s="228"/>
      <c r="O200" s="229"/>
    </row>
    <row r="201" ht="22.5" customHeight="1">
      <c r="A201" s="346"/>
      <c r="B201" s="218"/>
      <c r="C201" s="218"/>
      <c r="D201" s="338"/>
      <c r="E201" s="345"/>
      <c r="F201" s="344"/>
      <c r="G201" s="336"/>
      <c r="H201" s="341"/>
      <c r="I201" s="240"/>
      <c r="J201" s="343"/>
      <c r="K201" s="261"/>
      <c r="L201" s="342"/>
      <c r="M201" s="262"/>
      <c r="N201" s="228"/>
      <c r="O201" s="229"/>
    </row>
    <row r="202" ht="22.5" customHeight="1">
      <c r="A202" s="346"/>
      <c r="B202" s="218"/>
      <c r="C202" s="218"/>
      <c r="D202" s="338"/>
      <c r="E202" s="345"/>
      <c r="F202" s="344"/>
      <c r="G202" s="336"/>
      <c r="H202" s="341"/>
      <c r="I202" s="240"/>
      <c r="J202" s="343"/>
      <c r="K202" s="261"/>
      <c r="L202" s="342"/>
      <c r="M202" s="262"/>
      <c r="N202" s="228"/>
      <c r="O202" s="229"/>
    </row>
    <row r="203" ht="22.5" customHeight="1">
      <c r="A203" s="346"/>
      <c r="B203" s="218"/>
      <c r="C203" s="218"/>
      <c r="D203" s="338"/>
      <c r="E203" s="345"/>
      <c r="F203" s="344"/>
      <c r="G203" s="336"/>
      <c r="H203" s="341"/>
      <c r="I203" s="240"/>
      <c r="J203" s="343"/>
      <c r="K203" s="261"/>
      <c r="L203" s="342"/>
      <c r="M203" s="262"/>
      <c r="N203" s="228"/>
      <c r="O203" s="229"/>
    </row>
    <row r="204" ht="22.5" customHeight="1">
      <c r="A204" s="346"/>
      <c r="B204" s="218"/>
      <c r="C204" s="218"/>
      <c r="D204" s="338"/>
      <c r="E204" s="345"/>
      <c r="F204" s="344"/>
      <c r="G204" s="336"/>
      <c r="H204" s="341"/>
      <c r="I204" s="240"/>
      <c r="J204" s="343"/>
      <c r="K204" s="261"/>
      <c r="L204" s="342"/>
      <c r="M204" s="262"/>
      <c r="N204" s="228"/>
      <c r="O204" s="229"/>
    </row>
    <row r="205" ht="22.5" customHeight="1">
      <c r="A205" s="346"/>
      <c r="B205" s="218"/>
      <c r="C205" s="218"/>
      <c r="D205" s="338"/>
      <c r="E205" s="345"/>
      <c r="F205" s="344"/>
      <c r="G205" s="336"/>
      <c r="H205" s="341"/>
      <c r="I205" s="240"/>
      <c r="J205" s="343"/>
      <c r="K205" s="261"/>
      <c r="L205" s="342"/>
      <c r="M205" s="262"/>
      <c r="N205" s="228"/>
      <c r="O205" s="229"/>
    </row>
    <row r="206" ht="22.5" customHeight="1">
      <c r="A206" s="346"/>
      <c r="B206" s="218"/>
      <c r="C206" s="218"/>
      <c r="D206" s="338"/>
      <c r="E206" s="345"/>
      <c r="F206" s="344"/>
      <c r="G206" s="336"/>
      <c r="H206" s="341"/>
      <c r="I206" s="240"/>
      <c r="J206" s="343"/>
      <c r="K206" s="261"/>
      <c r="L206" s="342"/>
      <c r="M206" s="262"/>
      <c r="N206" s="228"/>
      <c r="O206" s="229"/>
    </row>
    <row r="207" ht="22.5" customHeight="1">
      <c r="A207" s="346"/>
      <c r="B207" s="218"/>
      <c r="C207" s="218"/>
      <c r="D207" s="338"/>
      <c r="E207" s="345"/>
      <c r="F207" s="344"/>
      <c r="G207" s="336"/>
      <c r="H207" s="341"/>
      <c r="I207" s="240"/>
      <c r="J207" s="343"/>
      <c r="K207" s="261"/>
      <c r="L207" s="342"/>
      <c r="M207" s="262"/>
      <c r="N207" s="228"/>
      <c r="O207" s="229"/>
    </row>
    <row r="208" ht="22.5" customHeight="1">
      <c r="A208" s="346"/>
      <c r="B208" s="218"/>
      <c r="C208" s="218"/>
      <c r="D208" s="338"/>
      <c r="E208" s="345"/>
      <c r="F208" s="344"/>
      <c r="G208" s="336"/>
      <c r="H208" s="341"/>
      <c r="I208" s="240"/>
      <c r="J208" s="343"/>
      <c r="K208" s="261"/>
      <c r="L208" s="342"/>
      <c r="M208" s="262"/>
      <c r="N208" s="228"/>
      <c r="O208" s="229"/>
    </row>
    <row r="209" ht="22.5" customHeight="1">
      <c r="A209" s="346"/>
      <c r="B209" s="218"/>
      <c r="C209" s="218"/>
      <c r="D209" s="338"/>
      <c r="E209" s="345"/>
      <c r="F209" s="344"/>
      <c r="G209" s="336"/>
      <c r="H209" s="341"/>
      <c r="I209" s="240"/>
      <c r="J209" s="343"/>
      <c r="K209" s="261"/>
      <c r="L209" s="342"/>
      <c r="M209" s="262"/>
      <c r="N209" s="228"/>
      <c r="O209" s="229"/>
    </row>
    <row r="210" ht="22.5" customHeight="1">
      <c r="A210" s="346"/>
      <c r="B210" s="218"/>
      <c r="C210" s="218"/>
      <c r="D210" s="338"/>
      <c r="E210" s="345"/>
      <c r="F210" s="344"/>
      <c r="G210" s="336"/>
      <c r="H210" s="341"/>
      <c r="I210" s="240"/>
      <c r="J210" s="343"/>
      <c r="K210" s="261"/>
      <c r="L210" s="342"/>
      <c r="M210" s="262"/>
      <c r="N210" s="228"/>
      <c r="O210" s="229"/>
    </row>
    <row r="211" ht="22.5" customHeight="1">
      <c r="A211" s="346"/>
      <c r="B211" s="218"/>
      <c r="C211" s="218"/>
      <c r="D211" s="338"/>
      <c r="E211" s="345"/>
      <c r="F211" s="344"/>
      <c r="G211" s="336"/>
      <c r="H211" s="341"/>
      <c r="I211" s="240"/>
      <c r="J211" s="343"/>
      <c r="K211" s="261"/>
      <c r="L211" s="342"/>
      <c r="M211" s="262"/>
      <c r="N211" s="228"/>
      <c r="O211" s="229"/>
    </row>
    <row r="212" ht="22.5" customHeight="1">
      <c r="A212" s="346"/>
      <c r="B212" s="218"/>
      <c r="C212" s="218"/>
      <c r="D212" s="338"/>
      <c r="E212" s="345"/>
      <c r="F212" s="344"/>
      <c r="G212" s="336"/>
      <c r="H212" s="341"/>
      <c r="I212" s="240"/>
      <c r="J212" s="343"/>
      <c r="K212" s="261"/>
      <c r="L212" s="342"/>
      <c r="M212" s="262"/>
      <c r="N212" s="228"/>
      <c r="O212" s="229"/>
    </row>
    <row r="213" ht="22.5" customHeight="1">
      <c r="A213" s="346"/>
      <c r="B213" s="218"/>
      <c r="C213" s="218"/>
      <c r="D213" s="338"/>
      <c r="E213" s="345"/>
      <c r="F213" s="344"/>
      <c r="G213" s="336"/>
      <c r="H213" s="341"/>
      <c r="I213" s="240"/>
      <c r="J213" s="343"/>
      <c r="K213" s="261"/>
      <c r="L213" s="342"/>
      <c r="M213" s="262"/>
      <c r="N213" s="228"/>
      <c r="O213" s="229"/>
    </row>
    <row r="214" ht="22.5" customHeight="1">
      <c r="A214" s="346"/>
      <c r="B214" s="218"/>
      <c r="C214" s="218"/>
      <c r="D214" s="338"/>
      <c r="E214" s="345"/>
      <c r="F214" s="344"/>
      <c r="G214" s="336"/>
      <c r="H214" s="341"/>
      <c r="I214" s="240"/>
      <c r="J214" s="343"/>
      <c r="K214" s="261"/>
      <c r="L214" s="342"/>
      <c r="M214" s="262"/>
      <c r="N214" s="228"/>
      <c r="O214" s="229"/>
    </row>
    <row r="215" ht="22.5" customHeight="1">
      <c r="A215" s="346"/>
      <c r="B215" s="218"/>
      <c r="C215" s="218"/>
      <c r="D215" s="338"/>
      <c r="E215" s="345"/>
      <c r="F215" s="344"/>
      <c r="G215" s="336"/>
      <c r="H215" s="341"/>
      <c r="I215" s="240"/>
      <c r="J215" s="343"/>
      <c r="K215" s="261"/>
      <c r="L215" s="342"/>
      <c r="M215" s="262"/>
      <c r="N215" s="228"/>
      <c r="O215" s="229"/>
    </row>
    <row r="216" ht="22.5" customHeight="1">
      <c r="A216" s="346"/>
      <c r="B216" s="218"/>
      <c r="C216" s="218"/>
      <c r="D216" s="338"/>
      <c r="E216" s="345"/>
      <c r="F216" s="344"/>
      <c r="G216" s="336"/>
      <c r="H216" s="341"/>
      <c r="I216" s="240"/>
      <c r="J216" s="343"/>
      <c r="K216" s="261"/>
      <c r="L216" s="342"/>
      <c r="M216" s="262"/>
      <c r="N216" s="228"/>
      <c r="O216" s="229"/>
    </row>
    <row r="217" ht="22.5" customHeight="1">
      <c r="A217" s="346"/>
      <c r="B217" s="218"/>
      <c r="C217" s="218"/>
      <c r="D217" s="338"/>
      <c r="E217" s="345"/>
      <c r="F217" s="344"/>
      <c r="G217" s="336"/>
      <c r="H217" s="341"/>
      <c r="I217" s="240"/>
      <c r="J217" s="343"/>
      <c r="K217" s="261"/>
      <c r="L217" s="342"/>
      <c r="M217" s="262"/>
      <c r="N217" s="228"/>
      <c r="O217" s="229"/>
    </row>
    <row r="218" ht="22.5" customHeight="1">
      <c r="A218" s="346"/>
      <c r="B218" s="218"/>
      <c r="C218" s="218"/>
      <c r="D218" s="338"/>
      <c r="E218" s="345"/>
      <c r="F218" s="344"/>
      <c r="G218" s="336"/>
      <c r="H218" s="341"/>
      <c r="I218" s="240"/>
      <c r="J218" s="343"/>
      <c r="K218" s="261"/>
      <c r="L218" s="342"/>
      <c r="M218" s="262"/>
      <c r="N218" s="228"/>
      <c r="O218" s="229"/>
    </row>
    <row r="219" ht="22.5" customHeight="1">
      <c r="A219" s="346"/>
      <c r="B219" s="218"/>
      <c r="C219" s="218"/>
      <c r="D219" s="338"/>
      <c r="E219" s="345"/>
      <c r="F219" s="344"/>
      <c r="G219" s="336"/>
      <c r="H219" s="341"/>
      <c r="I219" s="240"/>
      <c r="J219" s="343"/>
      <c r="K219" s="261"/>
      <c r="L219" s="342"/>
      <c r="M219" s="262"/>
      <c r="N219" s="228"/>
      <c r="O219" s="229"/>
    </row>
    <row r="220" ht="22.5" customHeight="1">
      <c r="A220" s="346"/>
      <c r="B220" s="218"/>
      <c r="C220" s="218"/>
      <c r="D220" s="338"/>
      <c r="E220" s="345"/>
      <c r="F220" s="344"/>
      <c r="G220" s="336"/>
      <c r="H220" s="341"/>
      <c r="I220" s="240"/>
      <c r="J220" s="343"/>
      <c r="K220" s="261"/>
      <c r="L220" s="342"/>
      <c r="M220" s="262"/>
      <c r="N220" s="228"/>
      <c r="O220" s="229"/>
    </row>
    <row r="221" ht="22.5" customHeight="1">
      <c r="A221" s="346"/>
      <c r="B221" s="218"/>
      <c r="C221" s="218"/>
      <c r="D221" s="338"/>
      <c r="E221" s="345"/>
      <c r="F221" s="344"/>
      <c r="G221" s="336"/>
      <c r="H221" s="341"/>
      <c r="I221" s="240"/>
      <c r="J221" s="343"/>
      <c r="K221" s="261"/>
      <c r="L221" s="342"/>
      <c r="M221" s="262"/>
      <c r="N221" s="228"/>
      <c r="O221" s="229"/>
    </row>
    <row r="222" ht="22.5" customHeight="1">
      <c r="A222" s="346"/>
      <c r="B222" s="218"/>
      <c r="C222" s="218"/>
      <c r="D222" s="338"/>
      <c r="E222" s="345"/>
      <c r="F222" s="344"/>
      <c r="G222" s="336"/>
      <c r="H222" s="341"/>
      <c r="I222" s="240"/>
      <c r="J222" s="343"/>
      <c r="K222" s="261"/>
      <c r="L222" s="342"/>
      <c r="M222" s="262"/>
      <c r="N222" s="228"/>
      <c r="O222" s="229"/>
    </row>
    <row r="223" ht="22.5" customHeight="1">
      <c r="A223" s="346"/>
      <c r="B223" s="218"/>
      <c r="C223" s="218"/>
      <c r="D223" s="338"/>
      <c r="E223" s="345"/>
      <c r="F223" s="344"/>
      <c r="G223" s="336"/>
      <c r="H223" s="341"/>
      <c r="I223" s="240"/>
      <c r="J223" s="343"/>
      <c r="K223" s="261"/>
      <c r="L223" s="342"/>
      <c r="M223" s="262"/>
      <c r="N223" s="228"/>
      <c r="O223" s="229"/>
    </row>
    <row r="224" ht="22.5" customHeight="1">
      <c r="A224" s="346"/>
      <c r="B224" s="218"/>
      <c r="C224" s="218"/>
      <c r="D224" s="338"/>
      <c r="E224" s="345"/>
      <c r="F224" s="344"/>
      <c r="G224" s="336"/>
      <c r="H224" s="341"/>
      <c r="I224" s="240"/>
      <c r="J224" s="343"/>
      <c r="K224" s="261"/>
      <c r="L224" s="342"/>
      <c r="M224" s="262"/>
      <c r="N224" s="228"/>
      <c r="O224" s="229"/>
    </row>
    <row r="225" ht="22.5" customHeight="1">
      <c r="A225" s="346"/>
      <c r="B225" s="218"/>
      <c r="C225" s="218"/>
      <c r="D225" s="338"/>
      <c r="E225" s="345"/>
      <c r="F225" s="344"/>
      <c r="G225" s="336"/>
      <c r="H225" s="341"/>
      <c r="I225" s="240"/>
      <c r="J225" s="343"/>
      <c r="K225" s="261"/>
      <c r="L225" s="342"/>
      <c r="M225" s="262"/>
      <c r="N225" s="228"/>
      <c r="O225" s="229"/>
    </row>
    <row r="226" ht="22.5" customHeight="1">
      <c r="A226" s="346"/>
      <c r="B226" s="218"/>
      <c r="C226" s="218"/>
      <c r="D226" s="338"/>
      <c r="E226" s="345"/>
      <c r="F226" s="344"/>
      <c r="G226" s="336"/>
      <c r="H226" s="341"/>
      <c r="I226" s="240"/>
      <c r="J226" s="343"/>
      <c r="K226" s="261"/>
      <c r="L226" s="342"/>
      <c r="M226" s="262"/>
      <c r="N226" s="228"/>
      <c r="O226" s="229"/>
    </row>
    <row r="227" ht="22.5" customHeight="1">
      <c r="A227" s="346"/>
      <c r="B227" s="218"/>
      <c r="C227" s="218"/>
      <c r="D227" s="338"/>
      <c r="E227" s="345"/>
      <c r="F227" s="344"/>
      <c r="G227" s="336"/>
      <c r="H227" s="341"/>
      <c r="I227" s="240"/>
      <c r="J227" s="343"/>
      <c r="K227" s="261"/>
      <c r="L227" s="342"/>
      <c r="M227" s="262"/>
      <c r="N227" s="228"/>
      <c r="O227" s="229"/>
    </row>
    <row r="228" ht="22.5" customHeight="1">
      <c r="A228" s="346"/>
      <c r="B228" s="218"/>
      <c r="C228" s="218"/>
      <c r="D228" s="338"/>
      <c r="E228" s="345"/>
      <c r="F228" s="344"/>
      <c r="G228" s="336"/>
      <c r="H228" s="341"/>
      <c r="I228" s="240"/>
      <c r="J228" s="343"/>
      <c r="K228" s="261"/>
      <c r="L228" s="342"/>
      <c r="M228" s="262"/>
      <c r="N228" s="228"/>
      <c r="O228" s="229"/>
    </row>
    <row r="229" ht="22.5" customHeight="1">
      <c r="A229" s="346"/>
      <c r="B229" s="218"/>
      <c r="C229" s="218"/>
      <c r="D229" s="338"/>
      <c r="E229" s="345"/>
      <c r="F229" s="344"/>
      <c r="G229" s="336"/>
      <c r="H229" s="341"/>
      <c r="I229" s="240"/>
      <c r="J229" s="343"/>
      <c r="K229" s="261"/>
      <c r="L229" s="342"/>
      <c r="M229" s="262"/>
      <c r="N229" s="228"/>
      <c r="O229" s="229"/>
    </row>
    <row r="230" ht="22.5" customHeight="1">
      <c r="A230" s="346"/>
      <c r="B230" s="218"/>
      <c r="C230" s="218"/>
      <c r="D230" s="338"/>
      <c r="E230" s="345"/>
      <c r="F230" s="344"/>
      <c r="G230" s="336"/>
      <c r="H230" s="341"/>
      <c r="I230" s="240"/>
      <c r="J230" s="343"/>
      <c r="K230" s="261"/>
      <c r="L230" s="342"/>
      <c r="M230" s="262"/>
      <c r="N230" s="228"/>
      <c r="O230" s="229"/>
    </row>
    <row r="231" ht="22.5" customHeight="1">
      <c r="A231" s="346"/>
      <c r="B231" s="218"/>
      <c r="C231" s="218"/>
      <c r="D231" s="338"/>
      <c r="E231" s="345"/>
      <c r="F231" s="344"/>
      <c r="G231" s="336"/>
      <c r="H231" s="341"/>
      <c r="I231" s="240"/>
      <c r="J231" s="343"/>
      <c r="K231" s="261"/>
      <c r="L231" s="342"/>
      <c r="M231" s="262"/>
      <c r="N231" s="228"/>
      <c r="O231" s="229"/>
    </row>
    <row r="232" ht="22.5" customHeight="1">
      <c r="A232" s="346"/>
      <c r="B232" s="218"/>
      <c r="C232" s="218"/>
      <c r="D232" s="338"/>
      <c r="E232" s="345"/>
      <c r="F232" s="344"/>
      <c r="G232" s="336"/>
      <c r="H232" s="341"/>
      <c r="I232" s="240"/>
      <c r="J232" s="343"/>
      <c r="K232" s="261"/>
      <c r="L232" s="342"/>
      <c r="M232" s="262"/>
      <c r="N232" s="228"/>
      <c r="O232" s="229"/>
    </row>
    <row r="233" ht="22.5" customHeight="1">
      <c r="A233" s="346"/>
      <c r="B233" s="218"/>
      <c r="C233" s="218"/>
      <c r="D233" s="338"/>
      <c r="E233" s="345"/>
      <c r="F233" s="344"/>
      <c r="G233" s="336"/>
      <c r="H233" s="341"/>
      <c r="I233" s="240"/>
      <c r="J233" s="343"/>
      <c r="K233" s="261"/>
      <c r="L233" s="342"/>
      <c r="M233" s="262"/>
      <c r="N233" s="228"/>
      <c r="O233" s="229"/>
    </row>
    <row r="234" ht="22.5" customHeight="1">
      <c r="A234" s="346"/>
      <c r="B234" s="218"/>
      <c r="C234" s="218"/>
      <c r="D234" s="338"/>
      <c r="E234" s="345"/>
      <c r="F234" s="344"/>
      <c r="G234" s="336"/>
      <c r="H234" s="341"/>
      <c r="I234" s="240"/>
      <c r="J234" s="343"/>
      <c r="K234" s="261"/>
      <c r="L234" s="342"/>
      <c r="M234" s="262"/>
      <c r="N234" s="228"/>
      <c r="O234" s="229"/>
    </row>
    <row r="235" ht="22.5" customHeight="1">
      <c r="A235" s="346"/>
      <c r="B235" s="218"/>
      <c r="C235" s="218"/>
      <c r="D235" s="338"/>
      <c r="E235" s="345"/>
      <c r="F235" s="344"/>
      <c r="G235" s="336"/>
      <c r="H235" s="341"/>
      <c r="I235" s="240"/>
      <c r="J235" s="343"/>
      <c r="K235" s="261"/>
      <c r="L235" s="342"/>
      <c r="M235" s="262"/>
      <c r="N235" s="228"/>
      <c r="O235" s="229"/>
    </row>
    <row r="236" ht="22.5" customHeight="1">
      <c r="A236" s="346"/>
      <c r="B236" s="218"/>
      <c r="C236" s="218"/>
      <c r="D236" s="338"/>
      <c r="E236" s="345"/>
      <c r="F236" s="344"/>
      <c r="G236" s="336"/>
      <c r="H236" s="341"/>
      <c r="I236" s="240"/>
      <c r="J236" s="343"/>
      <c r="K236" s="261"/>
      <c r="L236" s="342"/>
      <c r="M236" s="262"/>
      <c r="N236" s="228"/>
      <c r="O236" s="229"/>
    </row>
    <row r="237" ht="22.5" customHeight="1">
      <c r="A237" s="346"/>
      <c r="B237" s="218"/>
      <c r="C237" s="218"/>
      <c r="D237" s="338"/>
      <c r="E237" s="345"/>
      <c r="F237" s="344"/>
      <c r="G237" s="336"/>
      <c r="H237" s="341"/>
      <c r="I237" s="240"/>
      <c r="J237" s="343"/>
      <c r="K237" s="261"/>
      <c r="L237" s="342"/>
      <c r="M237" s="262"/>
      <c r="N237" s="228"/>
      <c r="O237" s="229"/>
    </row>
    <row r="238" ht="22.5" customHeight="1">
      <c r="A238" s="346"/>
      <c r="B238" s="218"/>
      <c r="C238" s="218"/>
      <c r="D238" s="338"/>
      <c r="E238" s="345"/>
      <c r="F238" s="344"/>
      <c r="G238" s="336"/>
      <c r="H238" s="341"/>
      <c r="I238" s="240"/>
      <c r="J238" s="343"/>
      <c r="K238" s="261"/>
      <c r="L238" s="342"/>
      <c r="M238" s="262"/>
      <c r="N238" s="228"/>
      <c r="O238" s="229"/>
    </row>
    <row r="239" ht="22.5" customHeight="1">
      <c r="A239" s="346"/>
      <c r="B239" s="218"/>
      <c r="C239" s="218"/>
      <c r="D239" s="338"/>
      <c r="E239" s="345"/>
      <c r="F239" s="344"/>
      <c r="G239" s="336"/>
      <c r="H239" s="341"/>
      <c r="I239" s="240"/>
      <c r="J239" s="343"/>
      <c r="K239" s="261"/>
      <c r="L239" s="342"/>
      <c r="M239" s="262"/>
      <c r="N239" s="228"/>
      <c r="O239" s="229"/>
    </row>
    <row r="240" ht="22.5" customHeight="1">
      <c r="A240" s="346"/>
      <c r="B240" s="218"/>
      <c r="C240" s="218"/>
      <c r="D240" s="338"/>
      <c r="E240" s="345"/>
      <c r="F240" s="344"/>
      <c r="G240" s="336"/>
      <c r="H240" s="341"/>
      <c r="I240" s="240"/>
      <c r="J240" s="343"/>
      <c r="K240" s="261"/>
      <c r="L240" s="342"/>
      <c r="M240" s="262"/>
      <c r="N240" s="228"/>
      <c r="O240" s="229"/>
    </row>
    <row r="241" ht="22.5" customHeight="1">
      <c r="A241" s="346"/>
      <c r="B241" s="218"/>
      <c r="C241" s="218"/>
      <c r="D241" s="338"/>
      <c r="E241" s="345"/>
      <c r="F241" s="344"/>
      <c r="G241" s="336"/>
      <c r="H241" s="341"/>
      <c r="I241" s="240"/>
      <c r="J241" s="343"/>
      <c r="K241" s="261"/>
      <c r="L241" s="342"/>
      <c r="M241" s="262"/>
      <c r="N241" s="228"/>
      <c r="O241" s="229"/>
    </row>
    <row r="242" ht="22.5" customHeight="1">
      <c r="A242" s="346"/>
      <c r="B242" s="218"/>
      <c r="C242" s="218"/>
      <c r="D242" s="338"/>
      <c r="E242" s="345"/>
      <c r="F242" s="344"/>
      <c r="G242" s="336"/>
      <c r="H242" s="341"/>
      <c r="I242" s="240"/>
      <c r="J242" s="343"/>
      <c r="K242" s="261"/>
      <c r="L242" s="342"/>
      <c r="M242" s="262"/>
      <c r="N242" s="228"/>
      <c r="O242" s="229"/>
    </row>
    <row r="243" ht="22.5" customHeight="1">
      <c r="A243" s="346"/>
      <c r="B243" s="218"/>
      <c r="C243" s="218"/>
      <c r="D243" s="338"/>
      <c r="E243" s="345"/>
      <c r="F243" s="344"/>
      <c r="G243" s="336"/>
      <c r="H243" s="341"/>
      <c r="I243" s="240"/>
      <c r="J243" s="343"/>
      <c r="K243" s="261"/>
      <c r="L243" s="342"/>
      <c r="M243" s="262"/>
      <c r="N243" s="228"/>
      <c r="O243" s="229"/>
    </row>
    <row r="244" ht="22.5" customHeight="1">
      <c r="A244" s="346"/>
      <c r="B244" s="218"/>
      <c r="C244" s="218"/>
      <c r="D244" s="338"/>
      <c r="E244" s="345"/>
      <c r="F244" s="344"/>
      <c r="G244" s="336"/>
      <c r="H244" s="341"/>
      <c r="I244" s="240"/>
      <c r="J244" s="343"/>
      <c r="K244" s="261"/>
      <c r="L244" s="342"/>
      <c r="M244" s="262"/>
      <c r="N244" s="228"/>
      <c r="O244" s="229"/>
    </row>
    <row r="245" ht="22.5" customHeight="1">
      <c r="A245" s="346"/>
      <c r="B245" s="218"/>
      <c r="C245" s="218"/>
      <c r="D245" s="338"/>
      <c r="E245" s="345"/>
      <c r="F245" s="344"/>
      <c r="G245" s="336"/>
      <c r="H245" s="341"/>
      <c r="I245" s="240"/>
      <c r="J245" s="343"/>
      <c r="K245" s="261"/>
      <c r="L245" s="342"/>
      <c r="M245" s="262"/>
      <c r="N245" s="228"/>
      <c r="O245" s="229"/>
    </row>
    <row r="246" ht="22.5" customHeight="1">
      <c r="A246" s="346"/>
      <c r="B246" s="218"/>
      <c r="C246" s="218"/>
      <c r="D246" s="338"/>
      <c r="E246" s="345"/>
      <c r="F246" s="344"/>
      <c r="G246" s="336"/>
      <c r="H246" s="341"/>
      <c r="I246" s="240"/>
      <c r="J246" s="343"/>
      <c r="K246" s="261"/>
      <c r="L246" s="342"/>
      <c r="M246" s="262"/>
      <c r="N246" s="228"/>
      <c r="O246" s="229"/>
    </row>
    <row r="247" ht="22.5" customHeight="1">
      <c r="A247" s="346"/>
      <c r="B247" s="218"/>
      <c r="C247" s="218"/>
      <c r="D247" s="338"/>
      <c r="E247" s="345"/>
      <c r="F247" s="344"/>
      <c r="G247" s="336"/>
      <c r="H247" s="341"/>
      <c r="I247" s="240"/>
      <c r="J247" s="343"/>
      <c r="K247" s="261"/>
      <c r="L247" s="342"/>
      <c r="M247" s="262"/>
      <c r="N247" s="228"/>
      <c r="O247" s="229"/>
    </row>
    <row r="248" ht="22.5" customHeight="1">
      <c r="A248" s="346"/>
      <c r="B248" s="218"/>
      <c r="C248" s="218"/>
      <c r="D248" s="338"/>
      <c r="E248" s="345"/>
      <c r="F248" s="344"/>
      <c r="G248" s="336"/>
      <c r="H248" s="341"/>
      <c r="I248" s="240"/>
      <c r="J248" s="343"/>
      <c r="K248" s="261"/>
      <c r="L248" s="342"/>
      <c r="M248" s="262"/>
      <c r="N248" s="228"/>
      <c r="O248" s="229"/>
    </row>
    <row r="249" ht="22.5" customHeight="1">
      <c r="A249" s="346"/>
      <c r="B249" s="218"/>
      <c r="C249" s="218"/>
      <c r="D249" s="338"/>
      <c r="E249" s="345"/>
      <c r="F249" s="344"/>
      <c r="G249" s="336"/>
      <c r="H249" s="341"/>
      <c r="I249" s="240"/>
      <c r="J249" s="343"/>
      <c r="K249" s="261"/>
      <c r="L249" s="342"/>
      <c r="M249" s="262"/>
      <c r="N249" s="228"/>
      <c r="O249" s="229"/>
    </row>
    <row r="250" ht="22.5" customHeight="1">
      <c r="A250" s="346"/>
      <c r="B250" s="218"/>
      <c r="C250" s="218"/>
      <c r="D250" s="338"/>
      <c r="E250" s="345"/>
      <c r="F250" s="344"/>
      <c r="G250" s="336"/>
      <c r="H250" s="341"/>
      <c r="I250" s="240"/>
      <c r="J250" s="343"/>
      <c r="K250" s="261"/>
      <c r="L250" s="342"/>
      <c r="M250" s="262"/>
      <c r="N250" s="228"/>
      <c r="O250" s="229"/>
    </row>
    <row r="251" ht="22.5" customHeight="1">
      <c r="A251" s="346"/>
      <c r="B251" s="218"/>
      <c r="C251" s="218"/>
      <c r="D251" s="338"/>
      <c r="E251" s="345"/>
      <c r="F251" s="344"/>
      <c r="G251" s="336"/>
      <c r="H251" s="341"/>
      <c r="I251" s="240"/>
      <c r="J251" s="343"/>
      <c r="K251" s="261"/>
      <c r="L251" s="342"/>
      <c r="M251" s="262"/>
      <c r="N251" s="228"/>
      <c r="O251" s="229"/>
    </row>
    <row r="252" ht="22.5" customHeight="1">
      <c r="A252" s="346"/>
      <c r="B252" s="218"/>
      <c r="C252" s="218"/>
      <c r="D252" s="338"/>
      <c r="E252" s="345"/>
      <c r="F252" s="344"/>
      <c r="G252" s="336"/>
      <c r="H252" s="341"/>
      <c r="I252" s="240"/>
      <c r="J252" s="343"/>
      <c r="K252" s="261"/>
      <c r="L252" s="342"/>
      <c r="M252" s="262"/>
      <c r="N252" s="228"/>
      <c r="O252" s="229"/>
    </row>
    <row r="253" ht="22.5" customHeight="1">
      <c r="A253" s="346"/>
      <c r="B253" s="218"/>
      <c r="C253" s="218"/>
      <c r="D253" s="338"/>
      <c r="E253" s="345"/>
      <c r="F253" s="344"/>
      <c r="G253" s="336"/>
      <c r="H253" s="341"/>
      <c r="I253" s="240"/>
      <c r="J253" s="343"/>
      <c r="K253" s="261"/>
      <c r="L253" s="342"/>
      <c r="M253" s="262"/>
      <c r="N253" s="228"/>
      <c r="O253" s="229"/>
    </row>
    <row r="254" ht="22.5" customHeight="1">
      <c r="A254" s="346"/>
      <c r="B254" s="218"/>
      <c r="C254" s="218"/>
      <c r="D254" s="338"/>
      <c r="E254" s="345"/>
      <c r="F254" s="344"/>
      <c r="G254" s="336"/>
      <c r="H254" s="341"/>
      <c r="I254" s="240"/>
      <c r="J254" s="343"/>
      <c r="K254" s="261"/>
      <c r="L254" s="342"/>
      <c r="M254" s="262"/>
      <c r="N254" s="228"/>
      <c r="O254" s="229"/>
    </row>
    <row r="255" ht="22.5" customHeight="1">
      <c r="A255" s="346"/>
      <c r="B255" s="218"/>
      <c r="C255" s="218"/>
      <c r="D255" s="338"/>
      <c r="E255" s="345"/>
      <c r="F255" s="344"/>
      <c r="G255" s="336"/>
      <c r="H255" s="341"/>
      <c r="I255" s="240"/>
      <c r="J255" s="343"/>
      <c r="K255" s="261"/>
      <c r="L255" s="342"/>
      <c r="M255" s="262"/>
      <c r="N255" s="228"/>
      <c r="O255" s="229"/>
    </row>
    <row r="256" ht="22.5" customHeight="1">
      <c r="A256" s="346"/>
      <c r="B256" s="218"/>
      <c r="C256" s="218"/>
      <c r="D256" s="338"/>
      <c r="E256" s="345"/>
      <c r="F256" s="344"/>
      <c r="G256" s="336"/>
      <c r="H256" s="341"/>
      <c r="I256" s="240"/>
      <c r="J256" s="343"/>
      <c r="K256" s="261"/>
      <c r="L256" s="342"/>
      <c r="M256" s="262"/>
      <c r="N256" s="228"/>
      <c r="O256" s="229"/>
    </row>
    <row r="257" ht="22.5" customHeight="1">
      <c r="A257" s="346"/>
      <c r="B257" s="218"/>
      <c r="C257" s="218"/>
      <c r="D257" s="338"/>
      <c r="E257" s="345"/>
      <c r="F257" s="344"/>
      <c r="G257" s="336"/>
      <c r="H257" s="341"/>
      <c r="I257" s="240"/>
      <c r="J257" s="343"/>
      <c r="K257" s="261"/>
      <c r="L257" s="342"/>
      <c r="M257" s="262"/>
      <c r="N257" s="228"/>
      <c r="O257" s="229"/>
    </row>
    <row r="258" ht="22.5" customHeight="1">
      <c r="A258" s="346"/>
      <c r="B258" s="218"/>
      <c r="C258" s="218"/>
      <c r="D258" s="338"/>
      <c r="E258" s="345"/>
      <c r="F258" s="344"/>
      <c r="G258" s="336"/>
      <c r="H258" s="341"/>
      <c r="I258" s="240"/>
      <c r="J258" s="343"/>
      <c r="K258" s="261"/>
      <c r="L258" s="342"/>
      <c r="M258" s="262"/>
      <c r="N258" s="228"/>
      <c r="O258" s="229"/>
    </row>
    <row r="259" ht="22.5" customHeight="1">
      <c r="A259" s="346"/>
      <c r="B259" s="218"/>
      <c r="C259" s="218"/>
      <c r="D259" s="338"/>
      <c r="E259" s="345"/>
      <c r="F259" s="344"/>
      <c r="G259" s="336"/>
      <c r="H259" s="341"/>
      <c r="I259" s="240"/>
      <c r="J259" s="343"/>
      <c r="K259" s="261"/>
      <c r="L259" s="342"/>
      <c r="M259" s="262"/>
      <c r="N259" s="228"/>
      <c r="O259" s="229"/>
    </row>
    <row r="260" ht="22.5" customHeight="1">
      <c r="A260" s="346"/>
      <c r="B260" s="218"/>
      <c r="C260" s="218"/>
      <c r="D260" s="338"/>
      <c r="E260" s="345"/>
      <c r="F260" s="344"/>
      <c r="G260" s="336"/>
      <c r="H260" s="341"/>
      <c r="I260" s="240"/>
      <c r="J260" s="343"/>
      <c r="K260" s="261"/>
      <c r="L260" s="342"/>
      <c r="M260" s="262"/>
      <c r="N260" s="228"/>
      <c r="O260" s="229"/>
    </row>
    <row r="261" ht="22.5" customHeight="1">
      <c r="A261" s="346"/>
      <c r="B261" s="218"/>
      <c r="C261" s="218"/>
      <c r="D261" s="338"/>
      <c r="E261" s="345"/>
      <c r="F261" s="344"/>
      <c r="G261" s="336"/>
      <c r="H261" s="341"/>
      <c r="I261" s="240"/>
      <c r="J261" s="343"/>
      <c r="K261" s="261"/>
      <c r="L261" s="342"/>
      <c r="M261" s="262"/>
      <c r="N261" s="228"/>
      <c r="O261" s="229"/>
    </row>
    <row r="262" ht="22.5" customHeight="1">
      <c r="A262" s="346"/>
      <c r="B262" s="218"/>
      <c r="C262" s="218"/>
      <c r="D262" s="338"/>
      <c r="E262" s="345"/>
      <c r="F262" s="344"/>
      <c r="G262" s="336"/>
      <c r="H262" s="341"/>
      <c r="I262" s="240"/>
      <c r="J262" s="343"/>
      <c r="K262" s="261"/>
      <c r="L262" s="342"/>
      <c r="M262" s="262"/>
      <c r="N262" s="228"/>
      <c r="O262" s="229"/>
    </row>
    <row r="263" ht="22.5" customHeight="1">
      <c r="A263" s="346"/>
      <c r="B263" s="218"/>
      <c r="C263" s="218"/>
      <c r="D263" s="338"/>
      <c r="E263" s="345"/>
      <c r="F263" s="344"/>
      <c r="G263" s="336"/>
      <c r="H263" s="341"/>
      <c r="I263" s="240"/>
      <c r="J263" s="343"/>
      <c r="K263" s="261"/>
      <c r="L263" s="342"/>
      <c r="M263" s="262"/>
      <c r="N263" s="228"/>
      <c r="O263" s="229"/>
    </row>
    <row r="264" ht="22.5" customHeight="1">
      <c r="A264" s="346"/>
      <c r="B264" s="218"/>
      <c r="C264" s="218"/>
      <c r="D264" s="338"/>
      <c r="E264" s="345"/>
      <c r="F264" s="344"/>
      <c r="G264" s="336"/>
      <c r="H264" s="341"/>
      <c r="I264" s="240"/>
      <c r="J264" s="343"/>
      <c r="K264" s="261"/>
      <c r="L264" s="342"/>
      <c r="M264" s="262"/>
      <c r="N264" s="228"/>
      <c r="O264" s="229"/>
    </row>
    <row r="265" ht="22.5" customHeight="1">
      <c r="A265" s="346"/>
      <c r="B265" s="218"/>
      <c r="C265" s="218"/>
      <c r="D265" s="338"/>
      <c r="E265" s="345"/>
      <c r="F265" s="344"/>
      <c r="G265" s="336"/>
      <c r="H265" s="341"/>
      <c r="I265" s="240"/>
      <c r="J265" s="343"/>
      <c r="K265" s="261"/>
      <c r="L265" s="342"/>
      <c r="M265" s="262"/>
      <c r="N265" s="228"/>
      <c r="O265" s="229"/>
    </row>
    <row r="266" ht="22.5" customHeight="1">
      <c r="A266" s="346"/>
      <c r="B266" s="218"/>
      <c r="C266" s="218"/>
      <c r="D266" s="338"/>
      <c r="E266" s="345"/>
      <c r="F266" s="344"/>
      <c r="G266" s="336"/>
      <c r="H266" s="341"/>
      <c r="I266" s="240"/>
      <c r="J266" s="343"/>
      <c r="K266" s="261"/>
      <c r="L266" s="342"/>
      <c r="M266" s="262"/>
      <c r="N266" s="228"/>
      <c r="O266" s="229"/>
    </row>
    <row r="267" ht="22.5" customHeight="1">
      <c r="A267" s="346"/>
      <c r="B267" s="218"/>
      <c r="C267" s="218"/>
      <c r="D267" s="338"/>
      <c r="E267" s="345"/>
      <c r="F267" s="344"/>
      <c r="G267" s="336"/>
      <c r="H267" s="341"/>
      <c r="I267" s="240"/>
      <c r="J267" s="343"/>
      <c r="K267" s="261"/>
      <c r="L267" s="342"/>
      <c r="M267" s="262"/>
      <c r="N267" s="228"/>
      <c r="O267" s="229"/>
    </row>
    <row r="268" ht="22.5" customHeight="1">
      <c r="A268" s="346"/>
      <c r="B268" s="218"/>
      <c r="C268" s="218"/>
      <c r="D268" s="338"/>
      <c r="E268" s="345"/>
      <c r="F268" s="344"/>
      <c r="G268" s="336"/>
      <c r="H268" s="341"/>
      <c r="I268" s="240"/>
      <c r="J268" s="343"/>
      <c r="K268" s="261"/>
      <c r="L268" s="342"/>
      <c r="M268" s="262"/>
      <c r="N268" s="228"/>
      <c r="O268" s="229"/>
    </row>
    <row r="269" ht="22.5" customHeight="1">
      <c r="A269" s="346"/>
      <c r="B269" s="218"/>
      <c r="C269" s="218"/>
      <c r="D269" s="338"/>
      <c r="E269" s="345"/>
      <c r="F269" s="344"/>
      <c r="G269" s="336"/>
      <c r="H269" s="341"/>
      <c r="I269" s="240"/>
      <c r="J269" s="343"/>
      <c r="K269" s="261"/>
      <c r="L269" s="342"/>
      <c r="M269" s="262"/>
      <c r="N269" s="228"/>
      <c r="O269" s="229"/>
    </row>
    <row r="270" ht="22.5" customHeight="1">
      <c r="A270" s="346"/>
      <c r="B270" s="218"/>
      <c r="C270" s="218"/>
      <c r="D270" s="338"/>
      <c r="E270" s="345"/>
      <c r="F270" s="344"/>
      <c r="G270" s="336"/>
      <c r="H270" s="341"/>
      <c r="I270" s="240"/>
      <c r="J270" s="343"/>
      <c r="K270" s="261"/>
      <c r="L270" s="342"/>
      <c r="M270" s="262"/>
      <c r="N270" s="228"/>
      <c r="O270" s="229"/>
    </row>
    <row r="271" ht="22.5" customHeight="1">
      <c r="A271" s="346"/>
      <c r="B271" s="218"/>
      <c r="C271" s="218"/>
      <c r="D271" s="338"/>
      <c r="E271" s="345"/>
      <c r="F271" s="344"/>
      <c r="G271" s="336"/>
      <c r="H271" s="341"/>
      <c r="I271" s="240"/>
      <c r="J271" s="343"/>
      <c r="K271" s="261"/>
      <c r="L271" s="342"/>
      <c r="M271" s="262"/>
      <c r="N271" s="228"/>
      <c r="O271" s="229"/>
    </row>
    <row r="272" ht="22.5" customHeight="1">
      <c r="A272" s="346"/>
      <c r="B272" s="218"/>
      <c r="C272" s="218"/>
      <c r="D272" s="338"/>
      <c r="E272" s="345"/>
      <c r="F272" s="344"/>
      <c r="G272" s="336"/>
      <c r="H272" s="341"/>
      <c r="I272" s="240"/>
      <c r="J272" s="343"/>
      <c r="K272" s="261"/>
      <c r="L272" s="342"/>
      <c r="M272" s="262"/>
      <c r="N272" s="228"/>
      <c r="O272" s="229"/>
    </row>
    <row r="273" ht="22.5" customHeight="1">
      <c r="A273" s="346"/>
      <c r="B273" s="218"/>
      <c r="C273" s="218"/>
      <c r="D273" s="338"/>
      <c r="E273" s="345"/>
      <c r="F273" s="344"/>
      <c r="G273" s="336"/>
      <c r="H273" s="341"/>
      <c r="I273" s="240"/>
      <c r="J273" s="343"/>
      <c r="K273" s="261"/>
      <c r="L273" s="342"/>
      <c r="M273" s="262"/>
      <c r="N273" s="228"/>
      <c r="O273" s="229"/>
    </row>
    <row r="274" ht="22.5" customHeight="1">
      <c r="A274" s="346"/>
      <c r="B274" s="218"/>
      <c r="C274" s="218"/>
      <c r="D274" s="338"/>
      <c r="E274" s="345"/>
      <c r="F274" s="344"/>
      <c r="G274" s="336"/>
      <c r="H274" s="341"/>
      <c r="I274" s="240"/>
      <c r="J274" s="343"/>
      <c r="K274" s="261"/>
      <c r="L274" s="342"/>
      <c r="M274" s="262"/>
      <c r="N274" s="228"/>
      <c r="O274" s="229"/>
    </row>
    <row r="275" ht="22.5" customHeight="1">
      <c r="A275" s="346"/>
      <c r="B275" s="218"/>
      <c r="C275" s="218"/>
      <c r="D275" s="338"/>
      <c r="E275" s="345"/>
      <c r="F275" s="344"/>
      <c r="G275" s="336"/>
      <c r="H275" s="341"/>
      <c r="I275" s="240"/>
      <c r="J275" s="343"/>
      <c r="K275" s="261"/>
      <c r="L275" s="342"/>
      <c r="M275" s="262"/>
      <c r="N275" s="228"/>
      <c r="O275" s="229"/>
    </row>
    <row r="276" ht="22.5" customHeight="1">
      <c r="A276" s="346"/>
      <c r="B276" s="218"/>
      <c r="C276" s="218"/>
      <c r="D276" s="338"/>
      <c r="E276" s="345"/>
      <c r="F276" s="344"/>
      <c r="G276" s="336"/>
      <c r="H276" s="341"/>
      <c r="I276" s="240"/>
      <c r="J276" s="343"/>
      <c r="K276" s="261"/>
      <c r="L276" s="342"/>
      <c r="M276" s="262"/>
      <c r="N276" s="228"/>
      <c r="O276" s="229"/>
    </row>
    <row r="277" ht="22.5" customHeight="1">
      <c r="A277" s="346"/>
      <c r="B277" s="218"/>
      <c r="C277" s="218"/>
      <c r="D277" s="338"/>
      <c r="E277" s="345"/>
      <c r="F277" s="344"/>
      <c r="G277" s="336"/>
      <c r="H277" s="341"/>
      <c r="I277" s="240"/>
      <c r="J277" s="343"/>
      <c r="K277" s="261"/>
      <c r="L277" s="342"/>
      <c r="M277" s="262"/>
      <c r="N277" s="228"/>
      <c r="O277" s="229"/>
    </row>
    <row r="278" ht="22.5" customHeight="1">
      <c r="A278" s="346"/>
      <c r="B278" s="218"/>
      <c r="C278" s="218"/>
      <c r="D278" s="338"/>
      <c r="E278" s="345"/>
      <c r="F278" s="344"/>
      <c r="G278" s="336"/>
      <c r="H278" s="341"/>
      <c r="I278" s="240"/>
      <c r="J278" s="343"/>
      <c r="K278" s="261"/>
      <c r="L278" s="342"/>
      <c r="M278" s="262"/>
      <c r="N278" s="228"/>
      <c r="O278" s="229"/>
    </row>
    <row r="279" ht="22.5" customHeight="1">
      <c r="A279" s="346"/>
      <c r="B279" s="218"/>
      <c r="C279" s="218"/>
      <c r="D279" s="338"/>
      <c r="E279" s="345"/>
      <c r="F279" s="344"/>
      <c r="G279" s="336"/>
      <c r="H279" s="341"/>
      <c r="I279" s="240"/>
      <c r="J279" s="343"/>
      <c r="K279" s="261"/>
      <c r="L279" s="342"/>
      <c r="M279" s="262"/>
      <c r="N279" s="228"/>
      <c r="O279" s="229"/>
    </row>
    <row r="280" ht="22.5" customHeight="1">
      <c r="A280" s="346"/>
      <c r="B280" s="218"/>
      <c r="C280" s="218"/>
      <c r="D280" s="338"/>
      <c r="E280" s="345"/>
      <c r="F280" s="344"/>
      <c r="G280" s="336"/>
      <c r="H280" s="341"/>
      <c r="I280" s="240"/>
      <c r="J280" s="343"/>
      <c r="K280" s="261"/>
      <c r="L280" s="342"/>
      <c r="M280" s="262"/>
      <c r="N280" s="228"/>
      <c r="O280" s="229"/>
    </row>
    <row r="281" ht="22.5" customHeight="1">
      <c r="A281" s="346"/>
      <c r="B281" s="218"/>
      <c r="C281" s="218"/>
      <c r="D281" s="338"/>
      <c r="E281" s="345"/>
      <c r="F281" s="344"/>
      <c r="G281" s="336"/>
      <c r="H281" s="341"/>
      <c r="I281" s="240"/>
      <c r="J281" s="343"/>
      <c r="K281" s="261"/>
      <c r="L281" s="342"/>
      <c r="M281" s="262"/>
      <c r="N281" s="228"/>
      <c r="O281" s="229"/>
    </row>
    <row r="282" ht="22.5" customHeight="1">
      <c r="A282" s="346"/>
      <c r="B282" s="218"/>
      <c r="C282" s="218"/>
      <c r="D282" s="338"/>
      <c r="E282" s="345"/>
      <c r="F282" s="344"/>
      <c r="G282" s="336"/>
      <c r="H282" s="341"/>
      <c r="I282" s="240"/>
      <c r="J282" s="343"/>
      <c r="K282" s="261"/>
      <c r="L282" s="342"/>
      <c r="M282" s="262"/>
      <c r="N282" s="228"/>
      <c r="O282" s="229"/>
    </row>
    <row r="283" ht="22.5" customHeight="1">
      <c r="A283" s="346"/>
      <c r="B283" s="218"/>
      <c r="C283" s="218"/>
      <c r="D283" s="338"/>
      <c r="E283" s="345"/>
      <c r="F283" s="344"/>
      <c r="G283" s="336"/>
      <c r="H283" s="341"/>
      <c r="I283" s="240"/>
      <c r="J283" s="343"/>
      <c r="K283" s="261"/>
      <c r="L283" s="342"/>
      <c r="M283" s="262"/>
      <c r="N283" s="228"/>
      <c r="O283" s="229"/>
    </row>
    <row r="284" ht="22.5" customHeight="1">
      <c r="A284" s="346"/>
      <c r="B284" s="218"/>
      <c r="C284" s="218"/>
      <c r="D284" s="338"/>
      <c r="E284" s="345"/>
      <c r="F284" s="344"/>
      <c r="G284" s="336"/>
      <c r="H284" s="341"/>
      <c r="I284" s="240"/>
      <c r="J284" s="343"/>
      <c r="K284" s="261"/>
      <c r="L284" s="342"/>
      <c r="M284" s="262"/>
      <c r="N284" s="228"/>
      <c r="O284" s="229"/>
    </row>
    <row r="285" ht="22.5" customHeight="1">
      <c r="A285" s="346"/>
      <c r="B285" s="218"/>
      <c r="C285" s="218"/>
      <c r="D285" s="338"/>
      <c r="E285" s="345"/>
      <c r="F285" s="344"/>
      <c r="G285" s="336"/>
      <c r="H285" s="341"/>
      <c r="I285" s="240"/>
      <c r="J285" s="343"/>
      <c r="K285" s="261"/>
      <c r="L285" s="342"/>
      <c r="M285" s="262"/>
      <c r="N285" s="228"/>
      <c r="O285" s="229"/>
    </row>
    <row r="286" ht="22.5" customHeight="1">
      <c r="A286" s="346"/>
      <c r="B286" s="218"/>
      <c r="C286" s="218"/>
      <c r="D286" s="338"/>
      <c r="E286" s="345"/>
      <c r="F286" s="344"/>
      <c r="G286" s="336"/>
      <c r="H286" s="341"/>
      <c r="I286" s="240"/>
      <c r="J286" s="343"/>
      <c r="K286" s="261"/>
      <c r="L286" s="342"/>
      <c r="M286" s="262"/>
      <c r="N286" s="228"/>
      <c r="O286" s="229"/>
    </row>
    <row r="287" ht="22.5" customHeight="1">
      <c r="A287" s="346"/>
      <c r="B287" s="218"/>
      <c r="C287" s="218"/>
      <c r="D287" s="338"/>
      <c r="E287" s="345"/>
      <c r="F287" s="344"/>
      <c r="G287" s="336"/>
      <c r="H287" s="341"/>
      <c r="I287" s="240"/>
      <c r="J287" s="343"/>
      <c r="K287" s="261"/>
      <c r="L287" s="342"/>
      <c r="M287" s="262"/>
      <c r="N287" s="228"/>
      <c r="O287" s="229"/>
    </row>
    <row r="288" ht="22.5" customHeight="1">
      <c r="A288" s="346"/>
      <c r="B288" s="218"/>
      <c r="C288" s="218"/>
      <c r="D288" s="338"/>
      <c r="E288" s="345"/>
      <c r="F288" s="344"/>
      <c r="G288" s="336"/>
      <c r="H288" s="341"/>
      <c r="I288" s="240"/>
      <c r="J288" s="343"/>
      <c r="K288" s="261"/>
      <c r="L288" s="342"/>
      <c r="M288" s="262"/>
      <c r="N288" s="228"/>
      <c r="O288" s="229"/>
    </row>
    <row r="289" ht="22.5" customHeight="1">
      <c r="A289" s="346"/>
      <c r="B289" s="218"/>
      <c r="C289" s="218"/>
      <c r="D289" s="338"/>
      <c r="E289" s="345"/>
      <c r="F289" s="344"/>
      <c r="G289" s="336"/>
      <c r="H289" s="341"/>
      <c r="I289" s="240"/>
      <c r="J289" s="343"/>
      <c r="K289" s="261"/>
      <c r="L289" s="342"/>
      <c r="M289" s="262"/>
      <c r="N289" s="228"/>
      <c r="O289" s="229"/>
    </row>
    <row r="290" ht="22.5" customHeight="1">
      <c r="A290" s="346"/>
      <c r="B290" s="218"/>
      <c r="C290" s="218"/>
      <c r="D290" s="338"/>
      <c r="E290" s="345"/>
      <c r="F290" s="344"/>
      <c r="G290" s="336"/>
      <c r="H290" s="341"/>
      <c r="I290" s="240"/>
      <c r="J290" s="343"/>
      <c r="K290" s="261"/>
      <c r="L290" s="342"/>
      <c r="M290" s="262"/>
      <c r="N290" s="228"/>
      <c r="O290" s="229"/>
    </row>
    <row r="291" ht="22.5" customHeight="1">
      <c r="A291" s="346"/>
      <c r="B291" s="218"/>
      <c r="C291" s="218"/>
      <c r="D291" s="338"/>
      <c r="E291" s="345"/>
      <c r="F291" s="344"/>
      <c r="G291" s="336"/>
      <c r="H291" s="341"/>
      <c r="I291" s="240"/>
      <c r="J291" s="343"/>
      <c r="K291" s="261"/>
      <c r="L291" s="342"/>
      <c r="M291" s="262"/>
      <c r="N291" s="228"/>
      <c r="O291" s="229"/>
    </row>
    <row r="292" ht="22.5" customHeight="1">
      <c r="A292" s="346"/>
      <c r="B292" s="218"/>
      <c r="C292" s="218"/>
      <c r="D292" s="338"/>
      <c r="E292" s="345"/>
      <c r="F292" s="344"/>
      <c r="G292" s="336"/>
      <c r="H292" s="341"/>
      <c r="I292" s="240"/>
      <c r="J292" s="343"/>
      <c r="K292" s="261"/>
      <c r="L292" s="342"/>
      <c r="M292" s="262"/>
      <c r="N292" s="228"/>
      <c r="O292" s="229"/>
    </row>
    <row r="293" ht="22.5" customHeight="1">
      <c r="A293" s="346"/>
      <c r="B293" s="218"/>
      <c r="C293" s="218"/>
      <c r="D293" s="338"/>
      <c r="E293" s="345"/>
      <c r="F293" s="344"/>
      <c r="G293" s="336"/>
      <c r="H293" s="341"/>
      <c r="I293" s="240"/>
      <c r="J293" s="343"/>
      <c r="K293" s="261"/>
      <c r="L293" s="342"/>
      <c r="M293" s="262"/>
      <c r="N293" s="228"/>
      <c r="O293" s="229"/>
    </row>
    <row r="294" ht="22.5" customHeight="1">
      <c r="A294" s="346"/>
      <c r="B294" s="218"/>
      <c r="C294" s="218"/>
      <c r="D294" s="338"/>
      <c r="E294" s="345"/>
      <c r="F294" s="344"/>
      <c r="G294" s="336"/>
      <c r="H294" s="341"/>
      <c r="I294" s="240"/>
      <c r="J294" s="343"/>
      <c r="K294" s="261"/>
      <c r="L294" s="342"/>
      <c r="M294" s="262"/>
      <c r="N294" s="228"/>
      <c r="O294" s="229"/>
    </row>
    <row r="295" ht="22.5" customHeight="1">
      <c r="A295" s="346"/>
      <c r="B295" s="218"/>
      <c r="C295" s="218"/>
      <c r="D295" s="338"/>
      <c r="E295" s="345"/>
      <c r="F295" s="344"/>
      <c r="G295" s="336"/>
      <c r="H295" s="341"/>
      <c r="I295" s="240"/>
      <c r="J295" s="343"/>
      <c r="K295" s="261"/>
      <c r="L295" s="342"/>
      <c r="M295" s="262"/>
      <c r="N295" s="228"/>
      <c r="O295" s="229"/>
    </row>
    <row r="296" ht="22.5" customHeight="1">
      <c r="A296" s="346"/>
      <c r="B296" s="218"/>
      <c r="C296" s="218"/>
      <c r="D296" s="338"/>
      <c r="E296" s="345"/>
      <c r="F296" s="344"/>
      <c r="G296" s="336"/>
      <c r="H296" s="341"/>
      <c r="I296" s="240"/>
      <c r="J296" s="343"/>
      <c r="K296" s="261"/>
      <c r="L296" s="342"/>
      <c r="M296" s="262"/>
      <c r="N296" s="228"/>
      <c r="O296" s="229"/>
    </row>
    <row r="297" ht="22.5" customHeight="1">
      <c r="A297" s="346"/>
      <c r="B297" s="218"/>
      <c r="C297" s="218"/>
      <c r="D297" s="338"/>
      <c r="E297" s="345"/>
      <c r="F297" s="344"/>
      <c r="G297" s="336"/>
      <c r="H297" s="341"/>
      <c r="I297" s="240"/>
      <c r="J297" s="343"/>
      <c r="K297" s="261"/>
      <c r="L297" s="342"/>
      <c r="M297" s="262"/>
      <c r="N297" s="228"/>
      <c r="O297" s="229"/>
    </row>
    <row r="298" ht="22.5" customHeight="1">
      <c r="A298" s="346"/>
      <c r="B298" s="218"/>
      <c r="C298" s="218"/>
      <c r="D298" s="338"/>
      <c r="E298" s="345"/>
      <c r="F298" s="344"/>
      <c r="G298" s="336"/>
      <c r="H298" s="341"/>
      <c r="I298" s="240"/>
      <c r="J298" s="343"/>
      <c r="K298" s="261"/>
      <c r="L298" s="342"/>
      <c r="M298" s="262"/>
      <c r="N298" s="228"/>
      <c r="O298" s="229"/>
    </row>
    <row r="299" ht="22.5" customHeight="1">
      <c r="A299" s="346"/>
      <c r="B299" s="218"/>
      <c r="C299" s="218"/>
      <c r="D299" s="338"/>
      <c r="E299" s="345"/>
      <c r="F299" s="344"/>
      <c r="G299" s="336"/>
      <c r="H299" s="341"/>
      <c r="I299" s="240"/>
      <c r="J299" s="343"/>
      <c r="K299" s="261"/>
      <c r="L299" s="342"/>
      <c r="M299" s="262"/>
      <c r="N299" s="228"/>
      <c r="O299" s="229"/>
    </row>
    <row r="300" ht="22.5" customHeight="1">
      <c r="A300" s="346"/>
      <c r="B300" s="218"/>
      <c r="C300" s="218"/>
      <c r="D300" s="338"/>
      <c r="E300" s="345"/>
      <c r="F300" s="344"/>
      <c r="G300" s="336"/>
      <c r="H300" s="341"/>
      <c r="I300" s="240"/>
      <c r="J300" s="343"/>
      <c r="K300" s="261"/>
      <c r="L300" s="342"/>
      <c r="M300" s="262"/>
      <c r="N300" s="228"/>
      <c r="O300" s="229"/>
    </row>
    <row r="301" ht="22.5" customHeight="1">
      <c r="A301" s="346"/>
      <c r="B301" s="218"/>
      <c r="C301" s="218"/>
      <c r="D301" s="338"/>
      <c r="E301" s="345"/>
      <c r="F301" s="344"/>
      <c r="G301" s="336"/>
      <c r="H301" s="341"/>
      <c r="I301" s="240"/>
      <c r="J301" s="343"/>
      <c r="K301" s="261"/>
      <c r="L301" s="342"/>
      <c r="M301" s="262"/>
      <c r="N301" s="228"/>
      <c r="O301" s="229"/>
    </row>
    <row r="302" ht="22.5" customHeight="1">
      <c r="A302" s="346"/>
      <c r="B302" s="218"/>
      <c r="C302" s="218"/>
      <c r="D302" s="338"/>
      <c r="E302" s="345"/>
      <c r="F302" s="344"/>
      <c r="G302" s="336"/>
      <c r="H302" s="341"/>
      <c r="I302" s="240"/>
      <c r="J302" s="343"/>
      <c r="K302" s="261"/>
      <c r="L302" s="342"/>
      <c r="M302" s="262"/>
      <c r="N302" s="228"/>
      <c r="O302" s="229"/>
    </row>
    <row r="303" ht="22.5" customHeight="1">
      <c r="A303" s="346"/>
      <c r="B303" s="218"/>
      <c r="C303" s="218"/>
      <c r="D303" s="338"/>
      <c r="E303" s="345"/>
      <c r="F303" s="344"/>
      <c r="G303" s="336"/>
      <c r="H303" s="341"/>
      <c r="I303" s="240"/>
      <c r="J303" s="343"/>
      <c r="K303" s="261"/>
      <c r="L303" s="342"/>
      <c r="M303" s="262"/>
      <c r="N303" s="228"/>
      <c r="O303" s="229"/>
    </row>
    <row r="304" ht="22.5" customHeight="1">
      <c r="A304" s="346"/>
      <c r="B304" s="218"/>
      <c r="C304" s="218"/>
      <c r="D304" s="338"/>
      <c r="E304" s="345"/>
      <c r="F304" s="344"/>
      <c r="G304" s="336"/>
      <c r="H304" s="341"/>
      <c r="I304" s="240"/>
      <c r="J304" s="343"/>
      <c r="K304" s="261"/>
      <c r="L304" s="342"/>
      <c r="M304" s="262"/>
      <c r="N304" s="228"/>
      <c r="O304" s="229"/>
    </row>
    <row r="305" ht="22.5" customHeight="1">
      <c r="A305" s="346"/>
      <c r="B305" s="218"/>
      <c r="C305" s="218"/>
      <c r="D305" s="338"/>
      <c r="E305" s="345"/>
      <c r="F305" s="344"/>
      <c r="G305" s="336"/>
      <c r="H305" s="341"/>
      <c r="I305" s="240"/>
      <c r="J305" s="343"/>
      <c r="K305" s="261"/>
      <c r="L305" s="342"/>
      <c r="M305" s="262"/>
      <c r="N305" s="228"/>
      <c r="O305" s="229"/>
    </row>
    <row r="306" ht="22.5" customHeight="1">
      <c r="A306" s="346"/>
      <c r="B306" s="218"/>
      <c r="C306" s="218"/>
      <c r="D306" s="338"/>
      <c r="E306" s="345"/>
      <c r="F306" s="344"/>
      <c r="G306" s="336"/>
      <c r="H306" s="341"/>
      <c r="I306" s="240"/>
      <c r="J306" s="343"/>
      <c r="K306" s="261"/>
      <c r="L306" s="342"/>
      <c r="M306" s="262"/>
      <c r="N306" s="228"/>
      <c r="O306" s="229"/>
    </row>
    <row r="307" ht="22.5" customHeight="1">
      <c r="A307" s="346"/>
      <c r="B307" s="218"/>
      <c r="C307" s="218"/>
      <c r="D307" s="338"/>
      <c r="E307" s="345"/>
      <c r="F307" s="344"/>
      <c r="G307" s="336"/>
      <c r="H307" s="341"/>
      <c r="I307" s="240"/>
      <c r="J307" s="343"/>
      <c r="K307" s="261"/>
      <c r="L307" s="342"/>
      <c r="M307" s="262"/>
      <c r="N307" s="228"/>
      <c r="O307" s="229"/>
    </row>
    <row r="308" ht="22.5" customHeight="1">
      <c r="A308" s="346"/>
      <c r="B308" s="218"/>
      <c r="C308" s="218"/>
      <c r="D308" s="338"/>
      <c r="E308" s="345"/>
      <c r="F308" s="344"/>
      <c r="G308" s="336"/>
      <c r="H308" s="341"/>
      <c r="I308" s="240"/>
      <c r="J308" s="343"/>
      <c r="K308" s="261"/>
      <c r="L308" s="342"/>
      <c r="M308" s="262"/>
      <c r="N308" s="228"/>
      <c r="O308" s="229"/>
    </row>
    <row r="309" ht="22.5" customHeight="1">
      <c r="A309" s="346"/>
      <c r="B309" s="218"/>
      <c r="C309" s="218"/>
      <c r="D309" s="338"/>
      <c r="E309" s="345"/>
      <c r="F309" s="344"/>
      <c r="G309" s="336"/>
      <c r="H309" s="341"/>
      <c r="I309" s="240"/>
      <c r="J309" s="343"/>
      <c r="K309" s="261"/>
      <c r="L309" s="342"/>
      <c r="M309" s="262"/>
      <c r="N309" s="228"/>
      <c r="O309" s="229"/>
    </row>
    <row r="310" ht="22.5" customHeight="1">
      <c r="A310" s="346"/>
      <c r="B310" s="218"/>
      <c r="C310" s="218"/>
      <c r="D310" s="338"/>
      <c r="E310" s="345"/>
      <c r="F310" s="344"/>
      <c r="G310" s="336"/>
      <c r="H310" s="341"/>
      <c r="I310" s="240"/>
      <c r="J310" s="343"/>
      <c r="K310" s="261"/>
      <c r="L310" s="342"/>
      <c r="M310" s="262"/>
      <c r="N310" s="228"/>
      <c r="O310" s="229"/>
    </row>
    <row r="311" ht="22.5" customHeight="1">
      <c r="A311" s="346"/>
      <c r="B311" s="218"/>
      <c r="C311" s="218"/>
      <c r="D311" s="338"/>
      <c r="E311" s="345"/>
      <c r="F311" s="344"/>
      <c r="G311" s="336"/>
      <c r="H311" s="341"/>
      <c r="I311" s="240"/>
      <c r="J311" s="343"/>
      <c r="K311" s="261"/>
      <c r="L311" s="342"/>
      <c r="M311" s="262"/>
      <c r="N311" s="228"/>
      <c r="O311" s="229"/>
    </row>
    <row r="312" ht="22.5" customHeight="1">
      <c r="A312" s="346"/>
      <c r="B312" s="218"/>
      <c r="C312" s="218"/>
      <c r="D312" s="338"/>
      <c r="E312" s="345"/>
      <c r="F312" s="344"/>
      <c r="G312" s="336"/>
      <c r="H312" s="341"/>
      <c r="I312" s="240"/>
      <c r="J312" s="343"/>
      <c r="K312" s="261"/>
      <c r="L312" s="342"/>
      <c r="M312" s="262"/>
      <c r="N312" s="228"/>
      <c r="O312" s="229"/>
    </row>
    <row r="313" ht="22.5" customHeight="1">
      <c r="A313" s="346"/>
      <c r="B313" s="218"/>
      <c r="C313" s="218"/>
      <c r="D313" s="338"/>
      <c r="E313" s="345"/>
      <c r="F313" s="344"/>
      <c r="G313" s="336"/>
      <c r="H313" s="341"/>
      <c r="I313" s="240"/>
      <c r="J313" s="343"/>
      <c r="K313" s="261"/>
      <c r="L313" s="342"/>
      <c r="M313" s="262"/>
      <c r="N313" s="228"/>
      <c r="O313" s="229"/>
    </row>
    <row r="314" ht="22.5" customHeight="1">
      <c r="A314" s="346"/>
      <c r="B314" s="218"/>
      <c r="C314" s="218"/>
      <c r="D314" s="338"/>
      <c r="E314" s="345"/>
      <c r="F314" s="344"/>
      <c r="G314" s="336"/>
      <c r="H314" s="341"/>
      <c r="I314" s="240"/>
      <c r="J314" s="343"/>
      <c r="K314" s="261"/>
      <c r="L314" s="342"/>
      <c r="M314" s="262"/>
      <c r="N314" s="228"/>
      <c r="O314" s="229"/>
    </row>
    <row r="315" ht="22.5" customHeight="1">
      <c r="A315" s="346"/>
      <c r="B315" s="218"/>
      <c r="C315" s="218"/>
      <c r="D315" s="338"/>
      <c r="E315" s="345"/>
      <c r="F315" s="344"/>
      <c r="G315" s="336"/>
      <c r="H315" s="341"/>
      <c r="I315" s="240"/>
      <c r="J315" s="343"/>
      <c r="K315" s="261"/>
      <c r="L315" s="342"/>
      <c r="M315" s="262"/>
      <c r="N315" s="228"/>
      <c r="O315" s="229"/>
    </row>
    <row r="316" ht="22.5" customHeight="1">
      <c r="A316" s="346"/>
      <c r="B316" s="218"/>
      <c r="C316" s="218"/>
      <c r="D316" s="338"/>
      <c r="E316" s="345"/>
      <c r="F316" s="344"/>
      <c r="G316" s="336"/>
      <c r="H316" s="341"/>
      <c r="I316" s="240"/>
      <c r="J316" s="343"/>
      <c r="K316" s="261"/>
      <c r="L316" s="342"/>
      <c r="M316" s="262"/>
      <c r="N316" s="228"/>
      <c r="O316" s="229"/>
    </row>
    <row r="317" ht="22.5" customHeight="1">
      <c r="A317" s="346"/>
      <c r="B317" s="218"/>
      <c r="C317" s="218"/>
      <c r="D317" s="338"/>
      <c r="E317" s="345"/>
      <c r="F317" s="344"/>
      <c r="G317" s="336"/>
      <c r="H317" s="341"/>
      <c r="I317" s="240"/>
      <c r="J317" s="343"/>
      <c r="K317" s="261"/>
      <c r="L317" s="342"/>
      <c r="M317" s="262"/>
      <c r="N317" s="228"/>
      <c r="O317" s="229"/>
    </row>
    <row r="318" ht="22.5" customHeight="1">
      <c r="A318" s="346"/>
      <c r="B318" s="218"/>
      <c r="C318" s="218"/>
      <c r="D318" s="338"/>
      <c r="E318" s="345"/>
      <c r="F318" s="344"/>
      <c r="G318" s="336"/>
      <c r="H318" s="341"/>
      <c r="I318" s="240"/>
      <c r="J318" s="343"/>
      <c r="K318" s="261"/>
      <c r="L318" s="342"/>
      <c r="M318" s="262"/>
      <c r="N318" s="228"/>
      <c r="O318" s="229"/>
    </row>
    <row r="319" ht="22.5" customHeight="1">
      <c r="A319" s="346"/>
      <c r="B319" s="218"/>
      <c r="C319" s="218"/>
      <c r="D319" s="338"/>
      <c r="E319" s="345"/>
      <c r="F319" s="344"/>
      <c r="G319" s="336"/>
      <c r="H319" s="341"/>
      <c r="I319" s="240"/>
      <c r="J319" s="343"/>
      <c r="K319" s="261"/>
      <c r="L319" s="342"/>
      <c r="M319" s="262"/>
      <c r="N319" s="228"/>
      <c r="O319" s="229"/>
    </row>
    <row r="320" ht="22.5" customHeight="1">
      <c r="A320" s="346"/>
      <c r="B320" s="218"/>
      <c r="C320" s="218"/>
      <c r="D320" s="338"/>
      <c r="E320" s="345"/>
      <c r="F320" s="344"/>
      <c r="G320" s="336"/>
      <c r="H320" s="341"/>
      <c r="I320" s="240"/>
      <c r="J320" s="343"/>
      <c r="K320" s="261"/>
      <c r="L320" s="342"/>
      <c r="M320" s="262"/>
      <c r="N320" s="228"/>
      <c r="O320" s="229"/>
    </row>
    <row r="321" ht="22.5" customHeight="1">
      <c r="A321" s="346"/>
      <c r="B321" s="218"/>
      <c r="C321" s="218"/>
      <c r="D321" s="338"/>
      <c r="E321" s="345"/>
      <c r="F321" s="344"/>
      <c r="G321" s="336"/>
      <c r="H321" s="341"/>
      <c r="I321" s="240"/>
      <c r="J321" s="343"/>
      <c r="K321" s="261"/>
      <c r="L321" s="342"/>
      <c r="M321" s="262"/>
      <c r="N321" s="228"/>
      <c r="O321" s="229"/>
    </row>
    <row r="322" ht="22.5" customHeight="1">
      <c r="A322" s="346"/>
      <c r="B322" s="218"/>
      <c r="C322" s="218"/>
      <c r="D322" s="338"/>
      <c r="E322" s="345"/>
      <c r="F322" s="344"/>
      <c r="G322" s="336"/>
      <c r="H322" s="341"/>
      <c r="I322" s="240"/>
      <c r="J322" s="343"/>
      <c r="K322" s="261"/>
      <c r="L322" s="342"/>
      <c r="M322" s="262"/>
      <c r="N322" s="228"/>
      <c r="O322" s="229"/>
    </row>
    <row r="323" ht="22.5" customHeight="1">
      <c r="A323" s="346"/>
      <c r="B323" s="218"/>
      <c r="C323" s="218"/>
      <c r="D323" s="338"/>
      <c r="E323" s="345"/>
      <c r="F323" s="344"/>
      <c r="G323" s="336"/>
      <c r="H323" s="341"/>
      <c r="I323" s="240"/>
      <c r="J323" s="343"/>
      <c r="K323" s="261"/>
      <c r="L323" s="342"/>
      <c r="M323" s="262"/>
      <c r="N323" s="228"/>
      <c r="O323" s="229"/>
    </row>
    <row r="324" ht="22.5" customHeight="1">
      <c r="A324" s="346"/>
      <c r="B324" s="218"/>
      <c r="C324" s="218"/>
      <c r="D324" s="338"/>
      <c r="E324" s="345"/>
      <c r="F324" s="344"/>
      <c r="G324" s="336"/>
      <c r="H324" s="341"/>
      <c r="I324" s="240"/>
      <c r="J324" s="343"/>
      <c r="K324" s="261"/>
      <c r="L324" s="342"/>
      <c r="M324" s="262"/>
      <c r="N324" s="228"/>
      <c r="O324" s="229"/>
    </row>
    <row r="325" ht="22.5" customHeight="1">
      <c r="A325" s="346"/>
      <c r="B325" s="218"/>
      <c r="C325" s="218"/>
      <c r="D325" s="338"/>
      <c r="E325" s="345"/>
      <c r="F325" s="344"/>
      <c r="G325" s="336"/>
      <c r="H325" s="341"/>
      <c r="I325" s="240"/>
      <c r="J325" s="343"/>
      <c r="K325" s="261"/>
      <c r="L325" s="342"/>
      <c r="M325" s="262"/>
      <c r="N325" s="228"/>
      <c r="O325" s="229"/>
    </row>
    <row r="326" ht="22.5" customHeight="1">
      <c r="A326" s="346"/>
      <c r="B326" s="218"/>
      <c r="C326" s="218"/>
      <c r="D326" s="338"/>
      <c r="E326" s="345"/>
      <c r="F326" s="344"/>
      <c r="G326" s="336"/>
      <c r="H326" s="341"/>
      <c r="I326" s="240"/>
      <c r="J326" s="343"/>
      <c r="K326" s="261"/>
      <c r="L326" s="342"/>
      <c r="M326" s="262"/>
      <c r="N326" s="228"/>
      <c r="O326" s="229"/>
    </row>
    <row r="327" ht="22.5" customHeight="1">
      <c r="A327" s="346"/>
      <c r="B327" s="218"/>
      <c r="C327" s="218"/>
      <c r="D327" s="338"/>
      <c r="E327" s="345"/>
      <c r="F327" s="344"/>
      <c r="G327" s="336"/>
      <c r="H327" s="341"/>
      <c r="I327" s="240"/>
      <c r="J327" s="343"/>
      <c r="K327" s="261"/>
      <c r="L327" s="342"/>
      <c r="M327" s="262"/>
      <c r="N327" s="228"/>
      <c r="O327" s="229"/>
    </row>
    <row r="328" ht="22.5" customHeight="1">
      <c r="A328" s="346"/>
      <c r="B328" s="218"/>
      <c r="C328" s="218"/>
      <c r="D328" s="338"/>
      <c r="E328" s="345"/>
      <c r="F328" s="344"/>
      <c r="G328" s="336"/>
      <c r="H328" s="341"/>
      <c r="I328" s="240"/>
      <c r="J328" s="343"/>
      <c r="K328" s="261"/>
      <c r="L328" s="342"/>
      <c r="M328" s="262"/>
      <c r="N328" s="228"/>
      <c r="O328" s="229"/>
    </row>
    <row r="329" ht="22.5" customHeight="1">
      <c r="A329" s="346"/>
      <c r="B329" s="218"/>
      <c r="C329" s="218"/>
      <c r="D329" s="338"/>
      <c r="E329" s="345"/>
      <c r="F329" s="344"/>
      <c r="G329" s="336"/>
      <c r="H329" s="341"/>
      <c r="I329" s="240"/>
      <c r="J329" s="343"/>
      <c r="K329" s="261"/>
      <c r="L329" s="342"/>
      <c r="M329" s="262"/>
      <c r="N329" s="228"/>
      <c r="O329" s="229"/>
    </row>
    <row r="330" ht="22.5" customHeight="1">
      <c r="A330" s="346"/>
      <c r="B330" s="218"/>
      <c r="C330" s="218"/>
      <c r="D330" s="338"/>
      <c r="E330" s="345"/>
      <c r="F330" s="344"/>
      <c r="G330" s="336"/>
      <c r="H330" s="341"/>
      <c r="I330" s="240"/>
      <c r="J330" s="343"/>
      <c r="K330" s="261"/>
      <c r="L330" s="342"/>
      <c r="M330" s="262"/>
      <c r="N330" s="228"/>
      <c r="O330" s="229"/>
    </row>
    <row r="331" ht="22.5" customHeight="1">
      <c r="A331" s="346"/>
      <c r="B331" s="218"/>
      <c r="C331" s="218"/>
      <c r="D331" s="338"/>
      <c r="E331" s="345"/>
      <c r="F331" s="344"/>
      <c r="G331" s="336"/>
      <c r="H331" s="341"/>
      <c r="I331" s="240"/>
      <c r="J331" s="343"/>
      <c r="K331" s="261"/>
      <c r="L331" s="342"/>
      <c r="M331" s="262"/>
      <c r="N331" s="228"/>
      <c r="O331" s="229"/>
    </row>
    <row r="332" ht="22.5" customHeight="1">
      <c r="A332" s="346"/>
      <c r="B332" s="218"/>
      <c r="C332" s="218"/>
      <c r="D332" s="338"/>
      <c r="E332" s="345"/>
      <c r="F332" s="344"/>
      <c r="G332" s="336"/>
      <c r="H332" s="341"/>
      <c r="I332" s="240"/>
      <c r="J332" s="343"/>
      <c r="K332" s="261"/>
      <c r="L332" s="342"/>
      <c r="M332" s="262"/>
      <c r="N332" s="228"/>
      <c r="O332" s="229"/>
    </row>
    <row r="333" ht="22.5" customHeight="1">
      <c r="A333" s="346"/>
      <c r="B333" s="218"/>
      <c r="C333" s="218"/>
      <c r="D333" s="338"/>
      <c r="E333" s="345"/>
      <c r="F333" s="344"/>
      <c r="G333" s="336"/>
      <c r="H333" s="341"/>
      <c r="I333" s="240"/>
      <c r="J333" s="343"/>
      <c r="K333" s="261"/>
      <c r="L333" s="342"/>
      <c r="M333" s="262"/>
      <c r="N333" s="228"/>
      <c r="O333" s="229"/>
    </row>
    <row r="334" ht="22.5" customHeight="1">
      <c r="A334" s="346"/>
      <c r="B334" s="218"/>
      <c r="C334" s="218"/>
      <c r="D334" s="338"/>
      <c r="E334" s="345"/>
      <c r="F334" s="344"/>
      <c r="G334" s="336"/>
      <c r="H334" s="341"/>
      <c r="I334" s="240"/>
      <c r="J334" s="343"/>
      <c r="K334" s="261"/>
      <c r="L334" s="342"/>
      <c r="M334" s="262"/>
      <c r="N334" s="228"/>
      <c r="O334" s="229"/>
    </row>
    <row r="335" ht="22.5" customHeight="1">
      <c r="A335" s="346"/>
      <c r="B335" s="218"/>
      <c r="C335" s="218"/>
      <c r="D335" s="338"/>
      <c r="E335" s="345"/>
      <c r="F335" s="344"/>
      <c r="G335" s="336"/>
      <c r="H335" s="341"/>
      <c r="I335" s="240"/>
      <c r="J335" s="343"/>
      <c r="K335" s="261"/>
      <c r="L335" s="342"/>
      <c r="M335" s="262"/>
      <c r="N335" s="228"/>
      <c r="O335" s="229"/>
    </row>
    <row r="336" ht="22.5" customHeight="1">
      <c r="A336" s="346"/>
      <c r="B336" s="218"/>
      <c r="C336" s="218"/>
      <c r="D336" s="338"/>
      <c r="E336" s="345"/>
      <c r="F336" s="344"/>
      <c r="G336" s="336"/>
      <c r="H336" s="341"/>
      <c r="I336" s="240"/>
      <c r="J336" s="343"/>
      <c r="K336" s="261"/>
      <c r="L336" s="342"/>
      <c r="M336" s="262"/>
      <c r="N336" s="228"/>
      <c r="O336" s="229"/>
    </row>
    <row r="337" ht="22.5" customHeight="1">
      <c r="A337" s="346"/>
      <c r="B337" s="218"/>
      <c r="C337" s="218"/>
      <c r="D337" s="338"/>
      <c r="E337" s="345"/>
      <c r="F337" s="344"/>
      <c r="G337" s="336"/>
      <c r="H337" s="341"/>
      <c r="I337" s="240"/>
      <c r="J337" s="343"/>
      <c r="K337" s="261"/>
      <c r="L337" s="342"/>
      <c r="M337" s="262"/>
      <c r="N337" s="228"/>
      <c r="O337" s="229"/>
    </row>
    <row r="338" ht="22.5" customHeight="1">
      <c r="A338" s="346"/>
      <c r="B338" s="218"/>
      <c r="C338" s="218"/>
      <c r="D338" s="338"/>
      <c r="E338" s="345"/>
      <c r="F338" s="344"/>
      <c r="G338" s="336"/>
      <c r="H338" s="341"/>
      <c r="I338" s="240"/>
      <c r="J338" s="343"/>
      <c r="K338" s="261"/>
      <c r="L338" s="342"/>
      <c r="M338" s="262"/>
      <c r="N338" s="228"/>
      <c r="O338" s="229"/>
    </row>
    <row r="339" ht="22.5" customHeight="1">
      <c r="A339" s="346"/>
      <c r="B339" s="218"/>
      <c r="C339" s="218"/>
      <c r="D339" s="338"/>
      <c r="E339" s="345"/>
      <c r="F339" s="344"/>
      <c r="G339" s="336"/>
      <c r="H339" s="341"/>
      <c r="I339" s="240"/>
      <c r="J339" s="343"/>
      <c r="K339" s="261"/>
      <c r="L339" s="342"/>
      <c r="M339" s="262"/>
      <c r="N339" s="228"/>
      <c r="O339" s="229"/>
    </row>
    <row r="340" ht="22.5" customHeight="1">
      <c r="A340" s="346"/>
      <c r="B340" s="218"/>
      <c r="C340" s="218"/>
      <c r="D340" s="338"/>
      <c r="E340" s="345"/>
      <c r="F340" s="344"/>
      <c r="G340" s="336"/>
      <c r="H340" s="341"/>
      <c r="I340" s="240"/>
      <c r="J340" s="343"/>
      <c r="K340" s="261"/>
      <c r="L340" s="342"/>
      <c r="M340" s="262"/>
      <c r="N340" s="228"/>
      <c r="O340" s="229"/>
    </row>
    <row r="341" ht="22.5" customHeight="1">
      <c r="A341" s="346"/>
      <c r="B341" s="218"/>
      <c r="C341" s="218"/>
      <c r="D341" s="338"/>
      <c r="E341" s="345"/>
      <c r="F341" s="344"/>
      <c r="G341" s="336"/>
      <c r="H341" s="341"/>
      <c r="I341" s="240"/>
      <c r="J341" s="343"/>
      <c r="K341" s="261"/>
      <c r="L341" s="342"/>
      <c r="M341" s="262"/>
      <c r="N341" s="228"/>
      <c r="O341" s="229"/>
    </row>
    <row r="342" ht="22.5" customHeight="1">
      <c r="A342" s="346"/>
      <c r="B342" s="218"/>
      <c r="C342" s="218"/>
      <c r="D342" s="338"/>
      <c r="E342" s="345"/>
      <c r="F342" s="344"/>
      <c r="G342" s="336"/>
      <c r="H342" s="341"/>
      <c r="I342" s="240"/>
      <c r="J342" s="343"/>
      <c r="K342" s="261"/>
      <c r="L342" s="342"/>
      <c r="M342" s="262"/>
      <c r="N342" s="228"/>
      <c r="O342" s="229"/>
    </row>
    <row r="343" ht="22.5" customHeight="1">
      <c r="A343" s="346"/>
      <c r="B343" s="218"/>
      <c r="C343" s="218"/>
      <c r="D343" s="338"/>
      <c r="E343" s="345"/>
      <c r="F343" s="344"/>
      <c r="G343" s="336"/>
      <c r="H343" s="341"/>
      <c r="I343" s="240"/>
      <c r="J343" s="343"/>
      <c r="K343" s="261"/>
      <c r="L343" s="342"/>
      <c r="M343" s="262"/>
      <c r="N343" s="228"/>
      <c r="O343" s="229"/>
    </row>
    <row r="344" ht="22.5" customHeight="1">
      <c r="A344" s="346"/>
      <c r="B344" s="218"/>
      <c r="C344" s="218"/>
      <c r="D344" s="338"/>
      <c r="E344" s="345"/>
      <c r="F344" s="344"/>
      <c r="G344" s="336"/>
      <c r="H344" s="341"/>
      <c r="I344" s="240"/>
      <c r="J344" s="343"/>
      <c r="K344" s="261"/>
      <c r="L344" s="342"/>
      <c r="M344" s="262"/>
      <c r="N344" s="228"/>
      <c r="O344" s="229"/>
    </row>
    <row r="345" ht="22.5" customHeight="1">
      <c r="A345" s="346"/>
      <c r="B345" s="218"/>
      <c r="C345" s="218"/>
      <c r="D345" s="338"/>
      <c r="E345" s="345"/>
      <c r="F345" s="344"/>
      <c r="G345" s="336"/>
      <c r="H345" s="341"/>
      <c r="I345" s="240"/>
      <c r="J345" s="343"/>
      <c r="K345" s="261"/>
      <c r="L345" s="342"/>
      <c r="M345" s="262"/>
      <c r="N345" s="228"/>
      <c r="O345" s="229"/>
    </row>
    <row r="346" ht="22.5" customHeight="1">
      <c r="A346" s="346"/>
      <c r="B346" s="218"/>
      <c r="C346" s="218"/>
      <c r="D346" s="338"/>
      <c r="E346" s="345"/>
      <c r="F346" s="344"/>
      <c r="G346" s="336"/>
      <c r="H346" s="341"/>
      <c r="I346" s="240"/>
      <c r="J346" s="343"/>
      <c r="K346" s="261"/>
      <c r="L346" s="342"/>
      <c r="M346" s="262"/>
      <c r="N346" s="228"/>
      <c r="O346" s="229"/>
    </row>
    <row r="347" ht="22.5" customHeight="1">
      <c r="A347" s="346"/>
      <c r="B347" s="218"/>
      <c r="C347" s="218"/>
      <c r="D347" s="338"/>
      <c r="E347" s="345"/>
      <c r="F347" s="344"/>
      <c r="G347" s="336"/>
      <c r="H347" s="341"/>
      <c r="I347" s="240"/>
      <c r="J347" s="343"/>
      <c r="K347" s="261"/>
      <c r="L347" s="342"/>
      <c r="M347" s="262"/>
      <c r="N347" s="228"/>
      <c r="O347" s="229"/>
    </row>
    <row r="348" ht="22.5" customHeight="1">
      <c r="A348" s="346"/>
      <c r="B348" s="218"/>
      <c r="C348" s="218"/>
      <c r="D348" s="338"/>
      <c r="E348" s="345"/>
      <c r="F348" s="344"/>
      <c r="G348" s="336"/>
      <c r="H348" s="341"/>
      <c r="I348" s="240"/>
      <c r="J348" s="343"/>
      <c r="K348" s="261"/>
      <c r="L348" s="342"/>
      <c r="M348" s="262"/>
      <c r="N348" s="228"/>
      <c r="O348" s="229"/>
    </row>
    <row r="349" ht="22.5" customHeight="1">
      <c r="A349" s="346"/>
      <c r="B349" s="218"/>
      <c r="C349" s="218"/>
      <c r="D349" s="338"/>
      <c r="E349" s="345"/>
      <c r="F349" s="344"/>
      <c r="G349" s="336"/>
      <c r="H349" s="341"/>
      <c r="I349" s="240"/>
      <c r="J349" s="343"/>
      <c r="K349" s="261"/>
      <c r="L349" s="342"/>
      <c r="M349" s="262"/>
      <c r="N349" s="228"/>
      <c r="O349" s="229"/>
    </row>
    <row r="350" ht="22.5" customHeight="1">
      <c r="A350" s="346"/>
      <c r="B350" s="218"/>
      <c r="C350" s="218"/>
      <c r="D350" s="338"/>
      <c r="E350" s="345"/>
      <c r="F350" s="344"/>
      <c r="G350" s="336"/>
      <c r="H350" s="341"/>
      <c r="I350" s="240"/>
      <c r="J350" s="343"/>
      <c r="K350" s="261"/>
      <c r="L350" s="342"/>
      <c r="M350" s="262"/>
      <c r="N350" s="228"/>
      <c r="O350" s="229"/>
    </row>
    <row r="351" ht="22.5" customHeight="1">
      <c r="A351" s="346"/>
      <c r="B351" s="218"/>
      <c r="C351" s="218"/>
      <c r="D351" s="338"/>
      <c r="E351" s="345"/>
      <c r="F351" s="344"/>
      <c r="G351" s="336"/>
      <c r="H351" s="341"/>
      <c r="I351" s="240"/>
      <c r="J351" s="343"/>
      <c r="K351" s="261"/>
      <c r="L351" s="342"/>
      <c r="M351" s="262"/>
      <c r="N351" s="228"/>
      <c r="O351" s="229"/>
    </row>
    <row r="352" ht="22.5" customHeight="1">
      <c r="A352" s="346"/>
      <c r="B352" s="218"/>
      <c r="C352" s="218"/>
      <c r="D352" s="338"/>
      <c r="E352" s="345"/>
      <c r="F352" s="344"/>
      <c r="G352" s="336"/>
      <c r="H352" s="341"/>
      <c r="I352" s="240"/>
      <c r="J352" s="343"/>
      <c r="K352" s="261"/>
      <c r="L352" s="342"/>
      <c r="M352" s="262"/>
      <c r="N352" s="228"/>
      <c r="O352" s="229"/>
    </row>
    <row r="353" ht="22.5" customHeight="1">
      <c r="A353" s="346"/>
      <c r="B353" s="218"/>
      <c r="C353" s="218"/>
      <c r="D353" s="338"/>
      <c r="E353" s="345"/>
      <c r="F353" s="344"/>
      <c r="G353" s="336"/>
      <c r="H353" s="341"/>
      <c r="I353" s="240"/>
      <c r="J353" s="343"/>
      <c r="K353" s="261"/>
      <c r="L353" s="342"/>
      <c r="M353" s="262"/>
      <c r="N353" s="228"/>
      <c r="O353" s="229"/>
    </row>
    <row r="354" ht="22.5" customHeight="1">
      <c r="A354" s="346"/>
      <c r="B354" s="218"/>
      <c r="C354" s="218"/>
      <c r="D354" s="338"/>
      <c r="E354" s="345"/>
      <c r="F354" s="344"/>
      <c r="G354" s="336"/>
      <c r="H354" s="341"/>
      <c r="I354" s="240"/>
      <c r="J354" s="343"/>
      <c r="K354" s="261"/>
      <c r="L354" s="342"/>
      <c r="M354" s="262"/>
      <c r="N354" s="228"/>
      <c r="O354" s="229"/>
    </row>
    <row r="355" ht="22.5" customHeight="1">
      <c r="A355" s="346"/>
      <c r="B355" s="218"/>
      <c r="C355" s="218"/>
      <c r="D355" s="338"/>
      <c r="E355" s="345"/>
      <c r="F355" s="344"/>
      <c r="G355" s="336"/>
      <c r="H355" s="341"/>
      <c r="I355" s="240"/>
      <c r="J355" s="343"/>
      <c r="K355" s="261"/>
      <c r="L355" s="342"/>
      <c r="M355" s="262"/>
      <c r="N355" s="228"/>
      <c r="O355" s="229"/>
    </row>
    <row r="356" ht="22.5" customHeight="1">
      <c r="A356" s="346"/>
      <c r="B356" s="218"/>
      <c r="C356" s="218"/>
      <c r="D356" s="338"/>
      <c r="E356" s="345"/>
      <c r="F356" s="344"/>
      <c r="G356" s="336"/>
      <c r="H356" s="341"/>
      <c r="I356" s="240"/>
      <c r="J356" s="343"/>
      <c r="K356" s="261"/>
      <c r="L356" s="342"/>
      <c r="M356" s="262"/>
      <c r="N356" s="228"/>
      <c r="O356" s="229"/>
    </row>
    <row r="357" ht="22.5" customHeight="1">
      <c r="A357" s="346"/>
      <c r="B357" s="218"/>
      <c r="C357" s="218"/>
      <c r="D357" s="338"/>
      <c r="E357" s="345"/>
      <c r="F357" s="344"/>
      <c r="G357" s="336"/>
      <c r="H357" s="341"/>
      <c r="I357" s="240"/>
      <c r="J357" s="343"/>
      <c r="K357" s="261"/>
      <c r="L357" s="342"/>
      <c r="M357" s="262"/>
      <c r="N357" s="228"/>
      <c r="O357" s="229"/>
    </row>
    <row r="358" ht="22.5" customHeight="1">
      <c r="A358" s="346"/>
      <c r="B358" s="218"/>
      <c r="C358" s="218"/>
      <c r="D358" s="338"/>
      <c r="E358" s="345"/>
      <c r="F358" s="344"/>
      <c r="G358" s="336"/>
      <c r="H358" s="341"/>
      <c r="I358" s="240"/>
      <c r="J358" s="343"/>
      <c r="K358" s="261"/>
      <c r="L358" s="342"/>
      <c r="M358" s="262"/>
      <c r="N358" s="228"/>
      <c r="O358" s="229"/>
    </row>
    <row r="359" ht="22.5" customHeight="1">
      <c r="A359" s="346"/>
      <c r="B359" s="218"/>
      <c r="C359" s="218"/>
      <c r="D359" s="338"/>
      <c r="E359" s="345"/>
      <c r="F359" s="344"/>
      <c r="G359" s="336"/>
      <c r="H359" s="341"/>
      <c r="I359" s="240"/>
      <c r="J359" s="343"/>
      <c r="K359" s="261"/>
      <c r="L359" s="342"/>
      <c r="M359" s="262"/>
      <c r="N359" s="228"/>
      <c r="O359" s="229"/>
    </row>
    <row r="360" ht="22.5" customHeight="1">
      <c r="A360" s="346"/>
      <c r="B360" s="218"/>
      <c r="C360" s="218"/>
      <c r="D360" s="338"/>
      <c r="E360" s="345"/>
      <c r="F360" s="344"/>
      <c r="G360" s="336"/>
      <c r="H360" s="341"/>
      <c r="I360" s="240"/>
      <c r="J360" s="343"/>
      <c r="K360" s="261"/>
      <c r="L360" s="342"/>
      <c r="M360" s="262"/>
      <c r="N360" s="228"/>
      <c r="O360" s="229"/>
    </row>
    <row r="361" ht="22.5" customHeight="1">
      <c r="A361" s="346"/>
      <c r="B361" s="218"/>
      <c r="C361" s="218"/>
      <c r="D361" s="338"/>
      <c r="E361" s="345"/>
      <c r="F361" s="344"/>
      <c r="G361" s="336"/>
      <c r="H361" s="341"/>
      <c r="I361" s="240"/>
      <c r="J361" s="343"/>
      <c r="K361" s="261"/>
      <c r="L361" s="342"/>
      <c r="M361" s="262"/>
      <c r="N361" s="228"/>
      <c r="O361" s="229"/>
    </row>
    <row r="362" ht="22.5" customHeight="1">
      <c r="A362" s="346"/>
      <c r="B362" s="218"/>
      <c r="C362" s="218"/>
      <c r="D362" s="338"/>
      <c r="E362" s="345"/>
      <c r="F362" s="344"/>
      <c r="G362" s="336"/>
      <c r="H362" s="341"/>
      <c r="I362" s="240"/>
      <c r="J362" s="343"/>
      <c r="K362" s="261"/>
      <c r="L362" s="342"/>
      <c r="M362" s="262"/>
      <c r="N362" s="228"/>
      <c r="O362" s="229"/>
    </row>
    <row r="363" ht="22.5" customHeight="1">
      <c r="A363" s="346"/>
      <c r="B363" s="218"/>
      <c r="C363" s="218"/>
      <c r="D363" s="338"/>
      <c r="E363" s="345"/>
      <c r="F363" s="344"/>
      <c r="G363" s="336"/>
      <c r="H363" s="341"/>
      <c r="I363" s="240"/>
      <c r="J363" s="343"/>
      <c r="K363" s="261"/>
      <c r="L363" s="342"/>
      <c r="M363" s="262"/>
      <c r="N363" s="228"/>
      <c r="O363" s="229"/>
    </row>
    <row r="364" ht="22.5" customHeight="1">
      <c r="A364" s="346"/>
      <c r="B364" s="218"/>
      <c r="C364" s="218"/>
      <c r="D364" s="338"/>
      <c r="E364" s="345"/>
      <c r="F364" s="344"/>
      <c r="G364" s="336"/>
      <c r="H364" s="341"/>
      <c r="I364" s="240"/>
      <c r="J364" s="343"/>
      <c r="K364" s="261"/>
      <c r="L364" s="342"/>
      <c r="M364" s="262"/>
      <c r="N364" s="228"/>
      <c r="O364" s="229"/>
    </row>
    <row r="365" ht="22.5" customHeight="1">
      <c r="A365" s="346"/>
      <c r="B365" s="218"/>
      <c r="C365" s="218"/>
      <c r="D365" s="338"/>
      <c r="E365" s="345"/>
      <c r="F365" s="344"/>
      <c r="G365" s="336"/>
      <c r="H365" s="341"/>
      <c r="I365" s="240"/>
      <c r="J365" s="343"/>
      <c r="K365" s="261"/>
      <c r="L365" s="342"/>
      <c r="M365" s="262"/>
      <c r="N365" s="228"/>
      <c r="O365" s="229"/>
    </row>
    <row r="366" ht="22.5" customHeight="1">
      <c r="A366" s="346"/>
      <c r="B366" s="218"/>
      <c r="C366" s="218"/>
      <c r="D366" s="338"/>
      <c r="E366" s="345"/>
      <c r="F366" s="344"/>
      <c r="G366" s="336"/>
      <c r="H366" s="341"/>
      <c r="I366" s="240"/>
      <c r="J366" s="343"/>
      <c r="K366" s="261"/>
      <c r="L366" s="342"/>
      <c r="M366" s="262"/>
      <c r="N366" s="228"/>
      <c r="O366" s="229"/>
    </row>
    <row r="367" ht="22.5" customHeight="1">
      <c r="A367" s="346"/>
      <c r="B367" s="218"/>
      <c r="C367" s="218"/>
      <c r="D367" s="338"/>
      <c r="E367" s="345"/>
      <c r="F367" s="344"/>
      <c r="G367" s="336"/>
      <c r="H367" s="341"/>
      <c r="I367" s="240"/>
      <c r="J367" s="343"/>
      <c r="K367" s="261"/>
      <c r="L367" s="342"/>
      <c r="M367" s="262"/>
      <c r="N367" s="228"/>
      <c r="O367" s="229"/>
    </row>
    <row r="368" ht="22.5" customHeight="1">
      <c r="A368" s="346"/>
      <c r="B368" s="218"/>
      <c r="C368" s="218"/>
      <c r="D368" s="338"/>
      <c r="E368" s="345"/>
      <c r="F368" s="344"/>
      <c r="G368" s="336"/>
      <c r="H368" s="341"/>
      <c r="I368" s="240"/>
      <c r="J368" s="343"/>
      <c r="K368" s="261"/>
      <c r="L368" s="342"/>
      <c r="M368" s="262"/>
      <c r="N368" s="228"/>
      <c r="O368" s="229"/>
    </row>
    <row r="369" ht="22.5" customHeight="1">
      <c r="A369" s="346"/>
      <c r="B369" s="218"/>
      <c r="C369" s="218"/>
      <c r="D369" s="338"/>
      <c r="E369" s="345"/>
      <c r="F369" s="344"/>
      <c r="G369" s="336"/>
      <c r="H369" s="341"/>
      <c r="I369" s="240"/>
      <c r="J369" s="343"/>
      <c r="K369" s="261"/>
      <c r="L369" s="342"/>
      <c r="M369" s="262"/>
      <c r="N369" s="228"/>
      <c r="O369" s="229"/>
    </row>
    <row r="370" ht="22.5" customHeight="1">
      <c r="A370" s="346"/>
      <c r="B370" s="218"/>
      <c r="C370" s="218"/>
      <c r="D370" s="338"/>
      <c r="E370" s="345"/>
      <c r="F370" s="344"/>
      <c r="G370" s="336"/>
      <c r="H370" s="341"/>
      <c r="I370" s="240"/>
      <c r="J370" s="343"/>
      <c r="K370" s="261"/>
      <c r="L370" s="342"/>
      <c r="M370" s="262"/>
      <c r="N370" s="228"/>
      <c r="O370" s="229"/>
    </row>
    <row r="371" ht="22.5" customHeight="1">
      <c r="A371" s="346"/>
      <c r="B371" s="218"/>
      <c r="C371" s="218"/>
      <c r="D371" s="338"/>
      <c r="E371" s="345"/>
      <c r="F371" s="344"/>
      <c r="G371" s="336"/>
      <c r="H371" s="341"/>
      <c r="I371" s="240"/>
      <c r="J371" s="343"/>
      <c r="K371" s="261"/>
      <c r="L371" s="342"/>
      <c r="M371" s="262"/>
      <c r="N371" s="228"/>
      <c r="O371" s="229"/>
    </row>
    <row r="372" ht="22.5" customHeight="1">
      <c r="A372" s="346"/>
      <c r="B372" s="218"/>
      <c r="C372" s="218"/>
      <c r="D372" s="338"/>
      <c r="E372" s="345"/>
      <c r="F372" s="344"/>
      <c r="G372" s="336"/>
      <c r="H372" s="341"/>
      <c r="I372" s="240"/>
      <c r="J372" s="343"/>
      <c r="K372" s="261"/>
      <c r="L372" s="342"/>
      <c r="M372" s="262"/>
      <c r="N372" s="228"/>
      <c r="O372" s="229"/>
    </row>
    <row r="373" ht="22.5" customHeight="1">
      <c r="A373" s="346"/>
      <c r="B373" s="218"/>
      <c r="C373" s="218"/>
      <c r="D373" s="338"/>
      <c r="E373" s="345"/>
      <c r="F373" s="344"/>
      <c r="G373" s="336"/>
      <c r="H373" s="341"/>
      <c r="I373" s="240"/>
      <c r="J373" s="343"/>
      <c r="K373" s="261"/>
      <c r="L373" s="342"/>
      <c r="M373" s="262"/>
      <c r="N373" s="228"/>
      <c r="O373" s="229"/>
    </row>
    <row r="374" ht="22.5" customHeight="1">
      <c r="A374" s="346"/>
      <c r="B374" s="218"/>
      <c r="C374" s="218"/>
      <c r="D374" s="338"/>
      <c r="E374" s="345"/>
      <c r="F374" s="344"/>
      <c r="G374" s="336"/>
      <c r="H374" s="341"/>
      <c r="I374" s="240"/>
      <c r="J374" s="343"/>
      <c r="K374" s="261"/>
      <c r="L374" s="342"/>
      <c r="M374" s="262"/>
      <c r="N374" s="228"/>
      <c r="O374" s="229"/>
    </row>
    <row r="375" ht="22.5" customHeight="1">
      <c r="A375" s="346"/>
      <c r="B375" s="218"/>
      <c r="C375" s="218"/>
      <c r="D375" s="338"/>
      <c r="E375" s="345"/>
      <c r="F375" s="344"/>
      <c r="G375" s="336"/>
      <c r="H375" s="341"/>
      <c r="I375" s="240"/>
      <c r="J375" s="343"/>
      <c r="K375" s="261"/>
      <c r="L375" s="342"/>
      <c r="M375" s="262"/>
      <c r="N375" s="228"/>
      <c r="O375" s="229"/>
    </row>
    <row r="376" ht="22.5" customHeight="1">
      <c r="A376" s="346"/>
      <c r="B376" s="218"/>
      <c r="C376" s="218"/>
      <c r="D376" s="338"/>
      <c r="E376" s="345"/>
      <c r="F376" s="344"/>
      <c r="G376" s="336"/>
      <c r="H376" s="341"/>
      <c r="I376" s="240"/>
      <c r="J376" s="343"/>
      <c r="K376" s="261"/>
      <c r="L376" s="342"/>
      <c r="M376" s="262"/>
      <c r="N376" s="228"/>
      <c r="O376" s="229"/>
    </row>
    <row r="377" ht="22.5" customHeight="1">
      <c r="A377" s="346"/>
      <c r="B377" s="218"/>
      <c r="C377" s="218"/>
      <c r="D377" s="338"/>
      <c r="E377" s="345"/>
      <c r="F377" s="344"/>
      <c r="G377" s="336"/>
      <c r="H377" s="341"/>
      <c r="I377" s="240"/>
      <c r="J377" s="343"/>
      <c r="K377" s="261"/>
      <c r="L377" s="342"/>
      <c r="M377" s="262"/>
      <c r="N377" s="228"/>
      <c r="O377" s="229"/>
    </row>
    <row r="378" ht="22.5" customHeight="1">
      <c r="A378" s="346"/>
      <c r="B378" s="218"/>
      <c r="C378" s="218"/>
      <c r="D378" s="338"/>
      <c r="E378" s="345"/>
      <c r="F378" s="344"/>
      <c r="G378" s="336"/>
      <c r="H378" s="341"/>
      <c r="I378" s="240"/>
      <c r="J378" s="343"/>
      <c r="K378" s="261"/>
      <c r="L378" s="342"/>
      <c r="M378" s="262"/>
      <c r="N378" s="228"/>
      <c r="O378" s="229"/>
    </row>
    <row r="379" ht="22.5" customHeight="1">
      <c r="A379" s="346"/>
      <c r="B379" s="218"/>
      <c r="C379" s="218"/>
      <c r="D379" s="338"/>
      <c r="E379" s="345"/>
      <c r="F379" s="344"/>
      <c r="G379" s="336"/>
      <c r="H379" s="341"/>
      <c r="I379" s="240"/>
      <c r="J379" s="343"/>
      <c r="K379" s="261"/>
      <c r="L379" s="342"/>
      <c r="M379" s="262"/>
      <c r="N379" s="228"/>
      <c r="O379" s="229"/>
    </row>
    <row r="380" ht="22.5" customHeight="1">
      <c r="A380" s="346"/>
      <c r="B380" s="218"/>
      <c r="C380" s="218"/>
      <c r="D380" s="338"/>
      <c r="E380" s="345"/>
      <c r="F380" s="344"/>
      <c r="G380" s="336"/>
      <c r="H380" s="341"/>
      <c r="I380" s="240"/>
      <c r="J380" s="343"/>
      <c r="K380" s="261"/>
      <c r="L380" s="342"/>
      <c r="M380" s="262"/>
      <c r="N380" s="228"/>
      <c r="O380" s="229"/>
    </row>
    <row r="381" ht="22.5" customHeight="1">
      <c r="A381" s="346"/>
      <c r="B381" s="218"/>
      <c r="C381" s="218"/>
      <c r="D381" s="338"/>
      <c r="E381" s="345"/>
      <c r="F381" s="344"/>
      <c r="G381" s="336"/>
      <c r="H381" s="341"/>
      <c r="I381" s="240"/>
      <c r="J381" s="343"/>
      <c r="K381" s="261"/>
      <c r="L381" s="342"/>
      <c r="M381" s="262"/>
      <c r="N381" s="228"/>
      <c r="O381" s="229"/>
    </row>
    <row r="382" ht="22.5" customHeight="1">
      <c r="A382" s="346"/>
      <c r="B382" s="218"/>
      <c r="C382" s="218"/>
      <c r="D382" s="338"/>
      <c r="E382" s="345"/>
      <c r="F382" s="344"/>
      <c r="G382" s="336"/>
      <c r="H382" s="341"/>
      <c r="I382" s="240"/>
      <c r="J382" s="343"/>
      <c r="K382" s="261"/>
      <c r="L382" s="342"/>
      <c r="M382" s="262"/>
      <c r="N382" s="228"/>
      <c r="O382" s="229"/>
    </row>
    <row r="383" ht="22.5" customHeight="1">
      <c r="A383" s="346"/>
      <c r="B383" s="218"/>
      <c r="C383" s="218"/>
      <c r="D383" s="338"/>
      <c r="E383" s="345"/>
      <c r="F383" s="344"/>
      <c r="G383" s="336"/>
      <c r="H383" s="341"/>
      <c r="I383" s="240"/>
      <c r="J383" s="343"/>
      <c r="K383" s="261"/>
      <c r="L383" s="342"/>
      <c r="M383" s="262"/>
      <c r="N383" s="228"/>
      <c r="O383" s="229"/>
    </row>
    <row r="384" ht="22.5" customHeight="1">
      <c r="A384" s="346"/>
      <c r="B384" s="218"/>
      <c r="C384" s="218"/>
      <c r="D384" s="338"/>
      <c r="E384" s="345"/>
      <c r="F384" s="344"/>
      <c r="G384" s="336"/>
      <c r="H384" s="341"/>
      <c r="I384" s="240"/>
      <c r="J384" s="343"/>
      <c r="K384" s="261"/>
      <c r="L384" s="342"/>
      <c r="M384" s="262"/>
      <c r="N384" s="228"/>
      <c r="O384" s="229"/>
    </row>
    <row r="385" ht="22.5" customHeight="1">
      <c r="A385" s="346"/>
      <c r="B385" s="218"/>
      <c r="C385" s="218"/>
      <c r="D385" s="338"/>
      <c r="E385" s="345"/>
      <c r="F385" s="344"/>
      <c r="G385" s="336"/>
      <c r="H385" s="341"/>
      <c r="I385" s="240"/>
      <c r="J385" s="343"/>
      <c r="K385" s="261"/>
      <c r="L385" s="342"/>
      <c r="M385" s="262"/>
      <c r="N385" s="228"/>
      <c r="O385" s="229"/>
    </row>
    <row r="386" ht="22.5" customHeight="1">
      <c r="A386" s="346"/>
      <c r="B386" s="218"/>
      <c r="C386" s="218"/>
      <c r="D386" s="338"/>
      <c r="E386" s="345"/>
      <c r="F386" s="344"/>
      <c r="G386" s="336"/>
      <c r="H386" s="341"/>
      <c r="I386" s="240"/>
      <c r="J386" s="343"/>
      <c r="K386" s="261"/>
      <c r="L386" s="342"/>
      <c r="M386" s="262"/>
      <c r="N386" s="228"/>
      <c r="O386" s="229"/>
    </row>
    <row r="387" ht="22.5" customHeight="1">
      <c r="A387" s="346"/>
      <c r="B387" s="218"/>
      <c r="C387" s="218"/>
      <c r="D387" s="338"/>
      <c r="E387" s="345"/>
      <c r="F387" s="344"/>
      <c r="G387" s="336"/>
      <c r="H387" s="341"/>
      <c r="I387" s="240"/>
      <c r="J387" s="343"/>
      <c r="K387" s="261"/>
      <c r="L387" s="342"/>
      <c r="M387" s="262"/>
      <c r="N387" s="228"/>
      <c r="O387" s="229"/>
    </row>
    <row r="388" ht="22.5" customHeight="1">
      <c r="A388" s="346"/>
      <c r="B388" s="218"/>
      <c r="C388" s="218"/>
      <c r="D388" s="338"/>
      <c r="E388" s="345"/>
      <c r="F388" s="344"/>
      <c r="G388" s="336"/>
      <c r="H388" s="341"/>
      <c r="I388" s="240"/>
      <c r="J388" s="343"/>
      <c r="K388" s="261"/>
      <c r="L388" s="342"/>
      <c r="M388" s="262"/>
      <c r="N388" s="228"/>
      <c r="O388" s="229"/>
    </row>
    <row r="389" ht="22.5" customHeight="1">
      <c r="A389" s="346"/>
      <c r="B389" s="218"/>
      <c r="C389" s="218"/>
      <c r="D389" s="338"/>
      <c r="E389" s="345"/>
      <c r="F389" s="344"/>
      <c r="G389" s="336"/>
      <c r="H389" s="341"/>
      <c r="I389" s="240"/>
      <c r="J389" s="343"/>
      <c r="K389" s="261"/>
      <c r="L389" s="342"/>
      <c r="M389" s="262"/>
      <c r="N389" s="228"/>
      <c r="O389" s="229"/>
    </row>
    <row r="390" ht="22.5" customHeight="1">
      <c r="A390" s="346"/>
      <c r="B390" s="218"/>
      <c r="C390" s="218"/>
      <c r="D390" s="338"/>
      <c r="E390" s="345"/>
      <c r="F390" s="344"/>
      <c r="G390" s="336"/>
      <c r="H390" s="341"/>
      <c r="I390" s="240"/>
      <c r="J390" s="343"/>
      <c r="K390" s="261"/>
      <c r="L390" s="342"/>
      <c r="M390" s="262"/>
      <c r="N390" s="228"/>
      <c r="O390" s="229"/>
    </row>
    <row r="391" ht="22.5" customHeight="1">
      <c r="A391" s="346"/>
      <c r="B391" s="218"/>
      <c r="C391" s="218"/>
      <c r="D391" s="338"/>
      <c r="E391" s="345"/>
      <c r="F391" s="344"/>
      <c r="G391" s="336"/>
      <c r="H391" s="341"/>
      <c r="I391" s="240"/>
      <c r="J391" s="343"/>
      <c r="K391" s="261"/>
      <c r="L391" s="342"/>
      <c r="M391" s="262"/>
      <c r="N391" s="228"/>
      <c r="O391" s="229"/>
    </row>
    <row r="392" ht="22.5" customHeight="1">
      <c r="A392" s="346"/>
      <c r="B392" s="218"/>
      <c r="C392" s="218"/>
      <c r="D392" s="338"/>
      <c r="E392" s="345"/>
      <c r="F392" s="344"/>
      <c r="G392" s="336"/>
      <c r="H392" s="341"/>
      <c r="I392" s="240"/>
      <c r="J392" s="343"/>
      <c r="K392" s="261"/>
      <c r="L392" s="342"/>
      <c r="M392" s="262"/>
      <c r="N392" s="228"/>
      <c r="O392" s="229"/>
    </row>
    <row r="393" ht="22.5" customHeight="1">
      <c r="A393" s="346"/>
      <c r="B393" s="218"/>
      <c r="C393" s="218"/>
      <c r="D393" s="338"/>
      <c r="E393" s="345"/>
      <c r="F393" s="344"/>
      <c r="G393" s="336"/>
      <c r="H393" s="341"/>
      <c r="I393" s="240"/>
      <c r="J393" s="343"/>
      <c r="K393" s="261"/>
      <c r="L393" s="342"/>
      <c r="M393" s="262"/>
      <c r="N393" s="228"/>
      <c r="O393" s="229"/>
    </row>
    <row r="394" ht="22.5" customHeight="1">
      <c r="A394" s="346"/>
      <c r="B394" s="218"/>
      <c r="C394" s="218"/>
      <c r="D394" s="338"/>
      <c r="E394" s="345"/>
      <c r="F394" s="344"/>
      <c r="G394" s="336"/>
      <c r="H394" s="341"/>
      <c r="I394" s="240"/>
      <c r="J394" s="343"/>
      <c r="K394" s="261"/>
      <c r="L394" s="342"/>
      <c r="M394" s="262"/>
      <c r="N394" s="228"/>
      <c r="O394" s="229"/>
    </row>
    <row r="395" ht="22.5" customHeight="1">
      <c r="A395" s="346"/>
      <c r="B395" s="218"/>
      <c r="C395" s="218"/>
      <c r="D395" s="338"/>
      <c r="E395" s="345"/>
      <c r="F395" s="344"/>
      <c r="G395" s="336"/>
      <c r="H395" s="341"/>
      <c r="I395" s="240"/>
      <c r="J395" s="343"/>
      <c r="K395" s="261"/>
      <c r="L395" s="342"/>
      <c r="M395" s="262"/>
      <c r="N395" s="228"/>
      <c r="O395" s="229"/>
    </row>
    <row r="396" ht="22.5" customHeight="1">
      <c r="A396" s="346"/>
      <c r="B396" s="218"/>
      <c r="C396" s="218"/>
      <c r="D396" s="338"/>
      <c r="E396" s="345"/>
      <c r="F396" s="344"/>
      <c r="G396" s="336"/>
      <c r="H396" s="341"/>
      <c r="I396" s="240"/>
      <c r="J396" s="343"/>
      <c r="K396" s="261"/>
      <c r="L396" s="342"/>
      <c r="M396" s="262"/>
      <c r="N396" s="228"/>
      <c r="O396" s="229"/>
    </row>
    <row r="397" ht="22.5" customHeight="1">
      <c r="A397" s="346"/>
      <c r="B397" s="218"/>
      <c r="C397" s="218"/>
      <c r="D397" s="338"/>
      <c r="E397" s="345"/>
      <c r="F397" s="344"/>
      <c r="G397" s="336"/>
      <c r="H397" s="341"/>
      <c r="I397" s="240"/>
      <c r="J397" s="343"/>
      <c r="K397" s="261"/>
      <c r="L397" s="342"/>
      <c r="M397" s="262"/>
      <c r="N397" s="228"/>
      <c r="O397" s="229"/>
    </row>
    <row r="398" ht="22.5" customHeight="1">
      <c r="A398" s="346"/>
      <c r="B398" s="218"/>
      <c r="C398" s="218"/>
      <c r="D398" s="338"/>
      <c r="E398" s="345"/>
      <c r="F398" s="344"/>
      <c r="G398" s="336"/>
      <c r="H398" s="341"/>
      <c r="I398" s="240"/>
      <c r="J398" s="343"/>
      <c r="K398" s="261"/>
      <c r="L398" s="342"/>
      <c r="M398" s="262"/>
      <c r="N398" s="228"/>
      <c r="O398" s="229"/>
    </row>
    <row r="399" ht="22.5" customHeight="1">
      <c r="A399" s="346"/>
      <c r="B399" s="218"/>
      <c r="C399" s="218"/>
      <c r="D399" s="338"/>
      <c r="E399" s="345"/>
      <c r="F399" s="344"/>
      <c r="G399" s="336"/>
      <c r="H399" s="341"/>
      <c r="I399" s="240"/>
      <c r="J399" s="343"/>
      <c r="K399" s="261"/>
      <c r="L399" s="342"/>
      <c r="M399" s="262"/>
      <c r="N399" s="228"/>
      <c r="O399" s="229"/>
    </row>
    <row r="400" ht="22.5" customHeight="1">
      <c r="A400" s="346"/>
      <c r="B400" s="218"/>
      <c r="C400" s="218"/>
      <c r="D400" s="338"/>
      <c r="E400" s="345"/>
      <c r="F400" s="344"/>
      <c r="G400" s="336"/>
      <c r="H400" s="341"/>
      <c r="I400" s="240"/>
      <c r="J400" s="343"/>
      <c r="K400" s="261"/>
      <c r="L400" s="342"/>
      <c r="M400" s="262"/>
      <c r="N400" s="228"/>
      <c r="O400" s="229"/>
    </row>
    <row r="401" ht="22.5" customHeight="1">
      <c r="A401" s="346"/>
      <c r="B401" s="218"/>
      <c r="C401" s="218"/>
      <c r="D401" s="338"/>
      <c r="E401" s="345"/>
      <c r="F401" s="344"/>
      <c r="G401" s="336"/>
      <c r="H401" s="341"/>
      <c r="I401" s="240"/>
      <c r="J401" s="343"/>
      <c r="K401" s="261"/>
      <c r="L401" s="342"/>
      <c r="M401" s="262"/>
      <c r="N401" s="228"/>
      <c r="O401" s="229"/>
    </row>
    <row r="402" ht="22.5" customHeight="1">
      <c r="A402" s="346"/>
      <c r="B402" s="218"/>
      <c r="C402" s="218"/>
      <c r="D402" s="338"/>
      <c r="E402" s="345"/>
      <c r="F402" s="344"/>
      <c r="G402" s="336"/>
      <c r="H402" s="341"/>
      <c r="I402" s="240"/>
      <c r="J402" s="343"/>
      <c r="K402" s="261"/>
      <c r="L402" s="342"/>
      <c r="M402" s="262"/>
      <c r="N402" s="228"/>
      <c r="O402" s="229"/>
    </row>
    <row r="403" ht="22.5" customHeight="1">
      <c r="A403" s="346"/>
      <c r="B403" s="218"/>
      <c r="C403" s="218"/>
      <c r="D403" s="338"/>
      <c r="E403" s="345"/>
      <c r="F403" s="344"/>
      <c r="G403" s="336"/>
      <c r="H403" s="341"/>
      <c r="I403" s="240"/>
      <c r="J403" s="343"/>
      <c r="K403" s="261"/>
      <c r="L403" s="342"/>
      <c r="M403" s="262"/>
      <c r="N403" s="228"/>
      <c r="O403" s="229"/>
    </row>
    <row r="404" ht="22.5" customHeight="1">
      <c r="A404" s="346"/>
      <c r="B404" s="218"/>
      <c r="C404" s="218"/>
      <c r="D404" s="338"/>
      <c r="E404" s="345"/>
      <c r="F404" s="344"/>
      <c r="G404" s="336"/>
      <c r="H404" s="341"/>
      <c r="I404" s="240"/>
      <c r="J404" s="343"/>
      <c r="K404" s="261"/>
      <c r="L404" s="342"/>
      <c r="M404" s="262"/>
      <c r="N404" s="228"/>
      <c r="O404" s="229"/>
    </row>
    <row r="405" ht="22.5" customHeight="1">
      <c r="A405" s="346"/>
      <c r="B405" s="218"/>
      <c r="C405" s="218"/>
      <c r="D405" s="338"/>
      <c r="E405" s="345"/>
      <c r="F405" s="344"/>
      <c r="G405" s="336"/>
      <c r="H405" s="341"/>
      <c r="I405" s="240"/>
      <c r="J405" s="343"/>
      <c r="K405" s="261"/>
      <c r="L405" s="342"/>
      <c r="M405" s="262"/>
      <c r="N405" s="228"/>
      <c r="O405" s="229"/>
    </row>
    <row r="406" ht="22.5" customHeight="1">
      <c r="A406" s="346"/>
      <c r="B406" s="218"/>
      <c r="C406" s="218"/>
      <c r="D406" s="338"/>
      <c r="E406" s="345"/>
      <c r="F406" s="344"/>
      <c r="G406" s="336"/>
      <c r="H406" s="341"/>
      <c r="I406" s="240"/>
      <c r="J406" s="343"/>
      <c r="K406" s="261"/>
      <c r="L406" s="342"/>
      <c r="M406" s="262"/>
      <c r="N406" s="228"/>
      <c r="O406" s="229"/>
    </row>
    <row r="407" ht="22.5" customHeight="1">
      <c r="A407" s="346"/>
      <c r="B407" s="218"/>
      <c r="C407" s="218"/>
      <c r="D407" s="338"/>
      <c r="E407" s="345"/>
      <c r="F407" s="344"/>
      <c r="G407" s="336"/>
      <c r="H407" s="341"/>
      <c r="I407" s="240"/>
      <c r="J407" s="343"/>
      <c r="K407" s="261"/>
      <c r="L407" s="342"/>
      <c r="M407" s="262"/>
      <c r="N407" s="228"/>
      <c r="O407" s="229"/>
    </row>
    <row r="408" ht="22.5" customHeight="1">
      <c r="A408" s="346"/>
      <c r="B408" s="218"/>
      <c r="C408" s="218"/>
      <c r="D408" s="338"/>
      <c r="E408" s="345"/>
      <c r="F408" s="344"/>
      <c r="G408" s="336"/>
      <c r="H408" s="341"/>
      <c r="I408" s="240"/>
      <c r="J408" s="343"/>
      <c r="K408" s="261"/>
      <c r="L408" s="342"/>
      <c r="M408" s="262"/>
      <c r="N408" s="228"/>
      <c r="O408" s="229"/>
    </row>
    <row r="409" ht="22.5" customHeight="1">
      <c r="A409" s="346"/>
      <c r="B409" s="218"/>
      <c r="C409" s="218"/>
      <c r="D409" s="338"/>
      <c r="E409" s="345"/>
      <c r="F409" s="344"/>
      <c r="G409" s="336"/>
      <c r="H409" s="341"/>
      <c r="I409" s="240"/>
      <c r="J409" s="343"/>
      <c r="K409" s="261"/>
      <c r="L409" s="342"/>
      <c r="M409" s="262"/>
      <c r="N409" s="228"/>
      <c r="O409" s="229"/>
    </row>
    <row r="410" ht="22.5" customHeight="1">
      <c r="A410" s="346"/>
      <c r="B410" s="218"/>
      <c r="C410" s="218"/>
      <c r="D410" s="338"/>
      <c r="E410" s="345"/>
      <c r="F410" s="344"/>
      <c r="G410" s="336"/>
      <c r="H410" s="341"/>
      <c r="I410" s="240"/>
      <c r="J410" s="343"/>
      <c r="K410" s="261"/>
      <c r="L410" s="342"/>
      <c r="M410" s="262"/>
      <c r="N410" s="228"/>
      <c r="O410" s="229"/>
    </row>
    <row r="411" ht="22.5" customHeight="1">
      <c r="A411" s="346"/>
      <c r="B411" s="218"/>
      <c r="C411" s="218"/>
      <c r="D411" s="338"/>
      <c r="E411" s="345"/>
      <c r="F411" s="344"/>
      <c r="G411" s="336"/>
      <c r="H411" s="341"/>
      <c r="I411" s="240"/>
      <c r="J411" s="343"/>
      <c r="K411" s="261"/>
      <c r="L411" s="342"/>
      <c r="M411" s="262"/>
      <c r="N411" s="228"/>
      <c r="O411" s="229"/>
    </row>
    <row r="412" ht="22.5" customHeight="1">
      <c r="A412" s="346"/>
      <c r="B412" s="218"/>
      <c r="C412" s="218"/>
      <c r="D412" s="338"/>
      <c r="E412" s="345"/>
      <c r="F412" s="344"/>
      <c r="G412" s="336"/>
      <c r="H412" s="341"/>
      <c r="I412" s="240"/>
      <c r="J412" s="343"/>
      <c r="K412" s="261"/>
      <c r="L412" s="342"/>
      <c r="M412" s="262"/>
      <c r="N412" s="228"/>
      <c r="O412" s="229"/>
    </row>
    <row r="413" ht="22.5" customHeight="1">
      <c r="A413" s="346"/>
      <c r="B413" s="218"/>
      <c r="C413" s="218"/>
      <c r="D413" s="338"/>
      <c r="E413" s="345"/>
      <c r="F413" s="344"/>
      <c r="G413" s="336"/>
      <c r="H413" s="341"/>
      <c r="I413" s="240"/>
      <c r="J413" s="343"/>
      <c r="K413" s="261"/>
      <c r="L413" s="342"/>
      <c r="M413" s="262"/>
      <c r="N413" s="228"/>
      <c r="O413" s="229"/>
    </row>
    <row r="414" ht="22.5" customHeight="1">
      <c r="A414" s="346"/>
      <c r="B414" s="218"/>
      <c r="C414" s="218"/>
      <c r="D414" s="338"/>
      <c r="E414" s="345"/>
      <c r="F414" s="344"/>
      <c r="G414" s="336"/>
      <c r="H414" s="341"/>
      <c r="I414" s="240"/>
      <c r="J414" s="343"/>
      <c r="K414" s="261"/>
      <c r="L414" s="342"/>
      <c r="M414" s="262"/>
      <c r="N414" s="228"/>
      <c r="O414" s="229"/>
    </row>
    <row r="415" ht="22.5" customHeight="1">
      <c r="A415" s="346"/>
      <c r="B415" s="218"/>
      <c r="C415" s="218"/>
      <c r="D415" s="338"/>
      <c r="E415" s="345"/>
      <c r="F415" s="344"/>
      <c r="G415" s="336"/>
      <c r="H415" s="341"/>
      <c r="I415" s="240"/>
      <c r="J415" s="343"/>
      <c r="K415" s="261"/>
      <c r="L415" s="342"/>
      <c r="M415" s="262"/>
      <c r="N415" s="228"/>
      <c r="O415" s="229"/>
    </row>
    <row r="416" ht="22.5" customHeight="1">
      <c r="A416" s="346"/>
      <c r="B416" s="218"/>
      <c r="C416" s="218"/>
      <c r="D416" s="338"/>
      <c r="E416" s="345"/>
      <c r="F416" s="344"/>
      <c r="G416" s="336"/>
      <c r="H416" s="341"/>
      <c r="I416" s="240"/>
      <c r="J416" s="343"/>
      <c r="K416" s="261"/>
      <c r="L416" s="342"/>
      <c r="M416" s="262"/>
      <c r="N416" s="228"/>
      <c r="O416" s="229"/>
    </row>
    <row r="417" ht="22.5" customHeight="1">
      <c r="A417" s="346"/>
      <c r="B417" s="218"/>
      <c r="C417" s="218"/>
      <c r="D417" s="338"/>
      <c r="E417" s="345"/>
      <c r="F417" s="344"/>
      <c r="G417" s="336"/>
      <c r="H417" s="341"/>
      <c r="I417" s="240"/>
      <c r="J417" s="343"/>
      <c r="K417" s="261"/>
      <c r="L417" s="342"/>
      <c r="M417" s="262"/>
      <c r="N417" s="228"/>
      <c r="O417" s="229"/>
    </row>
    <row r="418" ht="22.5" customHeight="1">
      <c r="A418" s="346"/>
      <c r="B418" s="218"/>
      <c r="C418" s="218"/>
      <c r="D418" s="338"/>
      <c r="E418" s="345"/>
      <c r="F418" s="344"/>
      <c r="G418" s="336"/>
      <c r="H418" s="341"/>
      <c r="I418" s="240"/>
      <c r="J418" s="343"/>
      <c r="K418" s="261"/>
      <c r="L418" s="342"/>
      <c r="M418" s="262"/>
      <c r="N418" s="228"/>
      <c r="O418" s="229"/>
    </row>
    <row r="419" ht="22.5" customHeight="1">
      <c r="A419" s="346"/>
      <c r="B419" s="218"/>
      <c r="C419" s="218"/>
      <c r="D419" s="338"/>
      <c r="E419" s="345"/>
      <c r="F419" s="344"/>
      <c r="G419" s="336"/>
      <c r="H419" s="341"/>
      <c r="I419" s="240"/>
      <c r="J419" s="343"/>
      <c r="K419" s="261"/>
      <c r="L419" s="342"/>
      <c r="M419" s="262"/>
      <c r="N419" s="228"/>
      <c r="O419" s="229"/>
    </row>
    <row r="420" ht="22.5" customHeight="1">
      <c r="A420" s="346"/>
      <c r="B420" s="218"/>
      <c r="C420" s="218"/>
      <c r="D420" s="338"/>
      <c r="E420" s="345"/>
      <c r="F420" s="344"/>
      <c r="G420" s="336"/>
      <c r="H420" s="341"/>
      <c r="I420" s="240"/>
      <c r="J420" s="343"/>
      <c r="K420" s="261"/>
      <c r="L420" s="342"/>
      <c r="M420" s="262"/>
      <c r="N420" s="228"/>
      <c r="O420" s="229"/>
    </row>
    <row r="421" ht="22.5" customHeight="1">
      <c r="A421" s="346"/>
      <c r="B421" s="218"/>
      <c r="C421" s="218"/>
      <c r="D421" s="338"/>
      <c r="E421" s="345"/>
      <c r="F421" s="344"/>
      <c r="G421" s="336"/>
      <c r="H421" s="341"/>
      <c r="I421" s="240"/>
      <c r="J421" s="343"/>
      <c r="K421" s="261"/>
      <c r="L421" s="342"/>
      <c r="M421" s="262"/>
      <c r="N421" s="228"/>
      <c r="O421" s="229"/>
    </row>
    <row r="422" ht="22.5" customHeight="1">
      <c r="A422" s="346"/>
      <c r="B422" s="218"/>
      <c r="C422" s="218"/>
      <c r="D422" s="338"/>
      <c r="E422" s="345"/>
      <c r="F422" s="344"/>
      <c r="G422" s="336"/>
      <c r="H422" s="341"/>
      <c r="I422" s="240"/>
      <c r="J422" s="343"/>
      <c r="K422" s="261"/>
      <c r="L422" s="342"/>
      <c r="M422" s="262"/>
      <c r="N422" s="228"/>
      <c r="O422" s="229"/>
    </row>
    <row r="423" ht="22.5" customHeight="1">
      <c r="A423" s="346"/>
      <c r="B423" s="218"/>
      <c r="C423" s="218"/>
      <c r="D423" s="338"/>
      <c r="E423" s="345"/>
      <c r="F423" s="344"/>
      <c r="G423" s="336"/>
      <c r="H423" s="341"/>
      <c r="I423" s="240"/>
      <c r="J423" s="343"/>
      <c r="K423" s="261"/>
      <c r="L423" s="342"/>
      <c r="M423" s="262"/>
      <c r="N423" s="228"/>
      <c r="O423" s="229"/>
    </row>
    <row r="424" ht="22.5" customHeight="1">
      <c r="A424" s="346"/>
      <c r="B424" s="218"/>
      <c r="C424" s="218"/>
      <c r="D424" s="338"/>
      <c r="E424" s="345"/>
      <c r="F424" s="344"/>
      <c r="G424" s="336"/>
      <c r="H424" s="341"/>
      <c r="I424" s="240"/>
      <c r="J424" s="343"/>
      <c r="K424" s="261"/>
      <c r="L424" s="342"/>
      <c r="M424" s="262"/>
      <c r="N424" s="228"/>
      <c r="O424" s="229"/>
    </row>
    <row r="425" ht="22.5" customHeight="1">
      <c r="A425" s="346"/>
      <c r="B425" s="218"/>
      <c r="C425" s="218"/>
      <c r="D425" s="338"/>
      <c r="E425" s="345"/>
      <c r="F425" s="344"/>
      <c r="G425" s="336"/>
      <c r="H425" s="341"/>
      <c r="I425" s="240"/>
      <c r="J425" s="343"/>
      <c r="K425" s="261"/>
      <c r="L425" s="342"/>
      <c r="M425" s="262"/>
      <c r="N425" s="228"/>
      <c r="O425" s="229"/>
    </row>
    <row r="426" ht="22.5" customHeight="1">
      <c r="A426" s="346"/>
      <c r="B426" s="218"/>
      <c r="C426" s="218"/>
      <c r="D426" s="338"/>
      <c r="E426" s="345"/>
      <c r="F426" s="344"/>
      <c r="G426" s="336"/>
      <c r="H426" s="341"/>
      <c r="I426" s="240"/>
      <c r="J426" s="343"/>
      <c r="K426" s="261"/>
      <c r="L426" s="342"/>
      <c r="M426" s="262"/>
      <c r="N426" s="228"/>
      <c r="O426" s="229"/>
    </row>
    <row r="427" ht="22.5" customHeight="1">
      <c r="A427" s="346"/>
      <c r="B427" s="218"/>
      <c r="C427" s="218"/>
      <c r="D427" s="338"/>
      <c r="E427" s="345"/>
      <c r="F427" s="344"/>
      <c r="G427" s="336"/>
      <c r="H427" s="341"/>
      <c r="I427" s="240"/>
      <c r="J427" s="343"/>
      <c r="K427" s="261"/>
      <c r="L427" s="342"/>
      <c r="M427" s="262"/>
      <c r="N427" s="228"/>
      <c r="O427" s="229"/>
    </row>
    <row r="428" ht="22.5" customHeight="1">
      <c r="A428" s="346"/>
      <c r="B428" s="218"/>
      <c r="C428" s="218"/>
      <c r="D428" s="338"/>
      <c r="E428" s="345"/>
      <c r="F428" s="344"/>
      <c r="G428" s="336"/>
      <c r="H428" s="341"/>
      <c r="I428" s="240"/>
      <c r="J428" s="343"/>
      <c r="K428" s="261"/>
      <c r="L428" s="342"/>
      <c r="M428" s="262"/>
      <c r="N428" s="228"/>
      <c r="O428" s="229"/>
    </row>
    <row r="429" ht="22.5" customHeight="1">
      <c r="A429" s="346"/>
      <c r="B429" s="218"/>
      <c r="C429" s="218"/>
      <c r="D429" s="338"/>
      <c r="E429" s="345"/>
      <c r="F429" s="344"/>
      <c r="G429" s="336"/>
      <c r="H429" s="341"/>
      <c r="I429" s="240"/>
      <c r="J429" s="343"/>
      <c r="K429" s="261"/>
      <c r="L429" s="342"/>
      <c r="M429" s="262"/>
      <c r="N429" s="228"/>
      <c r="O429" s="229"/>
    </row>
    <row r="430" ht="22.5" customHeight="1">
      <c r="A430" s="346"/>
      <c r="B430" s="218"/>
      <c r="C430" s="218"/>
      <c r="D430" s="338"/>
      <c r="E430" s="345"/>
      <c r="F430" s="344"/>
      <c r="G430" s="336"/>
      <c r="H430" s="341"/>
      <c r="I430" s="240"/>
      <c r="J430" s="343"/>
      <c r="K430" s="261"/>
      <c r="L430" s="342"/>
      <c r="M430" s="262"/>
      <c r="N430" s="228"/>
      <c r="O430" s="229"/>
    </row>
    <row r="431" ht="22.5" customHeight="1">
      <c r="A431" s="346"/>
      <c r="B431" s="218"/>
      <c r="C431" s="218"/>
      <c r="D431" s="338"/>
      <c r="E431" s="345"/>
      <c r="F431" s="344"/>
      <c r="G431" s="336"/>
      <c r="H431" s="341"/>
      <c r="I431" s="240"/>
      <c r="J431" s="343"/>
      <c r="K431" s="261"/>
      <c r="L431" s="342"/>
      <c r="M431" s="262"/>
      <c r="N431" s="228"/>
      <c r="O431" s="229"/>
    </row>
    <row r="432" ht="22.5" customHeight="1">
      <c r="A432" s="346"/>
      <c r="B432" s="218"/>
      <c r="C432" s="218"/>
      <c r="D432" s="338"/>
      <c r="E432" s="345"/>
      <c r="F432" s="344"/>
      <c r="G432" s="336"/>
      <c r="H432" s="341"/>
      <c r="I432" s="240"/>
      <c r="J432" s="343"/>
      <c r="K432" s="261"/>
      <c r="L432" s="342"/>
      <c r="M432" s="262"/>
      <c r="N432" s="228"/>
      <c r="O432" s="229"/>
    </row>
    <row r="433" ht="22.5" customHeight="1">
      <c r="A433" s="346"/>
      <c r="B433" s="218"/>
      <c r="C433" s="218"/>
      <c r="D433" s="338"/>
      <c r="E433" s="345"/>
      <c r="F433" s="344"/>
      <c r="G433" s="336"/>
      <c r="H433" s="341"/>
      <c r="I433" s="240"/>
      <c r="J433" s="343"/>
      <c r="K433" s="261"/>
      <c r="L433" s="342"/>
      <c r="M433" s="262"/>
      <c r="N433" s="228"/>
      <c r="O433" s="229"/>
    </row>
    <row r="434" ht="22.5" customHeight="1">
      <c r="A434" s="346"/>
      <c r="B434" s="218"/>
      <c r="C434" s="218"/>
      <c r="D434" s="338"/>
      <c r="E434" s="345"/>
      <c r="F434" s="344"/>
      <c r="G434" s="336"/>
      <c r="H434" s="341"/>
      <c r="I434" s="240"/>
      <c r="J434" s="343"/>
      <c r="K434" s="261"/>
      <c r="L434" s="342"/>
      <c r="M434" s="262"/>
      <c r="N434" s="228"/>
      <c r="O434" s="229"/>
    </row>
    <row r="435" ht="22.5" customHeight="1">
      <c r="A435" s="346"/>
      <c r="B435" s="218"/>
      <c r="C435" s="218"/>
      <c r="D435" s="338"/>
      <c r="E435" s="345"/>
      <c r="F435" s="344"/>
      <c r="G435" s="336"/>
      <c r="H435" s="341"/>
      <c r="I435" s="240"/>
      <c r="J435" s="343"/>
      <c r="K435" s="261"/>
      <c r="L435" s="342"/>
      <c r="M435" s="262"/>
      <c r="N435" s="228"/>
      <c r="O435" s="229"/>
    </row>
    <row r="436" ht="22.5" customHeight="1">
      <c r="A436" s="346"/>
      <c r="B436" s="218"/>
      <c r="C436" s="218"/>
      <c r="D436" s="338"/>
      <c r="E436" s="345"/>
      <c r="F436" s="344"/>
      <c r="G436" s="336"/>
      <c r="H436" s="341"/>
      <c r="I436" s="240"/>
      <c r="J436" s="343"/>
      <c r="K436" s="261"/>
      <c r="L436" s="342"/>
      <c r="M436" s="262"/>
      <c r="N436" s="228"/>
      <c r="O436" s="229"/>
    </row>
    <row r="437" ht="22.5" customHeight="1">
      <c r="A437" s="346"/>
      <c r="B437" s="218"/>
      <c r="C437" s="218"/>
      <c r="D437" s="338"/>
      <c r="E437" s="345"/>
      <c r="F437" s="344"/>
      <c r="G437" s="336"/>
      <c r="H437" s="341"/>
      <c r="I437" s="240"/>
      <c r="J437" s="343"/>
      <c r="K437" s="261"/>
      <c r="L437" s="342"/>
      <c r="M437" s="262"/>
      <c r="N437" s="228"/>
      <c r="O437" s="229"/>
    </row>
    <row r="438" ht="22.5" customHeight="1">
      <c r="A438" s="346"/>
      <c r="B438" s="218"/>
      <c r="C438" s="218"/>
      <c r="D438" s="338"/>
      <c r="E438" s="345"/>
      <c r="F438" s="344"/>
      <c r="G438" s="336"/>
      <c r="H438" s="341"/>
      <c r="I438" s="240"/>
      <c r="J438" s="343"/>
      <c r="K438" s="261"/>
      <c r="L438" s="342"/>
      <c r="M438" s="262"/>
      <c r="N438" s="228"/>
      <c r="O438" s="229"/>
    </row>
    <row r="439" ht="22.5" customHeight="1">
      <c r="A439" s="346"/>
      <c r="B439" s="218"/>
      <c r="C439" s="218"/>
      <c r="D439" s="338"/>
      <c r="E439" s="345"/>
      <c r="F439" s="344"/>
      <c r="G439" s="336"/>
      <c r="H439" s="341"/>
      <c r="I439" s="240"/>
      <c r="J439" s="343"/>
      <c r="K439" s="261"/>
      <c r="L439" s="342"/>
      <c r="M439" s="262"/>
      <c r="N439" s="228"/>
      <c r="O439" s="229"/>
    </row>
    <row r="440" ht="22.5" customHeight="1">
      <c r="A440" s="346"/>
      <c r="B440" s="218"/>
      <c r="C440" s="218"/>
      <c r="D440" s="338"/>
      <c r="E440" s="345"/>
      <c r="F440" s="344"/>
      <c r="G440" s="336"/>
      <c r="H440" s="341"/>
      <c r="I440" s="240"/>
      <c r="J440" s="343"/>
      <c r="K440" s="261"/>
      <c r="L440" s="342"/>
      <c r="M440" s="262"/>
      <c r="N440" s="228"/>
      <c r="O440" s="229"/>
    </row>
    <row r="441" ht="22.5" customHeight="1">
      <c r="A441" s="346"/>
      <c r="B441" s="218"/>
      <c r="C441" s="218"/>
      <c r="D441" s="338"/>
      <c r="E441" s="345"/>
      <c r="F441" s="344"/>
      <c r="G441" s="336"/>
      <c r="H441" s="341"/>
      <c r="I441" s="240"/>
      <c r="J441" s="343"/>
      <c r="K441" s="261"/>
      <c r="L441" s="342"/>
      <c r="M441" s="262"/>
      <c r="N441" s="228"/>
      <c r="O441" s="229"/>
    </row>
    <row r="442" ht="22.5" customHeight="1">
      <c r="A442" s="346"/>
      <c r="B442" s="218"/>
      <c r="C442" s="218"/>
      <c r="D442" s="338"/>
      <c r="E442" s="345"/>
      <c r="F442" s="344"/>
      <c r="G442" s="336"/>
      <c r="H442" s="341"/>
      <c r="I442" s="240"/>
      <c r="J442" s="343"/>
      <c r="K442" s="261"/>
      <c r="L442" s="342"/>
      <c r="M442" s="262"/>
      <c r="N442" s="228"/>
      <c r="O442" s="229"/>
    </row>
    <row r="443" ht="22.5" customHeight="1">
      <c r="A443" s="346"/>
      <c r="B443" s="218"/>
      <c r="C443" s="218"/>
      <c r="D443" s="338"/>
      <c r="E443" s="345"/>
      <c r="F443" s="344"/>
      <c r="G443" s="336"/>
      <c r="H443" s="341"/>
      <c r="I443" s="240"/>
      <c r="J443" s="343"/>
      <c r="K443" s="261"/>
      <c r="L443" s="342"/>
      <c r="M443" s="262"/>
      <c r="N443" s="228"/>
      <c r="O443" s="229"/>
    </row>
    <row r="444" ht="22.5" customHeight="1">
      <c r="A444" s="346"/>
      <c r="B444" s="218"/>
      <c r="C444" s="218"/>
      <c r="D444" s="338"/>
      <c r="E444" s="345"/>
      <c r="F444" s="344"/>
      <c r="G444" s="336"/>
      <c r="H444" s="341"/>
      <c r="I444" s="240"/>
      <c r="J444" s="343"/>
      <c r="K444" s="261"/>
      <c r="L444" s="342"/>
      <c r="M444" s="262"/>
      <c r="N444" s="228"/>
      <c r="O444" s="229"/>
    </row>
    <row r="445" ht="22.5" customHeight="1">
      <c r="A445" s="346"/>
      <c r="B445" s="218"/>
      <c r="C445" s="218"/>
      <c r="D445" s="338"/>
      <c r="E445" s="345"/>
      <c r="F445" s="344"/>
      <c r="G445" s="336"/>
      <c r="H445" s="341"/>
      <c r="I445" s="240"/>
      <c r="J445" s="343"/>
      <c r="K445" s="261"/>
      <c r="L445" s="342"/>
      <c r="M445" s="262"/>
      <c r="N445" s="228"/>
      <c r="O445" s="229"/>
    </row>
    <row r="446" ht="22.5" customHeight="1">
      <c r="A446" s="346"/>
      <c r="B446" s="218"/>
      <c r="C446" s="218"/>
      <c r="D446" s="338"/>
      <c r="E446" s="345"/>
      <c r="F446" s="344"/>
      <c r="G446" s="336"/>
      <c r="H446" s="341"/>
      <c r="I446" s="240"/>
      <c r="J446" s="343"/>
      <c r="K446" s="261"/>
      <c r="L446" s="342"/>
      <c r="M446" s="262"/>
      <c r="N446" s="228"/>
      <c r="O446" s="229"/>
    </row>
    <row r="447" ht="22.5" customHeight="1">
      <c r="A447" s="346"/>
      <c r="B447" s="218"/>
      <c r="C447" s="218"/>
      <c r="D447" s="338"/>
      <c r="E447" s="345"/>
      <c r="F447" s="344"/>
      <c r="G447" s="336"/>
      <c r="H447" s="341"/>
      <c r="I447" s="240"/>
      <c r="J447" s="343"/>
      <c r="K447" s="261"/>
      <c r="L447" s="342"/>
      <c r="M447" s="262"/>
      <c r="N447" s="228"/>
      <c r="O447" s="229"/>
    </row>
    <row r="448" ht="22.5" customHeight="1">
      <c r="A448" s="346"/>
      <c r="B448" s="218"/>
      <c r="C448" s="218"/>
      <c r="D448" s="338"/>
      <c r="E448" s="345"/>
      <c r="F448" s="344"/>
      <c r="G448" s="336"/>
      <c r="H448" s="341"/>
      <c r="I448" s="240"/>
      <c r="J448" s="343"/>
      <c r="K448" s="261"/>
      <c r="L448" s="342"/>
      <c r="M448" s="262"/>
      <c r="N448" s="228"/>
      <c r="O448" s="229"/>
    </row>
    <row r="449" ht="22.5" customHeight="1">
      <c r="A449" s="346"/>
      <c r="B449" s="218"/>
      <c r="C449" s="218"/>
      <c r="D449" s="338"/>
      <c r="E449" s="345"/>
      <c r="F449" s="344"/>
      <c r="G449" s="336"/>
      <c r="H449" s="341"/>
      <c r="I449" s="240"/>
      <c r="J449" s="343"/>
      <c r="K449" s="261"/>
      <c r="L449" s="342"/>
      <c r="M449" s="262"/>
      <c r="N449" s="228"/>
      <c r="O449" s="229"/>
    </row>
    <row r="450" ht="22.5" customHeight="1">
      <c r="A450" s="346"/>
      <c r="B450" s="218"/>
      <c r="C450" s="218"/>
      <c r="D450" s="338"/>
      <c r="E450" s="345"/>
      <c r="F450" s="344"/>
      <c r="G450" s="336"/>
      <c r="H450" s="341"/>
      <c r="I450" s="240"/>
      <c r="J450" s="343"/>
      <c r="K450" s="261"/>
      <c r="L450" s="342"/>
      <c r="M450" s="262"/>
      <c r="N450" s="228"/>
      <c r="O450" s="229"/>
    </row>
    <row r="451" ht="22.5" customHeight="1">
      <c r="A451" s="346"/>
      <c r="B451" s="218"/>
      <c r="C451" s="218"/>
      <c r="D451" s="338"/>
      <c r="E451" s="345"/>
      <c r="F451" s="344"/>
      <c r="G451" s="336"/>
      <c r="H451" s="341"/>
      <c r="I451" s="240"/>
      <c r="J451" s="343"/>
      <c r="K451" s="261"/>
      <c r="L451" s="342"/>
      <c r="M451" s="262"/>
      <c r="N451" s="228"/>
      <c r="O451" s="229"/>
    </row>
    <row r="452" ht="22.5" customHeight="1">
      <c r="A452" s="346"/>
      <c r="B452" s="218"/>
      <c r="C452" s="218"/>
      <c r="D452" s="338"/>
      <c r="E452" s="345"/>
      <c r="F452" s="344"/>
      <c r="G452" s="336"/>
      <c r="H452" s="341"/>
      <c r="I452" s="240"/>
      <c r="J452" s="343"/>
      <c r="K452" s="261"/>
      <c r="L452" s="342"/>
      <c r="M452" s="262"/>
      <c r="N452" s="228"/>
      <c r="O452" s="229"/>
    </row>
    <row r="453" ht="22.5" customHeight="1">
      <c r="A453" s="346"/>
      <c r="B453" s="218"/>
      <c r="C453" s="218"/>
      <c r="D453" s="338"/>
      <c r="E453" s="345"/>
      <c r="F453" s="344"/>
      <c r="G453" s="336"/>
      <c r="H453" s="341"/>
      <c r="I453" s="240"/>
      <c r="J453" s="343"/>
      <c r="K453" s="261"/>
      <c r="L453" s="342"/>
      <c r="M453" s="262"/>
      <c r="N453" s="228"/>
      <c r="O453" s="229"/>
    </row>
    <row r="454" ht="22.5" customHeight="1">
      <c r="A454" s="346"/>
      <c r="B454" s="218"/>
      <c r="C454" s="218"/>
      <c r="D454" s="338"/>
      <c r="E454" s="345"/>
      <c r="F454" s="344"/>
      <c r="G454" s="336"/>
      <c r="H454" s="341"/>
      <c r="I454" s="240"/>
      <c r="J454" s="343"/>
      <c r="K454" s="261"/>
      <c r="L454" s="342"/>
      <c r="M454" s="262"/>
      <c r="N454" s="228"/>
      <c r="O454" s="229"/>
    </row>
    <row r="455" ht="22.5" customHeight="1">
      <c r="A455" s="346"/>
      <c r="B455" s="218"/>
      <c r="C455" s="218"/>
      <c r="D455" s="338"/>
      <c r="E455" s="345"/>
      <c r="F455" s="344"/>
      <c r="G455" s="336"/>
      <c r="H455" s="341"/>
      <c r="I455" s="240"/>
      <c r="J455" s="343"/>
      <c r="K455" s="261"/>
      <c r="L455" s="342"/>
      <c r="M455" s="262"/>
      <c r="N455" s="228"/>
      <c r="O455" s="229"/>
    </row>
    <row r="456" ht="22.5" customHeight="1">
      <c r="A456" s="346"/>
      <c r="B456" s="218"/>
      <c r="C456" s="218"/>
      <c r="D456" s="338"/>
      <c r="E456" s="345"/>
      <c r="F456" s="344"/>
      <c r="G456" s="336"/>
      <c r="H456" s="341"/>
      <c r="I456" s="240"/>
      <c r="J456" s="343"/>
      <c r="K456" s="261"/>
      <c r="L456" s="342"/>
      <c r="M456" s="262"/>
      <c r="N456" s="228"/>
      <c r="O456" s="229"/>
    </row>
    <row r="457" ht="22.5" customHeight="1">
      <c r="A457" s="346"/>
      <c r="B457" s="218"/>
      <c r="C457" s="218"/>
      <c r="D457" s="338"/>
      <c r="E457" s="345"/>
      <c r="F457" s="344"/>
      <c r="G457" s="336"/>
      <c r="H457" s="341"/>
      <c r="I457" s="240"/>
      <c r="J457" s="343"/>
      <c r="K457" s="261"/>
      <c r="L457" s="342"/>
      <c r="M457" s="262"/>
      <c r="N457" s="228"/>
      <c r="O457" s="229"/>
    </row>
    <row r="458" ht="22.5" customHeight="1">
      <c r="A458" s="346"/>
      <c r="B458" s="218"/>
      <c r="C458" s="218"/>
      <c r="D458" s="338"/>
      <c r="E458" s="345"/>
      <c r="F458" s="344"/>
      <c r="G458" s="336"/>
      <c r="H458" s="341"/>
      <c r="I458" s="240"/>
      <c r="J458" s="343"/>
      <c r="K458" s="261"/>
      <c r="L458" s="342"/>
      <c r="M458" s="262"/>
      <c r="N458" s="228"/>
      <c r="O458" s="229"/>
    </row>
    <row r="459" ht="22.5" customHeight="1">
      <c r="A459" s="346"/>
      <c r="B459" s="218"/>
      <c r="C459" s="218"/>
      <c r="D459" s="338"/>
      <c r="E459" s="345"/>
      <c r="F459" s="344"/>
      <c r="G459" s="336"/>
      <c r="H459" s="341"/>
      <c r="I459" s="240"/>
      <c r="J459" s="343"/>
      <c r="K459" s="261"/>
      <c r="L459" s="342"/>
      <c r="M459" s="262"/>
      <c r="N459" s="228"/>
      <c r="O459" s="229"/>
    </row>
    <row r="460" ht="22.5" customHeight="1">
      <c r="A460" s="346"/>
      <c r="B460" s="218"/>
      <c r="C460" s="218"/>
      <c r="D460" s="338"/>
      <c r="E460" s="345"/>
      <c r="F460" s="344"/>
      <c r="G460" s="336"/>
      <c r="H460" s="341"/>
      <c r="I460" s="240"/>
      <c r="J460" s="343"/>
      <c r="K460" s="261"/>
      <c r="L460" s="342"/>
      <c r="M460" s="262"/>
      <c r="N460" s="228"/>
      <c r="O460" s="229"/>
    </row>
    <row r="461" ht="22.5" customHeight="1">
      <c r="A461" s="346"/>
      <c r="B461" s="218"/>
      <c r="C461" s="218"/>
      <c r="D461" s="338"/>
      <c r="E461" s="345"/>
      <c r="F461" s="344"/>
      <c r="G461" s="336"/>
      <c r="H461" s="341"/>
      <c r="I461" s="240"/>
      <c r="J461" s="343"/>
      <c r="K461" s="261"/>
      <c r="L461" s="342"/>
      <c r="M461" s="262"/>
      <c r="N461" s="228"/>
      <c r="O461" s="229"/>
    </row>
    <row r="462" ht="22.5" customHeight="1">
      <c r="A462" s="346"/>
      <c r="B462" s="218"/>
      <c r="C462" s="218"/>
      <c r="D462" s="338"/>
      <c r="E462" s="345"/>
      <c r="F462" s="344"/>
      <c r="G462" s="336"/>
      <c r="H462" s="341"/>
      <c r="I462" s="240"/>
      <c r="J462" s="343"/>
      <c r="K462" s="261"/>
      <c r="L462" s="342"/>
      <c r="M462" s="262"/>
      <c r="N462" s="228"/>
      <c r="O462" s="229"/>
    </row>
    <row r="463" ht="22.5" customHeight="1">
      <c r="A463" s="346"/>
      <c r="B463" s="218"/>
      <c r="C463" s="218"/>
      <c r="D463" s="338"/>
      <c r="E463" s="345"/>
      <c r="F463" s="344"/>
      <c r="G463" s="336"/>
      <c r="H463" s="341"/>
      <c r="I463" s="240"/>
      <c r="J463" s="343"/>
      <c r="K463" s="261"/>
      <c r="L463" s="342"/>
      <c r="M463" s="262"/>
      <c r="N463" s="228"/>
      <c r="O463" s="229"/>
    </row>
    <row r="464" ht="22.5" customHeight="1">
      <c r="A464" s="346"/>
      <c r="B464" s="218"/>
      <c r="C464" s="218"/>
      <c r="D464" s="338"/>
      <c r="E464" s="345"/>
      <c r="F464" s="344"/>
      <c r="G464" s="336"/>
      <c r="H464" s="341"/>
      <c r="I464" s="240"/>
      <c r="J464" s="343"/>
      <c r="K464" s="261"/>
      <c r="L464" s="342"/>
      <c r="M464" s="262"/>
      <c r="N464" s="228"/>
      <c r="O464" s="229"/>
    </row>
    <row r="465" ht="22.5" customHeight="1">
      <c r="A465" s="346"/>
      <c r="B465" s="218"/>
      <c r="C465" s="218"/>
      <c r="D465" s="338"/>
      <c r="E465" s="345"/>
      <c r="F465" s="344"/>
      <c r="G465" s="336"/>
      <c r="H465" s="341"/>
      <c r="I465" s="240"/>
      <c r="J465" s="343"/>
      <c r="K465" s="261"/>
      <c r="L465" s="342"/>
      <c r="M465" s="262"/>
      <c r="N465" s="228"/>
      <c r="O465" s="229"/>
    </row>
    <row r="466" ht="22.5" customHeight="1">
      <c r="A466" s="346"/>
      <c r="B466" s="218"/>
      <c r="C466" s="218"/>
      <c r="D466" s="338"/>
      <c r="E466" s="345"/>
      <c r="F466" s="344"/>
      <c r="G466" s="336"/>
      <c r="H466" s="341"/>
      <c r="I466" s="240"/>
      <c r="J466" s="343"/>
      <c r="K466" s="261"/>
      <c r="L466" s="342"/>
      <c r="M466" s="262"/>
      <c r="N466" s="228"/>
      <c r="O466" s="229"/>
    </row>
    <row r="467" ht="22.5" customHeight="1">
      <c r="A467" s="346"/>
      <c r="B467" s="218"/>
      <c r="C467" s="218"/>
      <c r="D467" s="338"/>
      <c r="E467" s="345"/>
      <c r="F467" s="344"/>
      <c r="G467" s="336"/>
      <c r="H467" s="341"/>
      <c r="I467" s="240"/>
      <c r="J467" s="343"/>
      <c r="K467" s="261"/>
      <c r="L467" s="342"/>
      <c r="M467" s="262"/>
      <c r="N467" s="228"/>
      <c r="O467" s="229"/>
    </row>
    <row r="468" ht="22.5" customHeight="1">
      <c r="A468" s="346"/>
      <c r="B468" s="218"/>
      <c r="C468" s="218"/>
      <c r="D468" s="338"/>
      <c r="E468" s="345"/>
      <c r="F468" s="344"/>
      <c r="G468" s="336"/>
      <c r="H468" s="341"/>
      <c r="I468" s="240"/>
      <c r="J468" s="343"/>
      <c r="K468" s="261"/>
      <c r="L468" s="342"/>
      <c r="M468" s="262"/>
      <c r="N468" s="228"/>
      <c r="O468" s="229"/>
    </row>
    <row r="469" ht="22.5" customHeight="1">
      <c r="A469" s="346"/>
      <c r="B469" s="218"/>
      <c r="C469" s="218"/>
      <c r="D469" s="338"/>
      <c r="E469" s="345"/>
      <c r="F469" s="344"/>
      <c r="G469" s="336"/>
      <c r="H469" s="341"/>
      <c r="I469" s="240"/>
      <c r="J469" s="343"/>
      <c r="K469" s="261"/>
      <c r="L469" s="342"/>
      <c r="M469" s="262"/>
      <c r="N469" s="228"/>
      <c r="O469" s="229"/>
    </row>
    <row r="470" ht="22.5" customHeight="1">
      <c r="A470" s="346"/>
      <c r="B470" s="218"/>
      <c r="C470" s="218"/>
      <c r="D470" s="338"/>
      <c r="E470" s="345"/>
      <c r="F470" s="344"/>
      <c r="G470" s="336"/>
      <c r="H470" s="341"/>
      <c r="I470" s="240"/>
      <c r="J470" s="343"/>
      <c r="K470" s="261"/>
      <c r="L470" s="342"/>
      <c r="M470" s="262"/>
      <c r="N470" s="228"/>
      <c r="O470" s="229"/>
    </row>
    <row r="471" ht="22.5" customHeight="1">
      <c r="A471" s="346"/>
      <c r="B471" s="218"/>
      <c r="C471" s="218"/>
      <c r="D471" s="338"/>
      <c r="E471" s="345"/>
      <c r="F471" s="344"/>
      <c r="G471" s="336"/>
      <c r="H471" s="341"/>
      <c r="I471" s="240"/>
      <c r="J471" s="343"/>
      <c r="K471" s="261"/>
      <c r="L471" s="342"/>
      <c r="M471" s="262"/>
      <c r="N471" s="228"/>
      <c r="O471" s="229"/>
    </row>
    <row r="472" ht="22.5" customHeight="1">
      <c r="A472" s="346"/>
      <c r="B472" s="218"/>
      <c r="C472" s="218"/>
      <c r="D472" s="338"/>
      <c r="E472" s="345"/>
      <c r="F472" s="344"/>
      <c r="G472" s="336"/>
      <c r="H472" s="341"/>
      <c r="I472" s="240"/>
      <c r="J472" s="343"/>
      <c r="K472" s="261"/>
      <c r="L472" s="342"/>
      <c r="M472" s="262"/>
      <c r="N472" s="228"/>
      <c r="O472" s="229"/>
    </row>
    <row r="473" ht="22.5" customHeight="1">
      <c r="A473" s="346"/>
      <c r="B473" s="218"/>
      <c r="C473" s="218"/>
      <c r="D473" s="338"/>
      <c r="E473" s="345"/>
      <c r="F473" s="344"/>
      <c r="G473" s="336"/>
      <c r="H473" s="341"/>
      <c r="I473" s="240"/>
      <c r="J473" s="343"/>
      <c r="K473" s="261"/>
      <c r="L473" s="342"/>
      <c r="M473" s="262"/>
      <c r="N473" s="228"/>
      <c r="O473" s="229"/>
    </row>
    <row r="474" ht="22.5" customHeight="1">
      <c r="A474" s="346"/>
      <c r="B474" s="218"/>
      <c r="C474" s="218"/>
      <c r="D474" s="338"/>
      <c r="E474" s="345"/>
      <c r="F474" s="344"/>
      <c r="G474" s="336"/>
      <c r="H474" s="341"/>
      <c r="I474" s="240"/>
      <c r="J474" s="343"/>
      <c r="K474" s="261"/>
      <c r="L474" s="342"/>
      <c r="M474" s="262"/>
      <c r="N474" s="228"/>
      <c r="O474" s="229"/>
    </row>
    <row r="475" ht="22.5" customHeight="1">
      <c r="A475" s="346"/>
      <c r="B475" s="218"/>
      <c r="C475" s="218"/>
      <c r="D475" s="338"/>
      <c r="E475" s="345"/>
      <c r="F475" s="344"/>
      <c r="G475" s="336"/>
      <c r="H475" s="341"/>
      <c r="I475" s="240"/>
      <c r="J475" s="343"/>
      <c r="K475" s="261"/>
      <c r="L475" s="342"/>
      <c r="M475" s="262"/>
      <c r="N475" s="228"/>
      <c r="O475" s="229"/>
    </row>
    <row r="476" ht="22.5" customHeight="1">
      <c r="A476" s="346"/>
      <c r="B476" s="218"/>
      <c r="C476" s="218"/>
      <c r="D476" s="338"/>
      <c r="E476" s="345"/>
      <c r="F476" s="344"/>
      <c r="G476" s="336"/>
      <c r="H476" s="341"/>
      <c r="I476" s="240"/>
      <c r="J476" s="343"/>
      <c r="K476" s="261"/>
      <c r="L476" s="342"/>
      <c r="M476" s="262"/>
      <c r="N476" s="228"/>
      <c r="O476" s="229"/>
    </row>
    <row r="477" ht="22.5" customHeight="1">
      <c r="A477" s="346"/>
      <c r="B477" s="218"/>
      <c r="C477" s="218"/>
      <c r="D477" s="338"/>
      <c r="E477" s="345"/>
      <c r="F477" s="344"/>
      <c r="G477" s="336"/>
      <c r="H477" s="341"/>
      <c r="I477" s="240"/>
      <c r="J477" s="343"/>
      <c r="K477" s="261"/>
      <c r="L477" s="342"/>
      <c r="M477" s="262"/>
      <c r="N477" s="228"/>
      <c r="O477" s="229"/>
    </row>
    <row r="478" ht="22.5" customHeight="1">
      <c r="A478" s="346"/>
      <c r="B478" s="218"/>
      <c r="C478" s="218"/>
      <c r="D478" s="338"/>
      <c r="E478" s="345"/>
      <c r="F478" s="344"/>
      <c r="G478" s="336"/>
      <c r="H478" s="341"/>
      <c r="I478" s="240"/>
      <c r="J478" s="343"/>
      <c r="K478" s="261"/>
      <c r="L478" s="342"/>
      <c r="M478" s="262"/>
      <c r="N478" s="228"/>
      <c r="O478" s="229"/>
    </row>
    <row r="479" ht="22.5" customHeight="1">
      <c r="A479" s="346"/>
      <c r="B479" s="218"/>
      <c r="C479" s="218"/>
      <c r="D479" s="338"/>
      <c r="E479" s="345"/>
      <c r="F479" s="344"/>
      <c r="G479" s="336"/>
      <c r="H479" s="341"/>
      <c r="I479" s="240"/>
      <c r="J479" s="343"/>
      <c r="K479" s="261"/>
      <c r="L479" s="342"/>
      <c r="M479" s="262"/>
      <c r="N479" s="228"/>
      <c r="O479" s="229"/>
    </row>
    <row r="480" ht="22.5" customHeight="1">
      <c r="A480" s="346"/>
      <c r="B480" s="218"/>
      <c r="C480" s="218"/>
      <c r="D480" s="338"/>
      <c r="E480" s="345"/>
      <c r="F480" s="344"/>
      <c r="G480" s="336"/>
      <c r="H480" s="341"/>
      <c r="I480" s="240"/>
      <c r="J480" s="343"/>
      <c r="K480" s="261"/>
      <c r="L480" s="342"/>
      <c r="M480" s="262"/>
      <c r="N480" s="228"/>
      <c r="O480" s="229"/>
    </row>
    <row r="481" ht="22.5" customHeight="1">
      <c r="A481" s="346"/>
      <c r="B481" s="218"/>
      <c r="C481" s="218"/>
      <c r="D481" s="338"/>
      <c r="E481" s="345"/>
      <c r="F481" s="344"/>
      <c r="G481" s="336"/>
      <c r="H481" s="341"/>
      <c r="I481" s="240"/>
      <c r="J481" s="343"/>
      <c r="K481" s="261"/>
      <c r="L481" s="342"/>
      <c r="M481" s="262"/>
      <c r="N481" s="228"/>
      <c r="O481" s="229"/>
    </row>
    <row r="482" ht="22.5" customHeight="1">
      <c r="A482" s="346"/>
      <c r="B482" s="218"/>
      <c r="C482" s="218"/>
      <c r="D482" s="338"/>
      <c r="E482" s="345"/>
      <c r="F482" s="344"/>
      <c r="G482" s="336"/>
      <c r="H482" s="341"/>
      <c r="I482" s="240"/>
      <c r="J482" s="343"/>
      <c r="K482" s="261"/>
      <c r="L482" s="342"/>
      <c r="M482" s="262"/>
      <c r="N482" s="228"/>
      <c r="O482" s="229"/>
    </row>
    <row r="483" ht="22.5" customHeight="1">
      <c r="A483" s="346"/>
      <c r="B483" s="218"/>
      <c r="C483" s="218"/>
      <c r="D483" s="338"/>
      <c r="E483" s="345"/>
      <c r="F483" s="344"/>
      <c r="G483" s="336"/>
      <c r="H483" s="341"/>
      <c r="I483" s="240"/>
      <c r="J483" s="343"/>
      <c r="K483" s="261"/>
      <c r="L483" s="342"/>
      <c r="M483" s="262"/>
      <c r="N483" s="228"/>
      <c r="O483" s="229"/>
    </row>
    <row r="484" ht="22.5" customHeight="1">
      <c r="A484" s="346"/>
      <c r="B484" s="218"/>
      <c r="C484" s="218"/>
      <c r="D484" s="338"/>
      <c r="E484" s="345"/>
      <c r="F484" s="344"/>
      <c r="G484" s="336"/>
      <c r="H484" s="341"/>
      <c r="I484" s="240"/>
      <c r="J484" s="343"/>
      <c r="K484" s="261"/>
      <c r="L484" s="342"/>
      <c r="M484" s="262"/>
      <c r="N484" s="228"/>
      <c r="O484" s="229"/>
    </row>
    <row r="485" ht="22.5" customHeight="1">
      <c r="A485" s="346"/>
      <c r="B485" s="218"/>
      <c r="C485" s="218"/>
      <c r="D485" s="338"/>
      <c r="E485" s="345"/>
      <c r="F485" s="344"/>
      <c r="G485" s="336"/>
      <c r="H485" s="341"/>
      <c r="I485" s="240"/>
      <c r="J485" s="343"/>
      <c r="K485" s="261"/>
      <c r="L485" s="342"/>
      <c r="M485" s="262"/>
      <c r="N485" s="228"/>
      <c r="O485" s="229"/>
    </row>
    <row r="486" ht="22.5" customHeight="1">
      <c r="A486" s="346"/>
      <c r="B486" s="218"/>
      <c r="C486" s="218"/>
      <c r="D486" s="338"/>
      <c r="E486" s="345"/>
      <c r="F486" s="344"/>
      <c r="G486" s="336"/>
      <c r="H486" s="341"/>
      <c r="I486" s="240"/>
      <c r="J486" s="343"/>
      <c r="K486" s="261"/>
      <c r="L486" s="342"/>
      <c r="M486" s="262"/>
      <c r="N486" s="228"/>
      <c r="O486" s="229"/>
    </row>
    <row r="487" ht="22.5" customHeight="1">
      <c r="A487" s="346"/>
      <c r="B487" s="218"/>
      <c r="C487" s="218"/>
      <c r="D487" s="338"/>
      <c r="E487" s="345"/>
      <c r="F487" s="344"/>
      <c r="G487" s="336"/>
      <c r="H487" s="341"/>
      <c r="I487" s="240"/>
      <c r="J487" s="343"/>
      <c r="K487" s="261"/>
      <c r="L487" s="342"/>
      <c r="M487" s="262"/>
      <c r="N487" s="228"/>
      <c r="O487" s="229"/>
    </row>
    <row r="488" ht="22.5" customHeight="1">
      <c r="A488" s="346"/>
      <c r="B488" s="218"/>
      <c r="C488" s="218"/>
      <c r="D488" s="338"/>
      <c r="E488" s="345"/>
      <c r="F488" s="344"/>
      <c r="G488" s="336"/>
      <c r="H488" s="341"/>
      <c r="I488" s="240"/>
      <c r="J488" s="343"/>
      <c r="K488" s="261"/>
      <c r="L488" s="342"/>
      <c r="M488" s="262"/>
      <c r="N488" s="228"/>
      <c r="O488" s="229"/>
    </row>
    <row r="489" ht="22.5" customHeight="1">
      <c r="A489" s="346"/>
      <c r="B489" s="218"/>
      <c r="C489" s="218"/>
      <c r="D489" s="338"/>
      <c r="E489" s="345"/>
      <c r="F489" s="344"/>
      <c r="G489" s="336"/>
      <c r="H489" s="341"/>
      <c r="I489" s="240"/>
      <c r="J489" s="343"/>
      <c r="K489" s="261"/>
      <c r="L489" s="342"/>
      <c r="M489" s="262"/>
      <c r="N489" s="228"/>
      <c r="O489" s="229"/>
    </row>
    <row r="490" ht="22.5" customHeight="1">
      <c r="A490" s="346"/>
      <c r="B490" s="218"/>
      <c r="C490" s="218"/>
      <c r="D490" s="338"/>
      <c r="E490" s="345"/>
      <c r="F490" s="344"/>
      <c r="G490" s="336"/>
      <c r="H490" s="341"/>
      <c r="I490" s="240"/>
      <c r="J490" s="343"/>
      <c r="K490" s="261"/>
      <c r="L490" s="342"/>
      <c r="M490" s="262"/>
      <c r="N490" s="228"/>
      <c r="O490" s="229"/>
    </row>
    <row r="491" ht="22.5" customHeight="1">
      <c r="A491" s="346"/>
      <c r="B491" s="218"/>
      <c r="C491" s="218"/>
      <c r="D491" s="338"/>
      <c r="E491" s="345"/>
      <c r="F491" s="344"/>
      <c r="G491" s="336"/>
      <c r="H491" s="341"/>
      <c r="I491" s="240"/>
      <c r="J491" s="343"/>
      <c r="K491" s="261"/>
      <c r="L491" s="342"/>
      <c r="M491" s="262"/>
      <c r="N491" s="228"/>
      <c r="O491" s="229"/>
    </row>
    <row r="492" ht="22.5" customHeight="1">
      <c r="A492" s="346"/>
      <c r="B492" s="218"/>
      <c r="C492" s="218"/>
      <c r="D492" s="338"/>
      <c r="E492" s="345"/>
      <c r="F492" s="344"/>
      <c r="G492" s="336"/>
      <c r="H492" s="341"/>
      <c r="I492" s="240"/>
      <c r="J492" s="343"/>
      <c r="K492" s="261"/>
      <c r="L492" s="342"/>
      <c r="M492" s="262"/>
      <c r="N492" s="228"/>
      <c r="O492" s="229"/>
    </row>
    <row r="493" ht="22.5" customHeight="1">
      <c r="A493" s="346"/>
      <c r="B493" s="218"/>
      <c r="C493" s="218"/>
      <c r="D493" s="338"/>
      <c r="E493" s="345"/>
      <c r="F493" s="344"/>
      <c r="G493" s="336"/>
      <c r="H493" s="341"/>
      <c r="I493" s="240"/>
      <c r="J493" s="343"/>
      <c r="K493" s="261"/>
      <c r="L493" s="342"/>
      <c r="M493" s="262"/>
      <c r="N493" s="228"/>
      <c r="O493" s="229"/>
    </row>
    <row r="494" ht="22.5" customHeight="1">
      <c r="A494" s="346"/>
      <c r="B494" s="218"/>
      <c r="C494" s="218"/>
      <c r="D494" s="338"/>
      <c r="E494" s="345"/>
      <c r="F494" s="344"/>
      <c r="G494" s="336"/>
      <c r="H494" s="341"/>
      <c r="I494" s="240"/>
      <c r="J494" s="343"/>
      <c r="K494" s="261"/>
      <c r="L494" s="342"/>
      <c r="M494" s="262"/>
      <c r="N494" s="228"/>
      <c r="O494" s="229"/>
    </row>
    <row r="495" ht="22.5" customHeight="1">
      <c r="A495" s="346"/>
      <c r="B495" s="218"/>
      <c r="C495" s="218"/>
      <c r="D495" s="338"/>
      <c r="E495" s="345"/>
      <c r="F495" s="344"/>
      <c r="G495" s="336"/>
      <c r="H495" s="341"/>
      <c r="I495" s="240"/>
      <c r="J495" s="343"/>
      <c r="K495" s="261"/>
      <c r="L495" s="342"/>
      <c r="M495" s="262"/>
      <c r="N495" s="228"/>
      <c r="O495" s="229"/>
    </row>
    <row r="496" ht="22.5" customHeight="1">
      <c r="A496" s="346"/>
      <c r="B496" s="218"/>
      <c r="C496" s="218"/>
      <c r="D496" s="338"/>
      <c r="E496" s="345"/>
      <c r="F496" s="344"/>
      <c r="G496" s="336"/>
      <c r="H496" s="341"/>
      <c r="I496" s="240"/>
      <c r="J496" s="343"/>
      <c r="K496" s="261"/>
      <c r="L496" s="342"/>
      <c r="M496" s="262"/>
      <c r="N496" s="228"/>
      <c r="O496" s="229"/>
    </row>
    <row r="497" ht="22.5" customHeight="1">
      <c r="A497" s="346"/>
      <c r="B497" s="218"/>
      <c r="C497" s="218"/>
      <c r="D497" s="338"/>
      <c r="E497" s="345"/>
      <c r="F497" s="344"/>
      <c r="G497" s="336"/>
      <c r="H497" s="341"/>
      <c r="I497" s="240"/>
      <c r="J497" s="343"/>
      <c r="K497" s="261"/>
      <c r="L497" s="342"/>
      <c r="M497" s="262"/>
      <c r="N497" s="228"/>
      <c r="O497" s="229"/>
    </row>
    <row r="498" ht="22.5" customHeight="1">
      <c r="A498" s="346"/>
      <c r="B498" s="218"/>
      <c r="C498" s="218"/>
      <c r="D498" s="338"/>
      <c r="E498" s="345"/>
      <c r="F498" s="344"/>
      <c r="G498" s="336"/>
      <c r="H498" s="341"/>
      <c r="I498" s="240"/>
      <c r="J498" s="343"/>
      <c r="K498" s="261"/>
      <c r="L498" s="342"/>
      <c r="M498" s="262"/>
      <c r="N498" s="228"/>
      <c r="O498" s="229"/>
    </row>
    <row r="499" ht="22.5" customHeight="1">
      <c r="A499" s="346"/>
      <c r="B499" s="218"/>
      <c r="C499" s="218"/>
      <c r="D499" s="338"/>
      <c r="E499" s="345"/>
      <c r="F499" s="344"/>
      <c r="G499" s="336"/>
      <c r="H499" s="341"/>
      <c r="I499" s="240"/>
      <c r="J499" s="343"/>
      <c r="K499" s="261"/>
      <c r="L499" s="342"/>
      <c r="M499" s="262"/>
      <c r="N499" s="228"/>
      <c r="O499" s="229"/>
    </row>
    <row r="500" ht="22.5" customHeight="1">
      <c r="A500" s="346"/>
      <c r="B500" s="218"/>
      <c r="C500" s="218"/>
      <c r="D500" s="338"/>
      <c r="E500" s="345"/>
      <c r="F500" s="344"/>
      <c r="G500" s="336"/>
      <c r="H500" s="341"/>
      <c r="I500" s="240"/>
      <c r="J500" s="343"/>
      <c r="K500" s="261"/>
      <c r="L500" s="342"/>
      <c r="M500" s="262"/>
      <c r="N500" s="228"/>
      <c r="O500" s="229"/>
    </row>
    <row r="501" ht="22.5" customHeight="1">
      <c r="A501" s="346"/>
      <c r="B501" s="218"/>
      <c r="C501" s="218"/>
      <c r="D501" s="338"/>
      <c r="E501" s="345"/>
      <c r="F501" s="344"/>
      <c r="G501" s="336"/>
      <c r="H501" s="341"/>
      <c r="I501" s="240"/>
      <c r="J501" s="343"/>
      <c r="K501" s="261"/>
      <c r="L501" s="342"/>
      <c r="M501" s="262"/>
      <c r="N501" s="228"/>
      <c r="O501" s="229"/>
    </row>
    <row r="502" ht="22.5" customHeight="1">
      <c r="A502" s="346"/>
      <c r="B502" s="218"/>
      <c r="C502" s="218"/>
      <c r="D502" s="338"/>
      <c r="E502" s="345"/>
      <c r="F502" s="344"/>
      <c r="G502" s="336"/>
      <c r="H502" s="341"/>
      <c r="I502" s="240"/>
      <c r="J502" s="343"/>
      <c r="K502" s="261"/>
      <c r="L502" s="342"/>
      <c r="M502" s="262"/>
      <c r="N502" s="228"/>
      <c r="O502" s="229"/>
    </row>
    <row r="503" ht="22.5" customHeight="1">
      <c r="A503" s="346"/>
      <c r="B503" s="218"/>
      <c r="C503" s="218"/>
      <c r="D503" s="338"/>
      <c r="E503" s="345"/>
      <c r="F503" s="344"/>
      <c r="G503" s="336"/>
      <c r="H503" s="341"/>
      <c r="I503" s="240"/>
      <c r="J503" s="343"/>
      <c r="K503" s="261"/>
      <c r="L503" s="342"/>
      <c r="M503" s="262"/>
      <c r="N503" s="228"/>
      <c r="O503" s="229"/>
    </row>
    <row r="504" ht="22.5" customHeight="1">
      <c r="A504" s="346"/>
      <c r="B504" s="218"/>
      <c r="C504" s="218"/>
      <c r="D504" s="338"/>
      <c r="E504" s="345"/>
      <c r="F504" s="344"/>
      <c r="G504" s="336"/>
      <c r="H504" s="341"/>
      <c r="I504" s="240"/>
      <c r="J504" s="343"/>
      <c r="K504" s="261"/>
      <c r="L504" s="342"/>
      <c r="M504" s="262"/>
      <c r="N504" s="228"/>
      <c r="O504" s="229"/>
    </row>
    <row r="505" ht="22.5" customHeight="1">
      <c r="A505" s="346"/>
      <c r="B505" s="218"/>
      <c r="C505" s="218"/>
      <c r="D505" s="338"/>
      <c r="E505" s="345"/>
      <c r="F505" s="344"/>
      <c r="G505" s="336"/>
      <c r="H505" s="341"/>
      <c r="I505" s="240"/>
      <c r="J505" s="343"/>
      <c r="K505" s="261"/>
      <c r="L505" s="342"/>
      <c r="M505" s="262"/>
      <c r="N505" s="228"/>
      <c r="O505" s="229"/>
    </row>
    <row r="506" ht="22.5" customHeight="1">
      <c r="A506" s="346"/>
      <c r="B506" s="218"/>
      <c r="C506" s="218"/>
      <c r="D506" s="338"/>
      <c r="E506" s="345"/>
      <c r="F506" s="344"/>
      <c r="G506" s="336"/>
      <c r="H506" s="341"/>
      <c r="I506" s="240"/>
      <c r="J506" s="343"/>
      <c r="K506" s="261"/>
      <c r="L506" s="342"/>
      <c r="M506" s="262"/>
      <c r="N506" s="228"/>
      <c r="O506" s="229"/>
    </row>
    <row r="507" ht="22.5" customHeight="1">
      <c r="A507" s="346"/>
      <c r="B507" s="218"/>
      <c r="C507" s="218"/>
      <c r="D507" s="338"/>
      <c r="E507" s="345"/>
      <c r="F507" s="344"/>
      <c r="G507" s="336"/>
      <c r="H507" s="341"/>
      <c r="I507" s="240"/>
      <c r="J507" s="343"/>
      <c r="K507" s="261"/>
      <c r="L507" s="342"/>
      <c r="M507" s="262"/>
      <c r="N507" s="228"/>
      <c r="O507" s="229"/>
    </row>
    <row r="508" ht="22.5" customHeight="1">
      <c r="A508" s="346"/>
      <c r="B508" s="218"/>
      <c r="C508" s="218"/>
      <c r="D508" s="338"/>
      <c r="E508" s="345"/>
      <c r="F508" s="344"/>
      <c r="G508" s="336"/>
      <c r="H508" s="341"/>
      <c r="I508" s="240"/>
      <c r="J508" s="343"/>
      <c r="K508" s="261"/>
      <c r="L508" s="342"/>
      <c r="M508" s="262"/>
      <c r="N508" s="228"/>
      <c r="O508" s="229"/>
    </row>
    <row r="509" ht="22.5" customHeight="1">
      <c r="A509" s="346"/>
      <c r="B509" s="218"/>
      <c r="C509" s="218"/>
      <c r="D509" s="338"/>
      <c r="E509" s="345"/>
      <c r="F509" s="344"/>
      <c r="G509" s="336"/>
      <c r="H509" s="341"/>
      <c r="I509" s="240"/>
      <c r="J509" s="343"/>
      <c r="K509" s="261"/>
      <c r="L509" s="342"/>
      <c r="M509" s="262"/>
      <c r="N509" s="228"/>
      <c r="O509" s="229"/>
    </row>
    <row r="510" ht="22.5" customHeight="1">
      <c r="A510" s="346"/>
      <c r="B510" s="218"/>
      <c r="C510" s="218"/>
      <c r="D510" s="338"/>
      <c r="E510" s="345"/>
      <c r="F510" s="344"/>
      <c r="G510" s="336"/>
      <c r="H510" s="341"/>
      <c r="I510" s="240"/>
      <c r="J510" s="343"/>
      <c r="K510" s="261"/>
      <c r="L510" s="342"/>
      <c r="M510" s="262"/>
      <c r="N510" s="228"/>
      <c r="O510" s="229"/>
    </row>
    <row r="511" ht="22.5" customHeight="1">
      <c r="A511" s="346"/>
      <c r="B511" s="218"/>
      <c r="C511" s="218"/>
      <c r="D511" s="338"/>
      <c r="E511" s="345"/>
      <c r="F511" s="344"/>
      <c r="G511" s="336"/>
      <c r="H511" s="341"/>
      <c r="I511" s="240"/>
      <c r="J511" s="343"/>
      <c r="K511" s="261"/>
      <c r="L511" s="342"/>
      <c r="M511" s="262"/>
      <c r="N511" s="228"/>
      <c r="O511" s="229"/>
    </row>
    <row r="512" ht="22.5" customHeight="1">
      <c r="A512" s="346"/>
      <c r="B512" s="218"/>
      <c r="C512" s="218"/>
      <c r="D512" s="338"/>
      <c r="E512" s="345"/>
      <c r="F512" s="344"/>
      <c r="G512" s="336"/>
      <c r="H512" s="341"/>
      <c r="I512" s="240"/>
      <c r="J512" s="343"/>
      <c r="K512" s="261"/>
      <c r="L512" s="342"/>
      <c r="M512" s="262"/>
      <c r="N512" s="228"/>
      <c r="O512" s="229"/>
    </row>
    <row r="513" ht="22.5" customHeight="1">
      <c r="A513" s="346"/>
      <c r="B513" s="218"/>
      <c r="C513" s="218"/>
      <c r="D513" s="338"/>
      <c r="E513" s="345"/>
      <c r="F513" s="344"/>
      <c r="G513" s="336"/>
      <c r="H513" s="341"/>
      <c r="I513" s="240"/>
      <c r="J513" s="343"/>
      <c r="K513" s="261"/>
      <c r="L513" s="342"/>
      <c r="M513" s="262"/>
      <c r="N513" s="228"/>
      <c r="O513" s="229"/>
    </row>
    <row r="514" ht="22.5" customHeight="1">
      <c r="A514" s="346"/>
      <c r="B514" s="218"/>
      <c r="C514" s="218"/>
      <c r="D514" s="338"/>
      <c r="E514" s="345"/>
      <c r="F514" s="344"/>
      <c r="G514" s="336"/>
      <c r="H514" s="341"/>
      <c r="I514" s="240"/>
      <c r="J514" s="343"/>
      <c r="K514" s="261"/>
      <c r="L514" s="342"/>
      <c r="M514" s="262"/>
      <c r="N514" s="228"/>
      <c r="O514" s="229"/>
    </row>
    <row r="515" ht="22.5" customHeight="1">
      <c r="A515" s="346"/>
      <c r="B515" s="218"/>
      <c r="C515" s="218"/>
      <c r="D515" s="338"/>
      <c r="E515" s="345"/>
      <c r="F515" s="344"/>
      <c r="G515" s="336"/>
      <c r="H515" s="341"/>
      <c r="I515" s="240"/>
      <c r="J515" s="343"/>
      <c r="K515" s="261"/>
      <c r="L515" s="342"/>
      <c r="M515" s="262"/>
      <c r="N515" s="228"/>
      <c r="O515" s="229"/>
    </row>
    <row r="516" ht="22.5" customHeight="1">
      <c r="A516" s="346"/>
      <c r="B516" s="218"/>
      <c r="C516" s="218"/>
      <c r="D516" s="338"/>
      <c r="E516" s="345"/>
      <c r="F516" s="344"/>
      <c r="G516" s="336"/>
      <c r="H516" s="341"/>
      <c r="I516" s="240"/>
      <c r="J516" s="343"/>
      <c r="K516" s="261"/>
      <c r="L516" s="342"/>
      <c r="M516" s="262"/>
      <c r="N516" s="228"/>
      <c r="O516" s="229"/>
    </row>
    <row r="517" ht="22.5" customHeight="1">
      <c r="A517" s="346"/>
      <c r="B517" s="218"/>
      <c r="C517" s="218"/>
      <c r="D517" s="338"/>
      <c r="E517" s="345"/>
      <c r="F517" s="344"/>
      <c r="G517" s="336"/>
      <c r="H517" s="341"/>
      <c r="I517" s="240"/>
      <c r="J517" s="343"/>
      <c r="K517" s="261"/>
      <c r="L517" s="342"/>
      <c r="M517" s="262"/>
      <c r="N517" s="228"/>
      <c r="O517" s="229"/>
    </row>
    <row r="518" ht="22.5" customHeight="1">
      <c r="A518" s="346"/>
      <c r="B518" s="218"/>
      <c r="C518" s="218"/>
      <c r="D518" s="338"/>
      <c r="E518" s="345"/>
      <c r="F518" s="344"/>
      <c r="G518" s="336"/>
      <c r="H518" s="341"/>
      <c r="I518" s="240"/>
      <c r="J518" s="343"/>
      <c r="K518" s="261"/>
      <c r="L518" s="342"/>
      <c r="M518" s="262"/>
      <c r="N518" s="228"/>
      <c r="O518" s="229"/>
    </row>
    <row r="519" ht="22.5" customHeight="1">
      <c r="A519" s="346"/>
      <c r="B519" s="218"/>
      <c r="C519" s="218"/>
      <c r="D519" s="338"/>
      <c r="E519" s="345"/>
      <c r="F519" s="344"/>
      <c r="G519" s="336"/>
      <c r="H519" s="341"/>
      <c r="I519" s="240"/>
      <c r="J519" s="343"/>
      <c r="K519" s="261"/>
      <c r="L519" s="342"/>
      <c r="M519" s="262"/>
      <c r="N519" s="228"/>
      <c r="O519" s="229"/>
    </row>
    <row r="520" ht="22.5" customHeight="1">
      <c r="A520" s="346"/>
      <c r="B520" s="218"/>
      <c r="C520" s="218"/>
      <c r="D520" s="338"/>
      <c r="E520" s="345"/>
      <c r="F520" s="344"/>
      <c r="G520" s="336"/>
      <c r="H520" s="341"/>
      <c r="I520" s="240"/>
      <c r="J520" s="343"/>
      <c r="K520" s="261"/>
      <c r="L520" s="342"/>
      <c r="M520" s="262"/>
      <c r="N520" s="228"/>
      <c r="O520" s="229"/>
    </row>
    <row r="521" ht="22.5" customHeight="1">
      <c r="A521" s="346"/>
      <c r="B521" s="218"/>
      <c r="C521" s="218"/>
      <c r="D521" s="338"/>
      <c r="E521" s="345"/>
      <c r="F521" s="344"/>
      <c r="G521" s="336"/>
      <c r="H521" s="341"/>
      <c r="I521" s="240"/>
      <c r="J521" s="343"/>
      <c r="K521" s="261"/>
      <c r="L521" s="342"/>
      <c r="M521" s="262"/>
      <c r="N521" s="228"/>
      <c r="O521" s="229"/>
    </row>
    <row r="522" ht="22.5" customHeight="1">
      <c r="A522" s="346"/>
      <c r="B522" s="218"/>
      <c r="C522" s="218"/>
      <c r="D522" s="338"/>
      <c r="E522" s="345"/>
      <c r="F522" s="344"/>
      <c r="G522" s="336"/>
      <c r="H522" s="341"/>
      <c r="I522" s="240"/>
      <c r="J522" s="343"/>
      <c r="K522" s="261"/>
      <c r="L522" s="342"/>
      <c r="M522" s="262"/>
      <c r="N522" s="228"/>
      <c r="O522" s="229"/>
    </row>
    <row r="523" ht="22.5" customHeight="1">
      <c r="A523" s="346"/>
      <c r="B523" s="218"/>
      <c r="C523" s="218"/>
      <c r="D523" s="338"/>
      <c r="E523" s="345"/>
      <c r="F523" s="344"/>
      <c r="G523" s="336"/>
      <c r="H523" s="341"/>
      <c r="I523" s="240"/>
      <c r="J523" s="343"/>
      <c r="K523" s="261"/>
      <c r="L523" s="342"/>
      <c r="M523" s="262"/>
      <c r="N523" s="228"/>
      <c r="O523" s="229"/>
    </row>
    <row r="524" ht="22.5" customHeight="1">
      <c r="A524" s="346"/>
      <c r="B524" s="218"/>
      <c r="C524" s="218"/>
      <c r="D524" s="338"/>
      <c r="E524" s="345"/>
      <c r="F524" s="344"/>
      <c r="G524" s="336"/>
      <c r="H524" s="341"/>
      <c r="I524" s="240"/>
      <c r="J524" s="343"/>
      <c r="K524" s="261"/>
      <c r="L524" s="342"/>
      <c r="M524" s="262"/>
      <c r="N524" s="228"/>
      <c r="O524" s="229"/>
    </row>
    <row r="525" ht="22.5" customHeight="1">
      <c r="A525" s="346"/>
      <c r="B525" s="218"/>
      <c r="C525" s="218"/>
      <c r="D525" s="338"/>
      <c r="E525" s="345"/>
      <c r="F525" s="344"/>
      <c r="G525" s="336"/>
      <c r="H525" s="341"/>
      <c r="I525" s="240"/>
      <c r="J525" s="343"/>
      <c r="K525" s="261"/>
      <c r="L525" s="342"/>
      <c r="M525" s="262"/>
      <c r="N525" s="228"/>
      <c r="O525" s="229"/>
    </row>
    <row r="526" ht="22.5" customHeight="1">
      <c r="A526" s="346"/>
      <c r="B526" s="218"/>
      <c r="C526" s="218"/>
      <c r="D526" s="338"/>
      <c r="E526" s="345"/>
      <c r="F526" s="344"/>
      <c r="G526" s="336"/>
      <c r="H526" s="341"/>
      <c r="I526" s="240"/>
      <c r="J526" s="343"/>
      <c r="K526" s="261"/>
      <c r="L526" s="342"/>
      <c r="M526" s="262"/>
      <c r="N526" s="228"/>
      <c r="O526" s="229"/>
    </row>
    <row r="527" ht="22.5" customHeight="1">
      <c r="A527" s="346"/>
      <c r="B527" s="218"/>
      <c r="C527" s="218"/>
      <c r="D527" s="338"/>
      <c r="E527" s="345"/>
      <c r="F527" s="344"/>
      <c r="G527" s="336"/>
      <c r="H527" s="341"/>
      <c r="I527" s="240"/>
      <c r="J527" s="343"/>
      <c r="K527" s="261"/>
      <c r="L527" s="342"/>
      <c r="M527" s="262"/>
      <c r="N527" s="228"/>
      <c r="O527" s="229"/>
    </row>
    <row r="528" ht="22.5" customHeight="1">
      <c r="A528" s="346"/>
      <c r="B528" s="218"/>
      <c r="C528" s="218"/>
      <c r="D528" s="338"/>
      <c r="E528" s="345"/>
      <c r="F528" s="344"/>
      <c r="G528" s="336"/>
      <c r="H528" s="341"/>
      <c r="I528" s="240"/>
      <c r="J528" s="343"/>
      <c r="K528" s="261"/>
      <c r="L528" s="342"/>
      <c r="M528" s="262"/>
      <c r="N528" s="228"/>
      <c r="O528" s="229"/>
    </row>
    <row r="529" ht="22.5" customHeight="1">
      <c r="A529" s="346"/>
      <c r="B529" s="218"/>
      <c r="C529" s="218"/>
      <c r="D529" s="338"/>
      <c r="E529" s="345"/>
      <c r="F529" s="344"/>
      <c r="G529" s="336"/>
      <c r="H529" s="341"/>
      <c r="I529" s="240"/>
      <c r="J529" s="343"/>
      <c r="K529" s="261"/>
      <c r="L529" s="342"/>
      <c r="M529" s="262"/>
      <c r="N529" s="228"/>
      <c r="O529" s="229"/>
    </row>
    <row r="530" ht="22.5" customHeight="1">
      <c r="A530" s="346"/>
      <c r="B530" s="218"/>
      <c r="C530" s="218"/>
      <c r="D530" s="338"/>
      <c r="E530" s="345"/>
      <c r="F530" s="344"/>
      <c r="G530" s="336"/>
      <c r="H530" s="341"/>
      <c r="I530" s="240"/>
      <c r="J530" s="343"/>
      <c r="K530" s="261"/>
      <c r="L530" s="342"/>
      <c r="M530" s="262"/>
      <c r="N530" s="228"/>
      <c r="O530" s="229"/>
    </row>
    <row r="531" ht="22.5" customHeight="1">
      <c r="A531" s="346"/>
      <c r="B531" s="218"/>
      <c r="C531" s="218"/>
      <c r="D531" s="338"/>
      <c r="E531" s="345"/>
      <c r="F531" s="344"/>
      <c r="G531" s="336"/>
      <c r="H531" s="341"/>
      <c r="I531" s="240"/>
      <c r="J531" s="343"/>
      <c r="K531" s="261"/>
      <c r="L531" s="342"/>
      <c r="M531" s="262"/>
      <c r="N531" s="228"/>
      <c r="O531" s="229"/>
    </row>
    <row r="532" ht="22.5" customHeight="1">
      <c r="A532" s="346"/>
      <c r="B532" s="218"/>
      <c r="C532" s="218"/>
      <c r="D532" s="338"/>
      <c r="E532" s="345"/>
      <c r="F532" s="344"/>
      <c r="G532" s="336"/>
      <c r="H532" s="341"/>
      <c r="I532" s="240"/>
      <c r="J532" s="343"/>
      <c r="K532" s="261"/>
      <c r="L532" s="342"/>
      <c r="M532" s="262"/>
      <c r="N532" s="228"/>
      <c r="O532" s="229"/>
    </row>
    <row r="533" ht="22.5" customHeight="1">
      <c r="A533" s="346"/>
      <c r="B533" s="218"/>
      <c r="C533" s="218"/>
      <c r="D533" s="338"/>
      <c r="E533" s="345"/>
      <c r="F533" s="344"/>
      <c r="G533" s="336"/>
      <c r="H533" s="341"/>
      <c r="I533" s="240"/>
      <c r="J533" s="343"/>
      <c r="K533" s="261"/>
      <c r="L533" s="342"/>
      <c r="M533" s="262"/>
      <c r="N533" s="228"/>
      <c r="O533" s="229"/>
    </row>
    <row r="534" ht="22.5" customHeight="1">
      <c r="A534" s="346"/>
      <c r="B534" s="218"/>
      <c r="C534" s="218"/>
      <c r="D534" s="338"/>
      <c r="E534" s="345"/>
      <c r="F534" s="344"/>
      <c r="G534" s="336"/>
      <c r="H534" s="341"/>
      <c r="I534" s="240"/>
      <c r="J534" s="343"/>
      <c r="K534" s="261"/>
      <c r="L534" s="342"/>
      <c r="M534" s="262"/>
      <c r="N534" s="228"/>
      <c r="O534" s="229"/>
    </row>
    <row r="535" ht="22.5" customHeight="1">
      <c r="A535" s="346"/>
      <c r="B535" s="218"/>
      <c r="C535" s="218"/>
      <c r="D535" s="338"/>
      <c r="E535" s="345"/>
      <c r="F535" s="344"/>
      <c r="G535" s="336"/>
      <c r="H535" s="341"/>
      <c r="I535" s="240"/>
      <c r="J535" s="343"/>
      <c r="K535" s="261"/>
      <c r="L535" s="342"/>
      <c r="M535" s="262"/>
      <c r="N535" s="228"/>
      <c r="O535" s="229"/>
    </row>
    <row r="536" ht="22.5" customHeight="1">
      <c r="A536" s="346"/>
      <c r="B536" s="218"/>
      <c r="C536" s="218"/>
      <c r="D536" s="338"/>
      <c r="E536" s="345"/>
      <c r="F536" s="344"/>
      <c r="G536" s="336"/>
      <c r="H536" s="341"/>
      <c r="I536" s="240"/>
      <c r="J536" s="343"/>
      <c r="K536" s="261"/>
      <c r="L536" s="342"/>
      <c r="M536" s="262"/>
      <c r="N536" s="228"/>
      <c r="O536" s="229"/>
    </row>
    <row r="537" ht="22.5" customHeight="1">
      <c r="A537" s="346"/>
      <c r="B537" s="218"/>
      <c r="C537" s="218"/>
      <c r="D537" s="338"/>
      <c r="E537" s="345"/>
      <c r="F537" s="344"/>
      <c r="G537" s="336"/>
      <c r="H537" s="341"/>
      <c r="I537" s="240"/>
      <c r="J537" s="343"/>
      <c r="K537" s="261"/>
      <c r="L537" s="342"/>
      <c r="M537" s="262"/>
      <c r="N537" s="228"/>
      <c r="O537" s="229"/>
    </row>
    <row r="538" ht="22.5" customHeight="1">
      <c r="A538" s="346"/>
      <c r="B538" s="218"/>
      <c r="C538" s="218"/>
      <c r="D538" s="338"/>
      <c r="E538" s="345"/>
      <c r="F538" s="344"/>
      <c r="G538" s="336"/>
      <c r="H538" s="341"/>
      <c r="I538" s="240"/>
      <c r="J538" s="343"/>
      <c r="K538" s="261"/>
      <c r="L538" s="342"/>
      <c r="M538" s="262"/>
      <c r="N538" s="228"/>
      <c r="O538" s="229"/>
    </row>
    <row r="539" ht="22.5" customHeight="1">
      <c r="A539" s="346"/>
      <c r="B539" s="218"/>
      <c r="C539" s="218"/>
      <c r="D539" s="338"/>
      <c r="E539" s="345"/>
      <c r="F539" s="344"/>
      <c r="G539" s="336"/>
      <c r="H539" s="341"/>
      <c r="I539" s="240"/>
      <c r="J539" s="343"/>
      <c r="K539" s="261"/>
      <c r="L539" s="342"/>
      <c r="M539" s="262"/>
      <c r="N539" s="228"/>
      <c r="O539" s="229"/>
    </row>
    <row r="540" ht="22.5" customHeight="1">
      <c r="A540" s="346"/>
      <c r="B540" s="218"/>
      <c r="C540" s="218"/>
      <c r="D540" s="338"/>
      <c r="E540" s="345"/>
      <c r="F540" s="344"/>
      <c r="G540" s="336"/>
      <c r="H540" s="341"/>
      <c r="I540" s="240"/>
      <c r="J540" s="343"/>
      <c r="K540" s="261"/>
      <c r="L540" s="342"/>
      <c r="M540" s="262"/>
      <c r="N540" s="228"/>
      <c r="O540" s="229"/>
    </row>
    <row r="541" ht="22.5" customHeight="1">
      <c r="A541" s="346"/>
      <c r="B541" s="218"/>
      <c r="C541" s="218"/>
      <c r="D541" s="338"/>
      <c r="E541" s="345"/>
      <c r="F541" s="344"/>
      <c r="G541" s="336"/>
      <c r="H541" s="341"/>
      <c r="I541" s="240"/>
      <c r="J541" s="343"/>
      <c r="K541" s="261"/>
      <c r="L541" s="342"/>
      <c r="M541" s="262"/>
      <c r="N541" s="228"/>
      <c r="O541" s="229"/>
    </row>
    <row r="542" ht="22.5" customHeight="1">
      <c r="A542" s="346"/>
      <c r="B542" s="218"/>
      <c r="C542" s="218"/>
      <c r="D542" s="338"/>
      <c r="E542" s="345"/>
      <c r="F542" s="344"/>
      <c r="G542" s="336"/>
      <c r="H542" s="341"/>
      <c r="I542" s="240"/>
      <c r="J542" s="343"/>
      <c r="K542" s="261"/>
      <c r="L542" s="342"/>
      <c r="M542" s="262"/>
      <c r="N542" s="228"/>
      <c r="O542" s="229"/>
    </row>
    <row r="543" ht="22.5" customHeight="1">
      <c r="A543" s="346"/>
      <c r="B543" s="218"/>
      <c r="C543" s="218"/>
      <c r="D543" s="338"/>
      <c r="E543" s="345"/>
      <c r="F543" s="344"/>
      <c r="G543" s="336"/>
      <c r="H543" s="341"/>
      <c r="I543" s="240"/>
      <c r="J543" s="343"/>
      <c r="K543" s="261"/>
      <c r="L543" s="342"/>
      <c r="M543" s="262"/>
      <c r="N543" s="228"/>
      <c r="O543" s="229"/>
    </row>
    <row r="544" ht="22.5" customHeight="1">
      <c r="A544" s="346"/>
      <c r="B544" s="218"/>
      <c r="C544" s="218"/>
      <c r="D544" s="338"/>
      <c r="E544" s="345"/>
      <c r="F544" s="344"/>
      <c r="G544" s="336"/>
      <c r="H544" s="341"/>
      <c r="I544" s="240"/>
      <c r="J544" s="343"/>
      <c r="K544" s="261"/>
      <c r="L544" s="342"/>
      <c r="M544" s="262"/>
      <c r="N544" s="228"/>
      <c r="O544" s="229"/>
    </row>
    <row r="545" ht="22.5" customHeight="1">
      <c r="A545" s="346"/>
      <c r="B545" s="218"/>
      <c r="C545" s="218"/>
      <c r="D545" s="338"/>
      <c r="E545" s="345"/>
      <c r="F545" s="344"/>
      <c r="G545" s="336"/>
      <c r="H545" s="341"/>
      <c r="I545" s="240"/>
      <c r="J545" s="343"/>
      <c r="K545" s="261"/>
      <c r="L545" s="342"/>
      <c r="M545" s="262"/>
      <c r="N545" s="228"/>
      <c r="O545" s="229"/>
    </row>
    <row r="546" ht="22.5" customHeight="1">
      <c r="A546" s="346"/>
      <c r="B546" s="218"/>
      <c r="C546" s="218"/>
      <c r="D546" s="338"/>
      <c r="E546" s="345"/>
      <c r="F546" s="344"/>
      <c r="G546" s="336"/>
      <c r="H546" s="341"/>
      <c r="I546" s="240"/>
      <c r="J546" s="343"/>
      <c r="K546" s="261"/>
      <c r="L546" s="342"/>
      <c r="M546" s="262"/>
      <c r="N546" s="228"/>
      <c r="O546" s="229"/>
    </row>
    <row r="547" ht="22.5" customHeight="1">
      <c r="A547" s="346"/>
      <c r="B547" s="218"/>
      <c r="C547" s="218"/>
      <c r="D547" s="338"/>
      <c r="E547" s="345"/>
      <c r="F547" s="344"/>
      <c r="G547" s="336"/>
      <c r="H547" s="341"/>
      <c r="I547" s="240"/>
      <c r="J547" s="343"/>
      <c r="K547" s="261"/>
      <c r="L547" s="342"/>
      <c r="M547" s="262"/>
      <c r="N547" s="228"/>
      <c r="O547" s="229"/>
    </row>
    <row r="548" ht="22.5" customHeight="1">
      <c r="A548" s="346"/>
      <c r="B548" s="218"/>
      <c r="C548" s="218"/>
      <c r="D548" s="338"/>
      <c r="E548" s="345"/>
      <c r="F548" s="344"/>
      <c r="G548" s="336"/>
      <c r="H548" s="341"/>
      <c r="I548" s="240"/>
      <c r="J548" s="343"/>
      <c r="K548" s="261"/>
      <c r="L548" s="342"/>
      <c r="M548" s="262"/>
      <c r="N548" s="228"/>
      <c r="O548" s="229"/>
    </row>
    <row r="549" ht="22.5" customHeight="1">
      <c r="A549" s="346"/>
      <c r="B549" s="218"/>
      <c r="C549" s="218"/>
      <c r="D549" s="338"/>
      <c r="E549" s="345"/>
      <c r="F549" s="344"/>
      <c r="G549" s="336"/>
      <c r="H549" s="341"/>
      <c r="I549" s="240"/>
      <c r="J549" s="343"/>
      <c r="K549" s="261"/>
      <c r="L549" s="342"/>
      <c r="M549" s="262"/>
      <c r="N549" s="228"/>
      <c r="O549" s="229"/>
    </row>
    <row r="550" ht="22.5" customHeight="1">
      <c r="A550" s="346"/>
      <c r="B550" s="218"/>
      <c r="C550" s="218"/>
      <c r="D550" s="338"/>
      <c r="E550" s="345"/>
      <c r="F550" s="344"/>
      <c r="G550" s="336"/>
      <c r="H550" s="341"/>
      <c r="I550" s="240"/>
      <c r="J550" s="343"/>
      <c r="K550" s="261"/>
      <c r="L550" s="342"/>
      <c r="M550" s="262"/>
      <c r="N550" s="228"/>
      <c r="O550" s="229"/>
    </row>
    <row r="551" ht="22.5" customHeight="1">
      <c r="A551" s="346"/>
      <c r="B551" s="218"/>
      <c r="C551" s="218"/>
      <c r="D551" s="338"/>
      <c r="E551" s="345"/>
      <c r="F551" s="344"/>
      <c r="G551" s="336"/>
      <c r="H551" s="341"/>
      <c r="I551" s="240"/>
      <c r="J551" s="343"/>
      <c r="K551" s="261"/>
      <c r="L551" s="342"/>
      <c r="M551" s="262"/>
      <c r="N551" s="228"/>
      <c r="O551" s="229"/>
    </row>
    <row r="552" ht="22.5" customHeight="1">
      <c r="A552" s="346"/>
      <c r="B552" s="218"/>
      <c r="C552" s="218"/>
      <c r="D552" s="338"/>
      <c r="E552" s="345"/>
      <c r="F552" s="344"/>
      <c r="G552" s="336"/>
      <c r="H552" s="341"/>
      <c r="I552" s="240"/>
      <c r="J552" s="343"/>
      <c r="K552" s="261"/>
      <c r="L552" s="342"/>
      <c r="M552" s="262"/>
      <c r="N552" s="228"/>
      <c r="O552" s="229"/>
    </row>
    <row r="553" ht="22.5" customHeight="1">
      <c r="A553" s="346"/>
      <c r="B553" s="218"/>
      <c r="C553" s="218"/>
      <c r="D553" s="338"/>
      <c r="E553" s="345"/>
      <c r="F553" s="344"/>
      <c r="G553" s="336"/>
      <c r="H553" s="341"/>
      <c r="I553" s="240"/>
      <c r="J553" s="343"/>
      <c r="K553" s="261"/>
      <c r="L553" s="342"/>
      <c r="M553" s="262"/>
      <c r="N553" s="228"/>
      <c r="O553" s="229"/>
    </row>
    <row r="554" ht="22.5" customHeight="1">
      <c r="A554" s="346"/>
      <c r="B554" s="218"/>
      <c r="C554" s="218"/>
      <c r="D554" s="338"/>
      <c r="E554" s="345"/>
      <c r="F554" s="344"/>
      <c r="G554" s="336"/>
      <c r="H554" s="341"/>
      <c r="I554" s="240"/>
      <c r="J554" s="343"/>
      <c r="K554" s="261"/>
      <c r="L554" s="342"/>
      <c r="M554" s="262"/>
      <c r="N554" s="228"/>
      <c r="O554" s="229"/>
    </row>
    <row r="555" ht="22.5" customHeight="1">
      <c r="A555" s="346"/>
      <c r="B555" s="218"/>
      <c r="C555" s="218"/>
      <c r="D555" s="338"/>
      <c r="E555" s="345"/>
      <c r="F555" s="344"/>
      <c r="G555" s="336"/>
      <c r="H555" s="341"/>
      <c r="I555" s="240"/>
      <c r="J555" s="343"/>
      <c r="K555" s="261"/>
      <c r="L555" s="342"/>
      <c r="M555" s="262"/>
      <c r="N555" s="228"/>
      <c r="O555" s="229"/>
    </row>
    <row r="556" ht="22.5" customHeight="1">
      <c r="A556" s="346"/>
      <c r="B556" s="218"/>
      <c r="C556" s="218"/>
      <c r="D556" s="338"/>
      <c r="E556" s="345"/>
      <c r="F556" s="344"/>
      <c r="G556" s="336"/>
      <c r="H556" s="341"/>
      <c r="I556" s="240"/>
      <c r="J556" s="343"/>
      <c r="K556" s="261"/>
      <c r="L556" s="342"/>
      <c r="M556" s="262"/>
      <c r="N556" s="228"/>
      <c r="O556" s="229"/>
    </row>
    <row r="557" ht="22.5" customHeight="1">
      <c r="A557" s="346"/>
      <c r="B557" s="218"/>
      <c r="C557" s="218"/>
      <c r="D557" s="338"/>
      <c r="E557" s="345"/>
      <c r="F557" s="344"/>
      <c r="G557" s="336"/>
      <c r="H557" s="341"/>
      <c r="I557" s="240"/>
      <c r="J557" s="343"/>
      <c r="K557" s="261"/>
      <c r="L557" s="342"/>
      <c r="M557" s="262"/>
      <c r="N557" s="228"/>
      <c r="O557" s="229"/>
    </row>
    <row r="558" ht="22.5" customHeight="1">
      <c r="A558" s="346"/>
      <c r="B558" s="218"/>
      <c r="C558" s="218"/>
      <c r="D558" s="338"/>
      <c r="E558" s="345"/>
      <c r="F558" s="344"/>
      <c r="G558" s="336"/>
      <c r="H558" s="341"/>
      <c r="I558" s="240"/>
      <c r="J558" s="343"/>
      <c r="K558" s="261"/>
      <c r="L558" s="342"/>
      <c r="M558" s="262"/>
      <c r="N558" s="228"/>
      <c r="O558" s="229"/>
    </row>
    <row r="559" ht="22.5" customHeight="1">
      <c r="A559" s="346"/>
      <c r="B559" s="218"/>
      <c r="C559" s="218"/>
      <c r="D559" s="338"/>
      <c r="E559" s="345"/>
      <c r="F559" s="344"/>
      <c r="G559" s="336"/>
      <c r="H559" s="341"/>
      <c r="I559" s="240"/>
      <c r="J559" s="343"/>
      <c r="K559" s="261"/>
      <c r="L559" s="342"/>
      <c r="M559" s="262"/>
      <c r="N559" s="228"/>
      <c r="O559" s="229"/>
    </row>
    <row r="560" ht="22.5" customHeight="1">
      <c r="A560" s="346"/>
      <c r="B560" s="218"/>
      <c r="C560" s="218"/>
      <c r="D560" s="338"/>
      <c r="E560" s="345"/>
      <c r="F560" s="344"/>
      <c r="G560" s="336"/>
      <c r="H560" s="341"/>
      <c r="I560" s="240"/>
      <c r="J560" s="343"/>
      <c r="K560" s="261"/>
      <c r="L560" s="342"/>
      <c r="M560" s="262"/>
      <c r="N560" s="228"/>
      <c r="O560" s="229"/>
    </row>
    <row r="561" ht="22.5" customHeight="1">
      <c r="A561" s="346"/>
      <c r="B561" s="218"/>
      <c r="C561" s="218"/>
      <c r="D561" s="338"/>
      <c r="E561" s="345"/>
      <c r="F561" s="344"/>
      <c r="G561" s="336"/>
      <c r="H561" s="341"/>
      <c r="I561" s="240"/>
      <c r="J561" s="343"/>
      <c r="K561" s="261"/>
      <c r="L561" s="342"/>
      <c r="M561" s="262"/>
      <c r="N561" s="228"/>
      <c r="O561" s="229"/>
    </row>
    <row r="562" ht="22.5" customHeight="1">
      <c r="A562" s="346"/>
      <c r="B562" s="218"/>
      <c r="C562" s="218"/>
      <c r="D562" s="338"/>
      <c r="E562" s="345"/>
      <c r="F562" s="344"/>
      <c r="G562" s="336"/>
      <c r="H562" s="341"/>
      <c r="I562" s="240"/>
      <c r="J562" s="343"/>
      <c r="K562" s="261"/>
      <c r="L562" s="342"/>
      <c r="M562" s="262"/>
      <c r="N562" s="228"/>
      <c r="O562" s="229"/>
    </row>
    <row r="563" ht="22.5" customHeight="1">
      <c r="A563" s="346"/>
      <c r="B563" s="218"/>
      <c r="C563" s="218"/>
      <c r="D563" s="338"/>
      <c r="E563" s="345"/>
      <c r="F563" s="344"/>
      <c r="G563" s="336"/>
      <c r="H563" s="341"/>
      <c r="I563" s="240"/>
      <c r="J563" s="343"/>
      <c r="K563" s="261"/>
      <c r="L563" s="342"/>
      <c r="M563" s="262"/>
      <c r="N563" s="228"/>
      <c r="O563" s="229"/>
    </row>
    <row r="564" ht="22.5" customHeight="1">
      <c r="A564" s="346"/>
      <c r="B564" s="218"/>
      <c r="C564" s="218"/>
      <c r="D564" s="338"/>
      <c r="E564" s="345"/>
      <c r="F564" s="344"/>
      <c r="G564" s="336"/>
      <c r="H564" s="341"/>
      <c r="I564" s="240"/>
      <c r="J564" s="343"/>
      <c r="K564" s="261"/>
      <c r="L564" s="342"/>
      <c r="M564" s="262"/>
      <c r="N564" s="228"/>
      <c r="O564" s="229"/>
    </row>
    <row r="565" ht="22.5" customHeight="1">
      <c r="A565" s="346"/>
      <c r="B565" s="218"/>
      <c r="C565" s="218"/>
      <c r="D565" s="338"/>
      <c r="E565" s="345"/>
      <c r="F565" s="344"/>
      <c r="G565" s="336"/>
      <c r="H565" s="341"/>
      <c r="I565" s="240"/>
      <c r="J565" s="343"/>
      <c r="K565" s="261"/>
      <c r="L565" s="342"/>
      <c r="M565" s="262"/>
      <c r="N565" s="228"/>
      <c r="O565" s="229"/>
    </row>
    <row r="566" ht="22.5" customHeight="1">
      <c r="A566" s="346"/>
      <c r="B566" s="218"/>
      <c r="C566" s="218"/>
      <c r="D566" s="338"/>
      <c r="E566" s="345"/>
      <c r="F566" s="344"/>
      <c r="G566" s="336"/>
      <c r="H566" s="341"/>
      <c r="I566" s="240"/>
      <c r="J566" s="343"/>
      <c r="K566" s="261"/>
      <c r="L566" s="342"/>
      <c r="M566" s="262"/>
      <c r="N566" s="228"/>
      <c r="O566" s="229"/>
    </row>
    <row r="567" ht="22.5" customHeight="1">
      <c r="A567" s="346"/>
      <c r="B567" s="218"/>
      <c r="C567" s="218"/>
      <c r="D567" s="338"/>
      <c r="E567" s="345"/>
      <c r="F567" s="344"/>
      <c r="G567" s="336"/>
      <c r="H567" s="341"/>
      <c r="I567" s="240"/>
      <c r="J567" s="343"/>
      <c r="K567" s="261"/>
      <c r="L567" s="342"/>
      <c r="M567" s="262"/>
      <c r="N567" s="228"/>
      <c r="O567" s="229"/>
    </row>
    <row r="568" ht="22.5" customHeight="1">
      <c r="A568" s="346"/>
      <c r="B568" s="218"/>
      <c r="C568" s="218"/>
      <c r="D568" s="338"/>
      <c r="E568" s="345"/>
      <c r="F568" s="344"/>
      <c r="G568" s="336"/>
      <c r="H568" s="341"/>
      <c r="I568" s="240"/>
      <c r="J568" s="343"/>
      <c r="K568" s="261"/>
      <c r="L568" s="342"/>
      <c r="M568" s="262"/>
      <c r="N568" s="228"/>
      <c r="O568" s="229"/>
    </row>
    <row r="569" ht="22.5" customHeight="1">
      <c r="A569" s="346"/>
      <c r="B569" s="218"/>
      <c r="C569" s="218"/>
      <c r="D569" s="338"/>
      <c r="E569" s="345"/>
      <c r="F569" s="344"/>
      <c r="G569" s="336"/>
      <c r="H569" s="341"/>
      <c r="I569" s="240"/>
      <c r="J569" s="343"/>
      <c r="K569" s="261"/>
      <c r="L569" s="342"/>
      <c r="M569" s="262"/>
      <c r="N569" s="228"/>
      <c r="O569" s="229"/>
    </row>
    <row r="570" ht="22.5" customHeight="1">
      <c r="A570" s="346"/>
      <c r="B570" s="218"/>
      <c r="C570" s="218"/>
      <c r="D570" s="338"/>
      <c r="E570" s="345"/>
      <c r="F570" s="344"/>
      <c r="G570" s="336"/>
      <c r="H570" s="341"/>
      <c r="I570" s="240"/>
      <c r="J570" s="343"/>
      <c r="K570" s="261"/>
      <c r="L570" s="342"/>
      <c r="M570" s="262"/>
      <c r="N570" s="228"/>
      <c r="O570" s="229"/>
    </row>
    <row r="571" ht="22.5" customHeight="1">
      <c r="A571" s="346"/>
      <c r="B571" s="218"/>
      <c r="C571" s="218"/>
      <c r="D571" s="338"/>
      <c r="E571" s="345"/>
      <c r="F571" s="344"/>
      <c r="G571" s="336"/>
      <c r="H571" s="341"/>
      <c r="I571" s="240"/>
      <c r="J571" s="343"/>
      <c r="K571" s="261"/>
      <c r="L571" s="342"/>
      <c r="M571" s="262"/>
      <c r="N571" s="228"/>
      <c r="O571" s="229"/>
    </row>
    <row r="572" ht="22.5" customHeight="1">
      <c r="A572" s="346"/>
      <c r="B572" s="218"/>
      <c r="C572" s="218"/>
      <c r="D572" s="338"/>
      <c r="E572" s="345"/>
      <c r="F572" s="344"/>
      <c r="G572" s="336"/>
      <c r="H572" s="341"/>
      <c r="I572" s="240"/>
      <c r="J572" s="343"/>
      <c r="K572" s="261"/>
      <c r="L572" s="342"/>
      <c r="M572" s="262"/>
      <c r="N572" s="228"/>
      <c r="O572" s="229"/>
    </row>
    <row r="573" ht="22.5" customHeight="1">
      <c r="A573" s="346"/>
      <c r="B573" s="218"/>
      <c r="C573" s="218"/>
      <c r="D573" s="338"/>
      <c r="E573" s="345"/>
      <c r="F573" s="344"/>
      <c r="G573" s="336"/>
      <c r="H573" s="341"/>
      <c r="I573" s="240"/>
      <c r="J573" s="343"/>
      <c r="K573" s="261"/>
      <c r="L573" s="342"/>
      <c r="M573" s="262"/>
      <c r="N573" s="228"/>
      <c r="O573" s="229"/>
    </row>
    <row r="574" ht="22.5" customHeight="1">
      <c r="A574" s="346"/>
      <c r="B574" s="218"/>
      <c r="C574" s="218"/>
      <c r="D574" s="338"/>
      <c r="E574" s="345"/>
      <c r="F574" s="344"/>
      <c r="G574" s="336"/>
      <c r="H574" s="341"/>
      <c r="I574" s="240"/>
      <c r="J574" s="343"/>
      <c r="K574" s="261"/>
      <c r="L574" s="342"/>
      <c r="M574" s="262"/>
      <c r="N574" s="228"/>
      <c r="O574" s="229"/>
    </row>
    <row r="575" ht="22.5" customHeight="1">
      <c r="A575" s="346"/>
      <c r="B575" s="218"/>
      <c r="C575" s="218"/>
      <c r="D575" s="338"/>
      <c r="E575" s="345"/>
      <c r="F575" s="344"/>
      <c r="G575" s="336"/>
      <c r="H575" s="341"/>
      <c r="I575" s="240"/>
      <c r="J575" s="343"/>
      <c r="K575" s="261"/>
      <c r="L575" s="342"/>
      <c r="M575" s="262"/>
      <c r="N575" s="228"/>
      <c r="O575" s="229"/>
    </row>
    <row r="576" ht="22.5" customHeight="1">
      <c r="A576" s="346"/>
      <c r="B576" s="218"/>
      <c r="C576" s="218"/>
      <c r="D576" s="338"/>
      <c r="E576" s="345"/>
      <c r="F576" s="344"/>
      <c r="G576" s="336"/>
      <c r="H576" s="341"/>
      <c r="I576" s="240"/>
      <c r="J576" s="343"/>
      <c r="K576" s="261"/>
      <c r="L576" s="342"/>
      <c r="M576" s="262"/>
      <c r="N576" s="228"/>
      <c r="O576" s="229"/>
    </row>
    <row r="577" ht="22.5" customHeight="1">
      <c r="A577" s="346"/>
      <c r="B577" s="218"/>
      <c r="C577" s="218"/>
      <c r="D577" s="338"/>
      <c r="E577" s="345"/>
      <c r="F577" s="344"/>
      <c r="G577" s="336"/>
      <c r="H577" s="341"/>
      <c r="I577" s="240"/>
      <c r="J577" s="343"/>
      <c r="K577" s="261"/>
      <c r="L577" s="342"/>
      <c r="M577" s="262"/>
      <c r="N577" s="228"/>
      <c r="O577" s="229"/>
    </row>
    <row r="578" ht="22.5" customHeight="1">
      <c r="A578" s="346"/>
      <c r="B578" s="218"/>
      <c r="C578" s="218"/>
      <c r="D578" s="338"/>
      <c r="E578" s="345"/>
      <c r="F578" s="344"/>
      <c r="G578" s="336"/>
      <c r="H578" s="341"/>
      <c r="I578" s="240"/>
      <c r="J578" s="343"/>
      <c r="K578" s="261"/>
      <c r="L578" s="342"/>
      <c r="M578" s="262"/>
      <c r="N578" s="228"/>
      <c r="O578" s="229"/>
    </row>
    <row r="579" ht="22.5" customHeight="1">
      <c r="A579" s="346"/>
      <c r="B579" s="218"/>
      <c r="C579" s="218"/>
      <c r="D579" s="338"/>
      <c r="E579" s="345"/>
      <c r="F579" s="344"/>
      <c r="G579" s="336"/>
      <c r="H579" s="341"/>
      <c r="I579" s="240"/>
      <c r="J579" s="343"/>
      <c r="K579" s="261"/>
      <c r="L579" s="342"/>
      <c r="M579" s="262"/>
      <c r="N579" s="228"/>
      <c r="O579" s="229"/>
    </row>
    <row r="580" ht="22.5" customHeight="1">
      <c r="A580" s="346"/>
      <c r="B580" s="218"/>
      <c r="C580" s="218"/>
      <c r="D580" s="338"/>
      <c r="E580" s="345"/>
      <c r="F580" s="344"/>
      <c r="G580" s="336"/>
      <c r="H580" s="341"/>
      <c r="I580" s="240"/>
      <c r="J580" s="343"/>
      <c r="K580" s="261"/>
      <c r="L580" s="342"/>
      <c r="M580" s="262"/>
      <c r="N580" s="228"/>
      <c r="O580" s="229"/>
    </row>
    <row r="581" ht="22.5" customHeight="1">
      <c r="A581" s="346"/>
      <c r="B581" s="218"/>
      <c r="C581" s="218"/>
      <c r="D581" s="338"/>
      <c r="E581" s="345"/>
      <c r="F581" s="344"/>
      <c r="G581" s="336"/>
      <c r="H581" s="341"/>
      <c r="I581" s="240"/>
      <c r="J581" s="343"/>
      <c r="K581" s="261"/>
      <c r="L581" s="342"/>
      <c r="M581" s="262"/>
      <c r="N581" s="228"/>
      <c r="O581" s="229"/>
    </row>
    <row r="582" ht="22.5" customHeight="1">
      <c r="A582" s="346"/>
      <c r="B582" s="218"/>
      <c r="C582" s="218"/>
      <c r="D582" s="338"/>
      <c r="E582" s="345"/>
      <c r="F582" s="344"/>
      <c r="G582" s="336"/>
      <c r="H582" s="341"/>
      <c r="I582" s="240"/>
      <c r="J582" s="343"/>
      <c r="K582" s="261"/>
      <c r="L582" s="342"/>
      <c r="M582" s="262"/>
      <c r="N582" s="228"/>
      <c r="O582" s="229"/>
    </row>
    <row r="583" ht="22.5" customHeight="1">
      <c r="A583" s="346"/>
      <c r="B583" s="218"/>
      <c r="C583" s="218"/>
      <c r="D583" s="338"/>
      <c r="E583" s="345"/>
      <c r="F583" s="344"/>
      <c r="G583" s="336"/>
      <c r="H583" s="341"/>
      <c r="I583" s="240"/>
      <c r="J583" s="343"/>
      <c r="K583" s="261"/>
      <c r="L583" s="342"/>
      <c r="M583" s="262"/>
      <c r="N583" s="228"/>
      <c r="O583" s="229"/>
    </row>
    <row r="584" ht="22.5" customHeight="1">
      <c r="A584" s="346"/>
      <c r="B584" s="218"/>
      <c r="C584" s="218"/>
      <c r="D584" s="338"/>
      <c r="E584" s="345"/>
      <c r="F584" s="344"/>
      <c r="G584" s="336"/>
      <c r="H584" s="341"/>
      <c r="I584" s="240"/>
      <c r="J584" s="343"/>
      <c r="K584" s="261"/>
      <c r="L584" s="342"/>
      <c r="M584" s="262"/>
      <c r="N584" s="228"/>
      <c r="O584" s="229"/>
    </row>
    <row r="585" ht="22.5" customHeight="1">
      <c r="A585" s="346"/>
      <c r="B585" s="218"/>
      <c r="C585" s="218"/>
      <c r="D585" s="338"/>
      <c r="E585" s="345"/>
      <c r="F585" s="344"/>
      <c r="G585" s="336"/>
      <c r="H585" s="341"/>
      <c r="I585" s="240"/>
      <c r="J585" s="343"/>
      <c r="K585" s="261"/>
      <c r="L585" s="342"/>
      <c r="M585" s="262"/>
      <c r="N585" s="228"/>
      <c r="O585" s="229"/>
    </row>
    <row r="586" ht="22.5" customHeight="1">
      <c r="A586" s="346"/>
      <c r="B586" s="218"/>
      <c r="C586" s="218"/>
      <c r="D586" s="338"/>
      <c r="E586" s="345"/>
      <c r="F586" s="344"/>
      <c r="G586" s="336"/>
      <c r="H586" s="341"/>
      <c r="I586" s="240"/>
      <c r="J586" s="343"/>
      <c r="K586" s="261"/>
      <c r="L586" s="342"/>
      <c r="M586" s="262"/>
      <c r="N586" s="228"/>
      <c r="O586" s="229"/>
    </row>
    <row r="587" ht="22.5" customHeight="1">
      <c r="A587" s="346"/>
      <c r="B587" s="218"/>
      <c r="C587" s="218"/>
      <c r="D587" s="338"/>
      <c r="E587" s="345"/>
      <c r="F587" s="344"/>
      <c r="G587" s="336"/>
      <c r="H587" s="341"/>
      <c r="I587" s="240"/>
      <c r="J587" s="343"/>
      <c r="K587" s="261"/>
      <c r="L587" s="342"/>
      <c r="M587" s="262"/>
      <c r="N587" s="228"/>
      <c r="O587" s="229"/>
    </row>
    <row r="588" ht="22.5" customHeight="1">
      <c r="A588" s="346"/>
      <c r="B588" s="218"/>
      <c r="C588" s="218"/>
      <c r="D588" s="338"/>
      <c r="E588" s="345"/>
      <c r="F588" s="344"/>
      <c r="G588" s="336"/>
      <c r="H588" s="341"/>
      <c r="I588" s="240"/>
      <c r="J588" s="343"/>
      <c r="K588" s="261"/>
      <c r="L588" s="342"/>
      <c r="M588" s="262"/>
      <c r="N588" s="228"/>
      <c r="O588" s="229"/>
    </row>
    <row r="589" ht="22.5" customHeight="1">
      <c r="A589" s="346"/>
      <c r="B589" s="218"/>
      <c r="C589" s="218"/>
      <c r="D589" s="338"/>
      <c r="E589" s="345"/>
      <c r="F589" s="344"/>
      <c r="G589" s="336"/>
      <c r="H589" s="341"/>
      <c r="I589" s="240"/>
      <c r="J589" s="343"/>
      <c r="K589" s="261"/>
      <c r="L589" s="342"/>
      <c r="M589" s="262"/>
      <c r="N589" s="228"/>
      <c r="O589" s="229"/>
    </row>
    <row r="590" ht="22.5" customHeight="1">
      <c r="A590" s="346"/>
      <c r="B590" s="218"/>
      <c r="C590" s="218"/>
      <c r="D590" s="338"/>
      <c r="E590" s="345"/>
      <c r="F590" s="344"/>
      <c r="G590" s="336"/>
      <c r="H590" s="341"/>
      <c r="I590" s="240"/>
      <c r="J590" s="343"/>
      <c r="K590" s="261"/>
      <c r="L590" s="342"/>
      <c r="M590" s="262"/>
      <c r="N590" s="228"/>
      <c r="O590" s="229"/>
    </row>
    <row r="591" ht="22.5" customHeight="1">
      <c r="A591" s="346"/>
      <c r="B591" s="218"/>
      <c r="C591" s="218"/>
      <c r="D591" s="338"/>
      <c r="E591" s="345"/>
      <c r="F591" s="344"/>
      <c r="G591" s="336"/>
      <c r="H591" s="341"/>
      <c r="I591" s="240"/>
      <c r="J591" s="343"/>
      <c r="K591" s="261"/>
      <c r="L591" s="342"/>
      <c r="M591" s="262"/>
      <c r="N591" s="228"/>
      <c r="O591" s="229"/>
    </row>
    <row r="592" ht="22.5" customHeight="1">
      <c r="A592" s="346"/>
      <c r="B592" s="218"/>
      <c r="C592" s="218"/>
      <c r="D592" s="338"/>
      <c r="E592" s="345"/>
      <c r="F592" s="344"/>
      <c r="G592" s="336"/>
      <c r="H592" s="341"/>
      <c r="I592" s="240"/>
      <c r="J592" s="343"/>
      <c r="K592" s="261"/>
      <c r="L592" s="342"/>
      <c r="M592" s="262"/>
      <c r="N592" s="228"/>
      <c r="O592" s="229"/>
    </row>
    <row r="593" ht="22.5" customHeight="1">
      <c r="A593" s="346"/>
      <c r="B593" s="218"/>
      <c r="C593" s="218"/>
      <c r="D593" s="338"/>
      <c r="E593" s="345"/>
      <c r="F593" s="344"/>
      <c r="G593" s="336"/>
      <c r="H593" s="341"/>
      <c r="I593" s="240"/>
      <c r="J593" s="343"/>
      <c r="K593" s="261"/>
      <c r="L593" s="342"/>
      <c r="M593" s="262"/>
      <c r="N593" s="228"/>
      <c r="O593" s="229"/>
    </row>
    <row r="594" ht="22.5" customHeight="1">
      <c r="A594" s="346"/>
      <c r="B594" s="218"/>
      <c r="C594" s="218"/>
      <c r="D594" s="338"/>
      <c r="E594" s="345"/>
      <c r="F594" s="344"/>
      <c r="G594" s="336"/>
      <c r="H594" s="341"/>
      <c r="I594" s="240"/>
      <c r="J594" s="343"/>
      <c r="K594" s="261"/>
      <c r="L594" s="342"/>
      <c r="M594" s="262"/>
      <c r="N594" s="228"/>
      <c r="O594" s="229"/>
    </row>
    <row r="595" ht="22.5" customHeight="1">
      <c r="A595" s="346"/>
      <c r="B595" s="218"/>
      <c r="C595" s="218"/>
      <c r="D595" s="338"/>
      <c r="E595" s="345"/>
      <c r="F595" s="344"/>
      <c r="G595" s="336"/>
      <c r="H595" s="341"/>
      <c r="I595" s="240"/>
      <c r="J595" s="343"/>
      <c r="K595" s="261"/>
      <c r="L595" s="342"/>
      <c r="M595" s="262"/>
      <c r="N595" s="228"/>
      <c r="O595" s="229"/>
    </row>
    <row r="596" ht="22.5" customHeight="1">
      <c r="A596" s="346"/>
      <c r="B596" s="218"/>
      <c r="C596" s="218"/>
      <c r="D596" s="338"/>
      <c r="E596" s="345"/>
      <c r="F596" s="344"/>
      <c r="G596" s="336"/>
      <c r="H596" s="341"/>
      <c r="I596" s="240"/>
      <c r="J596" s="343"/>
      <c r="K596" s="261"/>
      <c r="L596" s="342"/>
      <c r="M596" s="262"/>
      <c r="N596" s="228"/>
      <c r="O596" s="229"/>
    </row>
    <row r="597" ht="22.5" customHeight="1">
      <c r="A597" s="346"/>
      <c r="B597" s="218"/>
      <c r="C597" s="218"/>
      <c r="D597" s="338"/>
      <c r="E597" s="345"/>
      <c r="F597" s="344"/>
      <c r="G597" s="336"/>
      <c r="H597" s="341"/>
      <c r="I597" s="240"/>
      <c r="J597" s="343"/>
      <c r="K597" s="261"/>
      <c r="L597" s="342"/>
      <c r="M597" s="262"/>
      <c r="N597" s="228"/>
      <c r="O597" s="229"/>
    </row>
    <row r="598" ht="22.5" customHeight="1">
      <c r="A598" s="346"/>
      <c r="B598" s="218"/>
      <c r="C598" s="218"/>
      <c r="D598" s="338"/>
      <c r="E598" s="345"/>
      <c r="F598" s="344"/>
      <c r="G598" s="336"/>
      <c r="H598" s="341"/>
      <c r="I598" s="240"/>
      <c r="J598" s="343"/>
      <c r="K598" s="261"/>
      <c r="L598" s="342"/>
      <c r="M598" s="262"/>
      <c r="N598" s="228"/>
      <c r="O598" s="229"/>
    </row>
    <row r="599" ht="22.5" customHeight="1">
      <c r="A599" s="346"/>
      <c r="B599" s="218"/>
      <c r="C599" s="218"/>
      <c r="D599" s="338"/>
      <c r="E599" s="345"/>
      <c r="F599" s="344"/>
      <c r="G599" s="336"/>
      <c r="H599" s="341"/>
      <c r="I599" s="240"/>
      <c r="J599" s="343"/>
      <c r="K599" s="261"/>
      <c r="L599" s="342"/>
      <c r="M599" s="262"/>
      <c r="N599" s="228"/>
      <c r="O599" s="229"/>
    </row>
    <row r="600" ht="22.5" customHeight="1">
      <c r="A600" s="346"/>
      <c r="B600" s="218"/>
      <c r="C600" s="218"/>
      <c r="D600" s="338"/>
      <c r="E600" s="345"/>
      <c r="F600" s="344"/>
      <c r="G600" s="336"/>
      <c r="H600" s="341"/>
      <c r="I600" s="240"/>
      <c r="J600" s="343"/>
      <c r="K600" s="261"/>
      <c r="L600" s="342"/>
      <c r="M600" s="262"/>
      <c r="N600" s="228"/>
      <c r="O600" s="229"/>
    </row>
    <row r="601" ht="22.5" customHeight="1">
      <c r="A601" s="346"/>
      <c r="B601" s="218"/>
      <c r="C601" s="218"/>
      <c r="D601" s="338"/>
      <c r="E601" s="345"/>
      <c r="F601" s="344"/>
      <c r="G601" s="336"/>
      <c r="H601" s="341"/>
      <c r="I601" s="240"/>
      <c r="J601" s="343"/>
      <c r="K601" s="261"/>
      <c r="L601" s="342"/>
      <c r="M601" s="262"/>
      <c r="N601" s="228"/>
      <c r="O601" s="229"/>
    </row>
    <row r="602" ht="22.5" customHeight="1">
      <c r="A602" s="346"/>
      <c r="B602" s="218"/>
      <c r="C602" s="218"/>
      <c r="D602" s="338"/>
      <c r="E602" s="345"/>
      <c r="F602" s="344"/>
      <c r="G602" s="336"/>
      <c r="H602" s="341"/>
      <c r="I602" s="240"/>
      <c r="J602" s="343"/>
      <c r="K602" s="261"/>
      <c r="L602" s="342"/>
      <c r="M602" s="262"/>
      <c r="N602" s="228"/>
      <c r="O602" s="229"/>
    </row>
    <row r="603" ht="22.5" customHeight="1">
      <c r="A603" s="346"/>
      <c r="B603" s="218"/>
      <c r="C603" s="218"/>
      <c r="D603" s="338"/>
      <c r="E603" s="345"/>
      <c r="F603" s="344"/>
      <c r="G603" s="336"/>
      <c r="H603" s="341"/>
      <c r="I603" s="240"/>
      <c r="J603" s="343"/>
      <c r="K603" s="261"/>
      <c r="L603" s="342"/>
      <c r="M603" s="262"/>
      <c r="N603" s="228"/>
      <c r="O603" s="229"/>
    </row>
    <row r="604" ht="22.5" customHeight="1">
      <c r="A604" s="346"/>
      <c r="B604" s="218"/>
      <c r="C604" s="218"/>
      <c r="D604" s="338"/>
      <c r="E604" s="345"/>
      <c r="F604" s="344"/>
      <c r="G604" s="336"/>
      <c r="H604" s="341"/>
      <c r="I604" s="240"/>
      <c r="J604" s="343"/>
      <c r="K604" s="261"/>
      <c r="L604" s="342"/>
      <c r="M604" s="262"/>
      <c r="N604" s="228"/>
      <c r="O604" s="229"/>
    </row>
    <row r="605" ht="22.5" customHeight="1">
      <c r="A605" s="346"/>
      <c r="B605" s="218"/>
      <c r="C605" s="218"/>
      <c r="D605" s="338"/>
      <c r="E605" s="345"/>
      <c r="F605" s="344"/>
      <c r="G605" s="336"/>
      <c r="H605" s="341"/>
      <c r="I605" s="240"/>
      <c r="J605" s="343"/>
      <c r="K605" s="261"/>
      <c r="L605" s="342"/>
      <c r="M605" s="262"/>
      <c r="N605" s="228"/>
      <c r="O605" s="229"/>
    </row>
    <row r="606" ht="22.5" customHeight="1">
      <c r="A606" s="346"/>
      <c r="B606" s="218"/>
      <c r="C606" s="218"/>
      <c r="D606" s="338"/>
      <c r="E606" s="345"/>
      <c r="F606" s="344"/>
      <c r="G606" s="336"/>
      <c r="H606" s="341"/>
      <c r="I606" s="240"/>
      <c r="J606" s="343"/>
      <c r="K606" s="261"/>
      <c r="L606" s="342"/>
      <c r="M606" s="262"/>
      <c r="N606" s="228"/>
      <c r="O606" s="229"/>
    </row>
    <row r="607" ht="22.5" customHeight="1">
      <c r="A607" s="346"/>
      <c r="B607" s="218"/>
      <c r="C607" s="218"/>
      <c r="D607" s="338"/>
      <c r="E607" s="345"/>
      <c r="F607" s="344"/>
      <c r="G607" s="336"/>
      <c r="H607" s="341"/>
      <c r="I607" s="240"/>
      <c r="J607" s="343"/>
      <c r="K607" s="261"/>
      <c r="L607" s="342"/>
      <c r="M607" s="262"/>
      <c r="N607" s="228"/>
      <c r="O607" s="229"/>
    </row>
    <row r="608" ht="22.5" customHeight="1">
      <c r="A608" s="346"/>
      <c r="B608" s="218"/>
      <c r="C608" s="218"/>
      <c r="D608" s="338"/>
      <c r="E608" s="345"/>
      <c r="F608" s="344"/>
      <c r="G608" s="336"/>
      <c r="H608" s="341"/>
      <c r="I608" s="240"/>
      <c r="J608" s="343"/>
      <c r="K608" s="261"/>
      <c r="L608" s="342"/>
      <c r="M608" s="262"/>
      <c r="N608" s="228"/>
      <c r="O608" s="229"/>
    </row>
    <row r="609" ht="22.5" customHeight="1">
      <c r="A609" s="346"/>
      <c r="B609" s="218"/>
      <c r="C609" s="218"/>
      <c r="D609" s="338"/>
      <c r="E609" s="345"/>
      <c r="F609" s="344"/>
      <c r="G609" s="336"/>
      <c r="H609" s="341"/>
      <c r="I609" s="240"/>
      <c r="J609" s="343"/>
      <c r="K609" s="261"/>
      <c r="L609" s="342"/>
      <c r="M609" s="262"/>
      <c r="N609" s="228"/>
      <c r="O609" s="229"/>
    </row>
    <row r="610" ht="22.5" customHeight="1">
      <c r="A610" s="346"/>
      <c r="B610" s="218"/>
      <c r="C610" s="218"/>
      <c r="D610" s="338"/>
      <c r="E610" s="345"/>
      <c r="F610" s="344"/>
      <c r="G610" s="336"/>
      <c r="H610" s="341"/>
      <c r="I610" s="240"/>
      <c r="J610" s="343"/>
      <c r="K610" s="261"/>
      <c r="L610" s="342"/>
      <c r="M610" s="262"/>
      <c r="N610" s="228"/>
      <c r="O610" s="229"/>
    </row>
    <row r="611" ht="22.5" customHeight="1">
      <c r="A611" s="346"/>
      <c r="B611" s="218"/>
      <c r="C611" s="218"/>
      <c r="D611" s="338"/>
      <c r="E611" s="345"/>
      <c r="F611" s="344"/>
      <c r="G611" s="336"/>
      <c r="H611" s="341"/>
      <c r="I611" s="240"/>
      <c r="J611" s="343"/>
      <c r="K611" s="261"/>
      <c r="L611" s="342"/>
      <c r="M611" s="262"/>
      <c r="N611" s="228"/>
      <c r="O611" s="229"/>
    </row>
    <row r="612" ht="22.5" customHeight="1">
      <c r="A612" s="346"/>
      <c r="B612" s="218"/>
      <c r="C612" s="218"/>
      <c r="D612" s="338"/>
      <c r="E612" s="345"/>
      <c r="F612" s="344"/>
      <c r="G612" s="336"/>
      <c r="H612" s="341"/>
      <c r="I612" s="240"/>
      <c r="J612" s="343"/>
      <c r="K612" s="261"/>
      <c r="L612" s="342"/>
      <c r="M612" s="262"/>
      <c r="N612" s="228"/>
      <c r="O612" s="229"/>
    </row>
    <row r="613" ht="22.5" customHeight="1">
      <c r="A613" s="346"/>
      <c r="B613" s="218"/>
      <c r="C613" s="218"/>
      <c r="D613" s="338"/>
      <c r="E613" s="345"/>
      <c r="F613" s="344"/>
      <c r="G613" s="336"/>
      <c r="H613" s="341"/>
      <c r="I613" s="240"/>
      <c r="J613" s="343"/>
      <c r="K613" s="261"/>
      <c r="L613" s="342"/>
      <c r="M613" s="262"/>
      <c r="N613" s="228"/>
      <c r="O613" s="229"/>
    </row>
    <row r="614" ht="22.5" customHeight="1">
      <c r="A614" s="346"/>
      <c r="B614" s="218"/>
      <c r="C614" s="218"/>
      <c r="D614" s="338"/>
      <c r="E614" s="345"/>
      <c r="F614" s="344"/>
      <c r="G614" s="336"/>
      <c r="H614" s="341"/>
      <c r="I614" s="240"/>
      <c r="J614" s="343"/>
      <c r="K614" s="261"/>
      <c r="L614" s="342"/>
      <c r="M614" s="262"/>
      <c r="N614" s="228"/>
      <c r="O614" s="229"/>
    </row>
    <row r="615" ht="22.5" customHeight="1">
      <c r="A615" s="346"/>
      <c r="B615" s="218"/>
      <c r="C615" s="218"/>
      <c r="D615" s="338"/>
      <c r="E615" s="345"/>
      <c r="F615" s="344"/>
      <c r="G615" s="336"/>
      <c r="H615" s="341"/>
      <c r="I615" s="240"/>
      <c r="J615" s="343"/>
      <c r="K615" s="261"/>
      <c r="L615" s="342"/>
      <c r="M615" s="262"/>
      <c r="N615" s="228"/>
      <c r="O615" s="229"/>
    </row>
    <row r="616" ht="22.5" customHeight="1">
      <c r="A616" s="346"/>
      <c r="B616" s="218"/>
      <c r="C616" s="218"/>
      <c r="D616" s="338"/>
      <c r="E616" s="345"/>
      <c r="F616" s="344"/>
      <c r="G616" s="336"/>
      <c r="H616" s="341"/>
      <c r="I616" s="240"/>
      <c r="J616" s="343"/>
      <c r="K616" s="261"/>
      <c r="L616" s="342"/>
      <c r="M616" s="262"/>
      <c r="N616" s="228"/>
      <c r="O616" s="229"/>
    </row>
    <row r="617" ht="22.5" customHeight="1">
      <c r="A617" s="346"/>
      <c r="B617" s="218"/>
      <c r="C617" s="218"/>
      <c r="D617" s="338"/>
      <c r="E617" s="345"/>
      <c r="F617" s="344"/>
      <c r="G617" s="336"/>
      <c r="H617" s="341"/>
      <c r="I617" s="240"/>
      <c r="J617" s="343"/>
      <c r="K617" s="261"/>
      <c r="L617" s="342"/>
      <c r="M617" s="262"/>
      <c r="N617" s="228"/>
      <c r="O617" s="229"/>
    </row>
    <row r="618" ht="22.5" customHeight="1">
      <c r="A618" s="346"/>
      <c r="B618" s="218"/>
      <c r="C618" s="218"/>
      <c r="D618" s="338"/>
      <c r="E618" s="345"/>
      <c r="F618" s="344"/>
      <c r="G618" s="336"/>
      <c r="H618" s="341"/>
      <c r="I618" s="240"/>
      <c r="J618" s="343"/>
      <c r="K618" s="261"/>
      <c r="L618" s="342"/>
      <c r="M618" s="262"/>
      <c r="N618" s="228"/>
      <c r="O618" s="229"/>
    </row>
    <row r="619" ht="22.5" customHeight="1">
      <c r="A619" s="346"/>
      <c r="B619" s="218"/>
      <c r="C619" s="218"/>
      <c r="D619" s="338"/>
      <c r="E619" s="345"/>
      <c r="F619" s="344"/>
      <c r="G619" s="336"/>
      <c r="H619" s="341"/>
      <c r="I619" s="240"/>
      <c r="J619" s="343"/>
      <c r="K619" s="261"/>
      <c r="L619" s="342"/>
      <c r="M619" s="262"/>
      <c r="N619" s="228"/>
      <c r="O619" s="229"/>
    </row>
    <row r="620" ht="22.5" customHeight="1">
      <c r="A620" s="346"/>
      <c r="B620" s="218"/>
      <c r="C620" s="218"/>
      <c r="D620" s="338"/>
      <c r="E620" s="345"/>
      <c r="F620" s="344"/>
      <c r="G620" s="336"/>
      <c r="H620" s="341"/>
      <c r="I620" s="240"/>
      <c r="J620" s="343"/>
      <c r="K620" s="261"/>
      <c r="L620" s="342"/>
      <c r="M620" s="262"/>
      <c r="N620" s="228"/>
      <c r="O620" s="229"/>
    </row>
    <row r="621" ht="22.5" customHeight="1">
      <c r="A621" s="346"/>
      <c r="B621" s="218"/>
      <c r="C621" s="218"/>
      <c r="D621" s="338"/>
      <c r="E621" s="345"/>
      <c r="F621" s="344"/>
      <c r="G621" s="336"/>
      <c r="H621" s="341"/>
      <c r="I621" s="240"/>
      <c r="J621" s="343"/>
      <c r="K621" s="261"/>
      <c r="L621" s="342"/>
      <c r="M621" s="262"/>
      <c r="N621" s="228"/>
      <c r="O621" s="229"/>
    </row>
    <row r="622" ht="22.5" customHeight="1">
      <c r="A622" s="346"/>
      <c r="B622" s="218"/>
      <c r="C622" s="218"/>
      <c r="D622" s="338"/>
      <c r="E622" s="345"/>
      <c r="F622" s="344"/>
      <c r="G622" s="336"/>
      <c r="H622" s="341"/>
      <c r="I622" s="240"/>
      <c r="J622" s="343"/>
      <c r="K622" s="261"/>
      <c r="L622" s="342"/>
      <c r="M622" s="262"/>
      <c r="N622" s="228"/>
      <c r="O622" s="229"/>
    </row>
    <row r="623" ht="22.5" customHeight="1">
      <c r="A623" s="346"/>
      <c r="B623" s="218"/>
      <c r="C623" s="218"/>
      <c r="D623" s="338"/>
      <c r="E623" s="345"/>
      <c r="F623" s="344"/>
      <c r="G623" s="336"/>
      <c r="H623" s="341"/>
      <c r="I623" s="240"/>
      <c r="J623" s="343"/>
      <c r="K623" s="261"/>
      <c r="L623" s="342"/>
      <c r="M623" s="262"/>
      <c r="N623" s="228"/>
      <c r="O623" s="229"/>
    </row>
    <row r="624" ht="22.5" customHeight="1">
      <c r="A624" s="346"/>
      <c r="B624" s="218"/>
      <c r="C624" s="218"/>
      <c r="D624" s="338"/>
      <c r="E624" s="345"/>
      <c r="F624" s="344"/>
      <c r="G624" s="336"/>
      <c r="H624" s="341"/>
      <c r="I624" s="240"/>
      <c r="J624" s="343"/>
      <c r="K624" s="261"/>
      <c r="L624" s="342"/>
      <c r="M624" s="262"/>
      <c r="N624" s="228"/>
      <c r="O624" s="229"/>
    </row>
    <row r="625" ht="22.5" customHeight="1">
      <c r="A625" s="346"/>
      <c r="B625" s="218"/>
      <c r="C625" s="218"/>
      <c r="D625" s="338"/>
      <c r="E625" s="345"/>
      <c r="F625" s="344"/>
      <c r="G625" s="336"/>
      <c r="H625" s="341"/>
      <c r="I625" s="240"/>
      <c r="J625" s="343"/>
      <c r="K625" s="261"/>
      <c r="L625" s="342"/>
      <c r="M625" s="262"/>
      <c r="N625" s="228"/>
      <c r="O625" s="229"/>
    </row>
    <row r="626" ht="22.5" customHeight="1">
      <c r="A626" s="346"/>
      <c r="B626" s="218"/>
      <c r="C626" s="218"/>
      <c r="D626" s="338"/>
      <c r="E626" s="345"/>
      <c r="F626" s="344"/>
      <c r="G626" s="336"/>
      <c r="H626" s="341"/>
      <c r="I626" s="240"/>
      <c r="J626" s="343"/>
      <c r="K626" s="261"/>
      <c r="L626" s="342"/>
      <c r="M626" s="262"/>
      <c r="N626" s="228"/>
      <c r="O626" s="229"/>
    </row>
    <row r="627" ht="22.5" customHeight="1">
      <c r="A627" s="346"/>
      <c r="B627" s="218"/>
      <c r="C627" s="218"/>
      <c r="D627" s="338"/>
      <c r="E627" s="345"/>
      <c r="F627" s="344"/>
      <c r="G627" s="336"/>
      <c r="H627" s="341"/>
      <c r="I627" s="240"/>
      <c r="J627" s="343"/>
      <c r="K627" s="261"/>
      <c r="L627" s="342"/>
      <c r="M627" s="262"/>
      <c r="N627" s="228"/>
      <c r="O627" s="229"/>
    </row>
    <row r="628" ht="22.5" customHeight="1">
      <c r="A628" s="346"/>
      <c r="B628" s="218"/>
      <c r="C628" s="218"/>
      <c r="D628" s="338"/>
      <c r="E628" s="345"/>
      <c r="F628" s="344"/>
      <c r="G628" s="336"/>
      <c r="H628" s="341"/>
      <c r="I628" s="240"/>
      <c r="J628" s="343"/>
      <c r="K628" s="261"/>
      <c r="L628" s="342"/>
      <c r="M628" s="262"/>
      <c r="N628" s="228"/>
      <c r="O628" s="229"/>
    </row>
    <row r="629" ht="22.5" customHeight="1">
      <c r="A629" s="346"/>
      <c r="B629" s="218"/>
      <c r="C629" s="218"/>
      <c r="D629" s="338"/>
      <c r="E629" s="345"/>
      <c r="F629" s="344"/>
      <c r="G629" s="336"/>
      <c r="H629" s="341"/>
      <c r="I629" s="240"/>
      <c r="J629" s="343"/>
      <c r="K629" s="261"/>
      <c r="L629" s="342"/>
      <c r="M629" s="262"/>
      <c r="N629" s="228"/>
      <c r="O629" s="229"/>
    </row>
    <row r="630" ht="22.5" customHeight="1">
      <c r="A630" s="346"/>
      <c r="B630" s="218"/>
      <c r="C630" s="218"/>
      <c r="D630" s="338"/>
      <c r="E630" s="345"/>
      <c r="F630" s="344"/>
      <c r="G630" s="336"/>
      <c r="H630" s="341"/>
      <c r="I630" s="240"/>
      <c r="J630" s="343"/>
      <c r="K630" s="261"/>
      <c r="L630" s="342"/>
      <c r="M630" s="262"/>
      <c r="N630" s="228"/>
      <c r="O630" s="229"/>
    </row>
    <row r="631" ht="22.5" customHeight="1">
      <c r="A631" s="346"/>
      <c r="B631" s="218"/>
      <c r="C631" s="218"/>
      <c r="D631" s="338"/>
      <c r="E631" s="345"/>
      <c r="F631" s="344"/>
      <c r="G631" s="336"/>
      <c r="H631" s="341"/>
      <c r="I631" s="240"/>
      <c r="J631" s="343"/>
      <c r="K631" s="261"/>
      <c r="L631" s="342"/>
      <c r="M631" s="262"/>
      <c r="N631" s="228"/>
      <c r="O631" s="229"/>
    </row>
    <row r="632" ht="22.5" customHeight="1">
      <c r="A632" s="346"/>
      <c r="B632" s="218"/>
      <c r="C632" s="218"/>
      <c r="D632" s="338"/>
      <c r="E632" s="345"/>
      <c r="F632" s="344"/>
      <c r="G632" s="336"/>
      <c r="H632" s="341"/>
      <c r="I632" s="240"/>
      <c r="J632" s="343"/>
      <c r="K632" s="261"/>
      <c r="L632" s="342"/>
      <c r="M632" s="262"/>
      <c r="N632" s="228"/>
      <c r="O632" s="229"/>
    </row>
    <row r="633" ht="22.5" customHeight="1">
      <c r="A633" s="346"/>
      <c r="B633" s="218"/>
      <c r="C633" s="218"/>
      <c r="D633" s="338"/>
      <c r="E633" s="345"/>
      <c r="F633" s="344"/>
      <c r="G633" s="336"/>
      <c r="H633" s="341"/>
      <c r="I633" s="240"/>
      <c r="J633" s="343"/>
      <c r="K633" s="261"/>
      <c r="L633" s="342"/>
      <c r="M633" s="262"/>
      <c r="N633" s="228"/>
      <c r="O633" s="229"/>
    </row>
    <row r="634" ht="22.5" customHeight="1">
      <c r="A634" s="346"/>
      <c r="B634" s="218"/>
      <c r="C634" s="218"/>
      <c r="D634" s="338"/>
      <c r="E634" s="345"/>
      <c r="F634" s="344"/>
      <c r="G634" s="336"/>
      <c r="H634" s="341"/>
      <c r="I634" s="240"/>
      <c r="J634" s="343"/>
      <c r="K634" s="261"/>
      <c r="L634" s="342"/>
      <c r="M634" s="262"/>
      <c r="N634" s="228"/>
      <c r="O634" s="229"/>
    </row>
    <row r="635" ht="22.5" customHeight="1">
      <c r="A635" s="346"/>
      <c r="B635" s="218"/>
      <c r="C635" s="218"/>
      <c r="D635" s="338"/>
      <c r="E635" s="345"/>
      <c r="F635" s="344"/>
      <c r="G635" s="336"/>
      <c r="H635" s="341"/>
      <c r="I635" s="240"/>
      <c r="J635" s="343"/>
      <c r="K635" s="261"/>
      <c r="L635" s="342"/>
      <c r="M635" s="262"/>
      <c r="N635" s="228"/>
      <c r="O635" s="229"/>
    </row>
    <row r="636" ht="22.5" customHeight="1">
      <c r="A636" s="346"/>
      <c r="B636" s="218"/>
      <c r="C636" s="218"/>
      <c r="D636" s="338"/>
      <c r="E636" s="345"/>
      <c r="F636" s="344"/>
      <c r="G636" s="336"/>
      <c r="H636" s="341"/>
      <c r="I636" s="240"/>
      <c r="J636" s="343"/>
      <c r="K636" s="261"/>
      <c r="L636" s="342"/>
      <c r="M636" s="262"/>
      <c r="N636" s="228"/>
      <c r="O636" s="229"/>
    </row>
    <row r="637" ht="22.5" customHeight="1">
      <c r="A637" s="346"/>
      <c r="B637" s="218"/>
      <c r="C637" s="218"/>
      <c r="D637" s="338"/>
      <c r="E637" s="345"/>
      <c r="F637" s="344"/>
      <c r="G637" s="336"/>
      <c r="H637" s="341"/>
      <c r="I637" s="240"/>
      <c r="J637" s="343"/>
      <c r="K637" s="261"/>
      <c r="L637" s="342"/>
      <c r="M637" s="262"/>
      <c r="N637" s="228"/>
      <c r="O637" s="229"/>
    </row>
    <row r="638" ht="22.5" customHeight="1">
      <c r="A638" s="346"/>
      <c r="B638" s="218"/>
      <c r="C638" s="218"/>
      <c r="D638" s="338"/>
      <c r="E638" s="345"/>
      <c r="F638" s="344"/>
      <c r="G638" s="336"/>
      <c r="H638" s="341"/>
      <c r="I638" s="240"/>
      <c r="J638" s="343"/>
      <c r="K638" s="261"/>
      <c r="L638" s="342"/>
      <c r="M638" s="262"/>
      <c r="N638" s="228"/>
      <c r="O638" s="229"/>
    </row>
    <row r="639" ht="22.5" customHeight="1">
      <c r="A639" s="346"/>
      <c r="B639" s="218"/>
      <c r="C639" s="218"/>
      <c r="D639" s="338"/>
      <c r="E639" s="345"/>
      <c r="F639" s="344"/>
      <c r="G639" s="336"/>
      <c r="H639" s="341"/>
      <c r="I639" s="240"/>
      <c r="J639" s="343"/>
      <c r="K639" s="261"/>
      <c r="L639" s="342"/>
      <c r="M639" s="262"/>
      <c r="N639" s="228"/>
      <c r="O639" s="229"/>
    </row>
    <row r="640" ht="22.5" customHeight="1">
      <c r="A640" s="346"/>
      <c r="B640" s="218"/>
      <c r="C640" s="218"/>
      <c r="D640" s="338"/>
      <c r="E640" s="345"/>
      <c r="F640" s="344"/>
      <c r="G640" s="336"/>
      <c r="H640" s="341"/>
      <c r="I640" s="240"/>
      <c r="J640" s="343"/>
      <c r="K640" s="261"/>
      <c r="L640" s="342"/>
      <c r="M640" s="262"/>
      <c r="N640" s="228"/>
      <c r="O640" s="229"/>
    </row>
    <row r="641" ht="22.5" customHeight="1">
      <c r="A641" s="346"/>
      <c r="B641" s="218"/>
      <c r="C641" s="218"/>
      <c r="D641" s="338"/>
      <c r="E641" s="345"/>
      <c r="F641" s="344"/>
      <c r="G641" s="336"/>
      <c r="H641" s="341"/>
      <c r="I641" s="240"/>
      <c r="J641" s="343"/>
      <c r="K641" s="261"/>
      <c r="L641" s="342"/>
      <c r="M641" s="262"/>
      <c r="N641" s="228"/>
      <c r="O641" s="229"/>
    </row>
    <row r="642" ht="22.5" customHeight="1">
      <c r="A642" s="346"/>
      <c r="B642" s="218"/>
      <c r="C642" s="218"/>
      <c r="D642" s="338"/>
      <c r="E642" s="345"/>
      <c r="F642" s="344"/>
      <c r="G642" s="336"/>
      <c r="H642" s="341"/>
      <c r="I642" s="240"/>
      <c r="J642" s="343"/>
      <c r="K642" s="261"/>
      <c r="L642" s="342"/>
      <c r="M642" s="262"/>
      <c r="N642" s="228"/>
      <c r="O642" s="229"/>
    </row>
    <row r="643" ht="22.5" customHeight="1">
      <c r="A643" s="346"/>
      <c r="B643" s="218"/>
      <c r="C643" s="218"/>
      <c r="D643" s="338"/>
      <c r="E643" s="345"/>
      <c r="F643" s="344"/>
      <c r="G643" s="336"/>
      <c r="H643" s="341"/>
      <c r="I643" s="240"/>
      <c r="J643" s="343"/>
      <c r="K643" s="261"/>
      <c r="L643" s="342"/>
      <c r="M643" s="262"/>
      <c r="N643" s="228"/>
      <c r="O643" s="229"/>
    </row>
    <row r="644" ht="22.5" customHeight="1">
      <c r="A644" s="346"/>
      <c r="B644" s="218"/>
      <c r="C644" s="218"/>
      <c r="D644" s="338"/>
      <c r="E644" s="345"/>
      <c r="F644" s="344"/>
      <c r="G644" s="336"/>
      <c r="H644" s="341"/>
      <c r="I644" s="240"/>
      <c r="J644" s="343"/>
      <c r="K644" s="261"/>
      <c r="L644" s="342"/>
      <c r="M644" s="262"/>
      <c r="N644" s="228"/>
      <c r="O644" s="229"/>
    </row>
    <row r="645" ht="22.5" customHeight="1">
      <c r="A645" s="346"/>
      <c r="B645" s="218"/>
      <c r="C645" s="218"/>
      <c r="D645" s="338"/>
      <c r="E645" s="345"/>
      <c r="F645" s="344"/>
      <c r="G645" s="336"/>
      <c r="H645" s="341"/>
      <c r="I645" s="240"/>
      <c r="J645" s="343"/>
      <c r="K645" s="261"/>
      <c r="L645" s="342"/>
      <c r="M645" s="262"/>
      <c r="N645" s="228"/>
      <c r="O645" s="229"/>
    </row>
    <row r="646" ht="22.5" customHeight="1">
      <c r="A646" s="346"/>
      <c r="B646" s="218"/>
      <c r="C646" s="218"/>
      <c r="D646" s="338"/>
      <c r="E646" s="345"/>
      <c r="F646" s="344"/>
      <c r="G646" s="336"/>
      <c r="H646" s="341"/>
      <c r="I646" s="240"/>
      <c r="J646" s="343"/>
      <c r="K646" s="261"/>
      <c r="L646" s="342"/>
      <c r="M646" s="262"/>
      <c r="N646" s="228"/>
      <c r="O646" s="229"/>
    </row>
    <row r="647" ht="22.5" customHeight="1">
      <c r="A647" s="346"/>
      <c r="B647" s="218"/>
      <c r="C647" s="218"/>
      <c r="D647" s="338"/>
      <c r="E647" s="345"/>
      <c r="F647" s="344"/>
      <c r="G647" s="336"/>
      <c r="H647" s="341"/>
      <c r="I647" s="240"/>
      <c r="J647" s="343"/>
      <c r="K647" s="261"/>
      <c r="L647" s="342"/>
      <c r="M647" s="262"/>
      <c r="N647" s="228"/>
      <c r="O647" s="229"/>
    </row>
    <row r="648" ht="22.5" customHeight="1">
      <c r="A648" s="346"/>
      <c r="B648" s="218"/>
      <c r="C648" s="218"/>
      <c r="D648" s="338"/>
      <c r="E648" s="345"/>
      <c r="F648" s="344"/>
      <c r="G648" s="336"/>
      <c r="H648" s="341"/>
      <c r="I648" s="240"/>
      <c r="J648" s="343"/>
      <c r="K648" s="261"/>
      <c r="L648" s="342"/>
      <c r="M648" s="262"/>
      <c r="N648" s="228"/>
      <c r="O648" s="229"/>
    </row>
    <row r="649" ht="22.5" customHeight="1">
      <c r="A649" s="346"/>
      <c r="B649" s="218"/>
      <c r="C649" s="218"/>
      <c r="D649" s="338"/>
      <c r="E649" s="345"/>
      <c r="F649" s="344"/>
      <c r="G649" s="336"/>
      <c r="H649" s="341"/>
      <c r="I649" s="240"/>
      <c r="J649" s="343"/>
      <c r="K649" s="261"/>
      <c r="L649" s="342"/>
      <c r="M649" s="262"/>
      <c r="N649" s="228"/>
      <c r="O649" s="229"/>
    </row>
    <row r="650" ht="22.5" customHeight="1">
      <c r="A650" s="346"/>
      <c r="B650" s="218"/>
      <c r="C650" s="218"/>
      <c r="D650" s="338"/>
      <c r="E650" s="345"/>
      <c r="F650" s="344"/>
      <c r="G650" s="336"/>
      <c r="H650" s="341"/>
      <c r="I650" s="240"/>
      <c r="J650" s="343"/>
      <c r="K650" s="261"/>
      <c r="L650" s="342"/>
      <c r="M650" s="262"/>
      <c r="N650" s="228"/>
      <c r="O650" s="229"/>
    </row>
    <row r="651" ht="22.5" customHeight="1">
      <c r="A651" s="346"/>
      <c r="B651" s="218"/>
      <c r="C651" s="218"/>
      <c r="D651" s="338"/>
      <c r="E651" s="345"/>
      <c r="F651" s="344"/>
      <c r="G651" s="336"/>
      <c r="H651" s="341"/>
      <c r="I651" s="240"/>
      <c r="J651" s="343"/>
      <c r="K651" s="261"/>
      <c r="L651" s="342"/>
      <c r="M651" s="262"/>
      <c r="N651" s="228"/>
      <c r="O651" s="229"/>
    </row>
    <row r="652" ht="22.5" customHeight="1">
      <c r="A652" s="346"/>
      <c r="B652" s="218"/>
      <c r="C652" s="218"/>
      <c r="D652" s="338"/>
      <c r="E652" s="345"/>
      <c r="F652" s="344"/>
      <c r="G652" s="336"/>
      <c r="H652" s="341"/>
      <c r="I652" s="240"/>
      <c r="J652" s="343"/>
      <c r="K652" s="261"/>
      <c r="L652" s="342"/>
      <c r="M652" s="262"/>
      <c r="N652" s="228"/>
      <c r="O652" s="229"/>
    </row>
    <row r="653" ht="22.5" customHeight="1">
      <c r="A653" s="346"/>
      <c r="B653" s="218"/>
      <c r="C653" s="218"/>
      <c r="D653" s="338"/>
      <c r="E653" s="345"/>
      <c r="F653" s="344"/>
      <c r="G653" s="336"/>
      <c r="H653" s="341"/>
      <c r="I653" s="240"/>
      <c r="J653" s="343"/>
      <c r="K653" s="261"/>
      <c r="L653" s="342"/>
      <c r="M653" s="262"/>
      <c r="N653" s="228"/>
      <c r="O653" s="229"/>
    </row>
    <row r="654" ht="22.5" customHeight="1">
      <c r="A654" s="346"/>
      <c r="B654" s="218"/>
      <c r="C654" s="218"/>
      <c r="D654" s="338"/>
      <c r="E654" s="345"/>
      <c r="F654" s="344"/>
      <c r="G654" s="336"/>
      <c r="H654" s="341"/>
      <c r="I654" s="240"/>
      <c r="J654" s="343"/>
      <c r="K654" s="261"/>
      <c r="L654" s="342"/>
      <c r="M654" s="262"/>
      <c r="N654" s="228"/>
      <c r="O654" s="229"/>
    </row>
    <row r="655" ht="22.5" customHeight="1">
      <c r="A655" s="346"/>
      <c r="B655" s="218"/>
      <c r="C655" s="218"/>
      <c r="D655" s="338"/>
      <c r="E655" s="345"/>
      <c r="F655" s="344"/>
      <c r="G655" s="336"/>
      <c r="H655" s="341"/>
      <c r="I655" s="240"/>
      <c r="J655" s="343"/>
      <c r="K655" s="261"/>
      <c r="L655" s="342"/>
      <c r="M655" s="262"/>
      <c r="N655" s="228"/>
      <c r="O655" s="229"/>
    </row>
    <row r="656" ht="22.5" customHeight="1">
      <c r="A656" s="346"/>
      <c r="B656" s="218"/>
      <c r="C656" s="218"/>
      <c r="D656" s="338"/>
      <c r="E656" s="345"/>
      <c r="F656" s="344"/>
      <c r="G656" s="336"/>
      <c r="H656" s="341"/>
      <c r="I656" s="240"/>
      <c r="J656" s="343"/>
      <c r="K656" s="261"/>
      <c r="L656" s="342"/>
      <c r="M656" s="262"/>
      <c r="N656" s="228"/>
      <c r="O656" s="229"/>
    </row>
    <row r="657" ht="22.5" customHeight="1">
      <c r="A657" s="346"/>
      <c r="B657" s="218"/>
      <c r="C657" s="218"/>
      <c r="D657" s="338"/>
      <c r="E657" s="345"/>
      <c r="F657" s="344"/>
      <c r="G657" s="336"/>
      <c r="H657" s="341"/>
      <c r="I657" s="240"/>
      <c r="J657" s="343"/>
      <c r="K657" s="261"/>
      <c r="L657" s="342"/>
      <c r="M657" s="262"/>
      <c r="N657" s="228"/>
      <c r="O657" s="229"/>
    </row>
    <row r="658" ht="22.5" customHeight="1">
      <c r="A658" s="346"/>
      <c r="B658" s="218"/>
      <c r="C658" s="218"/>
      <c r="D658" s="338"/>
      <c r="E658" s="345"/>
      <c r="F658" s="344"/>
      <c r="G658" s="336"/>
      <c r="H658" s="341"/>
      <c r="I658" s="240"/>
      <c r="J658" s="343"/>
      <c r="K658" s="261"/>
      <c r="L658" s="342"/>
      <c r="M658" s="262"/>
      <c r="N658" s="228"/>
      <c r="O658" s="229"/>
    </row>
    <row r="659" ht="22.5" customHeight="1">
      <c r="A659" s="346"/>
      <c r="B659" s="218"/>
      <c r="C659" s="218"/>
      <c r="D659" s="338"/>
      <c r="E659" s="345"/>
      <c r="F659" s="344"/>
      <c r="G659" s="336"/>
      <c r="H659" s="341"/>
      <c r="I659" s="240"/>
      <c r="J659" s="343"/>
      <c r="K659" s="261"/>
      <c r="L659" s="342"/>
      <c r="M659" s="262"/>
      <c r="N659" s="228"/>
      <c r="O659" s="229"/>
    </row>
    <row r="660" ht="22.5" customHeight="1">
      <c r="A660" s="346"/>
      <c r="B660" s="218"/>
      <c r="C660" s="218"/>
      <c r="D660" s="338"/>
      <c r="E660" s="345"/>
      <c r="F660" s="344"/>
      <c r="G660" s="336"/>
      <c r="H660" s="341"/>
      <c r="I660" s="240"/>
      <c r="J660" s="343"/>
      <c r="K660" s="261"/>
      <c r="L660" s="342"/>
      <c r="M660" s="262"/>
      <c r="N660" s="228"/>
      <c r="O660" s="229"/>
    </row>
    <row r="661" ht="22.5" customHeight="1">
      <c r="A661" s="346"/>
      <c r="B661" s="218"/>
      <c r="C661" s="218"/>
      <c r="D661" s="338"/>
      <c r="E661" s="345"/>
      <c r="F661" s="344"/>
      <c r="G661" s="336"/>
      <c r="H661" s="341"/>
      <c r="I661" s="240"/>
      <c r="J661" s="343"/>
      <c r="K661" s="261"/>
      <c r="L661" s="342"/>
      <c r="M661" s="262"/>
      <c r="N661" s="228"/>
      <c r="O661" s="229"/>
    </row>
    <row r="662" ht="22.5" customHeight="1">
      <c r="A662" s="346"/>
      <c r="B662" s="218"/>
      <c r="C662" s="218"/>
      <c r="D662" s="338"/>
      <c r="E662" s="345"/>
      <c r="F662" s="344"/>
      <c r="G662" s="336"/>
      <c r="H662" s="341"/>
      <c r="I662" s="240"/>
      <c r="J662" s="343"/>
      <c r="K662" s="261"/>
      <c r="L662" s="342"/>
      <c r="M662" s="262"/>
      <c r="N662" s="228"/>
      <c r="O662" s="229"/>
    </row>
    <row r="663" ht="22.5" customHeight="1">
      <c r="A663" s="346"/>
      <c r="B663" s="218"/>
      <c r="C663" s="218"/>
      <c r="D663" s="338"/>
      <c r="E663" s="345"/>
      <c r="F663" s="344"/>
      <c r="G663" s="336"/>
      <c r="H663" s="341"/>
      <c r="I663" s="240"/>
      <c r="J663" s="343"/>
      <c r="K663" s="261"/>
      <c r="L663" s="342"/>
      <c r="M663" s="262"/>
      <c r="N663" s="228"/>
      <c r="O663" s="229"/>
    </row>
    <row r="664" ht="22.5" customHeight="1">
      <c r="A664" s="346"/>
      <c r="B664" s="218"/>
      <c r="C664" s="218"/>
      <c r="D664" s="338"/>
      <c r="E664" s="345"/>
      <c r="F664" s="344"/>
      <c r="G664" s="336"/>
      <c r="H664" s="341"/>
      <c r="I664" s="240"/>
      <c r="J664" s="343"/>
      <c r="K664" s="261"/>
      <c r="L664" s="342"/>
      <c r="M664" s="262"/>
      <c r="N664" s="228"/>
      <c r="O664" s="229"/>
    </row>
    <row r="665" ht="22.5" customHeight="1">
      <c r="A665" s="346"/>
      <c r="B665" s="218"/>
      <c r="C665" s="218"/>
      <c r="D665" s="338"/>
      <c r="E665" s="345"/>
      <c r="F665" s="344"/>
      <c r="G665" s="336"/>
      <c r="H665" s="341"/>
      <c r="I665" s="240"/>
      <c r="J665" s="343"/>
      <c r="K665" s="261"/>
      <c r="L665" s="342"/>
      <c r="M665" s="262"/>
      <c r="N665" s="228"/>
      <c r="O665" s="229"/>
    </row>
    <row r="666" ht="22.5" customHeight="1">
      <c r="A666" s="346"/>
      <c r="B666" s="218"/>
      <c r="C666" s="218"/>
      <c r="D666" s="338"/>
      <c r="E666" s="345"/>
      <c r="F666" s="344"/>
      <c r="G666" s="336"/>
      <c r="H666" s="341"/>
      <c r="I666" s="240"/>
      <c r="J666" s="343"/>
      <c r="K666" s="261"/>
      <c r="L666" s="342"/>
      <c r="M666" s="262"/>
      <c r="N666" s="228"/>
      <c r="O666" s="229"/>
    </row>
    <row r="667" ht="22.5" customHeight="1">
      <c r="A667" s="346"/>
      <c r="B667" s="218"/>
      <c r="C667" s="218"/>
      <c r="D667" s="338"/>
      <c r="E667" s="345"/>
      <c r="F667" s="344"/>
      <c r="G667" s="336"/>
      <c r="H667" s="341"/>
      <c r="I667" s="240"/>
      <c r="J667" s="343"/>
      <c r="K667" s="261"/>
      <c r="L667" s="342"/>
      <c r="M667" s="262"/>
      <c r="N667" s="228"/>
      <c r="O667" s="229"/>
    </row>
    <row r="668" ht="22.5" customHeight="1">
      <c r="A668" s="346"/>
      <c r="B668" s="218"/>
      <c r="C668" s="218"/>
      <c r="D668" s="338"/>
      <c r="E668" s="345"/>
      <c r="F668" s="344"/>
      <c r="G668" s="336"/>
      <c r="H668" s="341"/>
      <c r="I668" s="240"/>
      <c r="J668" s="343"/>
      <c r="K668" s="261"/>
      <c r="L668" s="342"/>
      <c r="M668" s="262"/>
      <c r="N668" s="228"/>
      <c r="O668" s="229"/>
    </row>
    <row r="669" ht="22.5" customHeight="1">
      <c r="A669" s="346"/>
      <c r="B669" s="218"/>
      <c r="C669" s="218"/>
      <c r="D669" s="338"/>
      <c r="E669" s="345"/>
      <c r="F669" s="344"/>
      <c r="G669" s="336"/>
      <c r="H669" s="341"/>
      <c r="I669" s="240"/>
      <c r="J669" s="343"/>
      <c r="K669" s="261"/>
      <c r="L669" s="342"/>
      <c r="M669" s="262"/>
      <c r="N669" s="228"/>
      <c r="O669" s="229"/>
    </row>
    <row r="670" ht="22.5" customHeight="1">
      <c r="A670" s="346"/>
      <c r="B670" s="218"/>
      <c r="C670" s="218"/>
      <c r="D670" s="338"/>
      <c r="E670" s="345"/>
      <c r="F670" s="344"/>
      <c r="G670" s="336"/>
      <c r="H670" s="341"/>
      <c r="I670" s="240"/>
      <c r="J670" s="343"/>
      <c r="K670" s="261"/>
      <c r="L670" s="342"/>
      <c r="M670" s="262"/>
      <c r="N670" s="228"/>
      <c r="O670" s="229"/>
    </row>
    <row r="671" ht="22.5" customHeight="1">
      <c r="A671" s="346"/>
      <c r="B671" s="218"/>
      <c r="C671" s="218"/>
      <c r="D671" s="338"/>
      <c r="E671" s="345"/>
      <c r="F671" s="344"/>
      <c r="G671" s="336"/>
      <c r="H671" s="341"/>
      <c r="I671" s="240"/>
      <c r="J671" s="343"/>
      <c r="K671" s="261"/>
      <c r="L671" s="342"/>
      <c r="M671" s="262"/>
      <c r="N671" s="228"/>
      <c r="O671" s="229"/>
    </row>
    <row r="672" ht="22.5" customHeight="1">
      <c r="A672" s="346"/>
      <c r="B672" s="218"/>
      <c r="C672" s="218"/>
      <c r="D672" s="338"/>
      <c r="E672" s="345"/>
      <c r="F672" s="344"/>
      <c r="G672" s="336"/>
      <c r="H672" s="341"/>
      <c r="I672" s="240"/>
      <c r="J672" s="343"/>
      <c r="K672" s="261"/>
      <c r="L672" s="342"/>
      <c r="M672" s="262"/>
      <c r="N672" s="228"/>
      <c r="O672" s="229"/>
    </row>
    <row r="673" ht="22.5" customHeight="1">
      <c r="A673" s="346"/>
      <c r="B673" s="218"/>
      <c r="C673" s="218"/>
      <c r="D673" s="338"/>
      <c r="E673" s="345"/>
      <c r="F673" s="344"/>
      <c r="G673" s="336"/>
      <c r="H673" s="341"/>
      <c r="I673" s="240"/>
      <c r="J673" s="343"/>
      <c r="K673" s="261"/>
      <c r="L673" s="342"/>
      <c r="M673" s="262"/>
      <c r="N673" s="228"/>
      <c r="O673" s="229"/>
    </row>
    <row r="674" ht="22.5" customHeight="1">
      <c r="A674" s="346"/>
      <c r="B674" s="218"/>
      <c r="C674" s="218"/>
      <c r="D674" s="338"/>
      <c r="E674" s="345"/>
      <c r="F674" s="344"/>
      <c r="G674" s="336"/>
      <c r="H674" s="341"/>
      <c r="I674" s="240"/>
      <c r="J674" s="343"/>
      <c r="K674" s="261"/>
      <c r="L674" s="342"/>
      <c r="M674" s="262"/>
      <c r="N674" s="228"/>
      <c r="O674" s="229"/>
    </row>
    <row r="675" ht="22.5" customHeight="1">
      <c r="A675" s="346"/>
      <c r="B675" s="218"/>
      <c r="C675" s="218"/>
      <c r="D675" s="338"/>
      <c r="E675" s="345"/>
      <c r="F675" s="344"/>
      <c r="G675" s="336"/>
      <c r="H675" s="341"/>
      <c r="I675" s="240"/>
      <c r="J675" s="343"/>
      <c r="K675" s="261"/>
      <c r="L675" s="342"/>
      <c r="M675" s="262"/>
      <c r="N675" s="228"/>
      <c r="O675" s="229"/>
    </row>
    <row r="676" ht="22.5" customHeight="1">
      <c r="A676" s="346"/>
      <c r="B676" s="218"/>
      <c r="C676" s="218"/>
      <c r="D676" s="338"/>
      <c r="E676" s="345"/>
      <c r="F676" s="344"/>
      <c r="G676" s="336"/>
      <c r="H676" s="341"/>
      <c r="I676" s="240"/>
      <c r="J676" s="343"/>
      <c r="K676" s="261"/>
      <c r="L676" s="342"/>
      <c r="M676" s="262"/>
      <c r="N676" s="228"/>
      <c r="O676" s="229"/>
    </row>
    <row r="677" ht="22.5" customHeight="1">
      <c r="A677" s="346"/>
      <c r="B677" s="218"/>
      <c r="C677" s="218"/>
      <c r="D677" s="338"/>
      <c r="E677" s="345"/>
      <c r="F677" s="344"/>
      <c r="G677" s="336"/>
      <c r="H677" s="341"/>
      <c r="I677" s="240"/>
      <c r="J677" s="343"/>
      <c r="K677" s="261"/>
      <c r="L677" s="342"/>
      <c r="M677" s="262"/>
      <c r="N677" s="228"/>
      <c r="O677" s="229"/>
    </row>
    <row r="678" ht="22.5" customHeight="1">
      <c r="A678" s="346"/>
      <c r="B678" s="218"/>
      <c r="C678" s="218"/>
      <c r="D678" s="338"/>
      <c r="E678" s="345"/>
      <c r="F678" s="344"/>
      <c r="G678" s="336"/>
      <c r="H678" s="341"/>
      <c r="I678" s="240"/>
      <c r="J678" s="343"/>
      <c r="K678" s="261"/>
      <c r="L678" s="342"/>
      <c r="M678" s="262"/>
      <c r="N678" s="228"/>
      <c r="O678" s="229"/>
    </row>
    <row r="679" ht="22.5" customHeight="1">
      <c r="A679" s="346"/>
      <c r="B679" s="218"/>
      <c r="C679" s="218"/>
      <c r="D679" s="338"/>
      <c r="E679" s="345"/>
      <c r="F679" s="344"/>
      <c r="G679" s="336"/>
      <c r="H679" s="341"/>
      <c r="I679" s="240"/>
      <c r="J679" s="343"/>
      <c r="K679" s="261"/>
      <c r="L679" s="342"/>
      <c r="M679" s="262"/>
      <c r="N679" s="228"/>
      <c r="O679" s="229"/>
    </row>
    <row r="680" ht="22.5" customHeight="1">
      <c r="A680" s="346"/>
      <c r="B680" s="218"/>
      <c r="C680" s="218"/>
      <c r="D680" s="338"/>
      <c r="E680" s="345"/>
      <c r="F680" s="344"/>
      <c r="G680" s="336"/>
      <c r="H680" s="341"/>
      <c r="I680" s="240"/>
      <c r="J680" s="343"/>
      <c r="K680" s="261"/>
      <c r="L680" s="342"/>
      <c r="M680" s="262"/>
      <c r="N680" s="228"/>
      <c r="O680" s="229"/>
    </row>
    <row r="681" ht="22.5" customHeight="1">
      <c r="A681" s="346"/>
      <c r="B681" s="218"/>
      <c r="C681" s="218"/>
      <c r="D681" s="338"/>
      <c r="E681" s="345"/>
      <c r="F681" s="344"/>
      <c r="G681" s="336"/>
      <c r="H681" s="341"/>
      <c r="I681" s="240"/>
      <c r="J681" s="343"/>
      <c r="K681" s="261"/>
      <c r="L681" s="342"/>
      <c r="M681" s="262"/>
      <c r="N681" s="228"/>
      <c r="O681" s="229"/>
    </row>
    <row r="682" ht="22.5" customHeight="1">
      <c r="A682" s="346"/>
      <c r="B682" s="218"/>
      <c r="C682" s="218"/>
      <c r="D682" s="338"/>
      <c r="E682" s="345"/>
      <c r="F682" s="344"/>
      <c r="G682" s="336"/>
      <c r="H682" s="341"/>
      <c r="I682" s="240"/>
      <c r="J682" s="343"/>
      <c r="K682" s="261"/>
      <c r="L682" s="342"/>
      <c r="M682" s="262"/>
      <c r="N682" s="228"/>
      <c r="O682" s="229"/>
    </row>
    <row r="683" ht="22.5" customHeight="1">
      <c r="A683" s="346"/>
      <c r="B683" s="218"/>
      <c r="C683" s="218"/>
      <c r="D683" s="338"/>
      <c r="E683" s="345"/>
      <c r="F683" s="344"/>
      <c r="G683" s="336"/>
      <c r="H683" s="341"/>
      <c r="I683" s="240"/>
      <c r="J683" s="343"/>
      <c r="K683" s="261"/>
      <c r="L683" s="342"/>
      <c r="M683" s="262"/>
      <c r="N683" s="228"/>
      <c r="O683" s="229"/>
    </row>
    <row r="684" ht="22.5" customHeight="1">
      <c r="A684" s="346"/>
      <c r="B684" s="218"/>
      <c r="C684" s="218"/>
      <c r="D684" s="338"/>
      <c r="E684" s="345"/>
      <c r="F684" s="344"/>
      <c r="G684" s="336"/>
      <c r="H684" s="341"/>
      <c r="I684" s="240"/>
      <c r="J684" s="343"/>
      <c r="K684" s="261"/>
      <c r="L684" s="342"/>
      <c r="M684" s="262"/>
      <c r="N684" s="228"/>
      <c r="O684" s="229"/>
    </row>
    <row r="685" ht="22.5" customHeight="1">
      <c r="A685" s="346"/>
      <c r="B685" s="218"/>
      <c r="C685" s="218"/>
      <c r="D685" s="338"/>
      <c r="E685" s="345"/>
      <c r="F685" s="344"/>
      <c r="G685" s="336"/>
      <c r="H685" s="341"/>
      <c r="I685" s="240"/>
      <c r="J685" s="343"/>
      <c r="K685" s="261"/>
      <c r="L685" s="342"/>
      <c r="M685" s="262"/>
      <c r="N685" s="228"/>
      <c r="O685" s="229"/>
    </row>
    <row r="686" ht="22.5" customHeight="1">
      <c r="A686" s="346"/>
      <c r="B686" s="218"/>
      <c r="C686" s="218"/>
      <c r="D686" s="338"/>
      <c r="E686" s="345"/>
      <c r="F686" s="344"/>
      <c r="G686" s="336"/>
      <c r="H686" s="341"/>
      <c r="I686" s="240"/>
      <c r="J686" s="343"/>
      <c r="K686" s="261"/>
      <c r="L686" s="342"/>
      <c r="M686" s="262"/>
      <c r="N686" s="228"/>
      <c r="O686" s="229"/>
    </row>
    <row r="687" ht="22.5" customHeight="1">
      <c r="A687" s="346"/>
      <c r="B687" s="218"/>
      <c r="C687" s="218"/>
      <c r="D687" s="338"/>
      <c r="E687" s="345"/>
      <c r="F687" s="344"/>
      <c r="G687" s="336"/>
      <c r="H687" s="341"/>
      <c r="I687" s="240"/>
      <c r="J687" s="343"/>
      <c r="K687" s="261"/>
      <c r="L687" s="342"/>
      <c r="M687" s="262"/>
      <c r="N687" s="228"/>
      <c r="O687" s="229"/>
    </row>
    <row r="688" ht="22.5" customHeight="1">
      <c r="A688" s="346"/>
      <c r="B688" s="218"/>
      <c r="C688" s="218"/>
      <c r="D688" s="338"/>
      <c r="E688" s="345"/>
      <c r="F688" s="344"/>
      <c r="G688" s="336"/>
      <c r="H688" s="341"/>
      <c r="I688" s="240"/>
      <c r="J688" s="343"/>
      <c r="K688" s="261"/>
      <c r="L688" s="342"/>
      <c r="M688" s="262"/>
      <c r="N688" s="228"/>
      <c r="O688" s="229"/>
    </row>
    <row r="689" ht="22.5" customHeight="1">
      <c r="A689" s="346"/>
      <c r="B689" s="218"/>
      <c r="C689" s="218"/>
      <c r="D689" s="338"/>
      <c r="E689" s="345"/>
      <c r="F689" s="344"/>
      <c r="G689" s="336"/>
      <c r="H689" s="341"/>
      <c r="I689" s="240"/>
      <c r="J689" s="343"/>
      <c r="K689" s="261"/>
      <c r="L689" s="342"/>
      <c r="M689" s="262"/>
      <c r="N689" s="228"/>
      <c r="O689" s="229"/>
    </row>
    <row r="690" ht="22.5" customHeight="1">
      <c r="A690" s="346"/>
      <c r="B690" s="218"/>
      <c r="C690" s="218"/>
      <c r="D690" s="338"/>
      <c r="E690" s="345"/>
      <c r="F690" s="344"/>
      <c r="G690" s="336"/>
      <c r="H690" s="341"/>
      <c r="I690" s="240"/>
      <c r="J690" s="343"/>
      <c r="K690" s="261"/>
      <c r="L690" s="342"/>
      <c r="M690" s="262"/>
      <c r="N690" s="228"/>
      <c r="O690" s="229"/>
    </row>
    <row r="691" ht="22.5" customHeight="1">
      <c r="A691" s="346"/>
      <c r="B691" s="218"/>
      <c r="C691" s="218"/>
      <c r="D691" s="338"/>
      <c r="E691" s="345"/>
      <c r="F691" s="344"/>
      <c r="G691" s="336"/>
      <c r="H691" s="341"/>
      <c r="I691" s="240"/>
      <c r="J691" s="343"/>
      <c r="K691" s="261"/>
      <c r="L691" s="342"/>
      <c r="M691" s="262"/>
      <c r="N691" s="228"/>
      <c r="O691" s="229"/>
    </row>
    <row r="692" ht="22.5" customHeight="1">
      <c r="A692" s="346"/>
      <c r="B692" s="218"/>
      <c r="C692" s="218"/>
      <c r="D692" s="338"/>
      <c r="E692" s="345"/>
      <c r="F692" s="344"/>
      <c r="G692" s="336"/>
      <c r="H692" s="341"/>
      <c r="I692" s="240"/>
      <c r="J692" s="343"/>
      <c r="K692" s="261"/>
      <c r="L692" s="342"/>
      <c r="M692" s="262"/>
      <c r="N692" s="228"/>
      <c r="O692" s="229"/>
    </row>
    <row r="693" ht="22.5" customHeight="1">
      <c r="A693" s="346"/>
      <c r="B693" s="218"/>
      <c r="C693" s="218"/>
      <c r="D693" s="338"/>
      <c r="E693" s="345"/>
      <c r="F693" s="344"/>
      <c r="G693" s="336"/>
      <c r="H693" s="341"/>
      <c r="I693" s="240"/>
      <c r="J693" s="343"/>
      <c r="K693" s="261"/>
      <c r="L693" s="342"/>
      <c r="M693" s="262"/>
      <c r="N693" s="228"/>
      <c r="O693" s="229"/>
    </row>
    <row r="694" ht="22.5" customHeight="1">
      <c r="A694" s="346"/>
      <c r="B694" s="218"/>
      <c r="C694" s="218"/>
      <c r="D694" s="338"/>
      <c r="E694" s="345"/>
      <c r="F694" s="344"/>
      <c r="G694" s="336"/>
      <c r="H694" s="341"/>
      <c r="I694" s="240"/>
      <c r="J694" s="343"/>
      <c r="K694" s="261"/>
      <c r="L694" s="342"/>
      <c r="M694" s="262"/>
      <c r="N694" s="228"/>
      <c r="O694" s="229"/>
    </row>
    <row r="695" ht="22.5" customHeight="1">
      <c r="A695" s="346"/>
      <c r="B695" s="218"/>
      <c r="C695" s="218"/>
      <c r="D695" s="338"/>
      <c r="E695" s="345"/>
      <c r="F695" s="344"/>
      <c r="G695" s="336"/>
      <c r="H695" s="341"/>
      <c r="I695" s="240"/>
      <c r="J695" s="343"/>
      <c r="K695" s="261"/>
      <c r="L695" s="342"/>
      <c r="M695" s="262"/>
      <c r="N695" s="228"/>
      <c r="O695" s="229"/>
    </row>
    <row r="696" ht="22.5" customHeight="1">
      <c r="A696" s="346"/>
      <c r="B696" s="218"/>
      <c r="C696" s="218"/>
      <c r="D696" s="338"/>
      <c r="E696" s="345"/>
      <c r="F696" s="344"/>
      <c r="G696" s="336"/>
      <c r="H696" s="341"/>
      <c r="I696" s="240"/>
      <c r="J696" s="343"/>
      <c r="K696" s="261"/>
      <c r="L696" s="342"/>
      <c r="M696" s="262"/>
      <c r="N696" s="228"/>
      <c r="O696" s="229"/>
    </row>
    <row r="697" ht="22.5" customHeight="1">
      <c r="A697" s="346"/>
      <c r="B697" s="218"/>
      <c r="C697" s="218"/>
      <c r="D697" s="338"/>
      <c r="E697" s="345"/>
      <c r="F697" s="344"/>
      <c r="G697" s="336"/>
      <c r="H697" s="341"/>
      <c r="I697" s="240"/>
      <c r="J697" s="343"/>
      <c r="K697" s="261"/>
      <c r="L697" s="342"/>
      <c r="M697" s="262"/>
      <c r="N697" s="228"/>
      <c r="O697" s="229"/>
    </row>
    <row r="698" ht="22.5" customHeight="1">
      <c r="A698" s="346"/>
      <c r="B698" s="218"/>
      <c r="C698" s="218"/>
      <c r="D698" s="338"/>
      <c r="E698" s="345"/>
      <c r="F698" s="344"/>
      <c r="G698" s="336"/>
      <c r="H698" s="341"/>
      <c r="I698" s="240"/>
      <c r="J698" s="343"/>
      <c r="K698" s="261"/>
      <c r="L698" s="342"/>
      <c r="M698" s="262"/>
      <c r="N698" s="228"/>
      <c r="O698" s="229"/>
    </row>
    <row r="699" ht="22.5" customHeight="1">
      <c r="A699" s="346"/>
      <c r="B699" s="218"/>
      <c r="C699" s="218"/>
      <c r="D699" s="338"/>
      <c r="E699" s="345"/>
      <c r="F699" s="344"/>
      <c r="G699" s="336"/>
      <c r="H699" s="341"/>
      <c r="I699" s="240"/>
      <c r="J699" s="343"/>
      <c r="K699" s="261"/>
      <c r="L699" s="342"/>
      <c r="M699" s="262"/>
      <c r="N699" s="228"/>
      <c r="O699" s="229"/>
    </row>
    <row r="700" ht="22.5" customHeight="1">
      <c r="A700" s="346"/>
      <c r="B700" s="218"/>
      <c r="C700" s="218"/>
      <c r="D700" s="338"/>
      <c r="E700" s="345"/>
      <c r="F700" s="344"/>
      <c r="G700" s="336"/>
      <c r="H700" s="341"/>
      <c r="I700" s="240"/>
      <c r="J700" s="343"/>
      <c r="K700" s="261"/>
      <c r="L700" s="342"/>
      <c r="M700" s="262"/>
      <c r="N700" s="228"/>
      <c r="O700" s="229"/>
    </row>
    <row r="701" ht="22.5" customHeight="1">
      <c r="A701" s="346"/>
      <c r="B701" s="218"/>
      <c r="C701" s="218"/>
      <c r="D701" s="338"/>
      <c r="E701" s="345"/>
      <c r="F701" s="344"/>
      <c r="G701" s="336"/>
      <c r="H701" s="341"/>
      <c r="I701" s="240"/>
      <c r="J701" s="343"/>
      <c r="K701" s="261"/>
      <c r="L701" s="342"/>
      <c r="M701" s="262"/>
      <c r="N701" s="228"/>
      <c r="O701" s="229"/>
    </row>
    <row r="702" ht="22.5" customHeight="1">
      <c r="A702" s="346"/>
      <c r="B702" s="218"/>
      <c r="C702" s="218"/>
      <c r="D702" s="338"/>
      <c r="E702" s="345"/>
      <c r="F702" s="344"/>
      <c r="G702" s="336"/>
      <c r="H702" s="341"/>
      <c r="I702" s="240"/>
      <c r="J702" s="343"/>
      <c r="K702" s="261"/>
      <c r="L702" s="342"/>
      <c r="M702" s="262"/>
      <c r="N702" s="228"/>
      <c r="O702" s="229"/>
    </row>
    <row r="703" ht="22.5" customHeight="1">
      <c r="A703" s="346"/>
      <c r="B703" s="218"/>
      <c r="C703" s="218"/>
      <c r="D703" s="338"/>
      <c r="E703" s="345"/>
      <c r="F703" s="344"/>
      <c r="G703" s="336"/>
      <c r="H703" s="341"/>
      <c r="I703" s="240"/>
      <c r="J703" s="343"/>
      <c r="K703" s="261"/>
      <c r="L703" s="342"/>
      <c r="M703" s="262"/>
      <c r="N703" s="228"/>
      <c r="O703" s="229"/>
    </row>
    <row r="704" ht="22.5" customHeight="1">
      <c r="A704" s="346"/>
      <c r="B704" s="218"/>
      <c r="C704" s="218"/>
      <c r="D704" s="338"/>
      <c r="E704" s="345"/>
      <c r="F704" s="344"/>
      <c r="G704" s="336"/>
      <c r="H704" s="341"/>
      <c r="I704" s="240"/>
      <c r="J704" s="343"/>
      <c r="K704" s="261"/>
      <c r="L704" s="342"/>
      <c r="M704" s="262"/>
      <c r="N704" s="228"/>
      <c r="O704" s="229"/>
    </row>
    <row r="705" ht="22.5" customHeight="1">
      <c r="A705" s="346"/>
      <c r="B705" s="218"/>
      <c r="C705" s="218"/>
      <c r="D705" s="338"/>
      <c r="E705" s="345"/>
      <c r="F705" s="344"/>
      <c r="G705" s="336"/>
      <c r="H705" s="341"/>
      <c r="I705" s="240"/>
      <c r="J705" s="343"/>
      <c r="K705" s="261"/>
      <c r="L705" s="342"/>
      <c r="M705" s="262"/>
      <c r="N705" s="228"/>
      <c r="O705" s="229"/>
    </row>
    <row r="706" ht="22.5" customHeight="1">
      <c r="A706" s="346"/>
      <c r="B706" s="218"/>
      <c r="C706" s="218"/>
      <c r="D706" s="338"/>
      <c r="E706" s="345"/>
      <c r="F706" s="344"/>
      <c r="G706" s="336"/>
      <c r="H706" s="341"/>
      <c r="I706" s="240"/>
      <c r="J706" s="343"/>
      <c r="K706" s="261"/>
      <c r="L706" s="342"/>
      <c r="M706" s="262"/>
      <c r="N706" s="228"/>
      <c r="O706" s="229"/>
    </row>
    <row r="707" ht="22.5" customHeight="1">
      <c r="A707" s="346"/>
      <c r="B707" s="218"/>
      <c r="C707" s="218"/>
      <c r="D707" s="338"/>
      <c r="E707" s="345"/>
      <c r="F707" s="344"/>
      <c r="G707" s="336"/>
      <c r="H707" s="341"/>
      <c r="I707" s="240"/>
      <c r="J707" s="343"/>
      <c r="K707" s="261"/>
      <c r="L707" s="342"/>
      <c r="M707" s="262"/>
      <c r="N707" s="228"/>
      <c r="O707" s="229"/>
    </row>
    <row r="708" ht="22.5" customHeight="1">
      <c r="A708" s="346"/>
      <c r="B708" s="218"/>
      <c r="C708" s="218"/>
      <c r="D708" s="338"/>
      <c r="E708" s="345"/>
      <c r="F708" s="344"/>
      <c r="G708" s="336"/>
      <c r="H708" s="341"/>
      <c r="I708" s="240"/>
      <c r="J708" s="343"/>
      <c r="K708" s="261"/>
      <c r="L708" s="342"/>
      <c r="M708" s="262"/>
      <c r="N708" s="228"/>
      <c r="O708" s="229"/>
    </row>
    <row r="709" ht="22.5" customHeight="1">
      <c r="A709" s="346"/>
      <c r="B709" s="218"/>
      <c r="C709" s="218"/>
      <c r="D709" s="338"/>
      <c r="E709" s="345"/>
      <c r="F709" s="344"/>
      <c r="G709" s="336"/>
      <c r="H709" s="341"/>
      <c r="I709" s="240"/>
      <c r="J709" s="343"/>
      <c r="K709" s="261"/>
      <c r="L709" s="342"/>
      <c r="M709" s="262"/>
      <c r="N709" s="228"/>
      <c r="O709" s="229"/>
    </row>
    <row r="710" ht="22.5" customHeight="1">
      <c r="A710" s="346"/>
      <c r="B710" s="218"/>
      <c r="C710" s="218"/>
      <c r="D710" s="338"/>
      <c r="E710" s="345"/>
      <c r="F710" s="344"/>
      <c r="G710" s="336"/>
      <c r="H710" s="341"/>
      <c r="I710" s="240"/>
      <c r="J710" s="343"/>
      <c r="K710" s="261"/>
      <c r="L710" s="342"/>
      <c r="M710" s="262"/>
      <c r="N710" s="228"/>
      <c r="O710" s="229"/>
    </row>
    <row r="711" ht="22.5" customHeight="1">
      <c r="A711" s="346"/>
      <c r="B711" s="218"/>
      <c r="C711" s="218"/>
      <c r="D711" s="338"/>
      <c r="E711" s="345"/>
      <c r="F711" s="344"/>
      <c r="G711" s="336"/>
      <c r="H711" s="341"/>
      <c r="I711" s="240"/>
      <c r="J711" s="343"/>
      <c r="K711" s="261"/>
      <c r="L711" s="342"/>
      <c r="M711" s="262"/>
      <c r="N711" s="228"/>
      <c r="O711" s="229"/>
    </row>
    <row r="712" ht="22.5" customHeight="1">
      <c r="A712" s="346"/>
      <c r="B712" s="218"/>
      <c r="C712" s="218"/>
      <c r="D712" s="338"/>
      <c r="E712" s="345"/>
      <c r="F712" s="344"/>
      <c r="G712" s="336"/>
      <c r="H712" s="341"/>
      <c r="I712" s="240"/>
      <c r="J712" s="343"/>
      <c r="K712" s="261"/>
      <c r="L712" s="342"/>
      <c r="M712" s="262"/>
      <c r="N712" s="228"/>
      <c r="O712" s="229"/>
    </row>
    <row r="713" ht="22.5" customHeight="1">
      <c r="A713" s="346"/>
      <c r="B713" s="218"/>
      <c r="C713" s="218"/>
      <c r="D713" s="338"/>
      <c r="E713" s="345"/>
      <c r="F713" s="344"/>
      <c r="G713" s="336"/>
      <c r="H713" s="341"/>
      <c r="I713" s="240"/>
      <c r="J713" s="343"/>
      <c r="K713" s="261"/>
      <c r="L713" s="342"/>
      <c r="M713" s="262"/>
      <c r="N713" s="228"/>
      <c r="O713" s="229"/>
    </row>
    <row r="714" ht="22.5" customHeight="1">
      <c r="A714" s="346"/>
      <c r="B714" s="218"/>
      <c r="C714" s="218"/>
      <c r="D714" s="338"/>
      <c r="E714" s="345"/>
      <c r="F714" s="344"/>
      <c r="G714" s="336"/>
      <c r="H714" s="341"/>
      <c r="I714" s="240"/>
      <c r="J714" s="343"/>
      <c r="K714" s="261"/>
      <c r="L714" s="342"/>
      <c r="M714" s="262"/>
      <c r="N714" s="228"/>
      <c r="O714" s="229"/>
    </row>
    <row r="715" ht="22.5" customHeight="1">
      <c r="A715" s="346"/>
      <c r="B715" s="218"/>
      <c r="C715" s="218"/>
      <c r="D715" s="338"/>
      <c r="E715" s="345"/>
      <c r="F715" s="344"/>
      <c r="G715" s="336"/>
      <c r="H715" s="341"/>
      <c r="I715" s="240"/>
      <c r="J715" s="343"/>
      <c r="K715" s="261"/>
      <c r="L715" s="342"/>
      <c r="M715" s="262"/>
      <c r="N715" s="228"/>
      <c r="O715" s="229"/>
    </row>
    <row r="716" ht="22.5" customHeight="1">
      <c r="A716" s="346"/>
      <c r="B716" s="218"/>
      <c r="C716" s="218"/>
      <c r="D716" s="338"/>
      <c r="E716" s="345"/>
      <c r="F716" s="344"/>
      <c r="G716" s="336"/>
      <c r="H716" s="341"/>
      <c r="I716" s="240"/>
      <c r="J716" s="343"/>
      <c r="K716" s="261"/>
      <c r="L716" s="342"/>
      <c r="M716" s="262"/>
      <c r="N716" s="228"/>
      <c r="O716" s="229"/>
    </row>
    <row r="717" ht="22.5" customHeight="1">
      <c r="A717" s="346"/>
      <c r="B717" s="218"/>
      <c r="C717" s="218"/>
      <c r="D717" s="338"/>
      <c r="E717" s="345"/>
      <c r="F717" s="344"/>
      <c r="G717" s="336"/>
      <c r="H717" s="341"/>
      <c r="I717" s="240"/>
      <c r="J717" s="343"/>
      <c r="K717" s="261"/>
      <c r="L717" s="342"/>
      <c r="M717" s="262"/>
      <c r="N717" s="228"/>
      <c r="O717" s="229"/>
    </row>
    <row r="718" ht="22.5" customHeight="1">
      <c r="A718" s="346"/>
      <c r="B718" s="218"/>
      <c r="C718" s="218"/>
      <c r="D718" s="338"/>
      <c r="E718" s="345"/>
      <c r="F718" s="344"/>
      <c r="G718" s="336"/>
      <c r="H718" s="341"/>
      <c r="I718" s="240"/>
      <c r="J718" s="343"/>
      <c r="K718" s="261"/>
      <c r="L718" s="342"/>
      <c r="M718" s="262"/>
      <c r="N718" s="228"/>
      <c r="O718" s="229"/>
    </row>
    <row r="719" ht="22.5" customHeight="1">
      <c r="A719" s="346"/>
      <c r="B719" s="218"/>
      <c r="C719" s="218"/>
      <c r="D719" s="338"/>
      <c r="E719" s="345"/>
      <c r="F719" s="344"/>
      <c r="G719" s="336"/>
      <c r="H719" s="341"/>
      <c r="I719" s="240"/>
      <c r="J719" s="343"/>
      <c r="K719" s="261"/>
      <c r="L719" s="342"/>
      <c r="M719" s="262"/>
      <c r="N719" s="228"/>
      <c r="O719" s="229"/>
    </row>
    <row r="720" ht="22.5" customHeight="1">
      <c r="A720" s="346"/>
      <c r="B720" s="218"/>
      <c r="C720" s="218"/>
      <c r="D720" s="338"/>
      <c r="E720" s="345"/>
      <c r="F720" s="344"/>
      <c r="G720" s="336"/>
      <c r="H720" s="341"/>
      <c r="I720" s="240"/>
      <c r="J720" s="343"/>
      <c r="K720" s="261"/>
      <c r="L720" s="342"/>
      <c r="M720" s="262"/>
      <c r="N720" s="228"/>
      <c r="O720" s="229"/>
    </row>
    <row r="721" ht="22.5" customHeight="1">
      <c r="A721" s="346"/>
      <c r="B721" s="218"/>
      <c r="C721" s="218"/>
      <c r="D721" s="338"/>
      <c r="E721" s="345"/>
      <c r="F721" s="344"/>
      <c r="G721" s="336"/>
      <c r="H721" s="341"/>
      <c r="I721" s="240"/>
      <c r="J721" s="343"/>
      <c r="K721" s="261"/>
      <c r="L721" s="342"/>
      <c r="M721" s="262"/>
      <c r="N721" s="228"/>
      <c r="O721" s="229"/>
    </row>
    <row r="722" ht="22.5" customHeight="1">
      <c r="A722" s="346"/>
      <c r="B722" s="218"/>
      <c r="C722" s="218"/>
      <c r="D722" s="338"/>
      <c r="E722" s="345"/>
      <c r="F722" s="344"/>
      <c r="G722" s="336"/>
      <c r="H722" s="341"/>
      <c r="I722" s="240"/>
      <c r="J722" s="343"/>
      <c r="K722" s="261"/>
      <c r="L722" s="342"/>
      <c r="M722" s="262"/>
      <c r="N722" s="228"/>
      <c r="O722" s="229"/>
    </row>
    <row r="723" ht="22.5" customHeight="1">
      <c r="A723" s="346"/>
      <c r="B723" s="218"/>
      <c r="C723" s="218"/>
      <c r="D723" s="338"/>
      <c r="E723" s="345"/>
      <c r="F723" s="344"/>
      <c r="G723" s="336"/>
      <c r="H723" s="341"/>
      <c r="I723" s="240"/>
      <c r="J723" s="343"/>
      <c r="K723" s="261"/>
      <c r="L723" s="342"/>
      <c r="M723" s="262"/>
      <c r="N723" s="228"/>
      <c r="O723" s="229"/>
    </row>
    <row r="724" ht="22.5" customHeight="1">
      <c r="A724" s="346"/>
      <c r="B724" s="218"/>
      <c r="C724" s="218"/>
      <c r="D724" s="338"/>
      <c r="E724" s="345"/>
      <c r="F724" s="344"/>
      <c r="G724" s="336"/>
      <c r="H724" s="341"/>
      <c r="I724" s="240"/>
      <c r="J724" s="343"/>
      <c r="K724" s="261"/>
      <c r="L724" s="342"/>
      <c r="M724" s="262"/>
      <c r="N724" s="228"/>
      <c r="O724" s="229"/>
    </row>
    <row r="725" ht="22.5" customHeight="1">
      <c r="A725" s="346"/>
      <c r="B725" s="218"/>
      <c r="C725" s="218"/>
      <c r="D725" s="338"/>
      <c r="E725" s="345"/>
      <c r="F725" s="344"/>
      <c r="G725" s="336"/>
      <c r="H725" s="341"/>
      <c r="I725" s="240"/>
      <c r="J725" s="343"/>
      <c r="K725" s="261"/>
      <c r="L725" s="342"/>
      <c r="M725" s="262"/>
      <c r="N725" s="228"/>
      <c r="O725" s="229"/>
    </row>
    <row r="726" ht="22.5" customHeight="1">
      <c r="A726" s="346"/>
      <c r="B726" s="218"/>
      <c r="C726" s="218"/>
      <c r="D726" s="338"/>
      <c r="E726" s="345"/>
      <c r="F726" s="344"/>
      <c r="G726" s="336"/>
      <c r="H726" s="341"/>
      <c r="I726" s="240"/>
      <c r="J726" s="343"/>
      <c r="K726" s="261"/>
      <c r="L726" s="342"/>
      <c r="M726" s="262"/>
      <c r="N726" s="228"/>
      <c r="O726" s="229"/>
    </row>
    <row r="727" ht="22.5" customHeight="1">
      <c r="A727" s="346"/>
      <c r="B727" s="218"/>
      <c r="C727" s="218"/>
      <c r="D727" s="338"/>
      <c r="E727" s="345"/>
      <c r="F727" s="344"/>
      <c r="G727" s="336"/>
      <c r="H727" s="341"/>
      <c r="I727" s="240"/>
      <c r="J727" s="343"/>
      <c r="K727" s="261"/>
      <c r="L727" s="342"/>
      <c r="M727" s="262"/>
      <c r="N727" s="228"/>
      <c r="O727" s="229"/>
    </row>
    <row r="728" ht="22.5" customHeight="1">
      <c r="A728" s="346"/>
      <c r="B728" s="218"/>
      <c r="C728" s="218"/>
      <c r="D728" s="338"/>
      <c r="E728" s="345"/>
      <c r="F728" s="344"/>
      <c r="G728" s="336"/>
      <c r="H728" s="341"/>
      <c r="I728" s="240"/>
      <c r="J728" s="343"/>
      <c r="K728" s="261"/>
      <c r="L728" s="342"/>
      <c r="M728" s="262"/>
      <c r="N728" s="228"/>
      <c r="O728" s="229"/>
    </row>
    <row r="729" ht="22.5" customHeight="1">
      <c r="A729" s="346"/>
      <c r="B729" s="218"/>
      <c r="C729" s="218"/>
      <c r="D729" s="338"/>
      <c r="E729" s="345"/>
      <c r="F729" s="344"/>
      <c r="G729" s="336"/>
      <c r="H729" s="341"/>
      <c r="I729" s="240"/>
      <c r="J729" s="343"/>
      <c r="K729" s="261"/>
      <c r="L729" s="342"/>
      <c r="M729" s="262"/>
      <c r="N729" s="228"/>
      <c r="O729" s="229"/>
    </row>
    <row r="730" ht="22.5" customHeight="1">
      <c r="A730" s="346"/>
      <c r="B730" s="218"/>
      <c r="C730" s="218"/>
      <c r="D730" s="338"/>
      <c r="E730" s="345"/>
      <c r="F730" s="344"/>
      <c r="G730" s="336"/>
      <c r="H730" s="341"/>
      <c r="I730" s="240"/>
      <c r="J730" s="343"/>
      <c r="K730" s="261"/>
      <c r="L730" s="342"/>
      <c r="M730" s="262"/>
      <c r="N730" s="228"/>
      <c r="O730" s="229"/>
    </row>
    <row r="731" ht="22.5" customHeight="1">
      <c r="A731" s="346"/>
      <c r="B731" s="218"/>
      <c r="C731" s="218"/>
      <c r="D731" s="338"/>
      <c r="E731" s="345"/>
      <c r="F731" s="344"/>
      <c r="G731" s="336"/>
      <c r="H731" s="341"/>
      <c r="I731" s="240"/>
      <c r="J731" s="343"/>
      <c r="K731" s="261"/>
      <c r="L731" s="342"/>
      <c r="M731" s="262"/>
      <c r="N731" s="228"/>
      <c r="O731" s="229"/>
    </row>
    <row r="732" ht="22.5" customHeight="1">
      <c r="A732" s="346"/>
      <c r="B732" s="218"/>
      <c r="C732" s="218"/>
      <c r="D732" s="338"/>
      <c r="E732" s="345"/>
      <c r="F732" s="344"/>
      <c r="G732" s="336"/>
      <c r="H732" s="341"/>
      <c r="I732" s="240"/>
      <c r="J732" s="343"/>
      <c r="K732" s="261"/>
      <c r="L732" s="342"/>
      <c r="M732" s="262"/>
      <c r="N732" s="228"/>
      <c r="O732" s="229"/>
    </row>
    <row r="733" ht="22.5" customHeight="1">
      <c r="A733" s="346"/>
      <c r="B733" s="218"/>
      <c r="C733" s="218"/>
      <c r="D733" s="338"/>
      <c r="E733" s="345"/>
      <c r="F733" s="344"/>
      <c r="G733" s="336"/>
      <c r="H733" s="341"/>
      <c r="I733" s="240"/>
      <c r="J733" s="343"/>
      <c r="K733" s="261"/>
      <c r="L733" s="342"/>
      <c r="M733" s="262"/>
      <c r="N733" s="228"/>
      <c r="O733" s="229"/>
    </row>
    <row r="734" ht="22.5" customHeight="1">
      <c r="A734" s="346"/>
      <c r="B734" s="218"/>
      <c r="C734" s="218"/>
      <c r="D734" s="338"/>
      <c r="E734" s="345"/>
      <c r="F734" s="344"/>
      <c r="G734" s="336"/>
      <c r="H734" s="341"/>
      <c r="I734" s="240"/>
      <c r="J734" s="343"/>
      <c r="K734" s="261"/>
      <c r="L734" s="342"/>
      <c r="M734" s="262"/>
      <c r="N734" s="228"/>
      <c r="O734" s="229"/>
    </row>
    <row r="735" ht="22.5" customHeight="1">
      <c r="A735" s="346"/>
      <c r="B735" s="218"/>
      <c r="C735" s="218"/>
      <c r="D735" s="338"/>
      <c r="E735" s="345"/>
      <c r="F735" s="344"/>
      <c r="G735" s="336"/>
      <c r="H735" s="341"/>
      <c r="I735" s="240"/>
      <c r="J735" s="343"/>
      <c r="K735" s="261"/>
      <c r="L735" s="342"/>
      <c r="M735" s="262"/>
      <c r="N735" s="228"/>
      <c r="O735" s="229"/>
    </row>
    <row r="736" ht="22.5" customHeight="1">
      <c r="A736" s="346"/>
      <c r="B736" s="218"/>
      <c r="C736" s="218"/>
      <c r="D736" s="338"/>
      <c r="E736" s="345"/>
      <c r="F736" s="344"/>
      <c r="G736" s="336"/>
      <c r="H736" s="341"/>
      <c r="I736" s="240"/>
      <c r="J736" s="343"/>
      <c r="K736" s="261"/>
      <c r="L736" s="342"/>
      <c r="M736" s="262"/>
      <c r="N736" s="228"/>
      <c r="O736" s="229"/>
    </row>
    <row r="737" ht="22.5" customHeight="1">
      <c r="A737" s="346"/>
      <c r="B737" s="218"/>
      <c r="C737" s="218"/>
      <c r="D737" s="338"/>
      <c r="E737" s="345"/>
      <c r="F737" s="344"/>
      <c r="G737" s="336"/>
      <c r="H737" s="341"/>
      <c r="I737" s="240"/>
      <c r="J737" s="343"/>
      <c r="K737" s="261"/>
      <c r="L737" s="342"/>
      <c r="M737" s="262"/>
      <c r="N737" s="228"/>
      <c r="O737" s="229"/>
    </row>
    <row r="738" ht="22.5" customHeight="1">
      <c r="A738" s="346"/>
      <c r="B738" s="218"/>
      <c r="C738" s="218"/>
      <c r="D738" s="338"/>
      <c r="E738" s="345"/>
      <c r="F738" s="344"/>
      <c r="G738" s="336"/>
      <c r="H738" s="341"/>
      <c r="I738" s="240"/>
      <c r="J738" s="343"/>
      <c r="K738" s="261"/>
      <c r="L738" s="342"/>
      <c r="M738" s="262"/>
      <c r="N738" s="228"/>
      <c r="O738" s="229"/>
    </row>
    <row r="739" ht="22.5" customHeight="1">
      <c r="A739" s="346"/>
      <c r="B739" s="218"/>
      <c r="C739" s="218"/>
      <c r="D739" s="338"/>
      <c r="E739" s="345"/>
      <c r="F739" s="344"/>
      <c r="G739" s="336"/>
      <c r="H739" s="341"/>
      <c r="I739" s="240"/>
      <c r="J739" s="343"/>
      <c r="K739" s="261"/>
      <c r="L739" s="342"/>
      <c r="M739" s="262"/>
      <c r="N739" s="228"/>
      <c r="O739" s="229"/>
    </row>
    <row r="740" ht="22.5" customHeight="1">
      <c r="A740" s="346"/>
      <c r="B740" s="218"/>
      <c r="C740" s="218"/>
      <c r="D740" s="338"/>
      <c r="E740" s="345"/>
      <c r="F740" s="344"/>
      <c r="G740" s="336"/>
      <c r="H740" s="341"/>
      <c r="I740" s="240"/>
      <c r="J740" s="343"/>
      <c r="K740" s="261"/>
      <c r="L740" s="342"/>
      <c r="M740" s="262"/>
      <c r="N740" s="228"/>
      <c r="O740" s="229"/>
    </row>
    <row r="741" ht="22.5" customHeight="1">
      <c r="A741" s="346"/>
      <c r="B741" s="218"/>
      <c r="C741" s="218"/>
      <c r="D741" s="338"/>
      <c r="E741" s="345"/>
      <c r="F741" s="344"/>
      <c r="G741" s="336"/>
      <c r="H741" s="341"/>
      <c r="I741" s="240"/>
      <c r="J741" s="343"/>
      <c r="K741" s="261"/>
      <c r="L741" s="342"/>
      <c r="M741" s="262"/>
      <c r="N741" s="228"/>
      <c r="O741" s="229"/>
    </row>
    <row r="742" ht="22.5" customHeight="1">
      <c r="A742" s="346"/>
      <c r="B742" s="218"/>
      <c r="C742" s="218"/>
      <c r="D742" s="338"/>
      <c r="E742" s="345"/>
      <c r="F742" s="344"/>
      <c r="G742" s="336"/>
      <c r="H742" s="341"/>
      <c r="I742" s="240"/>
      <c r="J742" s="343"/>
      <c r="K742" s="261"/>
      <c r="L742" s="342"/>
      <c r="M742" s="262"/>
      <c r="N742" s="228"/>
      <c r="O742" s="229"/>
    </row>
    <row r="743" ht="22.5" customHeight="1">
      <c r="A743" s="346"/>
      <c r="B743" s="218"/>
      <c r="C743" s="218"/>
      <c r="D743" s="338"/>
      <c r="E743" s="345"/>
      <c r="F743" s="344"/>
      <c r="G743" s="336"/>
      <c r="H743" s="341"/>
      <c r="I743" s="240"/>
      <c r="J743" s="343"/>
      <c r="K743" s="261"/>
      <c r="L743" s="342"/>
      <c r="M743" s="262"/>
      <c r="N743" s="228"/>
      <c r="O743" s="229"/>
    </row>
    <row r="744" ht="22.5" customHeight="1">
      <c r="A744" s="346"/>
      <c r="B744" s="218"/>
      <c r="C744" s="218"/>
      <c r="D744" s="338"/>
      <c r="E744" s="345"/>
      <c r="F744" s="344"/>
      <c r="G744" s="336"/>
      <c r="H744" s="341"/>
      <c r="I744" s="240"/>
      <c r="J744" s="343"/>
      <c r="K744" s="261"/>
      <c r="L744" s="342"/>
      <c r="M744" s="262"/>
      <c r="N744" s="228"/>
      <c r="O744" s="229"/>
    </row>
    <row r="745" ht="22.5" customHeight="1">
      <c r="A745" s="346"/>
      <c r="B745" s="218"/>
      <c r="C745" s="218"/>
      <c r="D745" s="338"/>
      <c r="E745" s="345"/>
      <c r="F745" s="344"/>
      <c r="G745" s="336"/>
      <c r="H745" s="341"/>
      <c r="I745" s="240"/>
      <c r="J745" s="343"/>
      <c r="K745" s="261"/>
      <c r="L745" s="342"/>
      <c r="M745" s="262"/>
      <c r="N745" s="228"/>
      <c r="O745" s="229"/>
    </row>
    <row r="746" ht="22.5" customHeight="1">
      <c r="A746" s="346"/>
      <c r="B746" s="218"/>
      <c r="C746" s="218"/>
      <c r="D746" s="338"/>
      <c r="E746" s="345"/>
      <c r="F746" s="344"/>
      <c r="G746" s="336"/>
      <c r="H746" s="341"/>
      <c r="I746" s="240"/>
      <c r="J746" s="343"/>
      <c r="K746" s="261"/>
      <c r="L746" s="342"/>
      <c r="M746" s="262"/>
      <c r="N746" s="228"/>
      <c r="O746" s="229"/>
    </row>
    <row r="747" ht="22.5" customHeight="1">
      <c r="A747" s="346"/>
      <c r="B747" s="218"/>
      <c r="C747" s="218"/>
      <c r="D747" s="338"/>
      <c r="E747" s="345"/>
      <c r="F747" s="344"/>
      <c r="G747" s="336"/>
      <c r="H747" s="341"/>
      <c r="I747" s="240"/>
      <c r="J747" s="343"/>
      <c r="K747" s="261"/>
      <c r="L747" s="342"/>
      <c r="M747" s="262"/>
      <c r="N747" s="228"/>
      <c r="O747" s="229"/>
    </row>
    <row r="748" ht="22.5" customHeight="1">
      <c r="A748" s="346"/>
      <c r="B748" s="218"/>
      <c r="C748" s="218"/>
      <c r="D748" s="338"/>
      <c r="E748" s="345"/>
      <c r="F748" s="344"/>
      <c r="G748" s="336"/>
      <c r="H748" s="341"/>
      <c r="I748" s="240"/>
      <c r="J748" s="343"/>
      <c r="K748" s="261"/>
      <c r="L748" s="342"/>
      <c r="M748" s="262"/>
      <c r="N748" s="228"/>
      <c r="O748" s="229"/>
    </row>
    <row r="749" ht="22.5" customHeight="1">
      <c r="A749" s="346"/>
      <c r="B749" s="218"/>
      <c r="C749" s="218"/>
      <c r="D749" s="338"/>
      <c r="E749" s="345"/>
      <c r="F749" s="344"/>
      <c r="G749" s="336"/>
      <c r="H749" s="341"/>
      <c r="I749" s="240"/>
      <c r="J749" s="343"/>
      <c r="K749" s="261"/>
      <c r="L749" s="342"/>
      <c r="M749" s="262"/>
      <c r="N749" s="228"/>
      <c r="O749" s="229"/>
    </row>
    <row r="750" ht="22.5" customHeight="1">
      <c r="A750" s="346"/>
      <c r="B750" s="218"/>
      <c r="C750" s="218"/>
      <c r="D750" s="338"/>
      <c r="E750" s="345"/>
      <c r="F750" s="344"/>
      <c r="G750" s="336"/>
      <c r="H750" s="341"/>
      <c r="I750" s="240"/>
      <c r="J750" s="343"/>
      <c r="K750" s="261"/>
      <c r="L750" s="342"/>
      <c r="M750" s="262"/>
      <c r="N750" s="228"/>
      <c r="O750" s="229"/>
    </row>
    <row r="751" ht="22.5" customHeight="1">
      <c r="A751" s="346"/>
      <c r="B751" s="218"/>
      <c r="C751" s="218"/>
      <c r="D751" s="338"/>
      <c r="E751" s="345"/>
      <c r="F751" s="344"/>
      <c r="G751" s="336"/>
      <c r="H751" s="341"/>
      <c r="I751" s="240"/>
      <c r="J751" s="343"/>
      <c r="K751" s="261"/>
      <c r="L751" s="342"/>
      <c r="M751" s="262"/>
      <c r="N751" s="228"/>
      <c r="O751" s="229"/>
    </row>
    <row r="752" ht="22.5" customHeight="1">
      <c r="A752" s="346"/>
      <c r="B752" s="218"/>
      <c r="C752" s="218"/>
      <c r="D752" s="338"/>
      <c r="E752" s="345"/>
      <c r="F752" s="344"/>
      <c r="G752" s="336"/>
      <c r="H752" s="341"/>
      <c r="I752" s="240"/>
      <c r="J752" s="343"/>
      <c r="K752" s="261"/>
      <c r="L752" s="342"/>
      <c r="M752" s="262"/>
      <c r="N752" s="228"/>
      <c r="O752" s="229"/>
    </row>
    <row r="753" ht="22.5" customHeight="1">
      <c r="A753" s="346"/>
      <c r="B753" s="218"/>
      <c r="C753" s="218"/>
      <c r="D753" s="338"/>
      <c r="E753" s="345"/>
      <c r="F753" s="344"/>
      <c r="G753" s="336"/>
      <c r="H753" s="341"/>
      <c r="I753" s="240"/>
      <c r="J753" s="343"/>
      <c r="K753" s="261"/>
      <c r="L753" s="342"/>
      <c r="M753" s="262"/>
      <c r="N753" s="228"/>
      <c r="O753" s="229"/>
    </row>
    <row r="754" ht="22.5" customHeight="1">
      <c r="A754" s="346"/>
      <c r="B754" s="218"/>
      <c r="C754" s="218"/>
      <c r="D754" s="338"/>
      <c r="E754" s="345"/>
      <c r="F754" s="344"/>
      <c r="G754" s="336"/>
      <c r="H754" s="341"/>
      <c r="I754" s="240"/>
      <c r="J754" s="343"/>
      <c r="K754" s="261"/>
      <c r="L754" s="342"/>
      <c r="M754" s="262"/>
      <c r="N754" s="228"/>
      <c r="O754" s="229"/>
    </row>
    <row r="755" ht="22.5" customHeight="1">
      <c r="A755" s="346"/>
      <c r="B755" s="218"/>
      <c r="C755" s="218"/>
      <c r="D755" s="338"/>
      <c r="E755" s="345"/>
      <c r="F755" s="344"/>
      <c r="G755" s="336"/>
      <c r="H755" s="341"/>
      <c r="I755" s="240"/>
      <c r="J755" s="343"/>
      <c r="K755" s="261"/>
      <c r="L755" s="342"/>
      <c r="M755" s="262"/>
      <c r="N755" s="228"/>
      <c r="O755" s="229"/>
    </row>
    <row r="756" ht="22.5" customHeight="1">
      <c r="A756" s="346"/>
      <c r="B756" s="218"/>
      <c r="C756" s="218"/>
      <c r="D756" s="338"/>
      <c r="E756" s="345"/>
      <c r="F756" s="344"/>
      <c r="G756" s="336"/>
      <c r="H756" s="341"/>
      <c r="I756" s="240"/>
      <c r="J756" s="343"/>
      <c r="K756" s="261"/>
      <c r="L756" s="342"/>
      <c r="M756" s="262"/>
      <c r="N756" s="228"/>
      <c r="O756" s="229"/>
    </row>
    <row r="757" ht="22.5" customHeight="1">
      <c r="A757" s="346"/>
      <c r="B757" s="218"/>
      <c r="C757" s="218"/>
      <c r="D757" s="338"/>
      <c r="E757" s="345"/>
      <c r="F757" s="344"/>
      <c r="G757" s="336"/>
      <c r="H757" s="341"/>
      <c r="I757" s="240"/>
      <c r="J757" s="343"/>
      <c r="K757" s="261"/>
      <c r="L757" s="342"/>
      <c r="M757" s="262"/>
      <c r="N757" s="228"/>
      <c r="O757" s="229"/>
    </row>
    <row r="758" ht="22.5" customHeight="1">
      <c r="A758" s="346"/>
      <c r="B758" s="218"/>
      <c r="C758" s="218"/>
      <c r="D758" s="338"/>
      <c r="E758" s="345"/>
      <c r="F758" s="344"/>
      <c r="G758" s="336"/>
      <c r="H758" s="341"/>
      <c r="I758" s="240"/>
      <c r="J758" s="343"/>
      <c r="K758" s="261"/>
      <c r="L758" s="342"/>
      <c r="M758" s="262"/>
      <c r="N758" s="228"/>
      <c r="O758" s="229"/>
    </row>
    <row r="759" ht="22.5" customHeight="1">
      <c r="A759" s="346"/>
      <c r="B759" s="218"/>
      <c r="C759" s="218"/>
      <c r="D759" s="338"/>
      <c r="E759" s="345"/>
      <c r="F759" s="344"/>
      <c r="G759" s="336"/>
      <c r="H759" s="341"/>
      <c r="I759" s="240"/>
      <c r="J759" s="343"/>
      <c r="K759" s="261"/>
      <c r="L759" s="342"/>
      <c r="M759" s="262"/>
      <c r="N759" s="228"/>
      <c r="O759" s="229"/>
    </row>
    <row r="760" ht="22.5" customHeight="1">
      <c r="A760" s="346"/>
      <c r="B760" s="218"/>
      <c r="C760" s="218"/>
      <c r="D760" s="338"/>
      <c r="E760" s="345"/>
      <c r="F760" s="344"/>
      <c r="G760" s="336"/>
      <c r="H760" s="341"/>
      <c r="I760" s="240"/>
      <c r="J760" s="343"/>
      <c r="K760" s="261"/>
      <c r="L760" s="342"/>
      <c r="M760" s="262"/>
      <c r="N760" s="228"/>
      <c r="O760" s="229"/>
    </row>
    <row r="761" ht="22.5" customHeight="1">
      <c r="A761" s="346"/>
      <c r="B761" s="218"/>
      <c r="C761" s="218"/>
      <c r="D761" s="338"/>
      <c r="E761" s="345"/>
      <c r="F761" s="344"/>
      <c r="G761" s="336"/>
      <c r="H761" s="341"/>
      <c r="I761" s="240"/>
      <c r="J761" s="343"/>
      <c r="K761" s="261"/>
      <c r="L761" s="342"/>
      <c r="M761" s="262"/>
      <c r="N761" s="228"/>
      <c r="O761" s="229"/>
    </row>
    <row r="762" ht="22.5" customHeight="1">
      <c r="A762" s="346"/>
      <c r="B762" s="218"/>
      <c r="C762" s="218"/>
      <c r="D762" s="338"/>
      <c r="E762" s="345"/>
      <c r="F762" s="344"/>
      <c r="G762" s="336"/>
      <c r="H762" s="341"/>
      <c r="I762" s="240"/>
      <c r="J762" s="343"/>
      <c r="K762" s="261"/>
      <c r="L762" s="342"/>
      <c r="M762" s="262"/>
      <c r="N762" s="228"/>
      <c r="O762" s="229"/>
    </row>
    <row r="763" ht="22.5" customHeight="1">
      <c r="A763" s="346"/>
      <c r="B763" s="218"/>
      <c r="C763" s="218"/>
      <c r="D763" s="338"/>
      <c r="E763" s="345"/>
      <c r="F763" s="344"/>
      <c r="G763" s="336"/>
      <c r="H763" s="341"/>
      <c r="I763" s="240"/>
      <c r="J763" s="343"/>
      <c r="K763" s="261"/>
      <c r="L763" s="342"/>
      <c r="M763" s="262"/>
      <c r="N763" s="228"/>
      <c r="O763" s="229"/>
    </row>
    <row r="764" ht="22.5" customHeight="1">
      <c r="A764" s="346"/>
      <c r="B764" s="218"/>
      <c r="C764" s="218"/>
      <c r="D764" s="338"/>
      <c r="E764" s="345"/>
      <c r="F764" s="344"/>
      <c r="G764" s="336"/>
      <c r="H764" s="341"/>
      <c r="I764" s="240"/>
      <c r="J764" s="343"/>
      <c r="K764" s="261"/>
      <c r="L764" s="342"/>
      <c r="M764" s="262"/>
      <c r="N764" s="228"/>
      <c r="O764" s="229"/>
    </row>
    <row r="765" ht="22.5" customHeight="1">
      <c r="A765" s="346"/>
      <c r="B765" s="218"/>
      <c r="C765" s="218"/>
      <c r="D765" s="338"/>
      <c r="E765" s="345"/>
      <c r="F765" s="344"/>
      <c r="G765" s="336"/>
      <c r="H765" s="341"/>
      <c r="I765" s="240"/>
      <c r="J765" s="343"/>
      <c r="K765" s="261"/>
      <c r="L765" s="342"/>
      <c r="M765" s="262"/>
      <c r="N765" s="228"/>
      <c r="O765" s="229"/>
    </row>
    <row r="766" ht="22.5" customHeight="1">
      <c r="A766" s="346"/>
      <c r="B766" s="218"/>
      <c r="C766" s="218"/>
      <c r="D766" s="338"/>
      <c r="E766" s="345"/>
      <c r="F766" s="344"/>
      <c r="G766" s="336"/>
      <c r="H766" s="341"/>
      <c r="I766" s="240"/>
      <c r="J766" s="343"/>
      <c r="K766" s="261"/>
      <c r="L766" s="342"/>
      <c r="M766" s="262"/>
      <c r="N766" s="228"/>
      <c r="O766" s="229"/>
    </row>
    <row r="767" ht="22.5" customHeight="1">
      <c r="A767" s="346"/>
      <c r="B767" s="218"/>
      <c r="C767" s="218"/>
      <c r="D767" s="338"/>
      <c r="E767" s="345"/>
      <c r="F767" s="344"/>
      <c r="G767" s="336"/>
      <c r="H767" s="341"/>
      <c r="I767" s="240"/>
      <c r="J767" s="343"/>
      <c r="K767" s="261"/>
      <c r="L767" s="342"/>
      <c r="M767" s="262"/>
      <c r="N767" s="228"/>
      <c r="O767" s="229"/>
    </row>
    <row r="768" ht="22.5" customHeight="1">
      <c r="A768" s="346"/>
      <c r="B768" s="218"/>
      <c r="C768" s="218"/>
      <c r="D768" s="338"/>
      <c r="E768" s="345"/>
      <c r="F768" s="344"/>
      <c r="G768" s="336"/>
      <c r="H768" s="341"/>
      <c r="I768" s="240"/>
      <c r="J768" s="343"/>
      <c r="K768" s="261"/>
      <c r="L768" s="342"/>
      <c r="M768" s="262"/>
      <c r="N768" s="228"/>
      <c r="O768" s="229"/>
    </row>
    <row r="769" ht="22.5" customHeight="1">
      <c r="A769" s="346"/>
      <c r="B769" s="218"/>
      <c r="C769" s="218"/>
      <c r="D769" s="338"/>
      <c r="E769" s="345"/>
      <c r="F769" s="344"/>
      <c r="G769" s="336"/>
      <c r="H769" s="341"/>
      <c r="I769" s="240"/>
      <c r="J769" s="343"/>
      <c r="K769" s="261"/>
      <c r="L769" s="342"/>
      <c r="M769" s="262"/>
      <c r="N769" s="228"/>
      <c r="O769" s="229"/>
    </row>
    <row r="770" ht="22.5" customHeight="1">
      <c r="A770" s="346"/>
      <c r="B770" s="218"/>
      <c r="C770" s="218"/>
      <c r="D770" s="338"/>
      <c r="E770" s="345"/>
      <c r="F770" s="344"/>
      <c r="G770" s="336"/>
      <c r="H770" s="341"/>
      <c r="I770" s="240"/>
      <c r="J770" s="343"/>
      <c r="K770" s="261"/>
      <c r="L770" s="342"/>
      <c r="M770" s="262"/>
      <c r="N770" s="228"/>
      <c r="O770" s="229"/>
    </row>
    <row r="771" ht="22.5" customHeight="1">
      <c r="A771" s="346"/>
      <c r="B771" s="218"/>
      <c r="C771" s="218"/>
      <c r="D771" s="338"/>
      <c r="E771" s="345"/>
      <c r="F771" s="344"/>
      <c r="G771" s="336"/>
      <c r="H771" s="341"/>
      <c r="I771" s="240"/>
      <c r="J771" s="343"/>
      <c r="K771" s="261"/>
      <c r="L771" s="342"/>
      <c r="M771" s="262"/>
      <c r="N771" s="228"/>
      <c r="O771" s="229"/>
    </row>
    <row r="772" ht="22.5" customHeight="1">
      <c r="A772" s="346"/>
      <c r="B772" s="218"/>
      <c r="C772" s="218"/>
      <c r="D772" s="338"/>
      <c r="E772" s="345"/>
      <c r="F772" s="344"/>
      <c r="G772" s="336"/>
      <c r="H772" s="341"/>
      <c r="I772" s="240"/>
      <c r="J772" s="343"/>
      <c r="K772" s="261"/>
      <c r="L772" s="342"/>
      <c r="M772" s="262"/>
      <c r="N772" s="228"/>
      <c r="O772" s="229"/>
    </row>
    <row r="773" ht="22.5" customHeight="1">
      <c r="A773" s="346"/>
      <c r="B773" s="218"/>
      <c r="C773" s="218"/>
      <c r="D773" s="338"/>
      <c r="E773" s="345"/>
      <c r="F773" s="344"/>
      <c r="G773" s="336"/>
      <c r="H773" s="341"/>
      <c r="I773" s="240"/>
      <c r="J773" s="343"/>
      <c r="K773" s="261"/>
      <c r="L773" s="342"/>
      <c r="M773" s="262"/>
      <c r="N773" s="228"/>
      <c r="O773" s="229"/>
    </row>
    <row r="774" ht="22.5" customHeight="1">
      <c r="A774" s="346"/>
      <c r="B774" s="218"/>
      <c r="C774" s="218"/>
      <c r="D774" s="338"/>
      <c r="E774" s="345"/>
      <c r="F774" s="344"/>
      <c r="G774" s="336"/>
      <c r="H774" s="341"/>
      <c r="I774" s="240"/>
      <c r="J774" s="343"/>
      <c r="K774" s="261"/>
      <c r="L774" s="342"/>
      <c r="M774" s="262"/>
      <c r="N774" s="228"/>
      <c r="O774" s="229"/>
    </row>
    <row r="775" ht="22.5" customHeight="1">
      <c r="A775" s="346"/>
      <c r="B775" s="218"/>
      <c r="C775" s="218"/>
      <c r="D775" s="338"/>
      <c r="E775" s="345"/>
      <c r="F775" s="344"/>
      <c r="G775" s="336"/>
      <c r="H775" s="341"/>
      <c r="I775" s="240"/>
      <c r="J775" s="343"/>
      <c r="K775" s="261"/>
      <c r="L775" s="342"/>
      <c r="M775" s="262"/>
      <c r="N775" s="228"/>
      <c r="O775" s="229"/>
    </row>
    <row r="776" ht="22.5" customHeight="1">
      <c r="A776" s="346"/>
      <c r="B776" s="218"/>
      <c r="C776" s="218"/>
      <c r="D776" s="338"/>
      <c r="E776" s="345"/>
      <c r="F776" s="344"/>
      <c r="G776" s="336"/>
      <c r="H776" s="341"/>
      <c r="I776" s="240"/>
      <c r="J776" s="343"/>
      <c r="K776" s="261"/>
      <c r="L776" s="342"/>
      <c r="M776" s="262"/>
      <c r="N776" s="228"/>
      <c r="O776" s="229"/>
    </row>
    <row r="777" ht="22.5" customHeight="1">
      <c r="A777" s="346"/>
      <c r="B777" s="218"/>
      <c r="C777" s="218"/>
      <c r="D777" s="338"/>
      <c r="E777" s="345"/>
      <c r="F777" s="344"/>
      <c r="G777" s="336"/>
      <c r="H777" s="341"/>
      <c r="I777" s="240"/>
      <c r="J777" s="343"/>
      <c r="K777" s="261"/>
      <c r="L777" s="342"/>
      <c r="M777" s="262"/>
      <c r="N777" s="228"/>
      <c r="O777" s="229"/>
    </row>
    <row r="778" ht="22.5" customHeight="1">
      <c r="A778" s="346"/>
      <c r="B778" s="218"/>
      <c r="C778" s="218"/>
      <c r="D778" s="338"/>
      <c r="E778" s="345"/>
      <c r="F778" s="344"/>
      <c r="G778" s="336"/>
      <c r="H778" s="341"/>
      <c r="I778" s="240"/>
      <c r="J778" s="343"/>
      <c r="K778" s="261"/>
      <c r="L778" s="342"/>
      <c r="M778" s="262"/>
      <c r="N778" s="228"/>
      <c r="O778" s="229"/>
    </row>
    <row r="779" ht="22.5" customHeight="1">
      <c r="A779" s="346"/>
      <c r="B779" s="218"/>
      <c r="C779" s="218"/>
      <c r="D779" s="338"/>
      <c r="E779" s="345"/>
      <c r="F779" s="344"/>
      <c r="G779" s="336"/>
      <c r="H779" s="341"/>
      <c r="I779" s="240"/>
      <c r="J779" s="343"/>
      <c r="K779" s="261"/>
      <c r="L779" s="342"/>
      <c r="M779" s="262"/>
      <c r="N779" s="228"/>
      <c r="O779" s="229"/>
    </row>
    <row r="780" ht="22.5" customHeight="1">
      <c r="A780" s="346"/>
      <c r="B780" s="218"/>
      <c r="C780" s="218"/>
      <c r="D780" s="338"/>
      <c r="E780" s="345"/>
      <c r="F780" s="344"/>
      <c r="G780" s="336"/>
      <c r="H780" s="341"/>
      <c r="I780" s="240"/>
      <c r="J780" s="343"/>
      <c r="K780" s="261"/>
      <c r="L780" s="342"/>
      <c r="M780" s="262"/>
      <c r="N780" s="228"/>
      <c r="O780" s="229"/>
    </row>
    <row r="781" ht="22.5" customHeight="1">
      <c r="A781" s="346"/>
      <c r="B781" s="218"/>
      <c r="C781" s="218"/>
      <c r="D781" s="338"/>
      <c r="E781" s="345"/>
      <c r="F781" s="344"/>
      <c r="G781" s="336"/>
      <c r="H781" s="341"/>
      <c r="I781" s="240"/>
      <c r="J781" s="343"/>
      <c r="K781" s="261"/>
      <c r="L781" s="342"/>
      <c r="M781" s="262"/>
      <c r="N781" s="228"/>
      <c r="O781" s="229"/>
    </row>
    <row r="782" ht="22.5" customHeight="1">
      <c r="A782" s="346"/>
      <c r="B782" s="218"/>
      <c r="C782" s="218"/>
      <c r="D782" s="338"/>
      <c r="E782" s="345"/>
      <c r="F782" s="344"/>
      <c r="G782" s="336"/>
      <c r="H782" s="341"/>
      <c r="I782" s="240"/>
      <c r="J782" s="343"/>
      <c r="K782" s="261"/>
      <c r="L782" s="342"/>
      <c r="M782" s="262"/>
      <c r="N782" s="228"/>
      <c r="O782" s="229"/>
    </row>
    <row r="783" ht="22.5" customHeight="1">
      <c r="A783" s="346"/>
      <c r="B783" s="218"/>
      <c r="C783" s="218"/>
      <c r="D783" s="338"/>
      <c r="E783" s="345"/>
      <c r="F783" s="344"/>
      <c r="G783" s="336"/>
      <c r="H783" s="341"/>
      <c r="I783" s="240"/>
      <c r="J783" s="343"/>
      <c r="K783" s="261"/>
      <c r="L783" s="342"/>
      <c r="M783" s="262"/>
      <c r="N783" s="228"/>
      <c r="O783" s="229"/>
    </row>
    <row r="784" ht="22.5" customHeight="1">
      <c r="A784" s="346"/>
      <c r="B784" s="218"/>
      <c r="C784" s="218"/>
      <c r="D784" s="338"/>
      <c r="E784" s="345"/>
      <c r="F784" s="344"/>
      <c r="G784" s="336"/>
      <c r="H784" s="341"/>
      <c r="I784" s="240"/>
      <c r="J784" s="343"/>
      <c r="K784" s="261"/>
      <c r="L784" s="342"/>
      <c r="M784" s="262"/>
      <c r="N784" s="228"/>
      <c r="O784" s="229"/>
    </row>
    <row r="785" ht="22.5" customHeight="1">
      <c r="A785" s="346"/>
      <c r="B785" s="218"/>
      <c r="C785" s="218"/>
      <c r="D785" s="338"/>
      <c r="E785" s="345"/>
      <c r="F785" s="344"/>
      <c r="G785" s="336"/>
      <c r="H785" s="341"/>
      <c r="I785" s="240"/>
      <c r="J785" s="343"/>
      <c r="K785" s="261"/>
      <c r="L785" s="342"/>
      <c r="M785" s="262"/>
      <c r="N785" s="228"/>
      <c r="O785" s="229"/>
    </row>
    <row r="786" ht="22.5" customHeight="1">
      <c r="A786" s="346"/>
      <c r="B786" s="218"/>
      <c r="C786" s="218"/>
      <c r="D786" s="338"/>
      <c r="E786" s="345"/>
      <c r="F786" s="344"/>
      <c r="G786" s="336"/>
      <c r="H786" s="341"/>
      <c r="I786" s="240"/>
      <c r="J786" s="343"/>
      <c r="K786" s="261"/>
      <c r="L786" s="342"/>
      <c r="M786" s="262"/>
      <c r="N786" s="228"/>
      <c r="O786" s="229"/>
    </row>
    <row r="787" ht="22.5" customHeight="1">
      <c r="A787" s="346"/>
      <c r="B787" s="218"/>
      <c r="C787" s="218"/>
      <c r="D787" s="338"/>
      <c r="E787" s="345"/>
      <c r="F787" s="344"/>
      <c r="G787" s="336"/>
      <c r="H787" s="341"/>
      <c r="I787" s="240"/>
      <c r="J787" s="343"/>
      <c r="K787" s="261"/>
      <c r="L787" s="342"/>
      <c r="M787" s="262"/>
      <c r="N787" s="228"/>
      <c r="O787" s="229"/>
    </row>
    <row r="788" ht="22.5" customHeight="1">
      <c r="A788" s="346"/>
      <c r="B788" s="218"/>
      <c r="C788" s="218"/>
      <c r="D788" s="338"/>
      <c r="E788" s="345"/>
      <c r="F788" s="344"/>
      <c r="G788" s="336"/>
      <c r="H788" s="341"/>
      <c r="I788" s="240"/>
      <c r="J788" s="343"/>
      <c r="K788" s="261"/>
      <c r="L788" s="342"/>
      <c r="M788" s="262"/>
      <c r="N788" s="228"/>
      <c r="O788" s="229"/>
    </row>
    <row r="789" ht="22.5" customHeight="1">
      <c r="A789" s="346"/>
      <c r="B789" s="218"/>
      <c r="C789" s="218"/>
      <c r="D789" s="338"/>
      <c r="E789" s="345"/>
      <c r="F789" s="344"/>
      <c r="G789" s="336"/>
      <c r="H789" s="341"/>
      <c r="I789" s="240"/>
      <c r="J789" s="343"/>
      <c r="K789" s="261"/>
      <c r="L789" s="342"/>
      <c r="M789" s="262"/>
      <c r="N789" s="228"/>
      <c r="O789" s="229"/>
    </row>
    <row r="790" ht="22.5" customHeight="1">
      <c r="A790" s="346"/>
      <c r="B790" s="218"/>
      <c r="C790" s="218"/>
      <c r="D790" s="338"/>
      <c r="E790" s="345"/>
      <c r="F790" s="344"/>
      <c r="G790" s="336"/>
      <c r="H790" s="341"/>
      <c r="I790" s="240"/>
      <c r="J790" s="343"/>
      <c r="K790" s="261"/>
      <c r="L790" s="342"/>
      <c r="M790" s="262"/>
      <c r="N790" s="228"/>
      <c r="O790" s="229"/>
    </row>
    <row r="791" ht="22.5" customHeight="1">
      <c r="A791" s="346"/>
      <c r="B791" s="218"/>
      <c r="C791" s="218"/>
      <c r="D791" s="338"/>
      <c r="E791" s="345"/>
      <c r="F791" s="344"/>
      <c r="G791" s="336"/>
      <c r="H791" s="341"/>
      <c r="I791" s="240"/>
      <c r="J791" s="343"/>
      <c r="K791" s="261"/>
      <c r="L791" s="342"/>
      <c r="M791" s="262"/>
      <c r="N791" s="228"/>
      <c r="O791" s="229"/>
    </row>
    <row r="792" ht="22.5" customHeight="1">
      <c r="A792" s="346"/>
      <c r="B792" s="218"/>
      <c r="C792" s="218"/>
      <c r="D792" s="338"/>
      <c r="E792" s="345"/>
      <c r="F792" s="344"/>
      <c r="G792" s="336"/>
      <c r="H792" s="341"/>
      <c r="I792" s="240"/>
      <c r="J792" s="343"/>
      <c r="K792" s="261"/>
      <c r="L792" s="342"/>
      <c r="M792" s="262"/>
      <c r="N792" s="228"/>
      <c r="O792" s="229"/>
    </row>
    <row r="793" ht="22.5" customHeight="1">
      <c r="A793" s="346"/>
      <c r="B793" s="218"/>
      <c r="C793" s="218"/>
      <c r="D793" s="338"/>
      <c r="E793" s="345"/>
      <c r="F793" s="344"/>
      <c r="G793" s="336"/>
      <c r="H793" s="341"/>
      <c r="I793" s="240"/>
      <c r="J793" s="343"/>
      <c r="K793" s="261"/>
      <c r="L793" s="342"/>
      <c r="M793" s="262"/>
      <c r="N793" s="228"/>
      <c r="O793" s="229"/>
    </row>
    <row r="794" ht="22.5" customHeight="1">
      <c r="A794" s="346"/>
      <c r="B794" s="218"/>
      <c r="C794" s="218"/>
      <c r="D794" s="338"/>
      <c r="E794" s="345"/>
      <c r="F794" s="344"/>
      <c r="G794" s="336"/>
      <c r="H794" s="341"/>
      <c r="I794" s="240"/>
      <c r="J794" s="343"/>
      <c r="K794" s="261"/>
      <c r="L794" s="342"/>
      <c r="M794" s="262"/>
      <c r="N794" s="228"/>
      <c r="O794" s="229"/>
    </row>
    <row r="795" ht="22.5" customHeight="1">
      <c r="A795" s="346"/>
      <c r="B795" s="218"/>
      <c r="C795" s="218"/>
      <c r="D795" s="338"/>
      <c r="E795" s="345"/>
      <c r="F795" s="344"/>
      <c r="G795" s="336"/>
      <c r="H795" s="341"/>
      <c r="I795" s="240"/>
      <c r="J795" s="343"/>
      <c r="K795" s="261"/>
      <c r="L795" s="342"/>
      <c r="M795" s="262"/>
      <c r="N795" s="228"/>
      <c r="O795" s="229"/>
    </row>
    <row r="796" ht="22.5" customHeight="1">
      <c r="A796" s="346"/>
      <c r="B796" s="218"/>
      <c r="C796" s="218"/>
      <c r="D796" s="338"/>
      <c r="E796" s="345"/>
      <c r="F796" s="344"/>
      <c r="G796" s="336"/>
      <c r="H796" s="341"/>
      <c r="I796" s="240"/>
      <c r="J796" s="343"/>
      <c r="K796" s="261"/>
      <c r="L796" s="342"/>
      <c r="M796" s="262"/>
      <c r="N796" s="228"/>
      <c r="O796" s="229"/>
    </row>
    <row r="797" ht="22.5" customHeight="1">
      <c r="A797" s="346"/>
      <c r="B797" s="218"/>
      <c r="C797" s="218"/>
      <c r="D797" s="338"/>
      <c r="E797" s="345"/>
      <c r="F797" s="344"/>
      <c r="G797" s="336"/>
      <c r="H797" s="341"/>
      <c r="I797" s="240"/>
      <c r="J797" s="343"/>
      <c r="K797" s="261"/>
      <c r="L797" s="342"/>
      <c r="M797" s="262"/>
      <c r="N797" s="228"/>
      <c r="O797" s="229"/>
    </row>
    <row r="798" ht="22.5" customHeight="1">
      <c r="A798" s="346"/>
      <c r="B798" s="218"/>
      <c r="C798" s="218"/>
      <c r="D798" s="338"/>
      <c r="E798" s="345"/>
      <c r="F798" s="344"/>
      <c r="G798" s="336"/>
      <c r="H798" s="341"/>
      <c r="I798" s="240"/>
      <c r="J798" s="343"/>
      <c r="K798" s="261"/>
      <c r="L798" s="342"/>
      <c r="M798" s="262"/>
      <c r="N798" s="228"/>
      <c r="O798" s="229"/>
    </row>
    <row r="799" ht="22.5" customHeight="1">
      <c r="A799" s="346"/>
      <c r="B799" s="218"/>
      <c r="C799" s="218"/>
      <c r="D799" s="338"/>
      <c r="E799" s="345"/>
      <c r="F799" s="344"/>
      <c r="G799" s="336"/>
      <c r="H799" s="341"/>
      <c r="I799" s="240"/>
      <c r="J799" s="343"/>
      <c r="K799" s="261"/>
      <c r="L799" s="342"/>
      <c r="M799" s="262"/>
      <c r="N799" s="228"/>
      <c r="O799" s="229"/>
    </row>
    <row r="800" ht="22.5" customHeight="1">
      <c r="A800" s="346"/>
      <c r="B800" s="218"/>
      <c r="C800" s="218"/>
      <c r="D800" s="338"/>
      <c r="E800" s="345"/>
      <c r="F800" s="344"/>
      <c r="G800" s="336"/>
      <c r="H800" s="341"/>
      <c r="I800" s="240"/>
      <c r="J800" s="343"/>
      <c r="K800" s="261"/>
      <c r="L800" s="342"/>
      <c r="M800" s="262"/>
      <c r="N800" s="228"/>
      <c r="O800" s="229"/>
    </row>
    <row r="801" ht="22.5" customHeight="1">
      <c r="A801" s="346"/>
      <c r="B801" s="218"/>
      <c r="C801" s="218"/>
      <c r="D801" s="338"/>
      <c r="E801" s="345"/>
      <c r="F801" s="344"/>
      <c r="G801" s="336"/>
      <c r="H801" s="341"/>
      <c r="I801" s="240"/>
      <c r="J801" s="343"/>
      <c r="K801" s="261"/>
      <c r="L801" s="342"/>
      <c r="M801" s="262"/>
      <c r="N801" s="228"/>
      <c r="O801" s="229"/>
    </row>
    <row r="802" ht="22.5" customHeight="1">
      <c r="A802" s="346"/>
      <c r="B802" s="218"/>
      <c r="C802" s="218"/>
      <c r="D802" s="338"/>
      <c r="E802" s="345"/>
      <c r="F802" s="344"/>
      <c r="G802" s="336"/>
      <c r="H802" s="341"/>
      <c r="I802" s="240"/>
      <c r="J802" s="343"/>
      <c r="K802" s="261"/>
      <c r="L802" s="342"/>
      <c r="M802" s="262"/>
      <c r="N802" s="228"/>
      <c r="O802" s="229"/>
    </row>
    <row r="803" ht="22.5" customHeight="1">
      <c r="A803" s="346"/>
      <c r="B803" s="218"/>
      <c r="C803" s="218"/>
      <c r="D803" s="338"/>
      <c r="E803" s="345"/>
      <c r="F803" s="344"/>
      <c r="G803" s="336"/>
      <c r="H803" s="341"/>
      <c r="I803" s="240"/>
      <c r="J803" s="343"/>
      <c r="K803" s="261"/>
      <c r="L803" s="342"/>
      <c r="M803" s="262"/>
      <c r="N803" s="228"/>
      <c r="O803" s="229"/>
    </row>
    <row r="804" ht="22.5" customHeight="1">
      <c r="A804" s="346"/>
      <c r="B804" s="218"/>
      <c r="C804" s="218"/>
      <c r="D804" s="338"/>
      <c r="E804" s="345"/>
      <c r="F804" s="344"/>
      <c r="G804" s="336"/>
      <c r="H804" s="341"/>
      <c r="I804" s="240"/>
      <c r="J804" s="343"/>
      <c r="K804" s="261"/>
      <c r="L804" s="342"/>
      <c r="M804" s="262"/>
      <c r="N804" s="228"/>
      <c r="O804" s="229"/>
    </row>
    <row r="805" ht="22.5" customHeight="1">
      <c r="A805" s="346"/>
      <c r="B805" s="218"/>
      <c r="C805" s="218"/>
      <c r="D805" s="338"/>
      <c r="E805" s="345"/>
      <c r="F805" s="344"/>
      <c r="G805" s="336"/>
      <c r="H805" s="341"/>
      <c r="I805" s="240"/>
      <c r="J805" s="343"/>
      <c r="K805" s="261"/>
      <c r="L805" s="342"/>
      <c r="M805" s="262"/>
      <c r="N805" s="228"/>
      <c r="O805" s="229"/>
    </row>
    <row r="806" ht="22.5" customHeight="1">
      <c r="A806" s="346"/>
      <c r="B806" s="218"/>
      <c r="C806" s="218"/>
      <c r="D806" s="338"/>
      <c r="E806" s="345"/>
      <c r="F806" s="344"/>
      <c r="G806" s="336"/>
      <c r="H806" s="341"/>
      <c r="I806" s="240"/>
      <c r="J806" s="343"/>
      <c r="K806" s="261"/>
      <c r="L806" s="342"/>
      <c r="M806" s="262"/>
      <c r="N806" s="228"/>
      <c r="O806" s="229"/>
    </row>
    <row r="807" ht="22.5" customHeight="1">
      <c r="A807" s="346"/>
      <c r="B807" s="218"/>
      <c r="C807" s="218"/>
      <c r="D807" s="338"/>
      <c r="E807" s="345"/>
      <c r="F807" s="344"/>
      <c r="G807" s="336"/>
      <c r="H807" s="341"/>
      <c r="I807" s="240"/>
      <c r="J807" s="343"/>
      <c r="K807" s="261"/>
      <c r="L807" s="342"/>
      <c r="M807" s="262"/>
      <c r="N807" s="228"/>
      <c r="O807" s="229"/>
    </row>
    <row r="808" ht="22.5" customHeight="1">
      <c r="A808" s="346"/>
      <c r="B808" s="218"/>
      <c r="C808" s="218"/>
      <c r="D808" s="338"/>
      <c r="E808" s="345"/>
      <c r="F808" s="344"/>
      <c r="G808" s="336"/>
      <c r="H808" s="341"/>
      <c r="I808" s="240"/>
      <c r="J808" s="343"/>
      <c r="K808" s="261"/>
      <c r="L808" s="342"/>
      <c r="M808" s="262"/>
      <c r="N808" s="228"/>
      <c r="O808" s="229"/>
    </row>
    <row r="809" ht="22.5" customHeight="1">
      <c r="A809" s="346"/>
      <c r="B809" s="218"/>
      <c r="C809" s="218"/>
      <c r="D809" s="338"/>
      <c r="E809" s="345"/>
      <c r="F809" s="344"/>
      <c r="G809" s="336"/>
      <c r="H809" s="341"/>
      <c r="I809" s="240"/>
      <c r="J809" s="343"/>
      <c r="K809" s="261"/>
      <c r="L809" s="342"/>
      <c r="M809" s="262"/>
      <c r="N809" s="228"/>
      <c r="O809" s="229"/>
    </row>
    <row r="810" ht="22.5" customHeight="1">
      <c r="A810" s="346"/>
      <c r="B810" s="218"/>
      <c r="C810" s="218"/>
      <c r="D810" s="338"/>
      <c r="E810" s="345"/>
      <c r="F810" s="344"/>
      <c r="G810" s="336"/>
      <c r="H810" s="341"/>
      <c r="I810" s="240"/>
      <c r="J810" s="343"/>
      <c r="K810" s="261"/>
      <c r="L810" s="342"/>
      <c r="M810" s="262"/>
      <c r="N810" s="228"/>
      <c r="O810" s="229"/>
    </row>
    <row r="811" ht="22.5" customHeight="1">
      <c r="A811" s="346"/>
      <c r="B811" s="218"/>
      <c r="C811" s="218"/>
      <c r="D811" s="338"/>
      <c r="E811" s="345"/>
      <c r="F811" s="344"/>
      <c r="G811" s="336"/>
      <c r="H811" s="341"/>
      <c r="I811" s="240"/>
      <c r="J811" s="343"/>
      <c r="K811" s="261"/>
      <c r="L811" s="342"/>
      <c r="M811" s="262"/>
      <c r="N811" s="228"/>
      <c r="O811" s="229"/>
    </row>
    <row r="812" ht="22.5" customHeight="1">
      <c r="A812" s="346"/>
      <c r="B812" s="218"/>
      <c r="C812" s="218"/>
      <c r="D812" s="338"/>
      <c r="E812" s="345"/>
      <c r="F812" s="344"/>
      <c r="G812" s="336"/>
      <c r="H812" s="341"/>
      <c r="I812" s="240"/>
      <c r="J812" s="343"/>
      <c r="K812" s="261"/>
      <c r="L812" s="342"/>
      <c r="M812" s="262"/>
      <c r="N812" s="228"/>
      <c r="O812" s="229"/>
    </row>
    <row r="813" ht="22.5" customHeight="1">
      <c r="A813" s="346"/>
      <c r="B813" s="218"/>
      <c r="C813" s="218"/>
      <c r="D813" s="338"/>
      <c r="E813" s="345"/>
      <c r="F813" s="344"/>
      <c r="G813" s="336"/>
      <c r="H813" s="341"/>
      <c r="I813" s="240"/>
      <c r="J813" s="343"/>
      <c r="K813" s="261"/>
      <c r="L813" s="342"/>
      <c r="M813" s="262"/>
      <c r="N813" s="228"/>
      <c r="O813" s="229"/>
    </row>
    <row r="814" ht="22.5" customHeight="1">
      <c r="A814" s="346"/>
      <c r="B814" s="218"/>
      <c r="C814" s="218"/>
      <c r="D814" s="338"/>
      <c r="E814" s="345"/>
      <c r="F814" s="344"/>
      <c r="G814" s="336"/>
      <c r="H814" s="341"/>
      <c r="I814" s="240"/>
      <c r="J814" s="343"/>
      <c r="K814" s="261"/>
      <c r="L814" s="342"/>
      <c r="M814" s="262"/>
      <c r="N814" s="228"/>
      <c r="O814" s="229"/>
    </row>
    <row r="815" ht="22.5" customHeight="1">
      <c r="A815" s="346"/>
      <c r="B815" s="218"/>
      <c r="C815" s="218"/>
      <c r="D815" s="338"/>
      <c r="E815" s="345"/>
      <c r="F815" s="344"/>
      <c r="G815" s="336"/>
      <c r="H815" s="341"/>
      <c r="I815" s="240"/>
      <c r="J815" s="343"/>
      <c r="K815" s="261"/>
      <c r="L815" s="342"/>
      <c r="M815" s="262"/>
      <c r="N815" s="228"/>
      <c r="O815" s="229"/>
    </row>
    <row r="816" ht="22.5" customHeight="1">
      <c r="A816" s="346"/>
      <c r="B816" s="218"/>
      <c r="C816" s="218"/>
      <c r="D816" s="338"/>
      <c r="E816" s="345"/>
      <c r="F816" s="344"/>
      <c r="G816" s="336"/>
      <c r="H816" s="341"/>
      <c r="I816" s="240"/>
      <c r="J816" s="343"/>
      <c r="K816" s="261"/>
      <c r="L816" s="342"/>
      <c r="M816" s="262"/>
      <c r="N816" s="228"/>
      <c r="O816" s="229"/>
    </row>
    <row r="817" ht="22.5" customHeight="1">
      <c r="A817" s="346"/>
      <c r="B817" s="218"/>
      <c r="C817" s="218"/>
      <c r="D817" s="338"/>
      <c r="E817" s="345"/>
      <c r="F817" s="344"/>
      <c r="G817" s="336"/>
      <c r="H817" s="341"/>
      <c r="I817" s="240"/>
      <c r="J817" s="343"/>
      <c r="K817" s="261"/>
      <c r="L817" s="342"/>
      <c r="M817" s="262"/>
      <c r="N817" s="228"/>
      <c r="O817" s="229"/>
    </row>
    <row r="818" ht="22.5" customHeight="1">
      <c r="A818" s="346"/>
      <c r="B818" s="218"/>
      <c r="C818" s="218"/>
      <c r="D818" s="338"/>
      <c r="E818" s="345"/>
      <c r="F818" s="344"/>
      <c r="G818" s="336"/>
      <c r="H818" s="341"/>
      <c r="I818" s="240"/>
      <c r="J818" s="343"/>
      <c r="K818" s="261"/>
      <c r="L818" s="342"/>
      <c r="M818" s="262"/>
      <c r="N818" s="228"/>
      <c r="O818" s="229"/>
    </row>
    <row r="819" ht="22.5" customHeight="1">
      <c r="A819" s="346"/>
      <c r="B819" s="218"/>
      <c r="C819" s="218"/>
      <c r="D819" s="338"/>
      <c r="E819" s="345"/>
      <c r="F819" s="344"/>
      <c r="G819" s="336"/>
      <c r="H819" s="341"/>
      <c r="I819" s="240"/>
      <c r="J819" s="343"/>
      <c r="K819" s="261"/>
      <c r="L819" s="342"/>
      <c r="M819" s="262"/>
      <c r="N819" s="228"/>
      <c r="O819" s="229"/>
    </row>
    <row r="820" ht="22.5" customHeight="1">
      <c r="A820" s="346"/>
      <c r="B820" s="218"/>
      <c r="C820" s="218"/>
      <c r="D820" s="338"/>
      <c r="E820" s="345"/>
      <c r="F820" s="344"/>
      <c r="G820" s="336"/>
      <c r="H820" s="341"/>
      <c r="I820" s="240"/>
      <c r="J820" s="343"/>
      <c r="K820" s="261"/>
      <c r="L820" s="342"/>
      <c r="M820" s="262"/>
      <c r="N820" s="228"/>
      <c r="O820" s="229"/>
    </row>
    <row r="821" ht="22.5" customHeight="1">
      <c r="A821" s="346"/>
      <c r="B821" s="218"/>
      <c r="C821" s="218"/>
      <c r="D821" s="338"/>
      <c r="E821" s="345"/>
      <c r="F821" s="344"/>
      <c r="G821" s="336"/>
      <c r="H821" s="341"/>
      <c r="I821" s="240"/>
      <c r="J821" s="343"/>
      <c r="K821" s="261"/>
      <c r="L821" s="342"/>
      <c r="M821" s="262"/>
      <c r="N821" s="228"/>
      <c r="O821" s="229"/>
    </row>
    <row r="822" ht="22.5" customHeight="1">
      <c r="A822" s="346"/>
      <c r="B822" s="218"/>
      <c r="C822" s="218"/>
      <c r="D822" s="338"/>
      <c r="E822" s="345"/>
      <c r="F822" s="344"/>
      <c r="G822" s="336"/>
      <c r="H822" s="341"/>
      <c r="I822" s="240"/>
      <c r="J822" s="343"/>
      <c r="K822" s="261"/>
      <c r="L822" s="342"/>
      <c r="M822" s="262"/>
      <c r="N822" s="228"/>
      <c r="O822" s="229"/>
    </row>
    <row r="823" ht="22.5" customHeight="1">
      <c r="A823" s="346"/>
      <c r="B823" s="218"/>
      <c r="C823" s="218"/>
      <c r="D823" s="338"/>
      <c r="E823" s="345"/>
      <c r="F823" s="344"/>
      <c r="G823" s="336"/>
      <c r="H823" s="341"/>
      <c r="I823" s="240"/>
      <c r="J823" s="343"/>
      <c r="K823" s="261"/>
      <c r="L823" s="342"/>
      <c r="M823" s="262"/>
      <c r="N823" s="228"/>
      <c r="O823" s="229"/>
    </row>
    <row r="824" ht="22.5" customHeight="1">
      <c r="A824" s="346"/>
      <c r="B824" s="218"/>
      <c r="C824" s="218"/>
      <c r="D824" s="338"/>
      <c r="E824" s="345"/>
      <c r="F824" s="344"/>
      <c r="G824" s="336"/>
      <c r="H824" s="341"/>
      <c r="I824" s="240"/>
      <c r="J824" s="343"/>
      <c r="K824" s="261"/>
      <c r="L824" s="342"/>
      <c r="M824" s="262"/>
      <c r="N824" s="228"/>
      <c r="O824" s="229"/>
    </row>
    <row r="825" ht="22.5" customHeight="1">
      <c r="A825" s="346"/>
      <c r="B825" s="218"/>
      <c r="C825" s="218"/>
      <c r="D825" s="338"/>
      <c r="E825" s="345"/>
      <c r="F825" s="344"/>
      <c r="G825" s="336"/>
      <c r="H825" s="341"/>
      <c r="I825" s="240"/>
      <c r="J825" s="343"/>
      <c r="K825" s="261"/>
      <c r="L825" s="342"/>
      <c r="M825" s="262"/>
      <c r="N825" s="228"/>
      <c r="O825" s="229"/>
    </row>
    <row r="826" ht="22.5" customHeight="1">
      <c r="A826" s="346"/>
      <c r="B826" s="218"/>
      <c r="C826" s="218"/>
      <c r="D826" s="338"/>
      <c r="E826" s="345"/>
      <c r="F826" s="344"/>
      <c r="G826" s="336"/>
      <c r="H826" s="341"/>
      <c r="I826" s="240"/>
      <c r="J826" s="343"/>
      <c r="K826" s="261"/>
      <c r="L826" s="342"/>
      <c r="M826" s="262"/>
      <c r="N826" s="228"/>
      <c r="O826" s="229"/>
    </row>
    <row r="827" ht="22.5" customHeight="1">
      <c r="A827" s="346"/>
      <c r="B827" s="218"/>
      <c r="C827" s="218"/>
      <c r="D827" s="338"/>
      <c r="E827" s="345"/>
      <c r="F827" s="344"/>
      <c r="G827" s="336"/>
      <c r="H827" s="341"/>
      <c r="I827" s="240"/>
      <c r="J827" s="343"/>
      <c r="K827" s="261"/>
      <c r="L827" s="342"/>
      <c r="M827" s="262"/>
      <c r="N827" s="228"/>
      <c r="O827" s="229"/>
    </row>
    <row r="828" ht="22.5" customHeight="1">
      <c r="A828" s="346"/>
      <c r="B828" s="218"/>
      <c r="C828" s="218"/>
      <c r="D828" s="338"/>
      <c r="E828" s="345"/>
      <c r="F828" s="344"/>
      <c r="G828" s="336"/>
      <c r="H828" s="341"/>
      <c r="I828" s="240"/>
      <c r="J828" s="343"/>
      <c r="K828" s="261"/>
      <c r="L828" s="342"/>
      <c r="M828" s="262"/>
      <c r="N828" s="228"/>
      <c r="O828" s="229"/>
    </row>
    <row r="829" ht="22.5" customHeight="1">
      <c r="A829" s="346"/>
      <c r="B829" s="218"/>
      <c r="C829" s="218"/>
      <c r="D829" s="338"/>
      <c r="E829" s="345"/>
      <c r="F829" s="344"/>
      <c r="G829" s="336"/>
      <c r="H829" s="341"/>
      <c r="I829" s="240"/>
      <c r="J829" s="343"/>
      <c r="K829" s="261"/>
      <c r="L829" s="342"/>
      <c r="M829" s="262"/>
      <c r="N829" s="228"/>
      <c r="O829" s="229"/>
    </row>
    <row r="830" ht="22.5" customHeight="1">
      <c r="A830" s="346"/>
      <c r="B830" s="218"/>
      <c r="C830" s="218"/>
      <c r="D830" s="338"/>
      <c r="E830" s="345"/>
      <c r="F830" s="344"/>
      <c r="G830" s="336"/>
      <c r="H830" s="341"/>
      <c r="I830" s="240"/>
      <c r="J830" s="343"/>
      <c r="K830" s="261"/>
      <c r="L830" s="342"/>
      <c r="M830" s="262"/>
      <c r="N830" s="228"/>
      <c r="O830" s="229"/>
    </row>
    <row r="831" ht="22.5" customHeight="1">
      <c r="A831" s="346"/>
      <c r="B831" s="218"/>
      <c r="C831" s="218"/>
      <c r="D831" s="338"/>
      <c r="E831" s="345"/>
      <c r="F831" s="344"/>
      <c r="G831" s="336"/>
      <c r="H831" s="341"/>
      <c r="I831" s="240"/>
      <c r="J831" s="343"/>
      <c r="K831" s="261"/>
      <c r="L831" s="342"/>
      <c r="M831" s="262"/>
      <c r="N831" s="228"/>
      <c r="O831" s="229"/>
    </row>
    <row r="832" ht="22.5" customHeight="1">
      <c r="A832" s="346"/>
      <c r="B832" s="218"/>
      <c r="C832" s="218"/>
      <c r="D832" s="338"/>
      <c r="E832" s="345"/>
      <c r="F832" s="344"/>
      <c r="G832" s="336"/>
      <c r="H832" s="341"/>
      <c r="I832" s="240"/>
      <c r="J832" s="343"/>
      <c r="K832" s="261"/>
      <c r="L832" s="342"/>
      <c r="M832" s="262"/>
      <c r="N832" s="228"/>
      <c r="O832" s="229"/>
    </row>
    <row r="833" ht="22.5" customHeight="1">
      <c r="A833" s="346"/>
      <c r="B833" s="218"/>
      <c r="C833" s="218"/>
      <c r="D833" s="338"/>
      <c r="E833" s="345"/>
      <c r="F833" s="344"/>
      <c r="G833" s="336"/>
      <c r="H833" s="341"/>
      <c r="I833" s="240"/>
      <c r="J833" s="343"/>
      <c r="K833" s="261"/>
      <c r="L833" s="342"/>
      <c r="M833" s="262"/>
      <c r="N833" s="228"/>
      <c r="O833" s="229"/>
    </row>
    <row r="834" ht="22.5" customHeight="1">
      <c r="A834" s="346"/>
      <c r="B834" s="218"/>
      <c r="C834" s="218"/>
      <c r="D834" s="338"/>
      <c r="E834" s="345"/>
      <c r="F834" s="344"/>
      <c r="G834" s="336"/>
      <c r="H834" s="341"/>
      <c r="I834" s="240"/>
      <c r="J834" s="343"/>
      <c r="K834" s="261"/>
      <c r="L834" s="342"/>
      <c r="M834" s="262"/>
      <c r="N834" s="228"/>
      <c r="O834" s="229"/>
    </row>
    <row r="835" ht="22.5" customHeight="1">
      <c r="A835" s="346"/>
      <c r="B835" s="218"/>
      <c r="C835" s="218"/>
      <c r="D835" s="338"/>
      <c r="E835" s="345"/>
      <c r="F835" s="344"/>
      <c r="G835" s="336"/>
      <c r="H835" s="341"/>
      <c r="I835" s="240"/>
      <c r="J835" s="343"/>
      <c r="K835" s="261"/>
      <c r="L835" s="342"/>
      <c r="M835" s="262"/>
      <c r="N835" s="228"/>
      <c r="O835" s="229"/>
    </row>
    <row r="836" ht="22.5" customHeight="1">
      <c r="A836" s="346"/>
      <c r="B836" s="218"/>
      <c r="C836" s="218"/>
      <c r="D836" s="338"/>
      <c r="E836" s="345"/>
      <c r="F836" s="344"/>
      <c r="G836" s="336"/>
      <c r="H836" s="341"/>
      <c r="I836" s="240"/>
      <c r="J836" s="343"/>
      <c r="K836" s="261"/>
      <c r="L836" s="342"/>
      <c r="M836" s="262"/>
      <c r="N836" s="228"/>
      <c r="O836" s="229"/>
    </row>
    <row r="837" ht="22.5" customHeight="1">
      <c r="A837" s="346"/>
      <c r="B837" s="218"/>
      <c r="C837" s="218"/>
      <c r="D837" s="338"/>
      <c r="E837" s="345"/>
      <c r="F837" s="344"/>
      <c r="G837" s="336"/>
      <c r="H837" s="341"/>
      <c r="I837" s="240"/>
      <c r="J837" s="343"/>
      <c r="K837" s="261"/>
      <c r="L837" s="342"/>
      <c r="M837" s="262"/>
      <c r="N837" s="228"/>
      <c r="O837" s="229"/>
    </row>
    <row r="838" ht="22.5" customHeight="1">
      <c r="A838" s="346"/>
      <c r="B838" s="218"/>
      <c r="C838" s="218"/>
      <c r="D838" s="338"/>
      <c r="E838" s="345"/>
      <c r="F838" s="344"/>
      <c r="G838" s="336"/>
      <c r="H838" s="341"/>
      <c r="I838" s="240"/>
      <c r="J838" s="343"/>
      <c r="K838" s="261"/>
      <c r="L838" s="342"/>
      <c r="M838" s="262"/>
      <c r="N838" s="228"/>
      <c r="O838" s="229"/>
    </row>
    <row r="839" ht="22.5" customHeight="1">
      <c r="A839" s="346"/>
      <c r="B839" s="218"/>
      <c r="C839" s="218"/>
      <c r="D839" s="338"/>
      <c r="E839" s="345"/>
      <c r="F839" s="344"/>
      <c r="G839" s="336"/>
      <c r="H839" s="341"/>
      <c r="I839" s="240"/>
      <c r="J839" s="343"/>
      <c r="K839" s="261"/>
      <c r="L839" s="342"/>
      <c r="M839" s="262"/>
      <c r="N839" s="228"/>
      <c r="O839" s="229"/>
    </row>
    <row r="840" ht="22.5" customHeight="1">
      <c r="A840" s="346"/>
      <c r="B840" s="218"/>
      <c r="C840" s="218"/>
      <c r="D840" s="338"/>
      <c r="E840" s="345"/>
      <c r="F840" s="344"/>
      <c r="G840" s="336"/>
      <c r="H840" s="341"/>
      <c r="I840" s="240"/>
      <c r="J840" s="343"/>
      <c r="K840" s="261"/>
      <c r="L840" s="342"/>
      <c r="M840" s="262"/>
      <c r="N840" s="228"/>
      <c r="O840" s="229"/>
    </row>
    <row r="841" ht="22.5" customHeight="1">
      <c r="A841" s="346"/>
      <c r="B841" s="218"/>
      <c r="C841" s="218"/>
      <c r="D841" s="338"/>
      <c r="E841" s="345"/>
      <c r="F841" s="344"/>
      <c r="G841" s="336"/>
      <c r="H841" s="341"/>
      <c r="I841" s="240"/>
      <c r="J841" s="343"/>
      <c r="K841" s="261"/>
      <c r="L841" s="342"/>
      <c r="M841" s="262"/>
      <c r="N841" s="228"/>
      <c r="O841" s="229"/>
    </row>
    <row r="842" ht="22.5" customHeight="1">
      <c r="A842" s="346"/>
      <c r="B842" s="218"/>
      <c r="C842" s="218"/>
      <c r="D842" s="338"/>
      <c r="E842" s="345"/>
      <c r="F842" s="344"/>
      <c r="G842" s="336"/>
      <c r="H842" s="341"/>
      <c r="I842" s="240"/>
      <c r="J842" s="343"/>
      <c r="K842" s="261"/>
      <c r="L842" s="342"/>
      <c r="M842" s="262"/>
      <c r="N842" s="228"/>
      <c r="O842" s="229"/>
    </row>
    <row r="843" ht="22.5" customHeight="1">
      <c r="A843" s="346"/>
      <c r="B843" s="218"/>
      <c r="C843" s="218"/>
      <c r="D843" s="338"/>
      <c r="E843" s="345"/>
      <c r="F843" s="344"/>
      <c r="G843" s="336"/>
      <c r="H843" s="341"/>
      <c r="I843" s="240"/>
      <c r="J843" s="343"/>
      <c r="K843" s="261"/>
      <c r="L843" s="342"/>
      <c r="M843" s="262"/>
      <c r="N843" s="228"/>
      <c r="O843" s="229"/>
    </row>
    <row r="844" ht="22.5" customHeight="1">
      <c r="A844" s="346"/>
      <c r="B844" s="218"/>
      <c r="C844" s="218"/>
      <c r="D844" s="338"/>
      <c r="E844" s="345"/>
      <c r="F844" s="344"/>
      <c r="G844" s="336"/>
      <c r="H844" s="341"/>
      <c r="I844" s="240"/>
      <c r="J844" s="343"/>
      <c r="K844" s="261"/>
      <c r="L844" s="342"/>
      <c r="M844" s="262"/>
      <c r="N844" s="228"/>
      <c r="O844" s="229"/>
    </row>
    <row r="845" ht="22.5" customHeight="1">
      <c r="A845" s="346"/>
      <c r="B845" s="218"/>
      <c r="C845" s="218"/>
      <c r="D845" s="338"/>
      <c r="E845" s="345"/>
      <c r="F845" s="344"/>
      <c r="G845" s="336"/>
      <c r="H845" s="341"/>
      <c r="I845" s="240"/>
      <c r="J845" s="343"/>
      <c r="K845" s="261"/>
      <c r="L845" s="342"/>
      <c r="M845" s="262"/>
      <c r="N845" s="228"/>
      <c r="O845" s="229"/>
    </row>
    <row r="846" ht="22.5" customHeight="1">
      <c r="A846" s="346"/>
      <c r="B846" s="218"/>
      <c r="C846" s="218"/>
      <c r="D846" s="338"/>
      <c r="E846" s="345"/>
      <c r="F846" s="344"/>
      <c r="G846" s="336"/>
      <c r="H846" s="341"/>
      <c r="I846" s="240"/>
      <c r="J846" s="343"/>
      <c r="K846" s="261"/>
      <c r="L846" s="342"/>
      <c r="M846" s="262"/>
      <c r="N846" s="228"/>
      <c r="O846" s="229"/>
    </row>
    <row r="847" ht="22.5" customHeight="1">
      <c r="A847" s="346"/>
      <c r="B847" s="218"/>
      <c r="C847" s="218"/>
      <c r="D847" s="338"/>
      <c r="E847" s="345"/>
      <c r="F847" s="344"/>
      <c r="G847" s="336"/>
      <c r="H847" s="341"/>
      <c r="I847" s="240"/>
      <c r="J847" s="343"/>
      <c r="K847" s="261"/>
      <c r="L847" s="342"/>
      <c r="M847" s="262"/>
      <c r="N847" s="228"/>
      <c r="O847" s="229"/>
    </row>
    <row r="848" ht="22.5" customHeight="1">
      <c r="A848" s="346"/>
      <c r="B848" s="218"/>
      <c r="C848" s="218"/>
      <c r="D848" s="338"/>
      <c r="E848" s="345"/>
      <c r="F848" s="344"/>
      <c r="G848" s="336"/>
      <c r="H848" s="341"/>
      <c r="I848" s="240"/>
      <c r="J848" s="343"/>
      <c r="K848" s="261"/>
      <c r="L848" s="342"/>
      <c r="M848" s="262"/>
      <c r="N848" s="228"/>
      <c r="O848" s="229"/>
    </row>
    <row r="849" ht="22.5" customHeight="1">
      <c r="A849" s="346"/>
      <c r="B849" s="218"/>
      <c r="C849" s="218"/>
      <c r="D849" s="338"/>
      <c r="E849" s="345"/>
      <c r="F849" s="344"/>
      <c r="G849" s="336"/>
      <c r="H849" s="341"/>
      <c r="I849" s="240"/>
      <c r="J849" s="343"/>
      <c r="K849" s="261"/>
      <c r="L849" s="342"/>
      <c r="M849" s="262"/>
      <c r="N849" s="228"/>
      <c r="O849" s="229"/>
    </row>
    <row r="850" ht="22.5" customHeight="1">
      <c r="A850" s="346"/>
      <c r="B850" s="218"/>
      <c r="C850" s="218"/>
      <c r="D850" s="338"/>
      <c r="E850" s="345"/>
      <c r="F850" s="344"/>
      <c r="G850" s="336"/>
      <c r="H850" s="341"/>
      <c r="I850" s="240"/>
      <c r="J850" s="343"/>
      <c r="K850" s="261"/>
      <c r="L850" s="342"/>
      <c r="M850" s="262"/>
      <c r="N850" s="228"/>
      <c r="O850" s="229"/>
    </row>
    <row r="851" ht="22.5" customHeight="1">
      <c r="A851" s="346"/>
      <c r="B851" s="218"/>
      <c r="C851" s="218"/>
      <c r="D851" s="338"/>
      <c r="E851" s="345"/>
      <c r="F851" s="344"/>
      <c r="G851" s="336"/>
      <c r="H851" s="341"/>
      <c r="I851" s="240"/>
      <c r="J851" s="343"/>
      <c r="K851" s="261"/>
      <c r="L851" s="342"/>
      <c r="M851" s="262"/>
      <c r="N851" s="228"/>
      <c r="O851" s="229"/>
    </row>
    <row r="852" ht="22.5" customHeight="1">
      <c r="A852" s="346"/>
      <c r="B852" s="218"/>
      <c r="C852" s="218"/>
      <c r="D852" s="338"/>
      <c r="E852" s="345"/>
      <c r="F852" s="344"/>
      <c r="G852" s="336"/>
      <c r="H852" s="341"/>
      <c r="I852" s="240"/>
      <c r="J852" s="343"/>
      <c r="K852" s="261"/>
      <c r="L852" s="342"/>
      <c r="M852" s="262"/>
      <c r="N852" s="228"/>
      <c r="O852" s="229"/>
    </row>
    <row r="853" ht="22.5" customHeight="1">
      <c r="A853" s="346"/>
      <c r="B853" s="218"/>
      <c r="C853" s="218"/>
      <c r="D853" s="338"/>
      <c r="E853" s="345"/>
      <c r="F853" s="344"/>
      <c r="G853" s="336"/>
      <c r="H853" s="341"/>
      <c r="I853" s="240"/>
      <c r="J853" s="343"/>
      <c r="K853" s="261"/>
      <c r="L853" s="342"/>
      <c r="M853" s="262"/>
      <c r="N853" s="228"/>
      <c r="O853" s="229"/>
    </row>
    <row r="854" ht="22.5" customHeight="1">
      <c r="A854" s="346"/>
      <c r="B854" s="218"/>
      <c r="C854" s="218"/>
      <c r="D854" s="338"/>
      <c r="E854" s="345"/>
      <c r="F854" s="344"/>
      <c r="G854" s="336"/>
      <c r="H854" s="341"/>
      <c r="I854" s="240"/>
      <c r="J854" s="343"/>
      <c r="K854" s="261"/>
      <c r="L854" s="342"/>
      <c r="M854" s="262"/>
      <c r="N854" s="228"/>
      <c r="O854" s="229"/>
    </row>
    <row r="855" ht="22.5" customHeight="1">
      <c r="A855" s="346"/>
      <c r="B855" s="218"/>
      <c r="C855" s="218"/>
      <c r="D855" s="338"/>
      <c r="E855" s="345"/>
      <c r="F855" s="344"/>
      <c r="G855" s="336"/>
      <c r="H855" s="341"/>
      <c r="I855" s="240"/>
      <c r="J855" s="343"/>
      <c r="K855" s="261"/>
      <c r="L855" s="342"/>
      <c r="M855" s="262"/>
      <c r="N855" s="228"/>
      <c r="O855" s="229"/>
    </row>
    <row r="856" ht="22.5" customHeight="1">
      <c r="A856" s="346"/>
      <c r="B856" s="218"/>
      <c r="C856" s="218"/>
      <c r="D856" s="338"/>
      <c r="E856" s="345"/>
      <c r="F856" s="344"/>
      <c r="G856" s="336"/>
      <c r="H856" s="341"/>
      <c r="I856" s="240"/>
      <c r="J856" s="343"/>
      <c r="K856" s="261"/>
      <c r="L856" s="342"/>
      <c r="M856" s="262"/>
      <c r="N856" s="228"/>
      <c r="O856" s="229"/>
    </row>
    <row r="857" ht="22.5" customHeight="1">
      <c r="A857" s="346"/>
      <c r="B857" s="218"/>
      <c r="C857" s="218"/>
      <c r="D857" s="338"/>
      <c r="E857" s="345"/>
      <c r="F857" s="344"/>
      <c r="G857" s="336"/>
      <c r="H857" s="341"/>
      <c r="I857" s="240"/>
      <c r="J857" s="343"/>
      <c r="K857" s="261"/>
      <c r="L857" s="342"/>
      <c r="M857" s="262"/>
      <c r="N857" s="228"/>
      <c r="O857" s="229"/>
    </row>
    <row r="858" ht="22.5" customHeight="1">
      <c r="A858" s="346"/>
      <c r="B858" s="218"/>
      <c r="C858" s="218"/>
      <c r="D858" s="338"/>
      <c r="E858" s="345"/>
      <c r="F858" s="344"/>
      <c r="G858" s="336"/>
      <c r="H858" s="341"/>
      <c r="I858" s="240"/>
      <c r="J858" s="343"/>
      <c r="K858" s="261"/>
      <c r="L858" s="342"/>
      <c r="M858" s="262"/>
      <c r="N858" s="228"/>
      <c r="O858" s="229"/>
    </row>
    <row r="859" ht="22.5" customHeight="1">
      <c r="A859" s="346"/>
      <c r="B859" s="218"/>
      <c r="C859" s="218"/>
      <c r="D859" s="338"/>
      <c r="E859" s="345"/>
      <c r="F859" s="344"/>
      <c r="G859" s="336"/>
      <c r="H859" s="341"/>
      <c r="I859" s="240"/>
      <c r="J859" s="343"/>
      <c r="K859" s="261"/>
      <c r="L859" s="342"/>
      <c r="M859" s="262"/>
      <c r="N859" s="228"/>
      <c r="O859" s="229"/>
    </row>
    <row r="860" ht="22.5" customHeight="1">
      <c r="A860" s="346"/>
      <c r="B860" s="218"/>
      <c r="C860" s="218"/>
      <c r="D860" s="338"/>
      <c r="E860" s="345"/>
      <c r="F860" s="344"/>
      <c r="G860" s="336"/>
      <c r="H860" s="341"/>
      <c r="I860" s="240"/>
      <c r="J860" s="343"/>
      <c r="K860" s="261"/>
      <c r="L860" s="342"/>
      <c r="M860" s="262"/>
      <c r="N860" s="228"/>
      <c r="O860" s="229"/>
    </row>
    <row r="861" ht="22.5" customHeight="1">
      <c r="A861" s="346"/>
      <c r="B861" s="218"/>
      <c r="C861" s="218"/>
      <c r="D861" s="338"/>
      <c r="E861" s="345"/>
      <c r="F861" s="344"/>
      <c r="G861" s="336"/>
      <c r="H861" s="341"/>
      <c r="I861" s="240"/>
      <c r="J861" s="343"/>
      <c r="K861" s="261"/>
      <c r="L861" s="342"/>
      <c r="M861" s="262"/>
      <c r="N861" s="228"/>
      <c r="O861" s="229"/>
    </row>
    <row r="862" ht="22.5" customHeight="1">
      <c r="A862" s="346"/>
      <c r="B862" s="218"/>
      <c r="C862" s="218"/>
      <c r="D862" s="338"/>
      <c r="E862" s="345"/>
      <c r="F862" s="344"/>
      <c r="G862" s="336"/>
      <c r="H862" s="341"/>
      <c r="I862" s="240"/>
      <c r="J862" s="343"/>
      <c r="K862" s="261"/>
      <c r="L862" s="342"/>
      <c r="M862" s="262"/>
      <c r="N862" s="228"/>
      <c r="O862" s="229"/>
    </row>
    <row r="863" ht="22.5" customHeight="1">
      <c r="A863" s="346"/>
      <c r="B863" s="218"/>
      <c r="C863" s="218"/>
      <c r="D863" s="338"/>
      <c r="E863" s="345"/>
      <c r="F863" s="344"/>
      <c r="G863" s="336"/>
      <c r="H863" s="341"/>
      <c r="I863" s="240"/>
      <c r="J863" s="343"/>
      <c r="K863" s="261"/>
      <c r="L863" s="342"/>
      <c r="M863" s="262"/>
      <c r="N863" s="228"/>
      <c r="O863" s="229"/>
    </row>
    <row r="864" ht="22.5" customHeight="1">
      <c r="A864" s="346"/>
      <c r="B864" s="218"/>
      <c r="C864" s="218"/>
      <c r="D864" s="338"/>
      <c r="E864" s="345"/>
      <c r="F864" s="344"/>
      <c r="G864" s="336"/>
      <c r="H864" s="341"/>
      <c r="I864" s="240"/>
      <c r="J864" s="343"/>
      <c r="K864" s="261"/>
      <c r="L864" s="342"/>
      <c r="M864" s="262"/>
      <c r="N864" s="228"/>
      <c r="O864" s="229"/>
    </row>
    <row r="865" ht="22.5" customHeight="1">
      <c r="A865" s="346"/>
      <c r="B865" s="218"/>
      <c r="C865" s="218"/>
      <c r="D865" s="338"/>
      <c r="E865" s="345"/>
      <c r="F865" s="344"/>
      <c r="G865" s="336"/>
      <c r="H865" s="341"/>
      <c r="I865" s="240"/>
      <c r="J865" s="343"/>
      <c r="K865" s="261"/>
      <c r="L865" s="342"/>
      <c r="M865" s="262"/>
      <c r="N865" s="228"/>
      <c r="O865" s="229"/>
    </row>
    <row r="866" ht="22.5" customHeight="1">
      <c r="A866" s="346"/>
      <c r="B866" s="218"/>
      <c r="C866" s="218"/>
      <c r="D866" s="338"/>
      <c r="E866" s="345"/>
      <c r="F866" s="344"/>
      <c r="G866" s="336"/>
      <c r="H866" s="341"/>
      <c r="I866" s="240"/>
      <c r="J866" s="343"/>
      <c r="K866" s="261"/>
      <c r="L866" s="342"/>
      <c r="M866" s="262"/>
      <c r="N866" s="228"/>
      <c r="O866" s="229"/>
    </row>
    <row r="867" ht="22.5" customHeight="1">
      <c r="A867" s="346"/>
      <c r="B867" s="218"/>
      <c r="C867" s="218"/>
      <c r="D867" s="338"/>
      <c r="E867" s="345"/>
      <c r="F867" s="344"/>
      <c r="G867" s="336"/>
      <c r="H867" s="341"/>
      <c r="I867" s="240"/>
      <c r="J867" s="343"/>
      <c r="K867" s="261"/>
      <c r="L867" s="342"/>
      <c r="M867" s="262"/>
      <c r="N867" s="228"/>
      <c r="O867" s="229"/>
    </row>
    <row r="868" ht="22.5" customHeight="1">
      <c r="A868" s="346"/>
      <c r="B868" s="218"/>
      <c r="C868" s="218"/>
      <c r="D868" s="338"/>
      <c r="E868" s="345"/>
      <c r="F868" s="344"/>
      <c r="G868" s="336"/>
      <c r="H868" s="341"/>
      <c r="I868" s="240"/>
      <c r="J868" s="343"/>
      <c r="K868" s="261"/>
      <c r="L868" s="342"/>
      <c r="M868" s="262"/>
      <c r="N868" s="228"/>
      <c r="O868" s="229"/>
    </row>
    <row r="869" ht="22.5" customHeight="1">
      <c r="A869" s="346"/>
      <c r="B869" s="218"/>
      <c r="C869" s="218"/>
      <c r="D869" s="338"/>
      <c r="E869" s="345"/>
      <c r="F869" s="344"/>
      <c r="G869" s="336"/>
      <c r="H869" s="341"/>
      <c r="I869" s="240"/>
      <c r="J869" s="343"/>
      <c r="K869" s="261"/>
      <c r="L869" s="342"/>
      <c r="M869" s="262"/>
      <c r="N869" s="228"/>
      <c r="O869" s="229"/>
    </row>
    <row r="870" ht="22.5" customHeight="1">
      <c r="A870" s="346"/>
      <c r="B870" s="218"/>
      <c r="C870" s="218"/>
      <c r="D870" s="338"/>
      <c r="E870" s="345"/>
      <c r="F870" s="344"/>
      <c r="G870" s="336"/>
      <c r="H870" s="341"/>
      <c r="I870" s="240"/>
      <c r="J870" s="343"/>
      <c r="K870" s="261"/>
      <c r="L870" s="342"/>
      <c r="M870" s="262"/>
      <c r="N870" s="228"/>
      <c r="O870" s="229"/>
    </row>
    <row r="871" ht="22.5" customHeight="1">
      <c r="A871" s="346"/>
      <c r="B871" s="218"/>
      <c r="C871" s="218"/>
      <c r="D871" s="338"/>
      <c r="E871" s="345"/>
      <c r="F871" s="344"/>
      <c r="G871" s="336"/>
      <c r="H871" s="341"/>
      <c r="I871" s="240"/>
      <c r="J871" s="343"/>
      <c r="K871" s="261"/>
      <c r="L871" s="342"/>
      <c r="M871" s="262"/>
      <c r="N871" s="228"/>
      <c r="O871" s="229"/>
    </row>
    <row r="872" ht="22.5" customHeight="1">
      <c r="A872" s="346"/>
      <c r="B872" s="218"/>
      <c r="C872" s="218"/>
      <c r="D872" s="338"/>
      <c r="E872" s="345"/>
      <c r="F872" s="344"/>
      <c r="G872" s="336"/>
      <c r="H872" s="341"/>
      <c r="I872" s="240"/>
      <c r="J872" s="343"/>
      <c r="K872" s="261"/>
      <c r="L872" s="342"/>
      <c r="M872" s="262"/>
      <c r="N872" s="228"/>
      <c r="O872" s="229"/>
    </row>
    <row r="873" ht="22.5" customHeight="1">
      <c r="A873" s="346"/>
      <c r="B873" s="218"/>
      <c r="C873" s="218"/>
      <c r="D873" s="338"/>
      <c r="E873" s="345"/>
      <c r="F873" s="344"/>
      <c r="G873" s="336"/>
      <c r="H873" s="341"/>
      <c r="I873" s="240"/>
      <c r="J873" s="343"/>
      <c r="K873" s="261"/>
      <c r="L873" s="342"/>
      <c r="M873" s="262"/>
      <c r="N873" s="228"/>
      <c r="O873" s="229"/>
    </row>
    <row r="874" ht="22.5" customHeight="1">
      <c r="A874" s="346"/>
      <c r="B874" s="218"/>
      <c r="C874" s="218"/>
      <c r="D874" s="338"/>
      <c r="E874" s="345"/>
      <c r="F874" s="344"/>
      <c r="G874" s="336"/>
      <c r="H874" s="341"/>
      <c r="I874" s="240"/>
      <c r="J874" s="343"/>
      <c r="K874" s="261"/>
      <c r="L874" s="342"/>
      <c r="M874" s="262"/>
      <c r="N874" s="228"/>
      <c r="O874" s="229"/>
    </row>
    <row r="875" ht="22.5" customHeight="1">
      <c r="A875" s="346"/>
      <c r="B875" s="218"/>
      <c r="C875" s="218"/>
      <c r="D875" s="338"/>
      <c r="E875" s="345"/>
      <c r="F875" s="344"/>
      <c r="G875" s="336"/>
      <c r="H875" s="341"/>
      <c r="I875" s="240"/>
      <c r="J875" s="343"/>
      <c r="K875" s="261"/>
      <c r="L875" s="342"/>
      <c r="M875" s="262"/>
      <c r="N875" s="228"/>
      <c r="O875" s="229"/>
    </row>
    <row r="876" ht="22.5" customHeight="1">
      <c r="A876" s="346"/>
      <c r="B876" s="218"/>
      <c r="C876" s="218"/>
      <c r="D876" s="338"/>
      <c r="E876" s="345"/>
      <c r="F876" s="344"/>
      <c r="G876" s="336"/>
      <c r="H876" s="341"/>
      <c r="I876" s="240"/>
      <c r="J876" s="343"/>
      <c r="K876" s="261"/>
      <c r="L876" s="342"/>
      <c r="M876" s="262"/>
      <c r="N876" s="228"/>
      <c r="O876" s="229"/>
    </row>
    <row r="877" ht="22.5" customHeight="1">
      <c r="A877" s="346"/>
      <c r="B877" s="218"/>
      <c r="C877" s="218"/>
      <c r="D877" s="338"/>
      <c r="E877" s="345"/>
      <c r="F877" s="344"/>
      <c r="G877" s="336"/>
      <c r="H877" s="341"/>
      <c r="I877" s="240"/>
      <c r="J877" s="343"/>
      <c r="K877" s="261"/>
      <c r="L877" s="342"/>
      <c r="M877" s="262"/>
      <c r="N877" s="228"/>
      <c r="O877" s="229"/>
    </row>
    <row r="878" ht="22.5" customHeight="1">
      <c r="A878" s="346"/>
      <c r="B878" s="218"/>
      <c r="C878" s="218"/>
      <c r="D878" s="338"/>
      <c r="E878" s="345"/>
      <c r="F878" s="344"/>
      <c r="G878" s="336"/>
      <c r="H878" s="341"/>
      <c r="I878" s="240"/>
      <c r="J878" s="343"/>
      <c r="K878" s="261"/>
      <c r="L878" s="342"/>
      <c r="M878" s="262"/>
      <c r="N878" s="228"/>
      <c r="O878" s="229"/>
    </row>
    <row r="879" ht="22.5" customHeight="1">
      <c r="A879" s="346"/>
      <c r="B879" s="218"/>
      <c r="C879" s="218"/>
      <c r="D879" s="338"/>
      <c r="E879" s="345"/>
      <c r="F879" s="344"/>
      <c r="G879" s="336"/>
      <c r="H879" s="341"/>
      <c r="I879" s="240"/>
      <c r="J879" s="343"/>
      <c r="K879" s="261"/>
      <c r="L879" s="342"/>
      <c r="M879" s="262"/>
      <c r="N879" s="228"/>
      <c r="O879" s="229"/>
    </row>
    <row r="880" ht="22.5" customHeight="1">
      <c r="A880" s="346"/>
      <c r="B880" s="218"/>
      <c r="C880" s="218"/>
      <c r="D880" s="338"/>
      <c r="E880" s="345"/>
      <c r="F880" s="344"/>
      <c r="G880" s="336"/>
      <c r="H880" s="341"/>
      <c r="I880" s="240"/>
      <c r="J880" s="343"/>
      <c r="K880" s="261"/>
      <c r="L880" s="342"/>
      <c r="M880" s="262"/>
      <c r="N880" s="228"/>
      <c r="O880" s="229"/>
    </row>
    <row r="881" ht="22.5" customHeight="1">
      <c r="A881" s="346"/>
      <c r="B881" s="218"/>
      <c r="C881" s="218"/>
      <c r="D881" s="338"/>
      <c r="E881" s="345"/>
      <c r="F881" s="344"/>
      <c r="G881" s="336"/>
      <c r="H881" s="341"/>
      <c r="I881" s="240"/>
      <c r="J881" s="343"/>
      <c r="K881" s="261"/>
      <c r="L881" s="342"/>
      <c r="M881" s="262"/>
      <c r="N881" s="228"/>
      <c r="O881" s="229"/>
    </row>
    <row r="882" ht="22.5" customHeight="1">
      <c r="A882" s="346"/>
      <c r="B882" s="218"/>
      <c r="C882" s="218"/>
      <c r="D882" s="338"/>
      <c r="E882" s="345"/>
      <c r="F882" s="344"/>
      <c r="G882" s="336"/>
      <c r="H882" s="341"/>
      <c r="I882" s="240"/>
      <c r="J882" s="343"/>
      <c r="K882" s="261"/>
      <c r="L882" s="342"/>
      <c r="M882" s="262"/>
      <c r="N882" s="228"/>
      <c r="O882" s="229"/>
    </row>
    <row r="883" ht="22.5" customHeight="1">
      <c r="A883" s="346"/>
      <c r="B883" s="218"/>
      <c r="C883" s="218"/>
      <c r="D883" s="338"/>
      <c r="E883" s="345"/>
      <c r="F883" s="344"/>
      <c r="G883" s="336"/>
      <c r="H883" s="341"/>
      <c r="I883" s="240"/>
      <c r="J883" s="343"/>
      <c r="K883" s="261"/>
      <c r="L883" s="342"/>
      <c r="M883" s="262"/>
      <c r="N883" s="228"/>
      <c r="O883" s="229"/>
    </row>
    <row r="884" ht="22.5" customHeight="1">
      <c r="A884" s="346"/>
      <c r="B884" s="218"/>
      <c r="C884" s="218"/>
      <c r="D884" s="338"/>
      <c r="E884" s="345"/>
      <c r="F884" s="344"/>
      <c r="G884" s="336"/>
      <c r="H884" s="341"/>
      <c r="I884" s="240"/>
      <c r="J884" s="343"/>
      <c r="K884" s="261"/>
      <c r="L884" s="342"/>
      <c r="M884" s="262"/>
      <c r="N884" s="228"/>
      <c r="O884" s="229"/>
    </row>
    <row r="885" ht="22.5" customHeight="1">
      <c r="A885" s="346"/>
      <c r="B885" s="218"/>
      <c r="C885" s="218"/>
      <c r="D885" s="338"/>
      <c r="E885" s="345"/>
      <c r="F885" s="344"/>
      <c r="G885" s="336"/>
      <c r="H885" s="341"/>
      <c r="I885" s="240"/>
      <c r="J885" s="343"/>
      <c r="K885" s="261"/>
      <c r="L885" s="342"/>
      <c r="M885" s="262"/>
      <c r="N885" s="228"/>
      <c r="O885" s="229"/>
    </row>
    <row r="886" ht="22.5" customHeight="1">
      <c r="A886" s="346"/>
      <c r="B886" s="218"/>
      <c r="C886" s="218"/>
      <c r="D886" s="338"/>
      <c r="E886" s="345"/>
      <c r="F886" s="344"/>
      <c r="G886" s="336"/>
      <c r="H886" s="341"/>
      <c r="I886" s="240"/>
      <c r="J886" s="343"/>
      <c r="K886" s="261"/>
      <c r="L886" s="342"/>
      <c r="M886" s="262"/>
      <c r="N886" s="228"/>
      <c r="O886" s="229"/>
    </row>
    <row r="887" ht="22.5" customHeight="1">
      <c r="A887" s="346"/>
      <c r="B887" s="218"/>
      <c r="C887" s="218"/>
      <c r="D887" s="338"/>
      <c r="E887" s="345"/>
      <c r="F887" s="344"/>
      <c r="G887" s="336"/>
      <c r="H887" s="341"/>
      <c r="I887" s="240"/>
      <c r="J887" s="343"/>
      <c r="K887" s="261"/>
      <c r="L887" s="342"/>
      <c r="M887" s="262"/>
      <c r="N887" s="228"/>
      <c r="O887" s="229"/>
    </row>
    <row r="888" ht="22.5" customHeight="1">
      <c r="A888" s="346"/>
      <c r="B888" s="218"/>
      <c r="C888" s="218"/>
      <c r="D888" s="338"/>
      <c r="E888" s="345"/>
      <c r="F888" s="344"/>
      <c r="G888" s="336"/>
      <c r="H888" s="341"/>
      <c r="I888" s="240"/>
      <c r="J888" s="343"/>
      <c r="K888" s="261"/>
      <c r="L888" s="342"/>
      <c r="M888" s="262"/>
      <c r="N888" s="228"/>
      <c r="O888" s="229"/>
    </row>
    <row r="889" ht="22.5" customHeight="1">
      <c r="A889" s="346"/>
      <c r="B889" s="218"/>
      <c r="C889" s="218"/>
      <c r="D889" s="338"/>
      <c r="E889" s="345"/>
      <c r="F889" s="344"/>
      <c r="G889" s="336"/>
      <c r="H889" s="341"/>
      <c r="I889" s="240"/>
      <c r="J889" s="343"/>
      <c r="K889" s="261"/>
      <c r="L889" s="342"/>
      <c r="M889" s="262"/>
      <c r="N889" s="228"/>
      <c r="O889" s="229"/>
    </row>
    <row r="890" ht="22.5" customHeight="1">
      <c r="A890" s="346"/>
      <c r="B890" s="218"/>
      <c r="C890" s="218"/>
      <c r="D890" s="338"/>
      <c r="E890" s="345"/>
      <c r="F890" s="344"/>
      <c r="G890" s="336"/>
      <c r="H890" s="341"/>
      <c r="I890" s="240"/>
      <c r="J890" s="343"/>
      <c r="K890" s="261"/>
      <c r="L890" s="342"/>
      <c r="M890" s="262"/>
      <c r="N890" s="228"/>
      <c r="O890" s="229"/>
    </row>
    <row r="891" ht="22.5" customHeight="1">
      <c r="A891" s="346"/>
      <c r="B891" s="218"/>
      <c r="C891" s="218"/>
      <c r="D891" s="338"/>
      <c r="E891" s="345"/>
      <c r="F891" s="344"/>
      <c r="G891" s="336"/>
      <c r="H891" s="341"/>
      <c r="I891" s="240"/>
      <c r="J891" s="343"/>
      <c r="K891" s="261"/>
      <c r="L891" s="342"/>
      <c r="M891" s="262"/>
      <c r="N891" s="228"/>
      <c r="O891" s="229"/>
    </row>
    <row r="892" ht="22.5" customHeight="1">
      <c r="A892" s="346"/>
      <c r="B892" s="218"/>
      <c r="C892" s="218"/>
      <c r="D892" s="338"/>
      <c r="E892" s="345"/>
      <c r="F892" s="344"/>
      <c r="G892" s="336"/>
      <c r="H892" s="341"/>
      <c r="I892" s="240"/>
      <c r="J892" s="343"/>
      <c r="K892" s="261"/>
      <c r="L892" s="342"/>
      <c r="M892" s="262"/>
      <c r="N892" s="228"/>
      <c r="O892" s="229"/>
    </row>
    <row r="893" ht="22.5" customHeight="1">
      <c r="A893" s="346"/>
      <c r="B893" s="218"/>
      <c r="C893" s="218"/>
      <c r="D893" s="338"/>
      <c r="E893" s="345"/>
      <c r="F893" s="344"/>
      <c r="G893" s="336"/>
      <c r="H893" s="341"/>
      <c r="I893" s="240"/>
      <c r="J893" s="343"/>
      <c r="K893" s="261"/>
      <c r="L893" s="342"/>
      <c r="M893" s="262"/>
      <c r="N893" s="228"/>
      <c r="O893" s="229"/>
    </row>
    <row r="894" ht="22.5" customHeight="1">
      <c r="A894" s="346"/>
      <c r="B894" s="218"/>
      <c r="C894" s="218"/>
      <c r="D894" s="338"/>
      <c r="E894" s="345"/>
      <c r="F894" s="344"/>
      <c r="G894" s="336"/>
      <c r="H894" s="341"/>
      <c r="I894" s="240"/>
      <c r="J894" s="343"/>
      <c r="K894" s="261"/>
      <c r="L894" s="342"/>
      <c r="M894" s="262"/>
      <c r="N894" s="228"/>
      <c r="O894" s="229"/>
    </row>
    <row r="895" ht="22.5" customHeight="1">
      <c r="A895" s="346"/>
      <c r="B895" s="218"/>
      <c r="C895" s="218"/>
      <c r="D895" s="338"/>
      <c r="E895" s="345"/>
      <c r="F895" s="344"/>
      <c r="G895" s="336"/>
      <c r="H895" s="341"/>
      <c r="I895" s="240"/>
      <c r="J895" s="343"/>
      <c r="K895" s="261"/>
      <c r="L895" s="342"/>
      <c r="M895" s="262"/>
      <c r="N895" s="228"/>
      <c r="O895" s="229"/>
    </row>
    <row r="896" ht="22.5" customHeight="1">
      <c r="A896" s="346"/>
      <c r="B896" s="218"/>
      <c r="C896" s="218"/>
      <c r="D896" s="338"/>
      <c r="E896" s="345"/>
      <c r="F896" s="344"/>
      <c r="G896" s="336"/>
      <c r="H896" s="341"/>
      <c r="I896" s="240"/>
      <c r="J896" s="343"/>
      <c r="K896" s="261"/>
      <c r="L896" s="342"/>
      <c r="M896" s="262"/>
      <c r="N896" s="228"/>
      <c r="O896" s="229"/>
    </row>
    <row r="897" ht="22.5" customHeight="1">
      <c r="A897" s="346"/>
      <c r="B897" s="218"/>
      <c r="C897" s="218"/>
      <c r="D897" s="338"/>
      <c r="E897" s="345"/>
      <c r="F897" s="344"/>
      <c r="G897" s="336"/>
      <c r="H897" s="341"/>
      <c r="I897" s="240"/>
      <c r="J897" s="343"/>
      <c r="K897" s="261"/>
      <c r="L897" s="342"/>
      <c r="M897" s="262"/>
      <c r="N897" s="228"/>
      <c r="O897" s="229"/>
    </row>
    <row r="898" ht="22.5" customHeight="1">
      <c r="A898" s="346"/>
      <c r="B898" s="218"/>
      <c r="C898" s="218"/>
      <c r="D898" s="338"/>
      <c r="E898" s="345"/>
      <c r="F898" s="344"/>
      <c r="G898" s="336"/>
      <c r="H898" s="341"/>
      <c r="I898" s="240"/>
      <c r="J898" s="343"/>
      <c r="K898" s="261"/>
      <c r="L898" s="342"/>
      <c r="M898" s="262"/>
      <c r="N898" s="228"/>
      <c r="O898" s="229"/>
    </row>
    <row r="899" ht="22.5" customHeight="1">
      <c r="A899" s="346"/>
      <c r="B899" s="218"/>
      <c r="C899" s="218"/>
      <c r="D899" s="338"/>
      <c r="E899" s="345"/>
      <c r="F899" s="344"/>
      <c r="G899" s="336"/>
      <c r="H899" s="341"/>
      <c r="I899" s="240"/>
      <c r="J899" s="343"/>
      <c r="K899" s="261"/>
      <c r="L899" s="342"/>
      <c r="M899" s="262"/>
      <c r="N899" s="228"/>
      <c r="O899" s="229"/>
    </row>
    <row r="900" ht="22.5" customHeight="1">
      <c r="A900" s="346"/>
      <c r="B900" s="218"/>
      <c r="C900" s="218"/>
      <c r="D900" s="338"/>
      <c r="E900" s="345"/>
      <c r="F900" s="344"/>
      <c r="G900" s="336"/>
      <c r="H900" s="341"/>
      <c r="I900" s="240"/>
      <c r="J900" s="343"/>
      <c r="K900" s="261"/>
      <c r="L900" s="342"/>
      <c r="M900" s="262"/>
      <c r="N900" s="228"/>
      <c r="O900" s="229"/>
    </row>
    <row r="901" ht="22.5" customHeight="1">
      <c r="A901" s="346"/>
      <c r="B901" s="218"/>
      <c r="C901" s="218"/>
      <c r="D901" s="338"/>
      <c r="E901" s="345"/>
      <c r="F901" s="344"/>
      <c r="G901" s="336"/>
      <c r="H901" s="341"/>
      <c r="I901" s="240"/>
      <c r="J901" s="343"/>
      <c r="K901" s="261"/>
      <c r="L901" s="342"/>
      <c r="M901" s="262"/>
      <c r="N901" s="228"/>
      <c r="O901" s="229"/>
    </row>
    <row r="902" ht="22.5" customHeight="1">
      <c r="A902" s="346"/>
      <c r="B902" s="218"/>
      <c r="C902" s="218"/>
      <c r="D902" s="338"/>
      <c r="E902" s="345"/>
      <c r="F902" s="344"/>
      <c r="G902" s="336"/>
      <c r="H902" s="341"/>
      <c r="I902" s="240"/>
      <c r="J902" s="343"/>
      <c r="K902" s="261"/>
      <c r="L902" s="342"/>
      <c r="M902" s="262"/>
      <c r="N902" s="228"/>
      <c r="O902" s="229"/>
    </row>
    <row r="903" ht="22.5" customHeight="1">
      <c r="A903" s="346"/>
      <c r="B903" s="218"/>
      <c r="C903" s="218"/>
      <c r="D903" s="338"/>
      <c r="E903" s="345"/>
      <c r="F903" s="344"/>
      <c r="G903" s="336"/>
      <c r="H903" s="341"/>
      <c r="I903" s="240"/>
      <c r="J903" s="343"/>
      <c r="K903" s="261"/>
      <c r="L903" s="342"/>
      <c r="M903" s="262"/>
      <c r="N903" s="228"/>
      <c r="O903" s="229"/>
    </row>
    <row r="904" ht="22.5" customHeight="1">
      <c r="A904" s="346"/>
      <c r="B904" s="218"/>
      <c r="C904" s="218"/>
      <c r="D904" s="338"/>
      <c r="E904" s="345"/>
      <c r="F904" s="344"/>
      <c r="G904" s="336"/>
      <c r="H904" s="341"/>
      <c r="I904" s="240"/>
      <c r="J904" s="343"/>
      <c r="K904" s="261"/>
      <c r="L904" s="342"/>
      <c r="M904" s="262"/>
      <c r="N904" s="228"/>
      <c r="O904" s="229"/>
    </row>
    <row r="905" ht="22.5" customHeight="1">
      <c r="A905" s="346"/>
      <c r="B905" s="218"/>
      <c r="C905" s="218"/>
      <c r="D905" s="338"/>
      <c r="E905" s="345"/>
      <c r="F905" s="344"/>
      <c r="G905" s="336"/>
      <c r="H905" s="341"/>
      <c r="I905" s="240"/>
      <c r="J905" s="343"/>
      <c r="K905" s="261"/>
      <c r="L905" s="342"/>
      <c r="M905" s="262"/>
      <c r="N905" s="228"/>
      <c r="O905" s="229"/>
    </row>
    <row r="906" ht="22.5" customHeight="1">
      <c r="A906" s="346"/>
      <c r="B906" s="218"/>
      <c r="C906" s="218"/>
      <c r="D906" s="338"/>
      <c r="E906" s="345"/>
      <c r="F906" s="344"/>
      <c r="G906" s="336"/>
      <c r="H906" s="341"/>
      <c r="I906" s="240"/>
      <c r="J906" s="343"/>
      <c r="K906" s="261"/>
      <c r="L906" s="342"/>
      <c r="M906" s="262"/>
      <c r="N906" s="228"/>
      <c r="O906" s="229"/>
    </row>
    <row r="907" ht="22.5" customHeight="1">
      <c r="A907" s="346"/>
      <c r="B907" s="218"/>
      <c r="C907" s="218"/>
      <c r="D907" s="338"/>
      <c r="E907" s="345"/>
      <c r="F907" s="344"/>
      <c r="G907" s="336"/>
      <c r="H907" s="341"/>
      <c r="I907" s="240"/>
      <c r="J907" s="343"/>
      <c r="K907" s="261"/>
      <c r="L907" s="342"/>
      <c r="M907" s="262"/>
      <c r="N907" s="228"/>
      <c r="O907" s="229"/>
    </row>
    <row r="908" ht="22.5" customHeight="1">
      <c r="A908" s="346"/>
      <c r="B908" s="218"/>
      <c r="C908" s="218"/>
      <c r="D908" s="338"/>
      <c r="E908" s="345"/>
      <c r="F908" s="344"/>
      <c r="G908" s="336"/>
      <c r="H908" s="341"/>
      <c r="I908" s="240"/>
      <c r="J908" s="343"/>
      <c r="K908" s="261"/>
      <c r="L908" s="342"/>
      <c r="M908" s="262"/>
      <c r="N908" s="228"/>
      <c r="O908" s="229"/>
    </row>
    <row r="909" ht="22.5" customHeight="1">
      <c r="A909" s="346"/>
      <c r="B909" s="218"/>
      <c r="C909" s="218"/>
      <c r="D909" s="338"/>
      <c r="E909" s="345"/>
      <c r="F909" s="344"/>
      <c r="G909" s="336"/>
      <c r="H909" s="341"/>
      <c r="I909" s="240"/>
      <c r="J909" s="343"/>
      <c r="K909" s="261"/>
      <c r="L909" s="342"/>
      <c r="M909" s="262"/>
      <c r="N909" s="228"/>
      <c r="O909" s="229"/>
    </row>
    <row r="910" ht="22.5" customHeight="1">
      <c r="A910" s="346"/>
      <c r="B910" s="218"/>
      <c r="C910" s="218"/>
      <c r="D910" s="338"/>
      <c r="E910" s="345"/>
      <c r="F910" s="344"/>
      <c r="G910" s="336"/>
      <c r="H910" s="341"/>
      <c r="I910" s="240"/>
      <c r="J910" s="343"/>
      <c r="K910" s="261"/>
      <c r="L910" s="342"/>
      <c r="M910" s="262"/>
      <c r="N910" s="228"/>
      <c r="O910" s="229"/>
    </row>
    <row r="911" ht="22.5" customHeight="1">
      <c r="A911" s="346"/>
      <c r="B911" s="218"/>
      <c r="C911" s="218"/>
      <c r="D911" s="338"/>
      <c r="E911" s="345"/>
      <c r="F911" s="344"/>
      <c r="G911" s="336"/>
      <c r="H911" s="341"/>
      <c r="I911" s="240"/>
      <c r="J911" s="343"/>
      <c r="K911" s="261"/>
      <c r="L911" s="342"/>
      <c r="M911" s="262"/>
      <c r="N911" s="228"/>
      <c r="O911" s="229"/>
    </row>
    <row r="912" ht="22.5" customHeight="1">
      <c r="A912" s="346"/>
      <c r="B912" s="218"/>
      <c r="C912" s="218"/>
      <c r="D912" s="338"/>
      <c r="E912" s="345"/>
      <c r="F912" s="344"/>
      <c r="G912" s="336"/>
      <c r="H912" s="341"/>
      <c r="I912" s="240"/>
      <c r="J912" s="343"/>
      <c r="K912" s="261"/>
      <c r="L912" s="342"/>
      <c r="M912" s="262"/>
      <c r="N912" s="228"/>
      <c r="O912" s="229"/>
    </row>
    <row r="913" ht="22.5" customHeight="1">
      <c r="A913" s="346"/>
      <c r="B913" s="218"/>
      <c r="C913" s="218"/>
      <c r="D913" s="338"/>
      <c r="E913" s="345"/>
      <c r="F913" s="344"/>
      <c r="G913" s="336"/>
      <c r="H913" s="341"/>
      <c r="I913" s="240"/>
      <c r="J913" s="343"/>
      <c r="K913" s="261"/>
      <c r="L913" s="342"/>
      <c r="M913" s="262"/>
      <c r="N913" s="228"/>
      <c r="O913" s="229"/>
    </row>
    <row r="914" ht="22.5" customHeight="1">
      <c r="A914" s="346"/>
      <c r="B914" s="218"/>
      <c r="C914" s="218"/>
      <c r="D914" s="338"/>
      <c r="E914" s="345"/>
      <c r="F914" s="344"/>
      <c r="G914" s="336"/>
      <c r="H914" s="341"/>
      <c r="I914" s="240"/>
      <c r="J914" s="343"/>
      <c r="K914" s="261"/>
      <c r="L914" s="342"/>
      <c r="M914" s="262"/>
      <c r="N914" s="228"/>
      <c r="O914" s="229"/>
    </row>
    <row r="915" ht="22.5" customHeight="1">
      <c r="A915" s="346"/>
      <c r="B915" s="218"/>
      <c r="C915" s="218"/>
      <c r="D915" s="338"/>
      <c r="E915" s="345"/>
      <c r="F915" s="344"/>
      <c r="G915" s="336"/>
      <c r="H915" s="341"/>
      <c r="I915" s="240"/>
      <c r="J915" s="343"/>
      <c r="K915" s="261"/>
      <c r="L915" s="342"/>
      <c r="M915" s="262"/>
      <c r="N915" s="228"/>
      <c r="O915" s="229"/>
    </row>
    <row r="916" ht="22.5" customHeight="1">
      <c r="A916" s="346"/>
      <c r="B916" s="218"/>
      <c r="C916" s="218"/>
      <c r="D916" s="338"/>
      <c r="E916" s="345"/>
      <c r="F916" s="344"/>
      <c r="G916" s="336"/>
      <c r="H916" s="341"/>
      <c r="I916" s="240"/>
      <c r="J916" s="343"/>
      <c r="K916" s="261"/>
      <c r="L916" s="342"/>
      <c r="M916" s="262"/>
      <c r="N916" s="228"/>
      <c r="O916" s="229"/>
    </row>
    <row r="917" ht="22.5" customHeight="1">
      <c r="A917" s="346"/>
      <c r="B917" s="218"/>
      <c r="C917" s="218"/>
      <c r="D917" s="338"/>
      <c r="E917" s="345"/>
      <c r="F917" s="344"/>
      <c r="G917" s="336"/>
      <c r="H917" s="341"/>
      <c r="I917" s="240"/>
      <c r="J917" s="343"/>
      <c r="K917" s="261"/>
      <c r="L917" s="342"/>
      <c r="M917" s="262"/>
      <c r="N917" s="228"/>
      <c r="O917" s="229"/>
    </row>
    <row r="918" ht="22.5" customHeight="1">
      <c r="A918" s="346"/>
      <c r="B918" s="218"/>
      <c r="C918" s="218"/>
      <c r="D918" s="338"/>
      <c r="E918" s="345"/>
      <c r="F918" s="344"/>
      <c r="G918" s="336"/>
      <c r="H918" s="341"/>
      <c r="I918" s="240"/>
      <c r="J918" s="343"/>
      <c r="K918" s="261"/>
      <c r="L918" s="342"/>
      <c r="M918" s="262"/>
      <c r="N918" s="228"/>
      <c r="O918" s="229"/>
    </row>
    <row r="919" ht="22.5" customHeight="1">
      <c r="A919" s="346"/>
      <c r="B919" s="218"/>
      <c r="C919" s="218"/>
      <c r="D919" s="338"/>
      <c r="E919" s="345"/>
      <c r="F919" s="344"/>
      <c r="G919" s="336"/>
      <c r="H919" s="341"/>
      <c r="I919" s="240"/>
      <c r="J919" s="343"/>
      <c r="K919" s="261"/>
      <c r="L919" s="342"/>
      <c r="M919" s="262"/>
      <c r="N919" s="228"/>
      <c r="O919" s="229"/>
    </row>
    <row r="920" ht="22.5" customHeight="1">
      <c r="A920" s="346"/>
      <c r="B920" s="218"/>
      <c r="C920" s="218"/>
      <c r="D920" s="338"/>
      <c r="E920" s="345"/>
      <c r="F920" s="344"/>
      <c r="G920" s="336"/>
      <c r="H920" s="341"/>
      <c r="I920" s="240"/>
      <c r="J920" s="343"/>
      <c r="K920" s="261"/>
      <c r="L920" s="342"/>
      <c r="M920" s="262"/>
      <c r="N920" s="228"/>
      <c r="O920" s="229"/>
    </row>
    <row r="921" ht="22.5" customHeight="1">
      <c r="A921" s="346"/>
      <c r="B921" s="218"/>
      <c r="C921" s="218"/>
      <c r="D921" s="338"/>
      <c r="E921" s="345"/>
      <c r="F921" s="344"/>
      <c r="G921" s="336"/>
      <c r="H921" s="341"/>
      <c r="I921" s="240"/>
      <c r="J921" s="343"/>
      <c r="K921" s="261"/>
      <c r="L921" s="342"/>
      <c r="M921" s="262"/>
      <c r="N921" s="228"/>
      <c r="O921" s="229"/>
    </row>
    <row r="922" ht="22.5" customHeight="1">
      <c r="A922" s="346"/>
      <c r="B922" s="218"/>
      <c r="C922" s="218"/>
      <c r="D922" s="338"/>
      <c r="E922" s="345"/>
      <c r="F922" s="344"/>
      <c r="G922" s="336"/>
      <c r="H922" s="341"/>
      <c r="I922" s="240"/>
      <c r="J922" s="343"/>
      <c r="K922" s="261"/>
      <c r="L922" s="342"/>
      <c r="M922" s="262"/>
      <c r="N922" s="228"/>
      <c r="O922" s="229"/>
    </row>
    <row r="923" ht="22.5" customHeight="1">
      <c r="A923" s="346"/>
      <c r="B923" s="218"/>
      <c r="C923" s="218"/>
      <c r="D923" s="338"/>
      <c r="E923" s="345"/>
      <c r="F923" s="344"/>
      <c r="G923" s="336"/>
      <c r="H923" s="341"/>
      <c r="I923" s="240"/>
      <c r="J923" s="343"/>
      <c r="K923" s="261"/>
      <c r="L923" s="342"/>
      <c r="M923" s="262"/>
      <c r="N923" s="228"/>
      <c r="O923" s="229"/>
    </row>
    <row r="924" ht="22.5" customHeight="1">
      <c r="A924" s="346"/>
      <c r="B924" s="218"/>
      <c r="C924" s="218"/>
      <c r="D924" s="338"/>
      <c r="E924" s="345"/>
      <c r="F924" s="344"/>
      <c r="G924" s="336"/>
      <c r="H924" s="341"/>
      <c r="I924" s="240"/>
      <c r="J924" s="343"/>
      <c r="K924" s="261"/>
      <c r="L924" s="342"/>
      <c r="M924" s="262"/>
      <c r="N924" s="228"/>
      <c r="O924" s="229"/>
    </row>
    <row r="925" ht="22.5" customHeight="1">
      <c r="A925" s="346"/>
      <c r="B925" s="218"/>
      <c r="C925" s="218"/>
      <c r="D925" s="338"/>
      <c r="E925" s="345"/>
      <c r="F925" s="344"/>
      <c r="G925" s="336"/>
      <c r="H925" s="341"/>
      <c r="I925" s="240"/>
      <c r="J925" s="343"/>
      <c r="K925" s="261"/>
      <c r="L925" s="342"/>
      <c r="M925" s="262"/>
      <c r="N925" s="228"/>
      <c r="O925" s="229"/>
    </row>
    <row r="926" ht="22.5" customHeight="1">
      <c r="A926" s="346"/>
      <c r="B926" s="218"/>
      <c r="C926" s="218"/>
      <c r="D926" s="338"/>
      <c r="E926" s="345"/>
      <c r="F926" s="344"/>
      <c r="G926" s="336"/>
      <c r="H926" s="341"/>
      <c r="I926" s="240"/>
      <c r="J926" s="343"/>
      <c r="K926" s="261"/>
      <c r="L926" s="342"/>
      <c r="M926" s="262"/>
      <c r="N926" s="228"/>
      <c r="O926" s="229"/>
    </row>
    <row r="927" ht="22.5" customHeight="1">
      <c r="A927" s="346"/>
      <c r="B927" s="218"/>
      <c r="C927" s="218"/>
      <c r="D927" s="338"/>
      <c r="E927" s="345"/>
      <c r="F927" s="344"/>
      <c r="G927" s="336"/>
      <c r="H927" s="341"/>
      <c r="I927" s="240"/>
      <c r="J927" s="343"/>
      <c r="K927" s="261"/>
      <c r="L927" s="342"/>
      <c r="M927" s="262"/>
      <c r="N927" s="228"/>
      <c r="O927" s="229"/>
    </row>
    <row r="928" ht="22.5" customHeight="1">
      <c r="A928" s="346"/>
      <c r="B928" s="218"/>
      <c r="C928" s="218"/>
      <c r="D928" s="338"/>
      <c r="E928" s="345"/>
      <c r="F928" s="344"/>
      <c r="G928" s="336"/>
      <c r="H928" s="341"/>
      <c r="I928" s="240"/>
      <c r="J928" s="343"/>
      <c r="K928" s="261"/>
      <c r="L928" s="342"/>
      <c r="M928" s="262"/>
      <c r="N928" s="228"/>
      <c r="O928" s="229"/>
    </row>
    <row r="929" ht="22.5" customHeight="1">
      <c r="A929" s="346"/>
      <c r="B929" s="218"/>
      <c r="C929" s="218"/>
      <c r="D929" s="338"/>
      <c r="E929" s="345"/>
      <c r="F929" s="344"/>
      <c r="G929" s="336"/>
      <c r="H929" s="341"/>
      <c r="I929" s="240"/>
      <c r="J929" s="343"/>
      <c r="K929" s="261"/>
      <c r="L929" s="342"/>
      <c r="M929" s="262"/>
      <c r="N929" s="228"/>
      <c r="O929" s="229"/>
    </row>
    <row r="930" ht="22.5" customHeight="1">
      <c r="A930" s="346"/>
      <c r="B930" s="218"/>
      <c r="C930" s="218"/>
      <c r="D930" s="338"/>
      <c r="E930" s="345"/>
      <c r="F930" s="344"/>
      <c r="G930" s="336"/>
      <c r="H930" s="341"/>
      <c r="I930" s="240"/>
      <c r="J930" s="343"/>
      <c r="K930" s="261"/>
      <c r="L930" s="342"/>
      <c r="M930" s="262"/>
      <c r="N930" s="228"/>
      <c r="O930" s="229"/>
    </row>
    <row r="931" ht="22.5" customHeight="1">
      <c r="A931" s="346"/>
      <c r="B931" s="218"/>
      <c r="C931" s="218"/>
      <c r="D931" s="338"/>
      <c r="E931" s="345"/>
      <c r="F931" s="344"/>
      <c r="G931" s="336"/>
      <c r="H931" s="341"/>
      <c r="I931" s="240"/>
      <c r="J931" s="343"/>
      <c r="K931" s="261"/>
      <c r="L931" s="342"/>
      <c r="M931" s="262"/>
      <c r="N931" s="228"/>
      <c r="O931" s="229"/>
    </row>
    <row r="932" ht="22.5" customHeight="1">
      <c r="A932" s="346"/>
      <c r="B932" s="218"/>
      <c r="C932" s="218"/>
      <c r="D932" s="338"/>
      <c r="E932" s="345"/>
      <c r="F932" s="344"/>
      <c r="G932" s="336"/>
      <c r="H932" s="341"/>
      <c r="I932" s="240"/>
      <c r="J932" s="343"/>
      <c r="K932" s="261"/>
      <c r="L932" s="342"/>
      <c r="M932" s="262"/>
      <c r="N932" s="228"/>
      <c r="O932" s="229"/>
    </row>
    <row r="933" ht="22.5" customHeight="1">
      <c r="A933" s="346"/>
      <c r="B933" s="218"/>
      <c r="C933" s="218"/>
      <c r="D933" s="338"/>
      <c r="E933" s="345"/>
      <c r="F933" s="344"/>
      <c r="G933" s="336"/>
      <c r="H933" s="341"/>
      <c r="I933" s="240"/>
      <c r="J933" s="343"/>
      <c r="K933" s="261"/>
      <c r="L933" s="342"/>
      <c r="M933" s="262"/>
      <c r="N933" s="228"/>
      <c r="O933" s="229"/>
    </row>
    <row r="934" ht="22.5" customHeight="1">
      <c r="A934" s="346"/>
      <c r="B934" s="218"/>
      <c r="C934" s="218"/>
      <c r="D934" s="338"/>
      <c r="E934" s="345"/>
      <c r="F934" s="344"/>
      <c r="G934" s="336"/>
      <c r="H934" s="341"/>
      <c r="I934" s="240"/>
      <c r="J934" s="343"/>
      <c r="K934" s="261"/>
      <c r="L934" s="342"/>
      <c r="M934" s="262"/>
      <c r="N934" s="228"/>
      <c r="O934" s="229"/>
    </row>
    <row r="935" ht="22.5" customHeight="1">
      <c r="A935" s="346"/>
      <c r="B935" s="218"/>
      <c r="C935" s="218"/>
      <c r="D935" s="338"/>
      <c r="E935" s="345"/>
      <c r="F935" s="344"/>
      <c r="G935" s="336"/>
      <c r="H935" s="341"/>
      <c r="I935" s="240"/>
      <c r="J935" s="343"/>
      <c r="K935" s="261"/>
      <c r="L935" s="342"/>
      <c r="M935" s="262"/>
      <c r="N935" s="228"/>
      <c r="O935" s="229"/>
    </row>
    <row r="936" ht="22.5" customHeight="1">
      <c r="A936" s="346"/>
      <c r="B936" s="218"/>
      <c r="C936" s="218"/>
      <c r="D936" s="338"/>
      <c r="E936" s="345"/>
      <c r="F936" s="344"/>
      <c r="G936" s="336"/>
      <c r="H936" s="341"/>
      <c r="I936" s="240"/>
      <c r="J936" s="343"/>
      <c r="K936" s="261"/>
      <c r="L936" s="342"/>
      <c r="M936" s="262"/>
      <c r="N936" s="228"/>
      <c r="O936" s="229"/>
    </row>
    <row r="937" ht="22.5" customHeight="1">
      <c r="A937" s="346"/>
      <c r="B937" s="218"/>
      <c r="C937" s="218"/>
      <c r="D937" s="338"/>
      <c r="E937" s="345"/>
      <c r="F937" s="344"/>
      <c r="G937" s="336"/>
      <c r="H937" s="341"/>
      <c r="I937" s="240"/>
      <c r="J937" s="343"/>
      <c r="K937" s="261"/>
      <c r="L937" s="342"/>
      <c r="M937" s="262"/>
      <c r="N937" s="228"/>
      <c r="O937" s="229"/>
    </row>
    <row r="938" ht="22.5" customHeight="1">
      <c r="A938" s="346"/>
      <c r="B938" s="218"/>
      <c r="C938" s="218"/>
      <c r="D938" s="338"/>
      <c r="E938" s="345"/>
      <c r="F938" s="344"/>
      <c r="G938" s="336"/>
      <c r="H938" s="341"/>
      <c r="I938" s="240"/>
      <c r="J938" s="343"/>
      <c r="K938" s="261"/>
      <c r="L938" s="342"/>
      <c r="M938" s="262"/>
      <c r="N938" s="228"/>
      <c r="O938" s="229"/>
    </row>
    <row r="939" ht="22.5" customHeight="1">
      <c r="A939" s="346"/>
      <c r="B939" s="218"/>
      <c r="C939" s="218"/>
      <c r="D939" s="338"/>
      <c r="E939" s="345"/>
      <c r="F939" s="344"/>
      <c r="G939" s="336"/>
      <c r="H939" s="341"/>
      <c r="I939" s="240"/>
      <c r="J939" s="343"/>
      <c r="K939" s="261"/>
      <c r="L939" s="342"/>
      <c r="M939" s="262"/>
      <c r="N939" s="228"/>
      <c r="O939" s="229"/>
    </row>
    <row r="940" ht="22.5" customHeight="1">
      <c r="A940" s="346"/>
      <c r="B940" s="218"/>
      <c r="C940" s="218"/>
      <c r="D940" s="338"/>
      <c r="E940" s="345"/>
      <c r="F940" s="344"/>
      <c r="G940" s="336"/>
      <c r="H940" s="341"/>
      <c r="I940" s="240"/>
      <c r="J940" s="343"/>
      <c r="K940" s="261"/>
      <c r="L940" s="342"/>
      <c r="M940" s="262"/>
      <c r="N940" s="228"/>
      <c r="O940" s="229"/>
    </row>
    <row r="941" ht="22.5" customHeight="1">
      <c r="A941" s="346"/>
      <c r="B941" s="218"/>
      <c r="C941" s="218"/>
      <c r="D941" s="338"/>
      <c r="E941" s="345"/>
      <c r="F941" s="344"/>
      <c r="G941" s="336"/>
      <c r="H941" s="341"/>
      <c r="I941" s="240"/>
      <c r="J941" s="343"/>
      <c r="K941" s="261"/>
      <c r="L941" s="342"/>
      <c r="M941" s="262"/>
      <c r="N941" s="228"/>
      <c r="O941" s="229"/>
    </row>
    <row r="942" ht="22.5" customHeight="1">
      <c r="A942" s="346"/>
      <c r="B942" s="218"/>
      <c r="C942" s="218"/>
      <c r="D942" s="338"/>
      <c r="E942" s="345"/>
      <c r="F942" s="344"/>
      <c r="G942" s="336"/>
      <c r="H942" s="341"/>
      <c r="I942" s="240"/>
      <c r="J942" s="343"/>
      <c r="K942" s="261"/>
      <c r="L942" s="342"/>
      <c r="M942" s="262"/>
      <c r="N942" s="228"/>
      <c r="O942" s="229"/>
    </row>
    <row r="943" ht="22.5" customHeight="1">
      <c r="A943" s="346"/>
      <c r="B943" s="218"/>
      <c r="C943" s="218"/>
      <c r="D943" s="338"/>
      <c r="E943" s="345"/>
      <c r="F943" s="344"/>
      <c r="G943" s="336"/>
      <c r="H943" s="341"/>
      <c r="I943" s="240"/>
      <c r="J943" s="343"/>
      <c r="K943" s="261"/>
      <c r="L943" s="342"/>
      <c r="M943" s="262"/>
      <c r="N943" s="228"/>
      <c r="O943" s="229"/>
    </row>
    <row r="944" ht="22.5" customHeight="1">
      <c r="A944" s="346"/>
      <c r="B944" s="218"/>
      <c r="C944" s="218"/>
      <c r="D944" s="338"/>
      <c r="E944" s="345"/>
      <c r="F944" s="344"/>
      <c r="G944" s="336"/>
      <c r="H944" s="341"/>
      <c r="I944" s="240"/>
      <c r="J944" s="343"/>
      <c r="K944" s="261"/>
      <c r="L944" s="342"/>
      <c r="M944" s="262"/>
      <c r="N944" s="228"/>
      <c r="O944" s="229"/>
    </row>
    <row r="945" ht="22.5" customHeight="1">
      <c r="A945" s="346"/>
      <c r="B945" s="218"/>
      <c r="C945" s="218"/>
      <c r="D945" s="338"/>
      <c r="E945" s="345"/>
      <c r="F945" s="344"/>
      <c r="G945" s="336"/>
      <c r="H945" s="341"/>
      <c r="I945" s="240"/>
      <c r="J945" s="343"/>
      <c r="K945" s="261"/>
      <c r="L945" s="342"/>
      <c r="M945" s="262"/>
      <c r="N945" s="228"/>
      <c r="O945" s="229"/>
    </row>
    <row r="946" ht="22.5" customHeight="1">
      <c r="A946" s="346"/>
      <c r="B946" s="218"/>
      <c r="C946" s="218"/>
      <c r="D946" s="338"/>
      <c r="E946" s="345"/>
      <c r="F946" s="344"/>
      <c r="G946" s="336"/>
      <c r="H946" s="341"/>
      <c r="I946" s="240"/>
      <c r="J946" s="343"/>
      <c r="K946" s="261"/>
      <c r="L946" s="342"/>
      <c r="M946" s="262"/>
      <c r="N946" s="228"/>
      <c r="O946" s="229"/>
    </row>
    <row r="947" ht="22.5" customHeight="1">
      <c r="A947" s="346"/>
      <c r="B947" s="218"/>
      <c r="C947" s="218"/>
      <c r="D947" s="338"/>
      <c r="E947" s="345"/>
      <c r="F947" s="344"/>
      <c r="G947" s="336"/>
      <c r="H947" s="341"/>
      <c r="I947" s="240"/>
      <c r="J947" s="343"/>
      <c r="K947" s="261"/>
      <c r="L947" s="342"/>
      <c r="M947" s="262"/>
      <c r="N947" s="228"/>
      <c r="O947" s="229"/>
    </row>
    <row r="948" ht="22.5" customHeight="1">
      <c r="A948" s="346"/>
      <c r="B948" s="218"/>
      <c r="C948" s="218"/>
      <c r="D948" s="338"/>
      <c r="E948" s="345"/>
      <c r="F948" s="344"/>
      <c r="G948" s="336"/>
      <c r="H948" s="341"/>
      <c r="I948" s="240"/>
      <c r="J948" s="343"/>
      <c r="K948" s="261"/>
      <c r="L948" s="342"/>
      <c r="M948" s="262"/>
      <c r="N948" s="228"/>
      <c r="O948" s="229"/>
    </row>
    <row r="949" ht="22.5" customHeight="1">
      <c r="A949" s="346"/>
      <c r="B949" s="218"/>
      <c r="C949" s="218"/>
      <c r="D949" s="338"/>
      <c r="E949" s="345"/>
      <c r="F949" s="344"/>
      <c r="G949" s="336"/>
      <c r="H949" s="341"/>
      <c r="I949" s="240"/>
      <c r="J949" s="343"/>
      <c r="K949" s="261"/>
      <c r="L949" s="342"/>
      <c r="M949" s="262"/>
      <c r="N949" s="228"/>
      <c r="O949" s="229"/>
    </row>
    <row r="950" ht="22.5" customHeight="1">
      <c r="A950" s="346"/>
      <c r="B950" s="218"/>
      <c r="C950" s="218"/>
      <c r="D950" s="338"/>
      <c r="E950" s="345"/>
      <c r="F950" s="344"/>
      <c r="G950" s="336"/>
      <c r="H950" s="341"/>
      <c r="I950" s="240"/>
      <c r="J950" s="343"/>
      <c r="K950" s="261"/>
      <c r="L950" s="342"/>
      <c r="M950" s="262"/>
      <c r="N950" s="228"/>
      <c r="O950" s="229"/>
    </row>
    <row r="951" ht="22.5" customHeight="1">
      <c r="A951" s="346"/>
      <c r="B951" s="218"/>
      <c r="C951" s="218"/>
      <c r="D951" s="338"/>
      <c r="E951" s="345"/>
      <c r="F951" s="344"/>
      <c r="G951" s="336"/>
      <c r="H951" s="341"/>
      <c r="I951" s="240"/>
      <c r="J951" s="343"/>
      <c r="K951" s="261"/>
      <c r="L951" s="342"/>
      <c r="M951" s="262"/>
      <c r="N951" s="228"/>
      <c r="O951" s="229"/>
    </row>
    <row r="952" ht="22.5" customHeight="1">
      <c r="A952" s="346"/>
      <c r="B952" s="218"/>
      <c r="C952" s="218"/>
      <c r="D952" s="338"/>
      <c r="E952" s="345"/>
      <c r="F952" s="344"/>
      <c r="G952" s="336"/>
      <c r="H952" s="341"/>
      <c r="I952" s="240"/>
      <c r="J952" s="343"/>
      <c r="K952" s="261"/>
      <c r="L952" s="342"/>
      <c r="M952" s="262"/>
      <c r="N952" s="228"/>
      <c r="O952" s="229"/>
    </row>
    <row r="953" ht="22.5" customHeight="1">
      <c r="A953" s="346"/>
      <c r="B953" s="218"/>
      <c r="C953" s="218"/>
      <c r="D953" s="338"/>
      <c r="E953" s="345"/>
      <c r="F953" s="344"/>
      <c r="G953" s="336"/>
      <c r="H953" s="341"/>
      <c r="I953" s="240"/>
      <c r="J953" s="343"/>
      <c r="K953" s="261"/>
      <c r="L953" s="342"/>
      <c r="M953" s="262"/>
      <c r="N953" s="228"/>
      <c r="O953" s="229"/>
    </row>
    <row r="954" ht="22.5" customHeight="1">
      <c r="A954" s="346"/>
      <c r="B954" s="218"/>
      <c r="C954" s="218"/>
      <c r="D954" s="338"/>
      <c r="E954" s="345"/>
      <c r="F954" s="344"/>
      <c r="G954" s="336"/>
      <c r="H954" s="341"/>
      <c r="I954" s="240"/>
      <c r="J954" s="343"/>
      <c r="K954" s="261"/>
      <c r="L954" s="342"/>
      <c r="M954" s="262"/>
      <c r="N954" s="228"/>
      <c r="O954" s="229"/>
    </row>
    <row r="955" ht="22.5" customHeight="1">
      <c r="A955" s="346"/>
      <c r="B955" s="218"/>
      <c r="C955" s="218"/>
      <c r="D955" s="338"/>
      <c r="E955" s="345"/>
      <c r="F955" s="344"/>
      <c r="G955" s="336"/>
      <c r="H955" s="341"/>
      <c r="I955" s="240"/>
      <c r="J955" s="343"/>
      <c r="K955" s="261"/>
      <c r="L955" s="342"/>
      <c r="M955" s="262"/>
      <c r="N955" s="228"/>
      <c r="O955" s="229"/>
    </row>
    <row r="956" ht="22.5" customHeight="1">
      <c r="A956" s="346"/>
      <c r="B956" s="218"/>
      <c r="C956" s="218"/>
      <c r="D956" s="338"/>
      <c r="E956" s="345"/>
      <c r="F956" s="344"/>
      <c r="G956" s="336"/>
      <c r="H956" s="341"/>
      <c r="I956" s="240"/>
      <c r="J956" s="343"/>
      <c r="K956" s="261"/>
      <c r="L956" s="342"/>
      <c r="M956" s="262"/>
      <c r="N956" s="228"/>
      <c r="O956" s="229"/>
    </row>
    <row r="957" ht="22.5" customHeight="1">
      <c r="A957" s="346"/>
      <c r="B957" s="218"/>
      <c r="C957" s="218"/>
      <c r="D957" s="338"/>
      <c r="E957" s="345"/>
      <c r="F957" s="344"/>
      <c r="G957" s="336"/>
      <c r="H957" s="341"/>
      <c r="I957" s="240"/>
      <c r="J957" s="343"/>
      <c r="K957" s="261"/>
      <c r="L957" s="342"/>
      <c r="M957" s="262"/>
      <c r="N957" s="228"/>
      <c r="O957" s="229"/>
    </row>
    <row r="958" ht="22.5" customHeight="1">
      <c r="A958" s="346"/>
      <c r="B958" s="218"/>
      <c r="C958" s="218"/>
      <c r="D958" s="338"/>
      <c r="E958" s="345"/>
      <c r="F958" s="344"/>
      <c r="G958" s="336"/>
      <c r="H958" s="341"/>
      <c r="I958" s="240"/>
      <c r="J958" s="343"/>
      <c r="K958" s="261"/>
      <c r="L958" s="342"/>
      <c r="M958" s="262"/>
      <c r="N958" s="228"/>
      <c r="O958" s="229"/>
    </row>
    <row r="959" ht="22.5" customHeight="1">
      <c r="A959" s="346"/>
      <c r="B959" s="218"/>
      <c r="C959" s="218"/>
      <c r="D959" s="338"/>
      <c r="E959" s="345"/>
      <c r="F959" s="344"/>
      <c r="G959" s="336"/>
      <c r="H959" s="341"/>
      <c r="I959" s="240"/>
      <c r="J959" s="343"/>
      <c r="K959" s="261"/>
      <c r="L959" s="342"/>
      <c r="M959" s="262"/>
      <c r="N959" s="228"/>
      <c r="O959" s="229"/>
    </row>
    <row r="960" ht="22.5" customHeight="1">
      <c r="A960" s="346"/>
      <c r="B960" s="218"/>
      <c r="C960" s="218"/>
      <c r="D960" s="338"/>
      <c r="E960" s="345"/>
      <c r="F960" s="344"/>
      <c r="G960" s="336"/>
      <c r="H960" s="341"/>
      <c r="I960" s="240"/>
      <c r="J960" s="343"/>
      <c r="K960" s="261"/>
      <c r="L960" s="342"/>
      <c r="M960" s="262"/>
      <c r="N960" s="228"/>
      <c r="O960" s="229"/>
    </row>
    <row r="961" ht="22.5" customHeight="1">
      <c r="A961" s="346"/>
      <c r="B961" s="218"/>
      <c r="C961" s="218"/>
      <c r="D961" s="338"/>
      <c r="E961" s="345"/>
      <c r="F961" s="344"/>
      <c r="G961" s="336"/>
      <c r="H961" s="341"/>
      <c r="I961" s="240"/>
      <c r="J961" s="343"/>
      <c r="K961" s="261"/>
      <c r="L961" s="342"/>
      <c r="M961" s="262"/>
      <c r="N961" s="228"/>
      <c r="O961" s="229"/>
    </row>
    <row r="962" ht="22.5" customHeight="1">
      <c r="A962" s="346"/>
      <c r="B962" s="218"/>
      <c r="C962" s="218"/>
      <c r="D962" s="338"/>
      <c r="E962" s="345"/>
      <c r="F962" s="344"/>
      <c r="G962" s="336"/>
      <c r="H962" s="341"/>
      <c r="I962" s="240"/>
      <c r="J962" s="343"/>
      <c r="K962" s="261"/>
      <c r="L962" s="342"/>
      <c r="M962" s="262"/>
      <c r="N962" s="228"/>
      <c r="O962" s="229"/>
    </row>
    <row r="963" ht="22.5" customHeight="1">
      <c r="A963" s="346"/>
      <c r="B963" s="218"/>
      <c r="C963" s="218"/>
      <c r="D963" s="338"/>
      <c r="E963" s="345"/>
      <c r="F963" s="344"/>
      <c r="G963" s="336"/>
      <c r="H963" s="341"/>
      <c r="I963" s="240"/>
      <c r="J963" s="343"/>
      <c r="K963" s="261"/>
      <c r="L963" s="342"/>
      <c r="M963" s="262"/>
      <c r="N963" s="228"/>
      <c r="O963" s="229"/>
    </row>
    <row r="964" ht="22.5" customHeight="1">
      <c r="A964" s="346"/>
      <c r="B964" s="218"/>
      <c r="C964" s="218"/>
      <c r="D964" s="338"/>
      <c r="E964" s="345"/>
      <c r="F964" s="344"/>
      <c r="G964" s="336"/>
      <c r="H964" s="341"/>
      <c r="I964" s="240"/>
      <c r="J964" s="343"/>
      <c r="K964" s="261"/>
      <c r="L964" s="342"/>
      <c r="M964" s="262"/>
      <c r="N964" s="228"/>
      <c r="O964" s="229"/>
    </row>
    <row r="965" ht="22.5" customHeight="1">
      <c r="A965" s="346"/>
      <c r="B965" s="218"/>
      <c r="C965" s="218"/>
      <c r="D965" s="338"/>
      <c r="E965" s="345"/>
      <c r="F965" s="344"/>
      <c r="G965" s="336"/>
      <c r="H965" s="341"/>
      <c r="I965" s="240"/>
      <c r="J965" s="343"/>
      <c r="K965" s="261"/>
      <c r="L965" s="342"/>
      <c r="M965" s="262"/>
      <c r="N965" s="228"/>
      <c r="O965" s="229"/>
    </row>
    <row r="966" ht="22.5" customHeight="1">
      <c r="A966" s="346"/>
      <c r="B966" s="218"/>
      <c r="C966" s="218"/>
      <c r="D966" s="338"/>
      <c r="E966" s="345"/>
      <c r="F966" s="344"/>
      <c r="G966" s="336"/>
      <c r="H966" s="341"/>
      <c r="I966" s="240"/>
      <c r="J966" s="343"/>
      <c r="K966" s="261"/>
      <c r="L966" s="342"/>
      <c r="M966" s="262"/>
      <c r="N966" s="228"/>
      <c r="O966" s="229"/>
    </row>
    <row r="967" ht="22.5" customHeight="1">
      <c r="A967" s="346"/>
      <c r="B967" s="218"/>
      <c r="C967" s="218"/>
      <c r="D967" s="338"/>
      <c r="E967" s="345"/>
      <c r="F967" s="344"/>
      <c r="G967" s="336"/>
      <c r="H967" s="341"/>
      <c r="I967" s="240"/>
      <c r="J967" s="343"/>
      <c r="K967" s="261"/>
      <c r="L967" s="342"/>
      <c r="M967" s="262"/>
      <c r="N967" s="228"/>
      <c r="O967" s="229"/>
    </row>
    <row r="968" ht="22.5" customHeight="1">
      <c r="A968" s="346"/>
      <c r="B968" s="218"/>
      <c r="C968" s="218"/>
      <c r="D968" s="338"/>
      <c r="E968" s="345"/>
      <c r="F968" s="344"/>
      <c r="G968" s="336"/>
      <c r="H968" s="341"/>
      <c r="I968" s="240"/>
      <c r="J968" s="343"/>
      <c r="K968" s="261"/>
      <c r="L968" s="342"/>
      <c r="M968" s="262"/>
      <c r="N968" s="228"/>
      <c r="O968" s="229"/>
    </row>
    <row r="969" ht="22.5" customHeight="1">
      <c r="A969" s="346"/>
      <c r="B969" s="218"/>
      <c r="C969" s="218"/>
      <c r="D969" s="338"/>
      <c r="E969" s="345"/>
      <c r="F969" s="344"/>
      <c r="G969" s="336"/>
      <c r="H969" s="341"/>
      <c r="I969" s="240"/>
      <c r="J969" s="343"/>
      <c r="K969" s="261"/>
      <c r="L969" s="342"/>
      <c r="M969" s="262"/>
      <c r="N969" s="228"/>
      <c r="O969" s="229"/>
    </row>
    <row r="970" ht="22.5" customHeight="1">
      <c r="A970" s="346"/>
      <c r="B970" s="218"/>
      <c r="C970" s="218"/>
      <c r="D970" s="338"/>
      <c r="E970" s="345"/>
      <c r="F970" s="344"/>
      <c r="G970" s="336"/>
      <c r="H970" s="341"/>
      <c r="I970" s="240"/>
      <c r="J970" s="343"/>
      <c r="K970" s="261"/>
      <c r="L970" s="342"/>
      <c r="M970" s="262"/>
      <c r="N970" s="228"/>
      <c r="O970" s="229"/>
    </row>
    <row r="971" ht="22.5" customHeight="1">
      <c r="A971" s="346"/>
      <c r="B971" s="218"/>
      <c r="C971" s="218"/>
      <c r="D971" s="338"/>
      <c r="E971" s="345"/>
      <c r="F971" s="344"/>
      <c r="G971" s="336"/>
      <c r="H971" s="341"/>
      <c r="I971" s="240"/>
      <c r="J971" s="343"/>
      <c r="K971" s="261"/>
      <c r="L971" s="342"/>
      <c r="M971" s="262"/>
      <c r="N971" s="228"/>
      <c r="O971" s="229"/>
    </row>
    <row r="972" ht="22.5" customHeight="1">
      <c r="A972" s="346"/>
      <c r="B972" s="218"/>
      <c r="C972" s="218"/>
      <c r="D972" s="338"/>
      <c r="E972" s="345"/>
      <c r="F972" s="344"/>
      <c r="G972" s="336"/>
      <c r="H972" s="341"/>
      <c r="I972" s="240"/>
      <c r="J972" s="343"/>
      <c r="K972" s="261"/>
      <c r="L972" s="342"/>
      <c r="M972" s="262"/>
      <c r="N972" s="228"/>
      <c r="O972" s="229"/>
    </row>
    <row r="973" ht="22.5" customHeight="1">
      <c r="A973" s="346"/>
      <c r="B973" s="218"/>
      <c r="C973" s="218"/>
      <c r="D973" s="338"/>
      <c r="E973" s="345"/>
      <c r="F973" s="344"/>
      <c r="G973" s="336"/>
      <c r="H973" s="341"/>
      <c r="I973" s="240"/>
      <c r="J973" s="343"/>
      <c r="K973" s="261"/>
      <c r="L973" s="342"/>
      <c r="M973" s="262"/>
      <c r="N973" s="228"/>
      <c r="O973" s="229"/>
    </row>
    <row r="974" ht="22.5" customHeight="1">
      <c r="A974" s="346"/>
      <c r="B974" s="218"/>
      <c r="C974" s="218"/>
      <c r="D974" s="338"/>
      <c r="E974" s="345"/>
      <c r="F974" s="344"/>
      <c r="G974" s="336"/>
      <c r="H974" s="341"/>
      <c r="I974" s="240"/>
      <c r="J974" s="343"/>
      <c r="K974" s="261"/>
      <c r="L974" s="342"/>
      <c r="M974" s="262"/>
      <c r="N974" s="228"/>
      <c r="O974" s="229"/>
    </row>
    <row r="975" ht="22.5" customHeight="1">
      <c r="A975" s="346"/>
      <c r="B975" s="218"/>
      <c r="C975" s="218"/>
      <c r="D975" s="338"/>
      <c r="E975" s="345"/>
      <c r="F975" s="344"/>
      <c r="G975" s="336"/>
      <c r="H975" s="341"/>
      <c r="I975" s="240"/>
      <c r="J975" s="343"/>
      <c r="K975" s="261"/>
      <c r="L975" s="342"/>
      <c r="M975" s="262"/>
      <c r="N975" s="228"/>
      <c r="O975" s="229"/>
    </row>
    <row r="976" ht="22.5" customHeight="1">
      <c r="A976" s="346"/>
      <c r="B976" s="218"/>
      <c r="C976" s="218"/>
      <c r="D976" s="338"/>
      <c r="E976" s="345"/>
      <c r="F976" s="344"/>
      <c r="G976" s="336"/>
      <c r="H976" s="341"/>
      <c r="I976" s="240"/>
      <c r="J976" s="343"/>
      <c r="K976" s="261"/>
      <c r="L976" s="342"/>
      <c r="M976" s="262"/>
      <c r="N976" s="228"/>
      <c r="O976" s="229"/>
    </row>
    <row r="977" ht="22.5" customHeight="1">
      <c r="A977" s="346"/>
      <c r="B977" s="218"/>
      <c r="C977" s="218"/>
      <c r="D977" s="338"/>
      <c r="E977" s="345"/>
      <c r="F977" s="344"/>
      <c r="G977" s="336"/>
      <c r="H977" s="341"/>
      <c r="I977" s="240"/>
      <c r="J977" s="343"/>
      <c r="K977" s="261"/>
      <c r="L977" s="342"/>
      <c r="M977" s="262"/>
      <c r="N977" s="228"/>
      <c r="O977" s="229"/>
    </row>
    <row r="978" ht="22.5" customHeight="1">
      <c r="A978" s="346"/>
      <c r="B978" s="218"/>
      <c r="C978" s="218"/>
      <c r="D978" s="338"/>
      <c r="E978" s="345"/>
      <c r="F978" s="344"/>
      <c r="G978" s="336"/>
      <c r="H978" s="341"/>
      <c r="I978" s="240"/>
      <c r="J978" s="343"/>
      <c r="K978" s="261"/>
      <c r="L978" s="342"/>
      <c r="M978" s="262"/>
      <c r="N978" s="228"/>
      <c r="O978" s="229"/>
    </row>
    <row r="979" ht="22.5" customHeight="1">
      <c r="A979" s="346"/>
      <c r="B979" s="218"/>
      <c r="C979" s="218"/>
      <c r="D979" s="338"/>
      <c r="E979" s="345"/>
      <c r="F979" s="344"/>
      <c r="G979" s="336"/>
      <c r="H979" s="341"/>
      <c r="I979" s="240"/>
      <c r="J979" s="343"/>
      <c r="K979" s="261"/>
      <c r="L979" s="342"/>
      <c r="M979" s="262"/>
      <c r="N979" s="228"/>
      <c r="O979" s="229"/>
    </row>
    <row r="980" ht="22.5" customHeight="1">
      <c r="A980" s="346"/>
      <c r="B980" s="218"/>
      <c r="C980" s="218"/>
      <c r="D980" s="338"/>
      <c r="E980" s="345"/>
      <c r="F980" s="344"/>
      <c r="G980" s="336"/>
      <c r="H980" s="341"/>
      <c r="I980" s="240"/>
      <c r="J980" s="343"/>
      <c r="K980" s="261"/>
      <c r="L980" s="342"/>
      <c r="M980" s="262"/>
      <c r="N980" s="228"/>
      <c r="O980" s="229"/>
    </row>
    <row r="981" ht="22.5" customHeight="1">
      <c r="A981" s="346"/>
      <c r="B981" s="218"/>
      <c r="C981" s="218"/>
      <c r="D981" s="338"/>
      <c r="E981" s="345"/>
      <c r="F981" s="344"/>
      <c r="G981" s="336"/>
      <c r="H981" s="341"/>
      <c r="I981" s="240"/>
      <c r="J981" s="343"/>
      <c r="K981" s="261"/>
      <c r="L981" s="342"/>
      <c r="M981" s="262"/>
      <c r="N981" s="228"/>
      <c r="O981" s="229"/>
    </row>
    <row r="982" ht="22.5" customHeight="1">
      <c r="A982" s="346"/>
      <c r="B982" s="218"/>
      <c r="C982" s="218"/>
      <c r="D982" s="338"/>
      <c r="E982" s="345"/>
      <c r="F982" s="344"/>
      <c r="G982" s="336"/>
      <c r="H982" s="341"/>
      <c r="I982" s="240"/>
      <c r="J982" s="343"/>
      <c r="K982" s="261"/>
      <c r="L982" s="342"/>
      <c r="M982" s="262"/>
      <c r="N982" s="228"/>
      <c r="O982" s="229"/>
    </row>
    <row r="983" ht="22.5" customHeight="1">
      <c r="A983" s="346"/>
      <c r="B983" s="218"/>
      <c r="C983" s="218"/>
      <c r="D983" s="338"/>
      <c r="E983" s="345"/>
      <c r="F983" s="344"/>
      <c r="G983" s="336"/>
      <c r="H983" s="341"/>
      <c r="I983" s="240"/>
      <c r="J983" s="343"/>
      <c r="K983" s="261"/>
      <c r="L983" s="342"/>
      <c r="M983" s="262"/>
      <c r="N983" s="228"/>
      <c r="O983" s="229"/>
    </row>
    <row r="984" ht="22.5" customHeight="1">
      <c r="A984" s="346"/>
      <c r="B984" s="218"/>
      <c r="C984" s="218"/>
      <c r="D984" s="338"/>
      <c r="E984" s="345"/>
      <c r="F984" s="344"/>
      <c r="G984" s="336"/>
      <c r="H984" s="341"/>
      <c r="I984" s="240"/>
      <c r="J984" s="343"/>
      <c r="K984" s="261"/>
      <c r="L984" s="342"/>
      <c r="M984" s="262"/>
      <c r="N984" s="228"/>
      <c r="O984" s="229"/>
    </row>
    <row r="985" ht="22.5" customHeight="1">
      <c r="A985" s="346"/>
      <c r="B985" s="218"/>
      <c r="C985" s="218"/>
      <c r="D985" s="338"/>
      <c r="E985" s="345"/>
      <c r="F985" s="344"/>
      <c r="G985" s="336"/>
      <c r="H985" s="341"/>
      <c r="I985" s="240"/>
      <c r="J985" s="343"/>
      <c r="K985" s="261"/>
      <c r="L985" s="342"/>
      <c r="M985" s="262"/>
      <c r="N985" s="228"/>
      <c r="O985" s="229"/>
    </row>
    <row r="986" ht="22.5" customHeight="1">
      <c r="A986" s="346"/>
      <c r="B986" s="218"/>
      <c r="C986" s="218"/>
      <c r="D986" s="338"/>
      <c r="E986" s="345"/>
      <c r="F986" s="344"/>
      <c r="G986" s="336"/>
      <c r="H986" s="341"/>
      <c r="I986" s="240"/>
      <c r="J986" s="343"/>
      <c r="K986" s="261"/>
      <c r="L986" s="342"/>
      <c r="M986" s="262"/>
      <c r="N986" s="228"/>
      <c r="O986" s="229"/>
    </row>
    <row r="987" ht="22.5" customHeight="1">
      <c r="A987" s="346"/>
      <c r="B987" s="218"/>
      <c r="C987" s="218"/>
      <c r="D987" s="338"/>
      <c r="E987" s="345"/>
      <c r="F987" s="344"/>
      <c r="G987" s="336"/>
      <c r="H987" s="341"/>
      <c r="I987" s="240"/>
      <c r="J987" s="343"/>
      <c r="K987" s="261"/>
      <c r="L987" s="342"/>
      <c r="M987" s="262"/>
      <c r="N987" s="228"/>
      <c r="O987" s="229"/>
    </row>
    <row r="988" ht="22.5" customHeight="1">
      <c r="A988" s="346"/>
      <c r="B988" s="218"/>
      <c r="C988" s="218"/>
      <c r="D988" s="338"/>
      <c r="E988" s="345"/>
      <c r="F988" s="344"/>
      <c r="G988" s="336"/>
      <c r="H988" s="341"/>
      <c r="I988" s="240"/>
      <c r="J988" s="343"/>
      <c r="K988" s="261"/>
      <c r="L988" s="342"/>
      <c r="M988" s="262"/>
      <c r="N988" s="228"/>
      <c r="O988" s="229"/>
    </row>
    <row r="989" ht="22.5" customHeight="1">
      <c r="A989" s="346"/>
      <c r="B989" s="218"/>
      <c r="C989" s="218"/>
      <c r="D989" s="338"/>
      <c r="E989" s="345"/>
      <c r="F989" s="344"/>
      <c r="G989" s="336"/>
      <c r="H989" s="341"/>
      <c r="I989" s="240"/>
      <c r="J989" s="343"/>
      <c r="K989" s="261"/>
      <c r="L989" s="342"/>
      <c r="M989" s="262"/>
      <c r="N989" s="228"/>
      <c r="O989" s="229"/>
    </row>
    <row r="990" ht="22.5" customHeight="1">
      <c r="A990" s="346"/>
      <c r="B990" s="218"/>
      <c r="C990" s="218"/>
      <c r="D990" s="338"/>
      <c r="E990" s="345"/>
      <c r="F990" s="344"/>
      <c r="G990" s="336"/>
      <c r="H990" s="341"/>
      <c r="I990" s="240"/>
      <c r="J990" s="343"/>
      <c r="K990" s="261"/>
      <c r="L990" s="342"/>
      <c r="M990" s="262"/>
      <c r="N990" s="228"/>
      <c r="O990" s="229"/>
    </row>
    <row r="991" ht="22.5" customHeight="1">
      <c r="A991" s="346"/>
      <c r="B991" s="218"/>
      <c r="C991" s="218"/>
      <c r="D991" s="338"/>
      <c r="E991" s="345"/>
      <c r="F991" s="344"/>
      <c r="G991" s="336"/>
      <c r="H991" s="341"/>
      <c r="I991" s="240"/>
      <c r="J991" s="343"/>
      <c r="K991" s="261"/>
      <c r="L991" s="342"/>
      <c r="M991" s="262"/>
      <c r="N991" s="228"/>
      <c r="O991" s="229"/>
    </row>
    <row r="992" ht="22.5" customHeight="1">
      <c r="A992" s="346"/>
      <c r="B992" s="218"/>
      <c r="C992" s="218"/>
      <c r="D992" s="338"/>
      <c r="E992" s="345"/>
      <c r="F992" s="344"/>
      <c r="G992" s="336"/>
      <c r="H992" s="341"/>
      <c r="I992" s="240"/>
      <c r="J992" s="343"/>
      <c r="K992" s="261"/>
      <c r="L992" s="342"/>
      <c r="M992" s="262"/>
      <c r="N992" s="228"/>
      <c r="O992" s="229"/>
    </row>
    <row r="993" ht="22.5" customHeight="1">
      <c r="A993" s="346"/>
      <c r="B993" s="218"/>
      <c r="C993" s="218"/>
      <c r="D993" s="338"/>
      <c r="E993" s="345"/>
      <c r="F993" s="344"/>
      <c r="G993" s="336"/>
      <c r="H993" s="341"/>
      <c r="I993" s="240"/>
      <c r="J993" s="343"/>
      <c r="K993" s="261"/>
      <c r="L993" s="342"/>
      <c r="M993" s="262"/>
      <c r="N993" s="228"/>
      <c r="O993" s="229"/>
    </row>
    <row r="994" ht="22.5" customHeight="1">
      <c r="A994" s="346"/>
      <c r="B994" s="218"/>
      <c r="C994" s="218"/>
      <c r="D994" s="338"/>
      <c r="E994" s="345"/>
      <c r="F994" s="344"/>
      <c r="G994" s="336"/>
      <c r="H994" s="341"/>
      <c r="I994" s="240"/>
      <c r="J994" s="343"/>
      <c r="K994" s="261"/>
      <c r="L994" s="342"/>
      <c r="M994" s="262"/>
      <c r="N994" s="228"/>
      <c r="O994" s="229"/>
    </row>
    <row r="995" ht="22.5" customHeight="1">
      <c r="A995" s="346"/>
      <c r="B995" s="218"/>
      <c r="C995" s="218"/>
      <c r="D995" s="338"/>
      <c r="E995" s="345"/>
      <c r="F995" s="344"/>
      <c r="G995" s="336"/>
      <c r="H995" s="341"/>
      <c r="I995" s="240"/>
      <c r="J995" s="343"/>
      <c r="K995" s="261"/>
      <c r="L995" s="342"/>
      <c r="M995" s="262"/>
      <c r="N995" s="228"/>
      <c r="O995" s="229"/>
    </row>
    <row r="996" ht="22.5" customHeight="1">
      <c r="A996" s="346"/>
      <c r="B996" s="218"/>
      <c r="C996" s="218"/>
      <c r="D996" s="338"/>
      <c r="E996" s="345"/>
      <c r="F996" s="344"/>
      <c r="G996" s="336"/>
      <c r="H996" s="341"/>
      <c r="I996" s="240"/>
      <c r="J996" s="343"/>
      <c r="K996" s="261"/>
      <c r="L996" s="342"/>
      <c r="M996" s="262"/>
      <c r="N996" s="228"/>
      <c r="O996" s="229"/>
    </row>
    <row r="997" ht="22.5" customHeight="1">
      <c r="A997" s="346"/>
      <c r="B997" s="218"/>
      <c r="C997" s="218"/>
      <c r="D997" s="338"/>
      <c r="E997" s="345"/>
      <c r="F997" s="344"/>
      <c r="G997" s="336"/>
      <c r="H997" s="341"/>
      <c r="I997" s="240"/>
      <c r="J997" s="343"/>
      <c r="K997" s="261"/>
      <c r="L997" s="342"/>
      <c r="M997" s="262"/>
      <c r="N997" s="228"/>
      <c r="O997" s="229"/>
    </row>
    <row r="998" ht="22.5" customHeight="1">
      <c r="A998" s="346"/>
      <c r="B998" s="218"/>
      <c r="C998" s="218"/>
      <c r="D998" s="338"/>
      <c r="E998" s="345"/>
      <c r="F998" s="344"/>
      <c r="G998" s="336"/>
      <c r="H998" s="341"/>
      <c r="I998" s="240"/>
      <c r="J998" s="343"/>
      <c r="K998" s="261"/>
      <c r="L998" s="342"/>
      <c r="M998" s="262"/>
      <c r="N998" s="228"/>
      <c r="O998" s="229"/>
    </row>
    <row r="999" ht="22.5" customHeight="1">
      <c r="A999" s="346"/>
      <c r="B999" s="218"/>
      <c r="C999" s="218"/>
      <c r="D999" s="338"/>
      <c r="E999" s="345"/>
      <c r="F999" s="344"/>
      <c r="G999" s="336"/>
      <c r="H999" s="341"/>
      <c r="I999" s="240"/>
      <c r="J999" s="343"/>
      <c r="K999" s="261"/>
      <c r="L999" s="342"/>
      <c r="M999" s="262"/>
      <c r="N999" s="228"/>
      <c r="O999" s="229"/>
    </row>
    <row r="1000" ht="22.5" customHeight="1">
      <c r="A1000" s="346"/>
      <c r="B1000" s="218"/>
      <c r="C1000" s="218"/>
      <c r="D1000" s="338"/>
      <c r="E1000" s="345"/>
      <c r="F1000" s="344"/>
      <c r="G1000" s="336"/>
      <c r="H1000" s="341"/>
      <c r="I1000" s="240"/>
      <c r="J1000" s="343"/>
      <c r="K1000" s="261"/>
      <c r="L1000" s="342"/>
      <c r="M1000" s="262"/>
      <c r="N1000" s="228"/>
      <c r="O1000" s="229"/>
    </row>
    <row r="1001" ht="22.5" customHeight="1">
      <c r="A1001" s="346"/>
      <c r="B1001" s="218"/>
      <c r="C1001" s="218"/>
      <c r="D1001" s="338"/>
      <c r="E1001" s="345"/>
      <c r="F1001" s="344"/>
      <c r="G1001" s="336"/>
      <c r="H1001" s="341"/>
      <c r="I1001" s="240"/>
      <c r="J1001" s="343"/>
      <c r="K1001" s="261"/>
      <c r="L1001" s="342"/>
      <c r="M1001" s="262"/>
      <c r="N1001" s="228"/>
      <c r="O1001" s="229"/>
    </row>
    <row r="1002" ht="22.5" customHeight="1">
      <c r="A1002" s="346"/>
      <c r="B1002" s="218"/>
      <c r="C1002" s="218"/>
      <c r="D1002" s="338"/>
      <c r="E1002" s="345"/>
      <c r="F1002" s="344"/>
      <c r="G1002" s="336"/>
      <c r="H1002" s="341"/>
      <c r="I1002" s="240"/>
      <c r="J1002" s="343"/>
      <c r="K1002" s="261"/>
      <c r="L1002" s="342"/>
      <c r="M1002" s="262"/>
      <c r="N1002" s="228"/>
      <c r="O1002" s="229"/>
    </row>
    <row r="1003" ht="22.5" customHeight="1">
      <c r="A1003" s="346"/>
      <c r="B1003" s="218"/>
      <c r="C1003" s="218"/>
      <c r="D1003" s="338"/>
      <c r="E1003" s="345"/>
      <c r="F1003" s="344"/>
      <c r="G1003" s="336"/>
      <c r="H1003" s="341"/>
      <c r="I1003" s="240"/>
      <c r="J1003" s="343"/>
      <c r="K1003" s="261"/>
      <c r="L1003" s="342"/>
      <c r="M1003" s="262"/>
      <c r="N1003" s="228"/>
      <c r="O1003" s="229"/>
    </row>
    <row r="1004" ht="22.5" customHeight="1">
      <c r="A1004" s="346"/>
      <c r="B1004" s="218"/>
      <c r="C1004" s="218"/>
      <c r="D1004" s="338"/>
      <c r="E1004" s="345"/>
      <c r="F1004" s="344"/>
      <c r="G1004" s="336"/>
      <c r="H1004" s="341"/>
      <c r="I1004" s="240"/>
      <c r="J1004" s="343"/>
      <c r="K1004" s="261"/>
      <c r="L1004" s="342"/>
      <c r="M1004" s="262"/>
      <c r="N1004" s="228"/>
      <c r="O1004" s="229"/>
    </row>
    <row r="1005" ht="22.5" customHeight="1">
      <c r="A1005" s="346"/>
      <c r="B1005" s="218"/>
      <c r="C1005" s="218"/>
      <c r="D1005" s="338"/>
      <c r="E1005" s="345"/>
      <c r="F1005" s="344"/>
      <c r="G1005" s="336"/>
      <c r="H1005" s="341"/>
      <c r="I1005" s="240"/>
      <c r="J1005" s="343"/>
      <c r="K1005" s="261"/>
      <c r="L1005" s="342"/>
      <c r="M1005" s="262"/>
      <c r="N1005" s="228"/>
      <c r="O1005" s="229"/>
    </row>
    <row r="1006" ht="22.5" customHeight="1">
      <c r="A1006" s="346"/>
      <c r="B1006" s="218"/>
      <c r="C1006" s="218"/>
      <c r="D1006" s="338"/>
      <c r="E1006" s="345"/>
      <c r="F1006" s="344"/>
      <c r="G1006" s="336"/>
      <c r="H1006" s="341"/>
      <c r="I1006" s="240"/>
      <c r="J1006" s="343"/>
      <c r="K1006" s="261"/>
      <c r="L1006" s="342"/>
      <c r="M1006" s="262"/>
      <c r="N1006" s="228"/>
      <c r="O1006" s="229"/>
    </row>
    <row r="1007" ht="22.5" customHeight="1">
      <c r="A1007" s="346"/>
      <c r="B1007" s="218"/>
      <c r="C1007" s="218"/>
      <c r="D1007" s="338"/>
      <c r="E1007" s="345"/>
      <c r="F1007" s="344"/>
      <c r="G1007" s="336"/>
      <c r="H1007" s="341"/>
      <c r="I1007" s="240"/>
      <c r="J1007" s="343"/>
      <c r="K1007" s="261"/>
      <c r="L1007" s="342"/>
      <c r="M1007" s="262"/>
      <c r="N1007" s="228"/>
      <c r="O1007" s="229"/>
    </row>
    <row r="1008" ht="22.5" customHeight="1">
      <c r="A1008" s="346"/>
      <c r="B1008" s="218"/>
      <c r="C1008" s="218"/>
      <c r="D1008" s="338"/>
      <c r="E1008" s="345"/>
      <c r="F1008" s="344"/>
      <c r="G1008" s="336"/>
      <c r="H1008" s="341"/>
      <c r="I1008" s="240"/>
      <c r="J1008" s="343"/>
      <c r="K1008" s="261"/>
      <c r="L1008" s="342"/>
      <c r="M1008" s="262"/>
      <c r="N1008" s="228"/>
      <c r="O1008" s="229"/>
    </row>
    <row r="1009" ht="22.5" customHeight="1">
      <c r="A1009" s="346"/>
      <c r="B1009" s="218"/>
      <c r="C1009" s="218"/>
      <c r="D1009" s="338"/>
      <c r="E1009" s="345"/>
      <c r="F1009" s="344"/>
      <c r="G1009" s="336"/>
      <c r="H1009" s="341"/>
      <c r="I1009" s="240"/>
      <c r="J1009" s="343"/>
      <c r="K1009" s="261"/>
      <c r="L1009" s="342"/>
      <c r="M1009" s="262"/>
      <c r="N1009" s="228"/>
      <c r="O1009" s="229"/>
    </row>
    <row r="1010" ht="22.5" customHeight="1">
      <c r="A1010" s="346"/>
      <c r="B1010" s="218"/>
      <c r="C1010" s="218"/>
      <c r="D1010" s="338"/>
      <c r="E1010" s="345"/>
      <c r="F1010" s="344"/>
      <c r="G1010" s="336"/>
      <c r="H1010" s="341"/>
      <c r="I1010" s="240"/>
      <c r="J1010" s="343"/>
      <c r="K1010" s="261"/>
      <c r="L1010" s="342"/>
      <c r="M1010" s="262"/>
      <c r="N1010" s="228"/>
      <c r="O1010" s="229"/>
    </row>
    <row r="1011" ht="22.5" customHeight="1">
      <c r="A1011" s="346"/>
      <c r="B1011" s="218"/>
      <c r="C1011" s="218"/>
      <c r="D1011" s="338"/>
      <c r="E1011" s="345"/>
      <c r="F1011" s="344"/>
      <c r="G1011" s="336"/>
      <c r="H1011" s="341"/>
      <c r="I1011" s="240"/>
      <c r="J1011" s="343"/>
      <c r="K1011" s="261"/>
      <c r="L1011" s="342"/>
      <c r="M1011" s="262"/>
      <c r="N1011" s="228"/>
      <c r="O1011" s="229"/>
    </row>
    <row r="1012" ht="22.5" customHeight="1">
      <c r="A1012" s="346"/>
      <c r="B1012" s="218"/>
      <c r="C1012" s="218"/>
      <c r="D1012" s="338"/>
      <c r="E1012" s="345"/>
      <c r="F1012" s="344"/>
      <c r="G1012" s="336"/>
      <c r="H1012" s="341"/>
      <c r="I1012" s="240"/>
      <c r="J1012" s="343"/>
      <c r="K1012" s="261"/>
      <c r="L1012" s="342"/>
      <c r="M1012" s="262"/>
      <c r="N1012" s="228"/>
      <c r="O1012" s="229"/>
    </row>
    <row r="1013" ht="22.5" customHeight="1">
      <c r="A1013" s="346"/>
      <c r="B1013" s="218"/>
      <c r="C1013" s="218"/>
      <c r="D1013" s="338"/>
      <c r="E1013" s="345"/>
      <c r="F1013" s="344"/>
      <c r="G1013" s="336"/>
      <c r="H1013" s="341"/>
      <c r="I1013" s="240"/>
      <c r="J1013" s="343"/>
      <c r="K1013" s="261"/>
      <c r="L1013" s="342"/>
      <c r="M1013" s="262"/>
      <c r="N1013" s="228"/>
      <c r="O1013" s="229"/>
    </row>
    <row r="1014" ht="22.5" customHeight="1">
      <c r="A1014" s="346"/>
      <c r="B1014" s="218"/>
      <c r="C1014" s="218"/>
      <c r="D1014" s="338"/>
      <c r="E1014" s="345"/>
      <c r="F1014" s="344"/>
      <c r="G1014" s="336"/>
      <c r="H1014" s="341"/>
      <c r="I1014" s="240"/>
      <c r="J1014" s="343"/>
      <c r="K1014" s="261"/>
      <c r="L1014" s="342"/>
      <c r="M1014" s="262"/>
      <c r="N1014" s="228"/>
      <c r="O1014" s="229"/>
    </row>
    <row r="1015" ht="22.5" customHeight="1">
      <c r="A1015" s="346"/>
      <c r="B1015" s="218"/>
      <c r="C1015" s="218"/>
      <c r="D1015" s="338"/>
      <c r="E1015" s="345"/>
      <c r="F1015" s="344"/>
      <c r="G1015" s="336"/>
      <c r="H1015" s="341"/>
      <c r="I1015" s="240"/>
      <c r="J1015" s="343"/>
      <c r="K1015" s="261"/>
      <c r="L1015" s="342"/>
      <c r="M1015" s="262"/>
      <c r="N1015" s="228"/>
      <c r="O1015" s="229"/>
    </row>
    <row r="1016" ht="22.5" customHeight="1">
      <c r="A1016" s="346"/>
      <c r="B1016" s="218"/>
      <c r="C1016" s="218"/>
      <c r="D1016" s="338"/>
      <c r="E1016" s="345"/>
      <c r="F1016" s="344"/>
      <c r="G1016" s="336"/>
      <c r="H1016" s="341"/>
      <c r="I1016" s="240"/>
      <c r="J1016" s="343"/>
      <c r="K1016" s="261"/>
      <c r="L1016" s="342"/>
      <c r="M1016" s="262"/>
      <c r="N1016" s="228"/>
      <c r="O1016" s="229"/>
    </row>
    <row r="1017" ht="22.5" customHeight="1">
      <c r="A1017" s="346"/>
      <c r="B1017" s="218"/>
      <c r="C1017" s="218"/>
      <c r="D1017" s="338"/>
      <c r="E1017" s="345"/>
      <c r="F1017" s="344"/>
      <c r="G1017" s="336"/>
      <c r="H1017" s="341"/>
      <c r="I1017" s="240"/>
      <c r="J1017" s="343"/>
      <c r="K1017" s="261"/>
      <c r="L1017" s="342"/>
      <c r="M1017" s="262"/>
      <c r="N1017" s="228"/>
      <c r="O1017" s="229"/>
    </row>
    <row r="1018" ht="22.5" customHeight="1">
      <c r="A1018" s="346"/>
      <c r="B1018" s="218"/>
      <c r="C1018" s="218"/>
      <c r="D1018" s="338"/>
      <c r="E1018" s="345"/>
      <c r="F1018" s="344"/>
      <c r="G1018" s="336"/>
      <c r="H1018" s="341"/>
      <c r="I1018" s="240"/>
      <c r="J1018" s="343"/>
      <c r="K1018" s="261"/>
      <c r="L1018" s="342"/>
      <c r="M1018" s="262"/>
      <c r="N1018" s="228"/>
      <c r="O1018" s="229"/>
    </row>
    <row r="1019" ht="22.5" customHeight="1">
      <c r="A1019" s="346"/>
      <c r="B1019" s="218"/>
      <c r="C1019" s="218"/>
      <c r="D1019" s="338"/>
      <c r="E1019" s="345"/>
      <c r="F1019" s="344"/>
      <c r="G1019" s="336"/>
      <c r="H1019" s="341"/>
      <c r="I1019" s="240"/>
      <c r="J1019" s="343"/>
      <c r="K1019" s="261"/>
      <c r="L1019" s="342"/>
      <c r="M1019" s="262"/>
      <c r="N1019" s="228"/>
      <c r="O1019" s="229"/>
    </row>
    <row r="1020" ht="22.5" customHeight="1">
      <c r="A1020" s="346"/>
      <c r="B1020" s="218"/>
      <c r="C1020" s="218"/>
      <c r="D1020" s="338"/>
      <c r="E1020" s="345"/>
      <c r="F1020" s="344"/>
      <c r="G1020" s="336"/>
      <c r="H1020" s="341"/>
      <c r="I1020" s="240"/>
      <c r="J1020" s="343"/>
      <c r="K1020" s="261"/>
      <c r="L1020" s="342"/>
      <c r="M1020" s="262"/>
      <c r="N1020" s="228"/>
      <c r="O1020" s="229"/>
    </row>
  </sheetData>
  <dataValidations>
    <dataValidation type="list" allowBlank="1" sqref="I2:I1020">
      <formula1>"Incoming,Ongoing,Completed,Cancelled"</formula1>
    </dataValidation>
    <dataValidation type="list" allowBlank="1" sqref="M2:M1020">
      <formula1>"Equipment Use,Laboratory Services,Bioinformatics Analysis,Retail Sales,N/A"</formula1>
    </dataValidation>
    <dataValidation type="custom" allowBlank="1" showDropDown="1" sqref="B2:C1020">
      <formula1>OR(NOT(ISERROR(DATEVALUE(B2))), AND(ISNUMBER(B2), LEFT(CELL("format", B2))="D"))</formula1>
    </dataValidation>
    <dataValidation type="list" allowBlank="1" showErrorMessage="1" sqref="I2:I4 I18:I39">
      <formula1>"Completed,Incoming,Cancelled,Ongoing"</formula1>
    </dataValidation>
    <dataValidation type="list" allowBlank="1" sqref="J2:J1020">
      <formula1>"UP System,SUC/HEI,Government,Private/Local,International,N/A"</formula1>
    </dataValidation>
    <dataValidation allowBlank="1" showDropDown="1" sqref="O2:O1020"/>
    <dataValidation allowBlank="1" showDropDown="1" sqref="G2:G1020"/>
    <dataValidation type="list" allowBlank="1" sqref="K2:K1020">
      <formula1>"In-House,External,N/A"</formula1>
    </dataValidation>
    <dataValidation type="list" allowBlank="1" sqref="E2:E1020">
      <formula1>#REF!</formula1>
    </dataValidation>
  </dataValidations>
  <hyperlinks>
    <hyperlink r:id="rId1" ref="N3"/>
    <hyperlink r:id="rId2" ref="N4"/>
    <hyperlink r:id="rId3" ref="N5"/>
    <hyperlink r:id="rId4" ref="N6"/>
    <hyperlink r:id="rId5" ref="N7"/>
    <hyperlink r:id="rId6" ref="N8"/>
    <hyperlink r:id="rId7" ref="N9"/>
    <hyperlink r:id="rId8" ref="N10"/>
    <hyperlink r:id="rId9" ref="N11"/>
    <hyperlink r:id="rId10" ref="N12"/>
    <hyperlink r:id="rId11" ref="N15"/>
    <hyperlink r:id="rId12" ref="N19"/>
    <hyperlink r:id="rId13" ref="N20"/>
    <hyperlink r:id="rId14" ref="N21"/>
    <hyperlink r:id="rId15" ref="N22"/>
    <hyperlink r:id="rId16" ref="N23"/>
    <hyperlink r:id="rId17" ref="N25"/>
    <hyperlink r:id="rId18" ref="N27"/>
    <hyperlink r:id="rId19" ref="N28"/>
    <hyperlink r:id="rId20" ref="N29"/>
    <hyperlink r:id="rId21" ref="N30"/>
    <hyperlink r:id="rId22" ref="N31"/>
    <hyperlink r:id="rId23" ref="N32"/>
    <hyperlink r:id="rId24" ref="N33"/>
    <hyperlink r:id="rId25" ref="N34"/>
    <hyperlink r:id="rId26" ref="N35"/>
    <hyperlink r:id="rId27" ref="N36"/>
    <hyperlink r:id="rId28" ref="N37"/>
    <hyperlink r:id="rId29" ref="N38"/>
    <hyperlink r:id="rId30" ref="N39"/>
    <hyperlink r:id="rId31" ref="N43"/>
    <hyperlink r:id="rId32" ref="N44"/>
    <hyperlink r:id="rId33" ref="N45"/>
    <hyperlink r:id="rId34" ref="N46"/>
    <hyperlink r:id="rId35" ref="N47"/>
    <hyperlink r:id="rId36" ref="N48"/>
    <hyperlink r:id="rId37" ref="N49"/>
    <hyperlink r:id="rId38" ref="N50"/>
    <hyperlink r:id="rId39" ref="N51"/>
    <hyperlink r:id="rId40" ref="N52"/>
    <hyperlink r:id="rId41" ref="N53"/>
    <hyperlink r:id="rId42" ref="N54"/>
    <hyperlink r:id="rId43" ref="N55"/>
    <hyperlink r:id="rId44" ref="N56"/>
    <hyperlink r:id="rId45" ref="N57"/>
    <hyperlink r:id="rId46" ref="N58"/>
    <hyperlink r:id="rId47" ref="N59"/>
    <hyperlink r:id="rId48" ref="N60"/>
    <hyperlink r:id="rId49" ref="N61"/>
    <hyperlink r:id="rId50" ref="N62"/>
    <hyperlink r:id="rId51" ref="N64"/>
    <hyperlink r:id="rId52" ref="N65"/>
    <hyperlink r:id="rId53" ref="N66"/>
    <hyperlink r:id="rId54" ref="N70"/>
    <hyperlink r:id="rId55" ref="N71"/>
    <hyperlink r:id="rId56" ref="N72"/>
    <hyperlink r:id="rId57" ref="N74"/>
    <hyperlink r:id="rId58" ref="N75"/>
    <hyperlink r:id="rId59" ref="N76"/>
    <hyperlink r:id="rId60" ref="N77"/>
    <hyperlink r:id="rId61" ref="N78"/>
    <hyperlink r:id="rId62" ref="N79"/>
    <hyperlink r:id="rId63" ref="N80"/>
    <hyperlink r:id="rId64" ref="N83"/>
    <hyperlink r:id="rId65" ref="N85"/>
    <hyperlink r:id="rId66" ref="N86"/>
    <hyperlink r:id="rId67" ref="N87"/>
    <hyperlink r:id="rId68" ref="N88"/>
    <hyperlink r:id="rId69" ref="N90"/>
    <hyperlink r:id="rId70" ref="N91"/>
    <hyperlink r:id="rId71" ref="N92"/>
    <hyperlink r:id="rId72" ref="N93"/>
    <hyperlink r:id="rId73" ref="N94"/>
    <hyperlink r:id="rId74" ref="N95"/>
    <hyperlink r:id="rId75" ref="N96"/>
    <hyperlink r:id="rId76" ref="N97"/>
    <hyperlink r:id="rId77" ref="N98"/>
    <hyperlink r:id="rId78" ref="N99"/>
    <hyperlink r:id="rId79" ref="N100"/>
    <hyperlink r:id="rId80" ref="N101"/>
    <hyperlink r:id="rId81" ref="N102"/>
    <hyperlink r:id="rId82" ref="N103"/>
    <hyperlink r:id="rId83" ref="N104"/>
    <hyperlink r:id="rId84" ref="N108"/>
    <hyperlink r:id="rId85" ref="N109"/>
    <hyperlink r:id="rId86" ref="N110"/>
    <hyperlink r:id="rId87" ref="N112"/>
    <hyperlink r:id="rId88" ref="N113"/>
    <hyperlink r:id="rId89" ref="N114"/>
    <hyperlink r:id="rId90" ref="N115"/>
    <hyperlink r:id="rId91" ref="N116"/>
    <hyperlink r:id="rId92" ref="N117"/>
    <hyperlink r:id="rId93" ref="N118"/>
    <hyperlink r:id="rId94" ref="N120"/>
    <hyperlink r:id="rId95" ref="N122"/>
    <hyperlink r:id="rId96" ref="N123"/>
    <hyperlink r:id="rId97" ref="N124"/>
    <hyperlink r:id="rId98" ref="N125"/>
    <hyperlink r:id="rId99" ref="N126"/>
    <hyperlink r:id="rId100" ref="N127"/>
    <hyperlink r:id="rId101" ref="N128"/>
    <hyperlink r:id="rId102" ref="N130"/>
    <hyperlink r:id="rId103" ref="N131"/>
    <hyperlink r:id="rId104" ref="N132"/>
    <hyperlink r:id="rId105" ref="N133"/>
    <hyperlink r:id="rId106" ref="N134"/>
    <hyperlink r:id="rId107" ref="N135"/>
    <hyperlink r:id="rId108" ref="N137"/>
    <hyperlink r:id="rId109" ref="N138"/>
    <hyperlink r:id="rId110" ref="N139"/>
    <hyperlink r:id="rId111" ref="N140"/>
    <hyperlink r:id="rId112" ref="N146"/>
    <hyperlink r:id="rId113" ref="N147"/>
  </hyperlinks>
  <drawing r:id="rId114"/>
  <tableParts count="1">
    <tablePart r:id="rId116"/>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2.63" defaultRowHeight="15.75"/>
  <cols>
    <col customWidth="1" min="1" max="2" width="16.75"/>
    <col customWidth="1" min="3" max="3" width="20.25"/>
    <col customWidth="1" min="4" max="4" width="25.75"/>
    <col customWidth="1" min="5" max="5" width="16.13"/>
    <col customWidth="1" min="6" max="6" width="20.75"/>
    <col customWidth="1" min="7" max="7" width="15.38"/>
    <col customWidth="1" min="8" max="8" width="28.25"/>
    <col customWidth="1" min="9" max="9" width="20.88"/>
    <col customWidth="1" min="10" max="10" width="32.88"/>
    <col customWidth="1" min="11" max="12" width="23.38"/>
    <col customWidth="1" min="13" max="13" width="21.5"/>
    <col customWidth="1" min="14" max="14" width="25.13"/>
    <col customWidth="1" min="15" max="15" width="16.25"/>
    <col customWidth="1" min="16" max="16" width="22.63"/>
    <col customWidth="1" min="17" max="17" width="31.13"/>
  </cols>
  <sheetData>
    <row r="1" ht="22.5" customHeight="1">
      <c r="A1" s="128" t="s">
        <v>840</v>
      </c>
      <c r="B1" s="128" t="s">
        <v>1907</v>
      </c>
      <c r="C1" s="128" t="s">
        <v>838</v>
      </c>
      <c r="D1" s="129" t="s">
        <v>1</v>
      </c>
      <c r="E1" s="347" t="s">
        <v>839</v>
      </c>
      <c r="F1" s="128" t="s">
        <v>4</v>
      </c>
      <c r="G1" s="128" t="s">
        <v>1908</v>
      </c>
      <c r="H1" s="128" t="s">
        <v>1909</v>
      </c>
      <c r="I1" s="128" t="s">
        <v>1910</v>
      </c>
      <c r="J1" s="128" t="s">
        <v>1911</v>
      </c>
      <c r="K1" s="128" t="s">
        <v>1404</v>
      </c>
      <c r="L1" s="128" t="s">
        <v>1912</v>
      </c>
      <c r="M1" s="348" t="s">
        <v>1913</v>
      </c>
      <c r="N1" s="349" t="s">
        <v>1914</v>
      </c>
      <c r="O1" s="350" t="s">
        <v>1915</v>
      </c>
      <c r="P1" s="349" t="s">
        <v>1916</v>
      </c>
      <c r="Q1" s="128" t="s">
        <v>1406</v>
      </c>
      <c r="R1" s="87"/>
      <c r="S1" s="87"/>
      <c r="T1" s="87"/>
      <c r="U1" s="87"/>
      <c r="V1" s="87"/>
      <c r="W1" s="87"/>
      <c r="X1" s="87"/>
      <c r="Y1" s="87"/>
      <c r="Z1" s="87"/>
      <c r="AA1" s="87"/>
      <c r="AB1" s="87"/>
      <c r="AC1" s="87"/>
      <c r="AD1" s="87"/>
      <c r="AE1" s="87"/>
      <c r="AF1" s="87"/>
      <c r="AG1" s="87"/>
    </row>
    <row r="2" ht="22.5" customHeight="1">
      <c r="A2" s="136">
        <v>2020.0</v>
      </c>
      <c r="B2" s="351">
        <v>44176.0</v>
      </c>
      <c r="C2" s="352" t="s">
        <v>1917</v>
      </c>
      <c r="D2" s="353" t="s">
        <v>104</v>
      </c>
      <c r="E2" s="354">
        <v>8597.6</v>
      </c>
      <c r="F2" s="355" t="s">
        <v>1918</v>
      </c>
      <c r="G2" s="356" t="str">
        <f>IFERROR(VLOOKUP(D2,'Client ID Records_v2'!D:E, 2, FALSE), "")</f>
        <v>CL-2020-019</v>
      </c>
      <c r="H2" s="357" t="str">
        <f>IFERROR(VLOOKUP(G2,'Client ID Records_v2'!E:F, 2, FALSE), "")</f>
        <v>Institute of Marine Fisheries and Oceanology, College of Fisheries and Ocean Sciences, University of the Philippines Visayas</v>
      </c>
      <c r="I2" s="352" t="str">
        <f>IFERROR(VLOOKUP(D2,'Project Records_v2'!E:F, 2, FALSE), "")</f>
        <v>P-2020-008</v>
      </c>
      <c r="J2" s="358" t="str">
        <f>IFERROR(VLOOKUP(I2,'Project Records_v2'!F:G, 2, FALSE), "")</f>
        <v>Marine Fisheries Assessment of Panay: Building Local Fisheries Information through Research Capability Enhancement on Higher Education Insitutions </v>
      </c>
      <c r="K2" s="359" t="s">
        <v>1418</v>
      </c>
      <c r="L2" s="360" t="s">
        <v>26</v>
      </c>
      <c r="M2" s="361" t="s">
        <v>1919</v>
      </c>
      <c r="N2" s="362" t="s">
        <v>1920</v>
      </c>
      <c r="O2" s="363"/>
      <c r="P2" s="364"/>
      <c r="Q2" s="365"/>
    </row>
    <row r="3" ht="22.5" customHeight="1">
      <c r="A3" s="146">
        <v>2021.0</v>
      </c>
      <c r="B3" s="366">
        <v>44258.0</v>
      </c>
      <c r="C3" s="367" t="s">
        <v>1921</v>
      </c>
      <c r="D3" s="353" t="s">
        <v>104</v>
      </c>
      <c r="E3" s="354">
        <v>7335.24</v>
      </c>
      <c r="F3" s="355" t="s">
        <v>1918</v>
      </c>
      <c r="G3" s="352" t="str">
        <f>IFERROR(VLOOKUP(D3,'Client ID Records_v2'!D:E, 2, FALSE), "")</f>
        <v>CL-2020-019</v>
      </c>
      <c r="H3" s="368" t="str">
        <f>IFERROR(VLOOKUP(G3,'Client ID Records_v2'!E:F, 2, FALSE), "")</f>
        <v>Institute of Marine Fisheries and Oceanology, College of Fisheries and Ocean Sciences, University of the Philippines Visayas</v>
      </c>
      <c r="I3" s="352" t="str">
        <f>IFERROR(VLOOKUP(D3,'Project Records_v2'!E:F, 2, FALSE), "")</f>
        <v>P-2020-008</v>
      </c>
      <c r="J3" s="358" t="str">
        <f>IFERROR(VLOOKUP(I3,'Project Records_v2'!F:G, 2, FALSE), "")</f>
        <v>Marine Fisheries Assessment of Panay: Building Local Fisheries Information through Research Capability Enhancement on Higher Education Insitutions </v>
      </c>
      <c r="K3" s="359" t="s">
        <v>1418</v>
      </c>
      <c r="L3" s="360" t="s">
        <v>26</v>
      </c>
      <c r="M3" s="361" t="s">
        <v>1919</v>
      </c>
      <c r="N3" s="369" t="s">
        <v>1922</v>
      </c>
      <c r="O3" s="370">
        <v>493079.0</v>
      </c>
      <c r="P3" s="371">
        <v>44305.0</v>
      </c>
      <c r="Q3" s="365"/>
    </row>
    <row r="4" ht="22.5" customHeight="1">
      <c r="A4" s="146">
        <v>2021.0</v>
      </c>
      <c r="B4" s="366">
        <v>44341.0</v>
      </c>
      <c r="C4" s="367" t="s">
        <v>1923</v>
      </c>
      <c r="D4" s="353" t="s">
        <v>104</v>
      </c>
      <c r="E4" s="354">
        <v>24210.2</v>
      </c>
      <c r="F4" s="355" t="s">
        <v>1918</v>
      </c>
      <c r="G4" s="352" t="str">
        <f>IFERROR(VLOOKUP(D4,'Client ID Records_v2'!D:E, 2, FALSE), "")</f>
        <v>CL-2020-019</v>
      </c>
      <c r="H4" s="368" t="str">
        <f>IFERROR(VLOOKUP(G4,'Client ID Records_v2'!E:F, 2, FALSE), "")</f>
        <v>Institute of Marine Fisheries and Oceanology, College of Fisheries and Ocean Sciences, University of the Philippines Visayas</v>
      </c>
      <c r="I4" s="352" t="str">
        <f>IFERROR(VLOOKUP(D4,'Project Records_v2'!E:F, 2, FALSE), "")</f>
        <v>P-2020-008</v>
      </c>
      <c r="J4" s="358" t="str">
        <f>IFERROR(VLOOKUP(I4,'Project Records_v2'!F:G, 2, FALSE), "")</f>
        <v>Marine Fisheries Assessment of Panay: Building Local Fisheries Information through Research Capability Enhancement on Higher Education Insitutions </v>
      </c>
      <c r="K4" s="359" t="s">
        <v>1418</v>
      </c>
      <c r="L4" s="360" t="s">
        <v>26</v>
      </c>
      <c r="M4" s="361" t="s">
        <v>1919</v>
      </c>
      <c r="N4" s="369" t="s">
        <v>1924</v>
      </c>
      <c r="O4" s="370">
        <v>495221.0</v>
      </c>
      <c r="P4" s="371">
        <v>44368.0</v>
      </c>
      <c r="Q4" s="365"/>
    </row>
    <row r="5" ht="22.5" customHeight="1">
      <c r="A5" s="146">
        <v>2021.0</v>
      </c>
      <c r="B5" s="366">
        <v>44384.0</v>
      </c>
      <c r="C5" s="367" t="s">
        <v>1925</v>
      </c>
      <c r="D5" s="353" t="s">
        <v>104</v>
      </c>
      <c r="E5" s="354">
        <v>24210.2</v>
      </c>
      <c r="F5" s="355" t="s">
        <v>1918</v>
      </c>
      <c r="G5" s="352" t="str">
        <f>IFERROR(VLOOKUP(D5,'Client ID Records_v2'!D:E, 2, FALSE), "")</f>
        <v>CL-2020-019</v>
      </c>
      <c r="H5" s="368" t="str">
        <f>IFERROR(VLOOKUP(G5,'Client ID Records_v2'!E:F, 2, FALSE), "")</f>
        <v>Institute of Marine Fisheries and Oceanology, College of Fisheries and Ocean Sciences, University of the Philippines Visayas</v>
      </c>
      <c r="I5" s="352" t="str">
        <f>IFERROR(VLOOKUP(D5,'Project Records_v2'!E:F, 2, FALSE), "")</f>
        <v>P-2020-008</v>
      </c>
      <c r="J5" s="358" t="str">
        <f>IFERROR(VLOOKUP(I5,'Project Records_v2'!F:G, 2, FALSE), "")</f>
        <v>Marine Fisheries Assessment of Panay: Building Local Fisheries Information through Research Capability Enhancement on Higher Education Insitutions </v>
      </c>
      <c r="K5" s="359" t="s">
        <v>1418</v>
      </c>
      <c r="L5" s="360" t="s">
        <v>26</v>
      </c>
      <c r="M5" s="361" t="s">
        <v>1919</v>
      </c>
      <c r="N5" s="369" t="s">
        <v>1926</v>
      </c>
      <c r="O5" s="370">
        <v>497555.0</v>
      </c>
      <c r="P5" s="371">
        <v>44405.0</v>
      </c>
      <c r="Q5" s="365"/>
    </row>
    <row r="6" ht="22.5" customHeight="1">
      <c r="A6" s="146">
        <v>2021.0</v>
      </c>
      <c r="B6" s="366">
        <v>44392.0</v>
      </c>
      <c r="C6" s="367" t="s">
        <v>1927</v>
      </c>
      <c r="D6" s="353" t="s">
        <v>165</v>
      </c>
      <c r="E6" s="354">
        <v>600000.85</v>
      </c>
      <c r="F6" s="355" t="s">
        <v>1918</v>
      </c>
      <c r="G6" s="352" t="str">
        <f>IFERROR(VLOOKUP(D6,'Client ID Records_v2'!D:E, 2, FALSE), "")</f>
        <v>CL-2021-031</v>
      </c>
      <c r="H6" s="368" t="str">
        <f>IFERROR(VLOOKUP(G6,'Client ID Records_v2'!E:F, 2, FALSE), "")</f>
        <v>Room 9, Second Floor (ABBA R&amp;D Center), College of Fisheries and Aquatic Science (CFAS), WPU-Puerto Princesa Campus, Sta. Monica, Puerto Princesa City</v>
      </c>
      <c r="I6" s="352" t="str">
        <f>IFERROR(VLOOKUP(D6,'Project Records_v2'!E:F, 2, FALSE), "")</f>
        <v>P-2021-013</v>
      </c>
      <c r="J6" s="372" t="str">
        <f>IFERROR(VLOOKUP(I6,'Project Records_v2'!F:G, 2, FALSE), "")</f>
        <v>Genetic Characterization of Macrobrachium populations in the Philippines for broodstock development and seed production</v>
      </c>
      <c r="K6" s="359" t="s">
        <v>1919</v>
      </c>
      <c r="L6" s="360" t="s">
        <v>1928</v>
      </c>
      <c r="M6" s="361" t="s">
        <v>1929</v>
      </c>
      <c r="N6" s="369" t="s">
        <v>1930</v>
      </c>
      <c r="O6" s="373">
        <v>498868.0</v>
      </c>
      <c r="P6" s="371">
        <v>44459.0</v>
      </c>
      <c r="Q6" s="365"/>
    </row>
    <row r="7" ht="22.5" customHeight="1">
      <c r="A7" s="146">
        <v>2021.0</v>
      </c>
      <c r="B7" s="366">
        <v>44403.0</v>
      </c>
      <c r="C7" s="367" t="s">
        <v>1931</v>
      </c>
      <c r="D7" s="353" t="s">
        <v>183</v>
      </c>
      <c r="E7" s="374"/>
      <c r="F7" s="355" t="s">
        <v>1932</v>
      </c>
      <c r="G7" s="352" t="str">
        <f>IFERROR(VLOOKUP(D7,'Client ID Records_v2'!D:E, 2, FALSE), "")</f>
        <v>CL-2021-035</v>
      </c>
      <c r="H7" s="368" t="str">
        <f>IFERROR(VLOOKUP(G7,'Client ID Records_v2'!E:F, 2, FALSE), "")</f>
        <v>College of Arts and Sciences (CAS) Buidling, University of the Philippines Visayas, Miagao, Iloilo 5023</v>
      </c>
      <c r="I7" s="352" t="str">
        <f>IFERROR(VLOOKUP(D7,'Project Records_v2'!E:F, 2, FALSE), "")</f>
        <v>P-2021-014</v>
      </c>
      <c r="J7" s="372" t="str">
        <f>IFERROR(VLOOKUP(I7,'Project Records_v2'!F:G, 2, FALSE), "")</f>
        <v>Pre-commercialization of Microwave Extracted Pectin from Waste Calamansi Peels</v>
      </c>
      <c r="K7" s="359" t="s">
        <v>1472</v>
      </c>
      <c r="L7" s="360" t="s">
        <v>1933</v>
      </c>
      <c r="M7" s="355" t="s">
        <v>101</v>
      </c>
      <c r="N7" s="352" t="s">
        <v>26</v>
      </c>
      <c r="O7" s="363"/>
      <c r="P7" s="364"/>
      <c r="Q7" s="357" t="s">
        <v>1934</v>
      </c>
    </row>
    <row r="8" ht="22.5" customHeight="1">
      <c r="A8" s="146">
        <v>2021.0</v>
      </c>
      <c r="B8" s="366">
        <v>44413.0</v>
      </c>
      <c r="C8" s="367" t="s">
        <v>1935</v>
      </c>
      <c r="D8" s="353" t="s">
        <v>183</v>
      </c>
      <c r="E8" s="374"/>
      <c r="F8" s="355" t="s">
        <v>1932</v>
      </c>
      <c r="G8" s="352" t="str">
        <f>IFERROR(VLOOKUP(D8,'Client ID Records_v2'!D:E, 2, FALSE), "")</f>
        <v>CL-2021-035</v>
      </c>
      <c r="H8" s="368" t="str">
        <f>IFERROR(VLOOKUP(G8,'Client ID Records_v2'!E:F, 2, FALSE), "")</f>
        <v>College of Arts and Sciences (CAS) Buidling, University of the Philippines Visayas, Miagao, Iloilo 5023</v>
      </c>
      <c r="I8" s="352" t="str">
        <f>IFERROR(VLOOKUP(D8,'Project Records_v2'!E:F, 2, FALSE), "")</f>
        <v>P-2021-014</v>
      </c>
      <c r="J8" s="372" t="str">
        <f>IFERROR(VLOOKUP(I8,'Project Records_v2'!F:G, 2, FALSE), "")</f>
        <v>Pre-commercialization of Microwave Extracted Pectin from Waste Calamansi Peels</v>
      </c>
      <c r="K8" s="359" t="s">
        <v>1472</v>
      </c>
      <c r="L8" s="360" t="s">
        <v>1933</v>
      </c>
      <c r="M8" s="355" t="s">
        <v>101</v>
      </c>
      <c r="N8" s="352" t="s">
        <v>26</v>
      </c>
      <c r="O8" s="363"/>
      <c r="P8" s="364"/>
      <c r="Q8" s="357" t="s">
        <v>1936</v>
      </c>
    </row>
    <row r="9" ht="22.5" customHeight="1">
      <c r="A9" s="146">
        <v>2021.0</v>
      </c>
      <c r="B9" s="366">
        <v>44420.0</v>
      </c>
      <c r="C9" s="367" t="s">
        <v>1937</v>
      </c>
      <c r="D9" s="353" t="s">
        <v>183</v>
      </c>
      <c r="E9" s="374"/>
      <c r="F9" s="355" t="s">
        <v>1932</v>
      </c>
      <c r="G9" s="352" t="str">
        <f>IFERROR(VLOOKUP(D9,'Client ID Records_v2'!D:E, 2, FALSE), "")</f>
        <v>CL-2021-035</v>
      </c>
      <c r="H9" s="368" t="str">
        <f>IFERROR(VLOOKUP(G9,'Client ID Records_v2'!E:F, 2, FALSE), "")</f>
        <v>College of Arts and Sciences (CAS) Buidling, University of the Philippines Visayas, Miagao, Iloilo 5023</v>
      </c>
      <c r="I9" s="352" t="str">
        <f>IFERROR(VLOOKUP(D9,'Project Records_v2'!E:F, 2, FALSE), "")</f>
        <v>P-2021-014</v>
      </c>
      <c r="J9" s="372" t="str">
        <f>IFERROR(VLOOKUP(I9,'Project Records_v2'!F:G, 2, FALSE), "")</f>
        <v>Pre-commercialization of Microwave Extracted Pectin from Waste Calamansi Peels</v>
      </c>
      <c r="K9" s="359" t="s">
        <v>1472</v>
      </c>
      <c r="L9" s="360" t="s">
        <v>1933</v>
      </c>
      <c r="M9" s="355" t="s">
        <v>101</v>
      </c>
      <c r="N9" s="352" t="s">
        <v>26</v>
      </c>
      <c r="O9" s="363"/>
      <c r="P9" s="364"/>
      <c r="Q9" s="357" t="s">
        <v>1938</v>
      </c>
    </row>
    <row r="10" ht="22.5" customHeight="1">
      <c r="A10" s="146">
        <v>2021.0</v>
      </c>
      <c r="B10" s="366">
        <v>44424.0</v>
      </c>
      <c r="C10" s="367" t="s">
        <v>1939</v>
      </c>
      <c r="D10" s="353" t="s">
        <v>183</v>
      </c>
      <c r="E10" s="374"/>
      <c r="F10" s="355" t="s">
        <v>1932</v>
      </c>
      <c r="G10" s="352" t="str">
        <f>IFERROR(VLOOKUP(D10,'Client ID Records_v2'!D:E, 2, FALSE), "")</f>
        <v>CL-2021-035</v>
      </c>
      <c r="H10" s="368" t="str">
        <f>IFERROR(VLOOKUP(G10,'Client ID Records_v2'!E:F, 2, FALSE), "")</f>
        <v>College of Arts and Sciences (CAS) Buidling, University of the Philippines Visayas, Miagao, Iloilo 5023</v>
      </c>
      <c r="I10" s="352" t="str">
        <f>IFERROR(VLOOKUP(D10,'Project Records_v2'!E:F, 2, FALSE), "")</f>
        <v>P-2021-014</v>
      </c>
      <c r="J10" s="372" t="str">
        <f>IFERROR(VLOOKUP(I10,'Project Records_v2'!F:G, 2, FALSE), "")</f>
        <v>Pre-commercialization of Microwave Extracted Pectin from Waste Calamansi Peels</v>
      </c>
      <c r="K10" s="359" t="s">
        <v>1472</v>
      </c>
      <c r="L10" s="360" t="s">
        <v>1933</v>
      </c>
      <c r="M10" s="355" t="s">
        <v>101</v>
      </c>
      <c r="N10" s="352" t="s">
        <v>26</v>
      </c>
      <c r="O10" s="363"/>
      <c r="P10" s="364"/>
      <c r="Q10" s="357" t="s">
        <v>1940</v>
      </c>
    </row>
    <row r="11" ht="22.5" customHeight="1">
      <c r="A11" s="146">
        <v>2021.0</v>
      </c>
      <c r="B11" s="366">
        <v>44441.0</v>
      </c>
      <c r="C11" s="367" t="s">
        <v>1941</v>
      </c>
      <c r="D11" s="353" t="s">
        <v>104</v>
      </c>
      <c r="E11" s="354">
        <v>24210.2</v>
      </c>
      <c r="F11" s="355" t="s">
        <v>1932</v>
      </c>
      <c r="G11" s="352" t="str">
        <f>IFERROR(VLOOKUP(D11,'Client ID Records_v2'!D:E, 2, FALSE), "")</f>
        <v>CL-2020-019</v>
      </c>
      <c r="H11" s="368" t="str">
        <f>IFERROR(VLOOKUP(G11,'Client ID Records_v2'!E:F, 2, FALSE), "")</f>
        <v>Institute of Marine Fisheries and Oceanology, College of Fisheries and Ocean Sciences, University of the Philippines Visayas</v>
      </c>
      <c r="I11" s="352" t="str">
        <f>IFERROR(VLOOKUP(D11,'Project Records_v2'!E:F, 2, FALSE), "")</f>
        <v>P-2020-008</v>
      </c>
      <c r="J11" s="358" t="str">
        <f>IFERROR(VLOOKUP(I11,'Project Records_v2'!F:G, 2, FALSE), "")</f>
        <v>Marine Fisheries Assessment of Panay: Building Local Fisheries Information through Research Capability Enhancement on Higher Education Insitutions </v>
      </c>
      <c r="K11" s="359" t="s">
        <v>1418</v>
      </c>
      <c r="L11" s="360" t="s">
        <v>26</v>
      </c>
      <c r="M11" s="355" t="s">
        <v>1919</v>
      </c>
      <c r="N11" s="352" t="s">
        <v>26</v>
      </c>
      <c r="O11" s="370"/>
      <c r="P11" s="371"/>
      <c r="Q11" s="365"/>
    </row>
    <row r="12" ht="22.5" customHeight="1">
      <c r="A12" s="146">
        <v>2021.0</v>
      </c>
      <c r="B12" s="366">
        <v>44484.0</v>
      </c>
      <c r="C12" s="367" t="s">
        <v>1942</v>
      </c>
      <c r="D12" s="353" t="s">
        <v>104</v>
      </c>
      <c r="E12" s="354">
        <v>8800.0</v>
      </c>
      <c r="F12" s="355" t="s">
        <v>1918</v>
      </c>
      <c r="G12" s="352" t="str">
        <f>IFERROR(VLOOKUP(D12,'Client ID Records_v2'!D:E, 2, FALSE), "")</f>
        <v>CL-2020-019</v>
      </c>
      <c r="H12" s="368" t="str">
        <f>IFERROR(VLOOKUP(G12,'Client ID Records_v2'!E:F, 2, FALSE), "")</f>
        <v>Institute of Marine Fisheries and Oceanology, College of Fisheries and Ocean Sciences, University of the Philippines Visayas</v>
      </c>
      <c r="I12" s="352" t="str">
        <f>IFERROR(VLOOKUP(D12,'Project Records_v2'!E:F, 2, FALSE), "")</f>
        <v>P-2020-008</v>
      </c>
      <c r="J12" s="358" t="str">
        <f>IFERROR(VLOOKUP(I12,'Project Records_v2'!F:G, 2, FALSE), "")</f>
        <v>Marine Fisheries Assessment of Panay: Building Local Fisheries Information through Research Capability Enhancement on Higher Education Insitutions </v>
      </c>
      <c r="K12" s="359" t="s">
        <v>1418</v>
      </c>
      <c r="L12" s="360" t="s">
        <v>26</v>
      </c>
      <c r="M12" s="355" t="s">
        <v>1919</v>
      </c>
      <c r="N12" s="369" t="s">
        <v>1943</v>
      </c>
      <c r="O12" s="370">
        <v>508210.0</v>
      </c>
      <c r="P12" s="371">
        <v>44553.0</v>
      </c>
      <c r="Q12" s="365"/>
    </row>
    <row r="13" ht="22.5" customHeight="1">
      <c r="A13" s="375">
        <v>2022.0</v>
      </c>
      <c r="B13" s="366">
        <v>44673.0</v>
      </c>
      <c r="C13" s="367" t="s">
        <v>1944</v>
      </c>
      <c r="D13" s="353" t="s">
        <v>225</v>
      </c>
      <c r="E13" s="376">
        <v>1320.0</v>
      </c>
      <c r="F13" s="377" t="s">
        <v>1918</v>
      </c>
      <c r="G13" s="352" t="str">
        <f>IFERROR(VLOOKUP(D13,'Client ID Records_v2'!D:E, 2, FALSE), "")</f>
        <v>CL-2022-044</v>
      </c>
      <c r="H13" s="368" t="str">
        <f>IFERROR(VLOOKUP(G13,'Client ID Records_v2'!E:F, 2, FALSE), "")</f>
        <v>Division of Biological Sciences, College of Arts and Sciences, University of the Philippines Visayas, Miagao, Iloilo</v>
      </c>
      <c r="I13" s="352" t="str">
        <f>IFERROR(VLOOKUP(D13,'Project Records_v2'!E:F, 2, FALSE), "")</f>
        <v>P-2022-022</v>
      </c>
      <c r="J13" s="372" t="str">
        <f>IFERROR(VLOOKUP(I13,'Project Records_v2'!F:G, 2, FALSE), "")</f>
        <v>Assessment of Anthropogenic Marine Debris and Mangrove Forest Health in Iloilo Strait, Western Visayas, Philippines</v>
      </c>
      <c r="K13" s="359" t="s">
        <v>1472</v>
      </c>
      <c r="L13" s="360" t="s">
        <v>1945</v>
      </c>
      <c r="M13" s="355" t="s">
        <v>1919</v>
      </c>
      <c r="N13" s="362" t="s">
        <v>1946</v>
      </c>
      <c r="O13" s="370">
        <v>512050.0</v>
      </c>
      <c r="P13" s="371">
        <v>44673.0</v>
      </c>
      <c r="Q13" s="365"/>
    </row>
    <row r="14" ht="22.5" customHeight="1">
      <c r="A14" s="375">
        <v>2022.0</v>
      </c>
      <c r="B14" s="366">
        <v>44673.0</v>
      </c>
      <c r="C14" s="367" t="s">
        <v>1947</v>
      </c>
      <c r="D14" s="378" t="s">
        <v>88</v>
      </c>
      <c r="E14" s="379">
        <v>1205944.96</v>
      </c>
      <c r="F14" s="377" t="s">
        <v>1918</v>
      </c>
      <c r="G14" s="352" t="str">
        <f>IFERROR(VLOOKUP(D14,'Client ID Records_v2'!D:E, 2, FALSE), "")</f>
        <v>CL-2020-015</v>
      </c>
      <c r="H14" s="368" t="str">
        <f>IFERROR(VLOOKUP(G14,'Client ID Records_v2'!E:F, 2, FALSE), "")</f>
        <v>Institute of Aquaculture, College of Fisheries and Ocean Sciences, University of the Philippines Visayas, Miagao, 5023, Iloilo</v>
      </c>
      <c r="I14" s="352" t="str">
        <f>IFERROR(VLOOKUP(D14,'Project Records_v2'!E:F, 2, FALSE), "")</f>
        <v>P-2020-005</v>
      </c>
      <c r="J14" s="372" t="str">
        <f>IFERROR(VLOOKUP(I14,'Project Records_v2'!F:G, 2, FALSE), "")</f>
        <v>Transcriptome and metabolome profiling of seaweeds to elucidate "ice-ice" disease and epiphyte infestation mechanisms</v>
      </c>
      <c r="K14" s="359" t="s">
        <v>1919</v>
      </c>
      <c r="L14" s="360" t="s">
        <v>1948</v>
      </c>
      <c r="M14" s="377" t="s">
        <v>1929</v>
      </c>
      <c r="N14" s="362" t="s">
        <v>1949</v>
      </c>
      <c r="O14" s="370"/>
      <c r="P14" s="371"/>
      <c r="Q14" s="365"/>
    </row>
    <row r="15" ht="22.5" customHeight="1">
      <c r="A15" s="375">
        <v>2022.0</v>
      </c>
      <c r="B15" s="366">
        <v>44697.0</v>
      </c>
      <c r="C15" s="367" t="s">
        <v>1950</v>
      </c>
      <c r="D15" s="378" t="s">
        <v>64</v>
      </c>
      <c r="E15" s="379">
        <v>3033.36</v>
      </c>
      <c r="F15" s="377" t="s">
        <v>1918</v>
      </c>
      <c r="G15" s="352" t="str">
        <f>IFERROR(VLOOKUP(D15,'Client ID Records_v2'!D:E, 2, FALSE), "")</f>
        <v>CL-2020-010</v>
      </c>
      <c r="H15" s="368" t="str">
        <f>IFERROR(VLOOKUP(G15,'Client ID Records_v2'!E:F, 2, FALSE), "")</f>
        <v>Institute of Aquaculture, College of Fisheries and Ocean Sciences, University of the Philippines Visayas, Miagao, 5023, Iloilo</v>
      </c>
      <c r="I15" s="352" t="str">
        <f>IFERROR(VLOOKUP(D15,'Project Records_v2'!E:F, 2, FALSE), "")</f>
        <v>P-2020-001</v>
      </c>
      <c r="J15" s="358" t="str">
        <f>IFERROR(VLOOKUP(I15,'Project Records_v2'!F:G, 2, FALSE), "")</f>
        <v>Global Seaweed STAR Project</v>
      </c>
      <c r="K15" s="359" t="s">
        <v>1418</v>
      </c>
      <c r="L15" s="360" t="s">
        <v>26</v>
      </c>
      <c r="M15" s="377" t="s">
        <v>1919</v>
      </c>
      <c r="N15" s="362" t="s">
        <v>1946</v>
      </c>
      <c r="O15" s="373">
        <v>514345.0</v>
      </c>
      <c r="P15" s="371">
        <v>44722.0</v>
      </c>
      <c r="Q15" s="365"/>
    </row>
    <row r="16" ht="22.5" customHeight="1">
      <c r="A16" s="375">
        <v>2022.0</v>
      </c>
      <c r="B16" s="366">
        <v>44701.0</v>
      </c>
      <c r="C16" s="367" t="s">
        <v>1951</v>
      </c>
      <c r="D16" s="378" t="s">
        <v>225</v>
      </c>
      <c r="E16" s="376">
        <v>1320.0</v>
      </c>
      <c r="F16" s="377" t="s">
        <v>1918</v>
      </c>
      <c r="G16" s="352" t="str">
        <f>IFERROR(VLOOKUP(D16,'Client ID Records_v2'!D:E, 2, FALSE), "")</f>
        <v>CL-2022-044</v>
      </c>
      <c r="H16" s="368" t="str">
        <f>IFERROR(VLOOKUP(G16,'Client ID Records_v2'!E:F, 2, FALSE), "")</f>
        <v>Division of Biological Sciences, College of Arts and Sciences, University of the Philippines Visayas, Miagao, Iloilo</v>
      </c>
      <c r="I16" s="352" t="str">
        <f>IFERROR(VLOOKUP(D16,'Project Records_v2'!E:F, 2, FALSE), "")</f>
        <v>P-2022-022</v>
      </c>
      <c r="J16" s="372" t="str">
        <f>IFERROR(VLOOKUP(I16,'Project Records_v2'!F:G, 2, FALSE), "")</f>
        <v>Assessment of Anthropogenic Marine Debris and Mangrove Forest Health in Iloilo Strait, Western Visayas, Philippines</v>
      </c>
      <c r="K16" s="359" t="s">
        <v>1472</v>
      </c>
      <c r="L16" s="360" t="s">
        <v>1945</v>
      </c>
      <c r="M16" s="377" t="s">
        <v>1919</v>
      </c>
      <c r="N16" s="362" t="s">
        <v>1946</v>
      </c>
      <c r="O16" s="373">
        <v>512685.0</v>
      </c>
      <c r="P16" s="371">
        <v>44701.0</v>
      </c>
      <c r="Q16" s="365"/>
    </row>
    <row r="17" ht="22.5" customHeight="1">
      <c r="A17" s="375">
        <v>2022.0</v>
      </c>
      <c r="B17" s="380">
        <v>44733.0</v>
      </c>
      <c r="C17" s="381" t="s">
        <v>1952</v>
      </c>
      <c r="D17" s="378" t="s">
        <v>165</v>
      </c>
      <c r="E17" s="376">
        <v>193203.97</v>
      </c>
      <c r="F17" s="377" t="s">
        <v>1918</v>
      </c>
      <c r="G17" s="352" t="str">
        <f>IFERROR(VLOOKUP(D17,'Client ID Records_v2'!D:E, 2, FALSE), "")</f>
        <v>CL-2021-031</v>
      </c>
      <c r="H17" s="368" t="str">
        <f>IFERROR(VLOOKUP(G17,'Client ID Records_v2'!E:F, 2, FALSE), "")</f>
        <v>Room 9, Second Floor (ABBA R&amp;D Center), College of Fisheries and Aquatic Science (CFAS), WPU-Puerto Princesa Campus, Sta. Monica, Puerto Princesa City</v>
      </c>
      <c r="I17" s="352" t="str">
        <f>IFERROR(VLOOKUP(D17,'Project Records_v2'!E:F, 2, FALSE), "")</f>
        <v>P-2021-013</v>
      </c>
      <c r="J17" s="372" t="str">
        <f>IFERROR(VLOOKUP(I17,'Project Records_v2'!F:G, 2, FALSE), "")</f>
        <v>Genetic Characterization of Macrobrachium populations in the Philippines for broodstock development and seed production</v>
      </c>
      <c r="K17" s="359" t="s">
        <v>1919</v>
      </c>
      <c r="L17" s="360" t="s">
        <v>1928</v>
      </c>
      <c r="M17" s="361" t="s">
        <v>1929</v>
      </c>
      <c r="N17" s="362" t="s">
        <v>1946</v>
      </c>
      <c r="O17" s="382" t="s">
        <v>1953</v>
      </c>
      <c r="P17" s="371">
        <v>44792.0</v>
      </c>
      <c r="Q17" s="365"/>
    </row>
    <row r="18" ht="22.5" customHeight="1">
      <c r="A18" s="375">
        <v>2022.0</v>
      </c>
      <c r="B18" s="366">
        <v>44551.0</v>
      </c>
      <c r="C18" s="381" t="s">
        <v>1954</v>
      </c>
      <c r="D18" s="378" t="s">
        <v>79</v>
      </c>
      <c r="E18" s="376">
        <v>76402.48</v>
      </c>
      <c r="F18" s="383"/>
      <c r="G18" s="352" t="str">
        <f>IFERROR(VLOOKUP(D18,'Client ID Records_v2'!D:E, 2, FALSE), "")</f>
        <v>CL-2020-013</v>
      </c>
      <c r="H18" s="368" t="str">
        <f>IFERROR(VLOOKUP(G18,'Client ID Records_v2'!E:F, 2, FALSE), "")</f>
        <v>Institute of Aquaculture, College of Fisheries and Ocean Sciences, University of the Philippines Visayas, Miagao, 5023, Iloilo</v>
      </c>
      <c r="I18" s="352" t="str">
        <f>IFERROR(VLOOKUP(D18,'Project Records_v2'!E:F, 2, FALSE), "")</f>
        <v>P-2020-003</v>
      </c>
      <c r="J18" s="372" t="str">
        <f>IFERROR(VLOOKUP(I18,'Project Records_v2'!F:G, 2, FALSE), "")</f>
        <v>Transcriptome and Gut Metagenome Profile of Penaeus vannamei Exposed to Fluctuating Environmental Temperatures</v>
      </c>
      <c r="K18" s="359" t="s">
        <v>1919</v>
      </c>
      <c r="L18" s="360" t="s">
        <v>1955</v>
      </c>
      <c r="M18" s="361" t="s">
        <v>101</v>
      </c>
      <c r="N18" s="362" t="s">
        <v>1946</v>
      </c>
      <c r="O18" s="370"/>
      <c r="P18" s="371"/>
      <c r="Q18" s="365"/>
    </row>
    <row r="19" ht="22.5" customHeight="1">
      <c r="A19" s="375">
        <v>2022.0</v>
      </c>
      <c r="B19" s="366">
        <v>44803.0</v>
      </c>
      <c r="C19" s="367" t="s">
        <v>1956</v>
      </c>
      <c r="D19" s="353" t="s">
        <v>254</v>
      </c>
      <c r="E19" s="379">
        <v>123497.0</v>
      </c>
      <c r="F19" s="377" t="s">
        <v>1918</v>
      </c>
      <c r="G19" s="352" t="str">
        <f>IFERROR(VLOOKUP(D19,'Client ID Records_v2'!D:E, 2, FALSE), "")</f>
        <v>CL-2022-051</v>
      </c>
      <c r="H19" s="368" t="str">
        <f>IFERROR(VLOOKUP(G19,'Client ID Records_v2'!E:F, 2, FALSE), "")</f>
        <v>Fisheries and Marine Sciences Department, Aklan State University - New Washington Campus</v>
      </c>
      <c r="I19" s="352" t="str">
        <f>IFERROR(VLOOKUP(D19,'Project Records_v2'!E:F, 2, FALSE), "")</f>
        <v>P-2022-027</v>
      </c>
      <c r="J19" s="384" t="str">
        <f>IFERROR(VLOOKUP(I19,'Project Records_v2'!F:G, 2, FALSE), "")</f>
        <v>Genomic variations among different (meta) populations of oriental angelwing clam (Pholas orientalis) in the
Western Visayas, Philippines: basis for conservation breeding program</v>
      </c>
      <c r="K19" s="359" t="s">
        <v>1919</v>
      </c>
      <c r="L19" s="360" t="s">
        <v>1957</v>
      </c>
      <c r="M19" s="377" t="s">
        <v>1929</v>
      </c>
      <c r="N19" s="362" t="s">
        <v>1930</v>
      </c>
      <c r="O19" s="385" t="s">
        <v>1958</v>
      </c>
      <c r="P19" s="371">
        <v>44816.0</v>
      </c>
      <c r="Q19" s="365"/>
    </row>
    <row r="20" ht="22.5" customHeight="1">
      <c r="A20" s="375">
        <v>2022.0</v>
      </c>
      <c r="B20" s="366">
        <v>44816.0</v>
      </c>
      <c r="C20" s="367" t="s">
        <v>1959</v>
      </c>
      <c r="D20" s="378" t="s">
        <v>270</v>
      </c>
      <c r="E20" s="379">
        <v>58367.86</v>
      </c>
      <c r="F20" s="377" t="s">
        <v>1918</v>
      </c>
      <c r="G20" s="352" t="str">
        <f>IFERROR(VLOOKUP(D20,'Client ID Records_v2'!D:E, 2, FALSE), "")</f>
        <v>CL-2022-056</v>
      </c>
      <c r="H20" s="368" t="str">
        <f>IFERROR(VLOOKUP(G20,'Client ID Records_v2'!E:F, 2, FALSE), "")</f>
        <v>Research and Development Extension, Mindoro State University</v>
      </c>
      <c r="I20" s="352" t="s">
        <v>1960</v>
      </c>
      <c r="J20" s="372" t="str">
        <f>IFERROR(VLOOKUP(I20,'Project Records_v2'!F:G, 2, FALSE), "")</f>
        <v/>
      </c>
      <c r="K20" s="359" t="s">
        <v>1961</v>
      </c>
      <c r="L20" s="360" t="s">
        <v>1962</v>
      </c>
      <c r="M20" s="377" t="s">
        <v>1919</v>
      </c>
      <c r="N20" s="362" t="s">
        <v>1946</v>
      </c>
      <c r="O20" s="385" t="s">
        <v>1963</v>
      </c>
      <c r="P20" s="371">
        <v>44817.0</v>
      </c>
      <c r="Q20" s="357" t="s">
        <v>1964</v>
      </c>
    </row>
    <row r="21" ht="22.5" customHeight="1">
      <c r="A21" s="375">
        <v>2022.0</v>
      </c>
      <c r="B21" s="366">
        <v>44881.0</v>
      </c>
      <c r="C21" s="367" t="s">
        <v>1965</v>
      </c>
      <c r="D21" s="353" t="s">
        <v>197</v>
      </c>
      <c r="E21" s="379">
        <v>569499.72</v>
      </c>
      <c r="F21" s="377" t="s">
        <v>1918</v>
      </c>
      <c r="G21" s="352" t="str">
        <f>IFERROR(VLOOKUP(D21,'Client ID Records_v2'!D:E, 2, FALSE), "")</f>
        <v>CL-2022-038</v>
      </c>
      <c r="H21" s="368" t="str">
        <f>IFERROR(VLOOKUP(G21,'Client ID Records_v2'!E:F, 2, FALSE), "")</f>
        <v>Division of Biological Sciences, College of Arts and Sciences, University of the Philippines Visayas, Miagao, Iloilo</v>
      </c>
      <c r="I21" s="352" t="str">
        <f>IFERROR(VLOOKUP(D21,'Project Records_v2'!E:F, 2, FALSE), "")</f>
        <v>P-2022-017</v>
      </c>
      <c r="J21" s="384" t="str">
        <f>IFERROR(VLOOKUP(I21,'Project Records_v2'!F:G, 2, FALSE), "")</f>
        <v>Development of a Water Quality Biological Monitoring Protocol using Genetic, Phylogenetic and Functional Diversity on Freshwater Zooplankton Communitites in Inland Waters of Panay Island, Philippines</v>
      </c>
      <c r="K21" s="359" t="s">
        <v>1919</v>
      </c>
      <c r="L21" s="360" t="s">
        <v>1966</v>
      </c>
      <c r="M21" s="377" t="s">
        <v>1929</v>
      </c>
      <c r="N21" s="362" t="s">
        <v>1967</v>
      </c>
      <c r="O21" s="370" t="s">
        <v>1968</v>
      </c>
      <c r="P21" s="371">
        <v>44917.0</v>
      </c>
      <c r="Q21" s="365"/>
    </row>
    <row r="22" ht="22.5" customHeight="1">
      <c r="A22" s="375">
        <v>2022.0</v>
      </c>
      <c r="B22" s="366">
        <v>44901.0</v>
      </c>
      <c r="C22" s="367" t="s">
        <v>1969</v>
      </c>
      <c r="D22" s="353" t="s">
        <v>267</v>
      </c>
      <c r="E22" s="379">
        <v>126740.68</v>
      </c>
      <c r="F22" s="361" t="s">
        <v>1932</v>
      </c>
      <c r="G22" s="352" t="str">
        <f>IFERROR(VLOOKUP(D22,'Client ID Records_v2'!D:E, 2, FALSE), "")</f>
        <v>CL-2022-055</v>
      </c>
      <c r="H22" s="368" t="str">
        <f>IFERROR(VLOOKUP(G22,'Client ID Records_v2'!E:F, 2, FALSE), "")</f>
        <v>Microbiology Laboratory, College of Arts and Sciences, University of the Philippines Visayas, 5023 Miagao, Iloilo</v>
      </c>
      <c r="I22" s="352" t="str">
        <f>IFERROR(VLOOKUP(D22,'Project Records_v2'!E:F, 2, FALSE), "")</f>
        <v>P-2022-032</v>
      </c>
      <c r="J22" s="372" t="str">
        <f>IFERROR(VLOOKUP(I22,'Project Records_v2'!F:G, 2, FALSE), "")</f>
        <v>Diversity and screening of culturable cellulytic microorganisms from mangrove forests, natural parks, paddy field, and sugar plantation in Panay Island, Philippines</v>
      </c>
      <c r="K22" s="359" t="s">
        <v>1919</v>
      </c>
      <c r="L22" s="360" t="s">
        <v>1966</v>
      </c>
      <c r="M22" s="377" t="s">
        <v>101</v>
      </c>
      <c r="N22" s="367" t="s">
        <v>26</v>
      </c>
      <c r="O22" s="386" t="s">
        <v>26</v>
      </c>
      <c r="P22" s="386" t="s">
        <v>26</v>
      </c>
      <c r="Q22" s="357" t="s">
        <v>1970</v>
      </c>
    </row>
    <row r="23" ht="22.5" customHeight="1">
      <c r="A23" s="375">
        <v>2022.0</v>
      </c>
      <c r="B23" s="366">
        <v>44904.0</v>
      </c>
      <c r="C23" s="367" t="s">
        <v>1971</v>
      </c>
      <c r="D23" s="353" t="s">
        <v>267</v>
      </c>
      <c r="E23" s="379">
        <v>140870.31</v>
      </c>
      <c r="F23" s="377" t="s">
        <v>1918</v>
      </c>
      <c r="G23" s="352" t="str">
        <f>IFERROR(VLOOKUP(D23,'Client ID Records_v2'!D:E, 2, FALSE), "")</f>
        <v>CL-2022-055</v>
      </c>
      <c r="H23" s="368" t="str">
        <f>IFERROR(VLOOKUP(G23,'Client ID Records_v2'!E:F, 2, FALSE), "")</f>
        <v>Microbiology Laboratory, College of Arts and Sciences, University of the Philippines Visayas, 5023 Miagao, Iloilo</v>
      </c>
      <c r="I23" s="352" t="str">
        <f>IFERROR(VLOOKUP(D23,'Project Records_v2'!E:F, 2, FALSE), "")</f>
        <v>P-2022-032</v>
      </c>
      <c r="J23" s="372" t="str">
        <f>IFERROR(VLOOKUP(I23,'Project Records_v2'!F:G, 2, FALSE), "")</f>
        <v>Diversity and screening of culturable cellulytic microorganisms from mangrove forests, natural parks, paddy field, and sugar plantation in Panay Island, Philippines</v>
      </c>
      <c r="K23" s="359" t="s">
        <v>1919</v>
      </c>
      <c r="L23" s="360" t="s">
        <v>1966</v>
      </c>
      <c r="M23" s="377" t="s">
        <v>1929</v>
      </c>
      <c r="N23" s="362" t="s">
        <v>1972</v>
      </c>
      <c r="O23" s="370" t="s">
        <v>1973</v>
      </c>
      <c r="P23" s="371">
        <v>44915.0</v>
      </c>
      <c r="Q23" s="365"/>
    </row>
    <row r="24" ht="22.5" customHeight="1">
      <c r="A24" s="375">
        <v>2022.0</v>
      </c>
      <c r="B24" s="366">
        <v>44909.0</v>
      </c>
      <c r="C24" s="367" t="s">
        <v>1974</v>
      </c>
      <c r="D24" s="353" t="s">
        <v>197</v>
      </c>
      <c r="E24" s="379">
        <v>43309.98</v>
      </c>
      <c r="F24" s="377" t="s">
        <v>1918</v>
      </c>
      <c r="G24" s="352" t="str">
        <f>IFERROR(VLOOKUP(D24,'Client ID Records_v2'!D:E, 2, FALSE), "")</f>
        <v>CL-2022-038</v>
      </c>
      <c r="H24" s="368" t="str">
        <f>IFERROR(VLOOKUP(G24,'Client ID Records_v2'!E:F, 2, FALSE), "")</f>
        <v>Division of Biological Sciences, College of Arts and Sciences, University of the Philippines Visayas, Miagao, Iloilo</v>
      </c>
      <c r="I24" s="352" t="str">
        <f>IFERROR(VLOOKUP(D24,'Project Records_v2'!E:F, 2, FALSE), "")</f>
        <v>P-2022-017</v>
      </c>
      <c r="J24" s="372" t="str">
        <f>IFERROR(VLOOKUP(I24,'Project Records_v2'!F:G, 2, FALSE), "")</f>
        <v>Development of a Water Quality Biological Monitoring Protocol using Genetic, Phylogenetic and Functional Diversity on Freshwater Zooplankton Communitites in Inland Waters of Panay Island, Philippines</v>
      </c>
      <c r="K24" s="359" t="s">
        <v>1919</v>
      </c>
      <c r="L24" s="360" t="s">
        <v>1966</v>
      </c>
      <c r="M24" s="377" t="s">
        <v>1929</v>
      </c>
      <c r="N24" s="362" t="s">
        <v>1975</v>
      </c>
      <c r="O24" s="370" t="s">
        <v>1976</v>
      </c>
      <c r="P24" s="371">
        <v>44923.0</v>
      </c>
      <c r="Q24" s="365"/>
    </row>
    <row r="25" ht="22.5" customHeight="1">
      <c r="A25" s="375">
        <v>2022.0</v>
      </c>
      <c r="B25" s="366">
        <v>44915.0</v>
      </c>
      <c r="C25" s="367" t="s">
        <v>1977</v>
      </c>
      <c r="D25" s="353" t="s">
        <v>129</v>
      </c>
      <c r="E25" s="387"/>
      <c r="F25" s="361" t="s">
        <v>1932</v>
      </c>
      <c r="G25" s="352" t="str">
        <f>IFERROR(VLOOKUP(D25,'Client ID Records_v2'!D:E, 2, FALSE), "")</f>
        <v>CL-2021-025</v>
      </c>
      <c r="H25" s="368" t="str">
        <f>IFERROR(VLOOKUP(G25,'Client ID Records_v2'!E:F, 2, FALSE), "")</f>
        <v>Molecular Laboratory, Corazon L. Montelibano Memorial Regional Hospital, Burgos-Lacson St., Bacolod City</v>
      </c>
      <c r="I25" s="352" t="s">
        <v>1978</v>
      </c>
      <c r="J25" s="358" t="str">
        <f>IFERROR(VLOOKUP(I25,'Project Records_v2'!F:G, 2, FALSE), "")</f>
        <v/>
      </c>
      <c r="K25" s="359" t="s">
        <v>1961</v>
      </c>
      <c r="L25" s="360" t="s">
        <v>1979</v>
      </c>
      <c r="M25" s="377" t="s">
        <v>101</v>
      </c>
      <c r="N25" s="362"/>
      <c r="O25" s="370"/>
      <c r="P25" s="371"/>
      <c r="Q25" s="357" t="s">
        <v>1980</v>
      </c>
    </row>
    <row r="26" ht="22.5" customHeight="1">
      <c r="A26" s="146">
        <v>2023.0</v>
      </c>
      <c r="B26" s="366">
        <v>44946.0</v>
      </c>
      <c r="C26" s="367" t="s">
        <v>1981</v>
      </c>
      <c r="D26" s="353" t="s">
        <v>88</v>
      </c>
      <c r="E26" s="379">
        <v>420582.18</v>
      </c>
      <c r="F26" s="355" t="s">
        <v>1932</v>
      </c>
      <c r="G26" s="352" t="str">
        <f>IFERROR(VLOOKUP(D26,'Client ID Records_v2'!D:E, 2, FALSE), "")</f>
        <v>CL-2020-015</v>
      </c>
      <c r="H26" s="368" t="str">
        <f>IFERROR(VLOOKUP(G26,'Client ID Records_v2'!E:F, 2, FALSE), "")</f>
        <v>Institute of Aquaculture, College of Fisheries and Ocean Sciences, University of the Philippines Visayas, Miagao, 5023, Iloilo</v>
      </c>
      <c r="I26" s="352" t="str">
        <f>IFERROR(VLOOKUP(D26,'Project Records_v2'!E:F, 2, FALSE), "")</f>
        <v>P-2020-005</v>
      </c>
      <c r="J26" s="372" t="str">
        <f>IFERROR(VLOOKUP(I26,'Project Records_v2'!F:G, 2, FALSE), "")</f>
        <v>Transcriptome and metabolome profiling of seaweeds to elucidate "ice-ice" disease and epiphyte infestation mechanisms</v>
      </c>
      <c r="K26" s="388" t="s">
        <v>1919</v>
      </c>
      <c r="L26" s="360" t="s">
        <v>1948</v>
      </c>
      <c r="M26" s="377" t="s">
        <v>101</v>
      </c>
      <c r="N26" s="362" t="s">
        <v>1889</v>
      </c>
      <c r="O26" s="370"/>
      <c r="P26" s="389"/>
      <c r="Q26" s="365"/>
    </row>
    <row r="27" ht="22.5" customHeight="1">
      <c r="A27" s="146">
        <v>2023.0</v>
      </c>
      <c r="B27" s="366">
        <v>44959.0</v>
      </c>
      <c r="C27" s="367" t="s">
        <v>1982</v>
      </c>
      <c r="D27" s="353" t="s">
        <v>129</v>
      </c>
      <c r="E27" s="379">
        <v>173723.9</v>
      </c>
      <c r="F27" s="355" t="s">
        <v>1918</v>
      </c>
      <c r="G27" s="352" t="str">
        <f>IFERROR(VLOOKUP(D27,'Client ID Records_v2'!D:E, 2, FALSE), "")</f>
        <v>CL-2021-025</v>
      </c>
      <c r="H27" s="368" t="str">
        <f>IFERROR(VLOOKUP(G27,'Client ID Records_v2'!E:F, 2, FALSE), "")</f>
        <v>Molecular Laboratory, Corazon L. Montelibano Memorial Regional Hospital, Burgos-Lacson St., Bacolod City</v>
      </c>
      <c r="I27" s="352" t="s">
        <v>1978</v>
      </c>
      <c r="J27" s="372" t="str">
        <f>IFERROR(VLOOKUP(I27,'Project Records_v2'!F:G, 2, FALSE), "")</f>
        <v/>
      </c>
      <c r="K27" s="388" t="s">
        <v>1961</v>
      </c>
      <c r="L27" s="390" t="s">
        <v>1979</v>
      </c>
      <c r="M27" s="377" t="s">
        <v>1919</v>
      </c>
      <c r="N27" s="369" t="s">
        <v>1930</v>
      </c>
      <c r="O27" s="370">
        <v>537350.0</v>
      </c>
      <c r="P27" s="389">
        <v>44986.0</v>
      </c>
      <c r="Q27" s="365"/>
    </row>
    <row r="28" ht="22.5" customHeight="1">
      <c r="A28" s="146">
        <v>2023.0</v>
      </c>
      <c r="B28" s="366">
        <v>44964.0</v>
      </c>
      <c r="C28" s="367" t="s">
        <v>1983</v>
      </c>
      <c r="D28" s="391" t="s">
        <v>330</v>
      </c>
      <c r="E28" s="379">
        <v>332625.61</v>
      </c>
      <c r="F28" s="355" t="s">
        <v>1918</v>
      </c>
      <c r="G28" s="352" t="str">
        <f>IFERROR(VLOOKUP(D28,'Client ID Records_v2'!D:E, 2, FALSE), "")</f>
        <v>CL-2023-071</v>
      </c>
      <c r="H28" s="368" t="str">
        <f>IFERROR(VLOOKUP(G28,'Client ID Records_v2'!E:F, 2, FALSE), "")</f>
        <v>Seaweed Research and Development Center, Mindanao State University in Tawi-Tawi
Sanga-Sanga, Bongao, Tawi-Tawi, Philippines</v>
      </c>
      <c r="I28" s="352" t="str">
        <f>IFERROR(VLOOKUP(D28,'Project Records_v2'!E:F, 2, FALSE), "")</f>
        <v>P-2023-037</v>
      </c>
      <c r="J28" s="372" t="str">
        <f>IFERROR(VLOOKUP(I28,'Project Records_v2'!F:G, 2, FALSE), "")</f>
        <v>Amplicon Sequencing of Seaweed</v>
      </c>
      <c r="K28" s="388" t="s">
        <v>1919</v>
      </c>
      <c r="L28" s="360" t="s">
        <v>1928</v>
      </c>
      <c r="M28" s="377" t="s">
        <v>1929</v>
      </c>
      <c r="N28" s="362" t="s">
        <v>1930</v>
      </c>
      <c r="O28" s="370">
        <v>538133.0</v>
      </c>
      <c r="P28" s="389">
        <v>45006.0</v>
      </c>
      <c r="Q28" s="365"/>
    </row>
    <row r="29" ht="22.5" customHeight="1">
      <c r="A29" s="146">
        <v>2023.0</v>
      </c>
      <c r="B29" s="366">
        <v>44987.0</v>
      </c>
      <c r="C29" s="367" t="s">
        <v>1984</v>
      </c>
      <c r="D29" s="353" t="s">
        <v>338</v>
      </c>
      <c r="E29" s="379">
        <v>116320.49</v>
      </c>
      <c r="F29" s="355" t="s">
        <v>1918</v>
      </c>
      <c r="G29" s="352" t="str">
        <f>IFERROR(VLOOKUP(D29,'Client ID Records_v2'!D:E, 2, FALSE), "")</f>
        <v>CL-2023-073</v>
      </c>
      <c r="H29" s="368" t="str">
        <f>IFERROR(VLOOKUP(G29,'Client ID Records_v2'!E:F, 2, FALSE), "")</f>
        <v>ODREIC, 2/F KOICA (New Administration) Building, Maharlika Highway, Tanghas,
Tolosa, Leyte</v>
      </c>
      <c r="I29" s="367" t="s">
        <v>1985</v>
      </c>
      <c r="J29" s="358" t="str">
        <f>IFERROR(VLOOKUP(I29,'Project Records_v2'!F:G, 2, FALSE), "")</f>
        <v/>
      </c>
      <c r="K29" s="388" t="s">
        <v>1961</v>
      </c>
      <c r="L29" s="390" t="s">
        <v>1986</v>
      </c>
      <c r="M29" s="377" t="s">
        <v>1919</v>
      </c>
      <c r="N29" s="362" t="s">
        <v>1987</v>
      </c>
      <c r="O29" s="370">
        <v>538943.0</v>
      </c>
      <c r="P29" s="389">
        <v>45033.0</v>
      </c>
      <c r="Q29" s="365"/>
    </row>
    <row r="30" ht="22.5" customHeight="1">
      <c r="A30" s="146">
        <v>2023.0</v>
      </c>
      <c r="B30" s="366">
        <v>44987.0</v>
      </c>
      <c r="C30" s="367" t="s">
        <v>1984</v>
      </c>
      <c r="D30" s="353" t="s">
        <v>345</v>
      </c>
      <c r="E30" s="379">
        <v>87039.49</v>
      </c>
      <c r="F30" s="355" t="s">
        <v>1918</v>
      </c>
      <c r="G30" s="352" t="str">
        <f>IFERROR(VLOOKUP(D30,'Client ID Records_v2'!D:E, 2, FALSE), "")</f>
        <v>CL-2023-074</v>
      </c>
      <c r="H30" s="368" t="str">
        <f>IFERROR(VLOOKUP(G30,'Client ID Records_v2'!E:F, 2, FALSE), "")</f>
        <v>ODAA, G/F KOICA (New Administration) Building, Maharlika Highway, Tanghas,
Tolosa, Leyte</v>
      </c>
      <c r="I30" s="367" t="s">
        <v>1988</v>
      </c>
      <c r="J30" s="358" t="str">
        <f>IFERROR(VLOOKUP(I30,'Project Records_v2'!F:G, 2, FALSE), "")</f>
        <v/>
      </c>
      <c r="K30" s="388" t="s">
        <v>1961</v>
      </c>
      <c r="L30" s="390" t="s">
        <v>1989</v>
      </c>
      <c r="M30" s="377" t="s">
        <v>1919</v>
      </c>
      <c r="N30" s="362" t="s">
        <v>1987</v>
      </c>
      <c r="O30" s="370">
        <v>538942.0</v>
      </c>
      <c r="P30" s="389">
        <v>45033.0</v>
      </c>
      <c r="Q30" s="365"/>
    </row>
    <row r="31" ht="22.5" customHeight="1">
      <c r="A31" s="146">
        <v>2023.0</v>
      </c>
      <c r="B31" s="366">
        <v>45035.0</v>
      </c>
      <c r="C31" s="367" t="s">
        <v>1990</v>
      </c>
      <c r="D31" s="353" t="s">
        <v>314</v>
      </c>
      <c r="E31" s="379">
        <v>6944.08</v>
      </c>
      <c r="F31" s="355" t="s">
        <v>1932</v>
      </c>
      <c r="G31" s="352" t="str">
        <f>IFERROR(VLOOKUP(D31,'Client ID Records_v2'!D:E, 2, FALSE), "")</f>
        <v>CL-2022-066</v>
      </c>
      <c r="H31" s="368" t="str">
        <f>IFERROR(VLOOKUP(G31,'Client ID Records_v2'!E:F, 2, FALSE), "")</f>
        <v>College of Arts and Sciences Division of Biological Sciences, University of the Philippines Visayas Miagao, 5023, Iloilo</v>
      </c>
      <c r="I31" s="352" t="str">
        <f>IFERROR(VLOOKUP(D31,'Project Records_v2'!E:F, 2, FALSE), "")</f>
        <v>P-2022-035</v>
      </c>
      <c r="J31" s="372" t="str">
        <f>IFERROR(VLOOKUP(I31,'Project Records_v2'!F:G, 2, FALSE), "")</f>
        <v>Isolation, Characterization, And Identification of Plastic-Degrading Bacteria From Bago City Landfill, Negros Occidental, Philippines</v>
      </c>
      <c r="K31" s="388" t="s">
        <v>1418</v>
      </c>
      <c r="L31" s="390" t="s">
        <v>26</v>
      </c>
      <c r="M31" s="377" t="s">
        <v>101</v>
      </c>
      <c r="N31" s="362"/>
      <c r="O31" s="370"/>
      <c r="P31" s="389"/>
      <c r="Q31" s="357" t="s">
        <v>1991</v>
      </c>
    </row>
    <row r="32" ht="22.5" customHeight="1">
      <c r="A32" s="146">
        <v>2023.0</v>
      </c>
      <c r="B32" s="366">
        <v>45077.0</v>
      </c>
      <c r="C32" s="367" t="s">
        <v>1992</v>
      </c>
      <c r="D32" s="353" t="s">
        <v>314</v>
      </c>
      <c r="E32" s="379">
        <v>12834.8</v>
      </c>
      <c r="F32" s="355" t="s">
        <v>1918</v>
      </c>
      <c r="G32" s="352" t="str">
        <f>IFERROR(VLOOKUP(D32,'Client ID Records_v2'!D:E, 2, FALSE), "")</f>
        <v>CL-2022-066</v>
      </c>
      <c r="H32" s="368" t="str">
        <f>IFERROR(VLOOKUP(G32,'Client ID Records_v2'!E:F, 2, FALSE), "")</f>
        <v>College of Arts and Sciences Division of Biological Sciences, University of the Philippines Visayas Miagao, 5023, Iloilo</v>
      </c>
      <c r="I32" s="352" t="str">
        <f>IFERROR(VLOOKUP(D32,'Project Records_v2'!E:F, 2, FALSE), "")</f>
        <v>P-2022-035</v>
      </c>
      <c r="J32" s="372" t="str">
        <f>IFERROR(VLOOKUP(I32,'Project Records_v2'!F:G, 2, FALSE), "")</f>
        <v>Isolation, Characterization, And Identification of Plastic-Degrading Bacteria From Bago City Landfill, Negros Occidental, Philippines</v>
      </c>
      <c r="K32" s="388" t="s">
        <v>1418</v>
      </c>
      <c r="L32" s="390" t="s">
        <v>26</v>
      </c>
      <c r="M32" s="377" t="s">
        <v>1919</v>
      </c>
      <c r="N32" s="362" t="s">
        <v>1930</v>
      </c>
      <c r="O32" s="370">
        <v>544663.0</v>
      </c>
      <c r="P32" s="389">
        <v>45111.0</v>
      </c>
      <c r="Q32" s="365"/>
    </row>
    <row r="33" ht="22.5" customHeight="1">
      <c r="A33" s="146">
        <v>2023.0</v>
      </c>
      <c r="B33" s="366">
        <v>45084.0</v>
      </c>
      <c r="C33" s="367" t="s">
        <v>1993</v>
      </c>
      <c r="D33" s="391" t="s">
        <v>373</v>
      </c>
      <c r="E33" s="379">
        <v>3080.0</v>
      </c>
      <c r="F33" s="355" t="s">
        <v>1918</v>
      </c>
      <c r="G33" s="352" t="str">
        <f>IFERROR(VLOOKUP(D33,'Client ID Records_v2'!D:E, 2, FALSE), "")</f>
        <v>CL-2023-083</v>
      </c>
      <c r="H33" s="368" t="str">
        <f>IFERROR(VLOOKUP(G33,'Client ID Records_v2'!E:F, 2, FALSE), "")</f>
        <v>Division of Biological Sciences, College of Arts and Sciences, UP Visayas Miagao Iloilo</v>
      </c>
      <c r="I33" s="352" t="str">
        <f>IFERROR(VLOOKUP(D33,'Project Records_v2'!E:F, 2, FALSE), "")</f>
        <v>P-2023-044</v>
      </c>
      <c r="J33" s="372" t="str">
        <f>IFERROR(VLOOKUP(I33,'Project Records_v2'!F:G, 2, FALSE), "")</f>
        <v>Prebiotic potential of Beta-glucan extracted from macrofungu found in Miagao, Iloilo</v>
      </c>
      <c r="K33" s="388" t="s">
        <v>1418</v>
      </c>
      <c r="L33" s="390" t="s">
        <v>26</v>
      </c>
      <c r="M33" s="377" t="s">
        <v>1919</v>
      </c>
      <c r="N33" s="362" t="s">
        <v>1930</v>
      </c>
      <c r="O33" s="370">
        <v>542787.0</v>
      </c>
      <c r="P33" s="389">
        <v>45098.0</v>
      </c>
      <c r="Q33" s="365"/>
    </row>
    <row r="34" ht="22.5" customHeight="1">
      <c r="A34" s="146">
        <v>2023.0</v>
      </c>
      <c r="B34" s="366">
        <v>45084.0</v>
      </c>
      <c r="C34" s="367" t="s">
        <v>1994</v>
      </c>
      <c r="D34" s="391" t="s">
        <v>367</v>
      </c>
      <c r="E34" s="379">
        <v>4004.0</v>
      </c>
      <c r="F34" s="355" t="s">
        <v>1918</v>
      </c>
      <c r="G34" s="352" t="str">
        <f>IFERROR(VLOOKUP(D34,'Client ID Records_v2'!D:E, 2, FALSE), "")</f>
        <v>CL-2023-081</v>
      </c>
      <c r="H34" s="368" t="str">
        <f>IFERROR(VLOOKUP(G34,'Client ID Records_v2'!E:F, 2, FALSE), "")</f>
        <v>College of Arts and Sciences Division of Biological Sciences, University of the Philippines Visayas Miagao, 5023, Iloilo</v>
      </c>
      <c r="I34" s="352" t="str">
        <f>IFERROR(VLOOKUP(D34,'Project Records_v2'!E:F, 2, FALSE), "")</f>
        <v>P-2023-042</v>
      </c>
      <c r="J34" s="372" t="str">
        <f>IFERROR(VLOOKUP(I34,'Project Records_v2'!F:G, 2, FALSE), "")</f>
        <v>Bacterial Biofilm Formation and Inhibition Potential of Wild Macrofungi from Miagao, Iloilo</v>
      </c>
      <c r="K34" s="388" t="s">
        <v>1418</v>
      </c>
      <c r="L34" s="390" t="s">
        <v>26</v>
      </c>
      <c r="M34" s="377" t="s">
        <v>1919</v>
      </c>
      <c r="N34" s="362" t="s">
        <v>1930</v>
      </c>
      <c r="O34" s="370">
        <v>542525.0</v>
      </c>
      <c r="P34" s="389">
        <v>45093.0</v>
      </c>
      <c r="Q34" s="365"/>
    </row>
    <row r="35" ht="22.5" customHeight="1">
      <c r="A35" s="146">
        <v>2023.0</v>
      </c>
      <c r="B35" s="366">
        <v>45084.0</v>
      </c>
      <c r="C35" s="367" t="s">
        <v>1995</v>
      </c>
      <c r="D35" s="353" t="s">
        <v>371</v>
      </c>
      <c r="E35" s="379">
        <v>4004.0</v>
      </c>
      <c r="F35" s="355" t="s">
        <v>1918</v>
      </c>
      <c r="G35" s="352" t="str">
        <f>IFERROR(VLOOKUP(D35,'Client ID Records_v2'!D:E, 2, FALSE), "")</f>
        <v>CL-2023-082</v>
      </c>
      <c r="H35" s="368" t="str">
        <f>IFERROR(VLOOKUP(G35,'Client ID Records_v2'!E:F, 2, FALSE), "")</f>
        <v>College of Arts and Sciences Division of Biological Sciences, University of the Philippines Visayas Miagao, 5023, Iloilo</v>
      </c>
      <c r="I35" s="352" t="str">
        <f>IFERROR(VLOOKUP(D35,'Project Records_v2'!E:F, 2, FALSE), "")</f>
        <v>P-2023-043</v>
      </c>
      <c r="J35" s="372" t="str">
        <f>IFERROR(VLOOKUP(I35,'Project Records_v2'!F:G, 2, FALSE), "")</f>
        <v>Prebiotic potential of Beta-glucan extracted from macrofungu found in Miagao, Iloilo</v>
      </c>
      <c r="K35" s="388" t="s">
        <v>1418</v>
      </c>
      <c r="L35" s="390" t="s">
        <v>26</v>
      </c>
      <c r="M35" s="377" t="s">
        <v>1919</v>
      </c>
      <c r="N35" s="362" t="s">
        <v>1930</v>
      </c>
      <c r="O35" s="370">
        <v>542494.0</v>
      </c>
      <c r="P35" s="389">
        <v>45092.0</v>
      </c>
      <c r="Q35" s="365"/>
    </row>
    <row r="36" ht="22.5" customHeight="1">
      <c r="A36" s="146">
        <v>2023.0</v>
      </c>
      <c r="B36" s="366">
        <v>45086.0</v>
      </c>
      <c r="C36" s="367" t="s">
        <v>1996</v>
      </c>
      <c r="D36" s="392" t="s">
        <v>382</v>
      </c>
      <c r="E36" s="379">
        <v>2728.0</v>
      </c>
      <c r="F36" s="355" t="s">
        <v>1918</v>
      </c>
      <c r="G36" s="352" t="str">
        <f>IFERROR(VLOOKUP(D36,'Client ID Records_v2'!D:E, 2, FALSE), "")</f>
        <v>CL-2023-086</v>
      </c>
      <c r="H36" s="368" t="str">
        <f>IFERROR(VLOOKUP(G36,'Client ID Records_v2'!E:F, 2, FALSE), "")</f>
        <v>Institute of Marine Fisheries and Oceanology, College of Fisheries and Ocean Sciences, University of the Philippines Visayas</v>
      </c>
      <c r="I36" s="352" t="str">
        <f>IFERROR(VLOOKUP(D36,'Project Records_v2'!E:F, 2, FALSE), "")</f>
        <v>P-2023-047</v>
      </c>
      <c r="J36" s="372" t="str">
        <f>IFERROR(VLOOKUP(I36,'Project Records_v2'!F:G, 2, FALSE), "")</f>
        <v>Detection of Vibrio parahaemolyticus and Vibrio cholerae in Oyster using Quantitative Real-Time Polymerase Chain Reaction (qPCR)
Characterization Of Picophytoplankton Abundance And Distribution In Relation To Varying Environmental Conditions In The Bay Zone Of The Batan Bay Estuary</v>
      </c>
      <c r="K36" s="388" t="s">
        <v>1472</v>
      </c>
      <c r="L36" s="390" t="s">
        <v>1997</v>
      </c>
      <c r="M36" s="377" t="s">
        <v>1919</v>
      </c>
      <c r="N36" s="362" t="s">
        <v>1930</v>
      </c>
      <c r="O36" s="370">
        <v>545015.0</v>
      </c>
      <c r="P36" s="389">
        <v>45118.0</v>
      </c>
      <c r="Q36" s="365"/>
    </row>
    <row r="37" ht="22.5" customHeight="1">
      <c r="A37" s="146">
        <v>2023.0</v>
      </c>
      <c r="B37" s="366">
        <v>45086.0</v>
      </c>
      <c r="C37" s="367" t="s">
        <v>1998</v>
      </c>
      <c r="D37" s="392" t="s">
        <v>386</v>
      </c>
      <c r="E37" s="379">
        <v>2728.0</v>
      </c>
      <c r="F37" s="355" t="s">
        <v>1918</v>
      </c>
      <c r="G37" s="352" t="str">
        <f>IFERROR(VLOOKUP(D37,'Client ID Records_v2'!D:E, 2, FALSE), "")</f>
        <v>CL-2023-087</v>
      </c>
      <c r="H37" s="368" t="str">
        <f>IFERROR(VLOOKUP(G37,'Client ID Records_v2'!E:F, 2, FALSE), "")</f>
        <v>Institute of Marine Fisheries and Oceanology, College of Fisheries and Ocean Sciences, University of the Philippines Visayas</v>
      </c>
      <c r="I37" s="352" t="str">
        <f>IFERROR(VLOOKUP(D37,'Project Records_v2'!E:F, 2, FALSE), "")</f>
        <v>P-2023-047</v>
      </c>
      <c r="J37" s="372" t="str">
        <f>IFERROR(VLOOKUP(I37,'Project Records_v2'!F:G, 2, FALSE), "")</f>
        <v>Detection of Vibrio parahaemolyticus and Vibrio cholerae in Oyster using Quantitative Real-Time Polymerase Chain Reaction (qPCR)
Characterization Of Picophytoplankton Abundance And Distribution In Relation To Varying Environmental Conditions In The Bay Zone Of The Batan Bay Estuary</v>
      </c>
      <c r="K37" s="388" t="s">
        <v>1472</v>
      </c>
      <c r="L37" s="390" t="s">
        <v>1997</v>
      </c>
      <c r="M37" s="377" t="s">
        <v>1919</v>
      </c>
      <c r="N37" s="362" t="s">
        <v>1930</v>
      </c>
      <c r="O37" s="370">
        <v>545017.0</v>
      </c>
      <c r="P37" s="389">
        <v>45118.0</v>
      </c>
      <c r="Q37" s="365"/>
    </row>
    <row r="38" ht="22.5" customHeight="1">
      <c r="A38" s="146">
        <v>2023.0</v>
      </c>
      <c r="B38" s="366">
        <v>45086.0</v>
      </c>
      <c r="C38" s="367" t="s">
        <v>1999</v>
      </c>
      <c r="D38" s="391" t="s">
        <v>389</v>
      </c>
      <c r="E38" s="379">
        <v>3273.6</v>
      </c>
      <c r="F38" s="355" t="s">
        <v>1918</v>
      </c>
      <c r="G38" s="352" t="str">
        <f>IFERROR(VLOOKUP(D38,'Client ID Records_v2'!D:E, 2, FALSE), "")</f>
        <v>CL-2023-088</v>
      </c>
      <c r="H38" s="368" t="str">
        <f>IFERROR(VLOOKUP(G38,'Client ID Records_v2'!E:F, 2, FALSE), "")</f>
        <v>WVSU Biotechnology &amp; Biomedical Research Labroatory</v>
      </c>
      <c r="I38" s="352" t="str">
        <f>IFERROR(VLOOKUP(D38,'Project Records_v2'!E:F, 2, FALSE), "")</f>
        <v>P-2023-049</v>
      </c>
      <c r="J38" s="372" t="str">
        <f>IFERROR(VLOOKUP(I38,'Project Records_v2'!F:G, 2, FALSE), "")</f>
        <v>The effect of fermented silage on sperm quality of mixed-breed anglo nubian goats in Romblon</v>
      </c>
      <c r="K38" s="388" t="s">
        <v>1472</v>
      </c>
      <c r="L38" s="390" t="s">
        <v>1997</v>
      </c>
      <c r="M38" s="377" t="s">
        <v>1919</v>
      </c>
      <c r="N38" s="362" t="s">
        <v>1930</v>
      </c>
      <c r="O38" s="370">
        <v>545023.0</v>
      </c>
      <c r="P38" s="389">
        <v>45118.0</v>
      </c>
      <c r="Q38" s="365"/>
    </row>
    <row r="39" ht="22.5" customHeight="1">
      <c r="A39" s="146">
        <v>2023.0</v>
      </c>
      <c r="B39" s="366">
        <v>45103.0</v>
      </c>
      <c r="C39" s="367" t="s">
        <v>2000</v>
      </c>
      <c r="D39" s="392" t="s">
        <v>382</v>
      </c>
      <c r="E39" s="379">
        <v>2182.4</v>
      </c>
      <c r="F39" s="355" t="s">
        <v>1918</v>
      </c>
      <c r="G39" s="352" t="str">
        <f>IFERROR(VLOOKUP(D39,'Client ID Records_v2'!D:E, 2, FALSE), "")</f>
        <v>CL-2023-086</v>
      </c>
      <c r="H39" s="368" t="str">
        <f>IFERROR(VLOOKUP(G39,'Client ID Records_v2'!E:F, 2, FALSE), "")</f>
        <v>Institute of Marine Fisheries and Oceanology, College of Fisheries and Ocean Sciences, University of the Philippines Visayas</v>
      </c>
      <c r="I39" s="352" t="str">
        <f>IFERROR(VLOOKUP(D39,'Project Records_v2'!E:F, 2, FALSE), "")</f>
        <v>P-2023-047</v>
      </c>
      <c r="J39" s="372" t="str">
        <f>IFERROR(VLOOKUP(I39,'Project Records_v2'!F:G, 2, FALSE), "")</f>
        <v>Detection of Vibrio parahaemolyticus and Vibrio cholerae in Oyster using Quantitative Real-Time Polymerase Chain Reaction (qPCR)
Characterization Of Picophytoplankton Abundance And Distribution In Relation To Varying Environmental Conditions In The Bay Zone Of The Batan Bay Estuary</v>
      </c>
      <c r="K39" s="388" t="s">
        <v>1472</v>
      </c>
      <c r="L39" s="390" t="s">
        <v>1997</v>
      </c>
      <c r="M39" s="377" t="s">
        <v>1919</v>
      </c>
      <c r="N39" s="362" t="s">
        <v>1930</v>
      </c>
      <c r="O39" s="370">
        <v>545016.0</v>
      </c>
      <c r="P39" s="389">
        <v>45118.0</v>
      </c>
      <c r="Q39" s="365"/>
    </row>
    <row r="40" ht="22.5" customHeight="1">
      <c r="A40" s="146">
        <v>2023.0</v>
      </c>
      <c r="B40" s="366">
        <v>45146.0</v>
      </c>
      <c r="C40" s="367" t="s">
        <v>2001</v>
      </c>
      <c r="D40" s="393" t="s">
        <v>438</v>
      </c>
      <c r="E40" s="379">
        <v>1636.8</v>
      </c>
      <c r="F40" s="355" t="s">
        <v>1918</v>
      </c>
      <c r="G40" s="352" t="str">
        <f>IFERROR(VLOOKUP(D40,'Client ID Records_v2'!D:E, 2, FALSE), "")</f>
        <v>CL-2023-100</v>
      </c>
      <c r="H40" s="368" t="str">
        <f>IFERROR(VLOOKUP(G40,'Client ID Records_v2'!E:F, 2, FALSE), "")</f>
        <v>West Visayas State University, College of Arts and Sciences - Biology Department</v>
      </c>
      <c r="I40" s="352" t="str">
        <f>IFERROR(VLOOKUP(D40,'Project Records_v2'!E:F, 2, FALSE), "")</f>
        <v>P-2023-054</v>
      </c>
      <c r="J40" s="372" t="str">
        <f>IFERROR(VLOOKUP(I40,'Project Records_v2'!F:G, 2, FALSE), "")</f>
        <v>Effects of Crown-of-Thorns (Acanthaster planci) Starfish as a Growth Enhacer in White Mice (Mus musculus)</v>
      </c>
      <c r="K40" s="388" t="s">
        <v>1472</v>
      </c>
      <c r="L40" s="390" t="s">
        <v>1997</v>
      </c>
      <c r="M40" s="377" t="s">
        <v>1919</v>
      </c>
      <c r="N40" s="362" t="s">
        <v>1930</v>
      </c>
      <c r="O40" s="370">
        <v>549227.0</v>
      </c>
      <c r="P40" s="394">
        <v>45149.0</v>
      </c>
      <c r="Q40" s="365"/>
    </row>
    <row r="41" ht="22.5" customHeight="1">
      <c r="A41" s="146">
        <v>2023.0</v>
      </c>
      <c r="B41" s="366">
        <v>45156.0</v>
      </c>
      <c r="C41" s="367" t="s">
        <v>2002</v>
      </c>
      <c r="D41" s="391" t="s">
        <v>479</v>
      </c>
      <c r="E41" s="379">
        <v>21520.0</v>
      </c>
      <c r="F41" s="355" t="s">
        <v>1918</v>
      </c>
      <c r="G41" s="352" t="str">
        <f>IFERROR(VLOOKUP(D41,'Client ID Records_v2'!D:E, 2, FALSE), "")</f>
        <v>CL-2023-112</v>
      </c>
      <c r="H41" s="368" t="str">
        <f>IFERROR(VLOOKUP(G41,'Client ID Records_v2'!E:F, 2, FALSE), "")</f>
        <v>SEAFDEC/AQD, Barangay Buyu-an, Tigbauan, Iloilo</v>
      </c>
      <c r="I41" s="352" t="str">
        <f>IFERROR(VLOOKUP(D41,'Project Records_v2'!E:F, 2, FALSE), "")</f>
        <v>P-2023-056</v>
      </c>
      <c r="J41" s="372" t="str">
        <f>IFERROR(VLOOKUP(I41,'Project Records_v2'!F:G, 2, FALSE), "")</f>
        <v>Fish Species ID</v>
      </c>
      <c r="K41" s="388" t="s">
        <v>1919</v>
      </c>
      <c r="L41" s="390" t="s">
        <v>1928</v>
      </c>
      <c r="M41" s="377" t="s">
        <v>1919</v>
      </c>
      <c r="N41" s="362" t="s">
        <v>1930</v>
      </c>
      <c r="O41" s="370">
        <v>552424.0</v>
      </c>
      <c r="P41" s="394">
        <v>45177.0</v>
      </c>
      <c r="Q41" s="365"/>
    </row>
    <row r="42" ht="22.5" customHeight="1">
      <c r="A42" s="146">
        <v>2023.0</v>
      </c>
      <c r="B42" s="366">
        <v>45239.0</v>
      </c>
      <c r="C42" s="367" t="s">
        <v>2003</v>
      </c>
      <c r="D42" s="353" t="s">
        <v>966</v>
      </c>
      <c r="E42" s="379">
        <v>199974.72</v>
      </c>
      <c r="F42" s="355" t="s">
        <v>1918</v>
      </c>
      <c r="G42" s="352" t="str">
        <f>IFERROR(VLOOKUP(D42,'Client ID Records_v2'!D:E, 2, FALSE), "")</f>
        <v>CL-2023-096</v>
      </c>
      <c r="H42" s="368" t="str">
        <f>IFERROR(VLOOKUP(G42,'Client ID Records_v2'!E:F, 2, FALSE), "")</f>
        <v>Division of Biological Sciences, College of Arts and Sciences, UP Visayas Miagao Iloilo</v>
      </c>
      <c r="I42" s="352" t="str">
        <f>IFERROR(VLOOKUP(D42,'Project Records_v2'!E:F, 2, FALSE), "")</f>
        <v>P-2023-052</v>
      </c>
      <c r="J42" s="372" t="str">
        <f>IFERROR(VLOOKUP(I42,'Project Records_v2'!F:G, 2, FALSE), "")</f>
        <v>Unraveling the Hidden Diversity of Aquatic Fungi from Panay Island, Philippines Project</v>
      </c>
      <c r="K42" s="388" t="s">
        <v>1919</v>
      </c>
      <c r="L42" s="390" t="s">
        <v>1928</v>
      </c>
      <c r="M42" s="377" t="s">
        <v>1929</v>
      </c>
      <c r="N42" s="362" t="s">
        <v>2004</v>
      </c>
      <c r="O42" s="386" t="s">
        <v>26</v>
      </c>
      <c r="P42" s="394">
        <v>45274.0</v>
      </c>
      <c r="Q42" s="365"/>
    </row>
    <row r="43" ht="22.5" customHeight="1">
      <c r="A43" s="146">
        <v>2023.0</v>
      </c>
      <c r="B43" s="366">
        <v>45245.0</v>
      </c>
      <c r="C43" s="367" t="s">
        <v>2005</v>
      </c>
      <c r="D43" s="353" t="s">
        <v>2006</v>
      </c>
      <c r="E43" s="379">
        <v>11693.352328767123</v>
      </c>
      <c r="F43" s="355" t="s">
        <v>1918</v>
      </c>
      <c r="G43" s="352" t="str">
        <f>IFERROR(VLOOKUP(D43,'Client ID Records_v2'!D:E, 2, FALSE), "")</f>
        <v/>
      </c>
      <c r="H43" s="368" t="str">
        <f>IFERROR(VLOOKUP(G43,'Client ID Records_v2'!E:F, 2, FALSE), "")</f>
        <v/>
      </c>
      <c r="I43" s="352" t="str">
        <f>IFERROR(VLOOKUP(D43,'Project Records_v2'!E:F, 2, FALSE), "")</f>
        <v/>
      </c>
      <c r="J43" s="372" t="str">
        <f>IFERROR(VLOOKUP(I43,'Project Records_v2'!F:G, 2, FALSE), "")</f>
        <v/>
      </c>
      <c r="K43" s="388" t="s">
        <v>1961</v>
      </c>
      <c r="L43" s="390" t="s">
        <v>1962</v>
      </c>
      <c r="M43" s="377" t="s">
        <v>1919</v>
      </c>
      <c r="N43" s="362" t="s">
        <v>1930</v>
      </c>
      <c r="O43" s="370">
        <v>556948.0</v>
      </c>
      <c r="P43" s="394">
        <v>45246.0</v>
      </c>
      <c r="Q43" s="365"/>
    </row>
    <row r="44" ht="22.5" customHeight="1">
      <c r="A44" s="146">
        <v>2023.0</v>
      </c>
      <c r="B44" s="366">
        <v>45245.0</v>
      </c>
      <c r="C44" s="367" t="s">
        <v>2007</v>
      </c>
      <c r="D44" s="391" t="s">
        <v>2008</v>
      </c>
      <c r="E44" s="379">
        <v>11693.352328767123</v>
      </c>
      <c r="F44" s="355" t="s">
        <v>1918</v>
      </c>
      <c r="G44" s="352" t="str">
        <f>IFERROR(VLOOKUP(D44,'Client ID Records_v2'!D:E, 2, FALSE), "")</f>
        <v/>
      </c>
      <c r="H44" s="368" t="str">
        <f>IFERROR(VLOOKUP(G44,'Client ID Records_v2'!E:F, 2, FALSE), "")</f>
        <v/>
      </c>
      <c r="I44" s="352" t="str">
        <f>IFERROR(VLOOKUP(D44,'Project Records_v2'!E:F, 2, FALSE), "")</f>
        <v/>
      </c>
      <c r="J44" s="372" t="str">
        <f>IFERROR(VLOOKUP(I44,'Project Records_v2'!F:G, 2, FALSE), "")</f>
        <v/>
      </c>
      <c r="K44" s="388" t="s">
        <v>1961</v>
      </c>
      <c r="L44" s="390" t="s">
        <v>1962</v>
      </c>
      <c r="M44" s="377" t="s">
        <v>1919</v>
      </c>
      <c r="N44" s="362" t="s">
        <v>1930</v>
      </c>
      <c r="O44" s="370">
        <v>556949.0</v>
      </c>
      <c r="P44" s="394">
        <v>45246.0</v>
      </c>
      <c r="Q44" s="365"/>
    </row>
    <row r="45" ht="22.5" customHeight="1">
      <c r="A45" s="146">
        <v>2023.0</v>
      </c>
      <c r="B45" s="366">
        <v>45245.0</v>
      </c>
      <c r="C45" s="367" t="s">
        <v>2009</v>
      </c>
      <c r="D45" s="391" t="s">
        <v>2010</v>
      </c>
      <c r="E45" s="379">
        <v>11693.352328767123</v>
      </c>
      <c r="F45" s="355" t="s">
        <v>1918</v>
      </c>
      <c r="G45" s="352" t="str">
        <f>IFERROR(VLOOKUP(D45,'Client ID Records_v2'!D:E, 2, FALSE), "")</f>
        <v/>
      </c>
      <c r="H45" s="368" t="str">
        <f>IFERROR(VLOOKUP(G45,'Client ID Records_v2'!E:F, 2, FALSE), "")</f>
        <v/>
      </c>
      <c r="I45" s="352" t="str">
        <f>IFERROR(VLOOKUP(D45,'Project Records_v2'!E:F, 2, FALSE), "")</f>
        <v/>
      </c>
      <c r="J45" s="372" t="str">
        <f>IFERROR(VLOOKUP(I45,'Project Records_v2'!F:G, 2, FALSE), "")</f>
        <v/>
      </c>
      <c r="K45" s="388" t="s">
        <v>1961</v>
      </c>
      <c r="L45" s="390" t="s">
        <v>1962</v>
      </c>
      <c r="M45" s="377" t="s">
        <v>1919</v>
      </c>
      <c r="N45" s="362" t="s">
        <v>1930</v>
      </c>
      <c r="O45" s="370">
        <v>556952.0</v>
      </c>
      <c r="P45" s="394">
        <v>45246.0</v>
      </c>
      <c r="Q45" s="365"/>
    </row>
    <row r="46" ht="22.5" customHeight="1">
      <c r="A46" s="146">
        <v>2023.0</v>
      </c>
      <c r="B46" s="366">
        <v>45245.0</v>
      </c>
      <c r="C46" s="367" t="s">
        <v>2011</v>
      </c>
      <c r="D46" s="391" t="s">
        <v>2012</v>
      </c>
      <c r="E46" s="379">
        <v>11693.352328767123</v>
      </c>
      <c r="F46" s="355" t="s">
        <v>1918</v>
      </c>
      <c r="G46" s="352" t="str">
        <f>IFERROR(VLOOKUP(D46,'Client ID Records_v2'!D:E, 2, FALSE), "")</f>
        <v/>
      </c>
      <c r="H46" s="368" t="str">
        <f>IFERROR(VLOOKUP(G46,'Client ID Records_v2'!E:F, 2, FALSE), "")</f>
        <v/>
      </c>
      <c r="I46" s="352" t="str">
        <f>IFERROR(VLOOKUP(D46,'Project Records_v2'!E:F, 2, FALSE), "")</f>
        <v/>
      </c>
      <c r="J46" s="372" t="str">
        <f>IFERROR(VLOOKUP(I46,'Project Records_v2'!F:G, 2, FALSE), "")</f>
        <v/>
      </c>
      <c r="K46" s="388" t="s">
        <v>1961</v>
      </c>
      <c r="L46" s="390" t="s">
        <v>1962</v>
      </c>
      <c r="M46" s="377" t="s">
        <v>1919</v>
      </c>
      <c r="N46" s="362" t="s">
        <v>1930</v>
      </c>
      <c r="O46" s="370">
        <v>556951.0</v>
      </c>
      <c r="P46" s="394">
        <v>45246.0</v>
      </c>
      <c r="Q46" s="365"/>
    </row>
    <row r="47" ht="22.5" customHeight="1">
      <c r="A47" s="146">
        <v>2023.0</v>
      </c>
      <c r="B47" s="366">
        <v>45245.0</v>
      </c>
      <c r="C47" s="367" t="s">
        <v>2013</v>
      </c>
      <c r="D47" s="391" t="s">
        <v>2014</v>
      </c>
      <c r="E47" s="379">
        <v>11693.352328767123</v>
      </c>
      <c r="F47" s="355" t="s">
        <v>1918</v>
      </c>
      <c r="G47" s="352" t="str">
        <f>IFERROR(VLOOKUP(D47,'Client ID Records_v2'!D:E, 2, FALSE), "")</f>
        <v/>
      </c>
      <c r="H47" s="368" t="str">
        <f>IFERROR(VLOOKUP(G47,'Client ID Records_v2'!E:F, 2, FALSE), "")</f>
        <v/>
      </c>
      <c r="I47" s="352" t="str">
        <f>IFERROR(VLOOKUP(D47,'Project Records_v2'!E:F, 2, FALSE), "")</f>
        <v/>
      </c>
      <c r="J47" s="372" t="str">
        <f>IFERROR(VLOOKUP(I47,'Project Records_v2'!F:G, 2, FALSE), "")</f>
        <v/>
      </c>
      <c r="K47" s="388" t="s">
        <v>1961</v>
      </c>
      <c r="L47" s="390" t="s">
        <v>1962</v>
      </c>
      <c r="M47" s="377" t="s">
        <v>1919</v>
      </c>
      <c r="N47" s="362" t="s">
        <v>1930</v>
      </c>
      <c r="O47" s="370">
        <v>556950.0</v>
      </c>
      <c r="P47" s="394">
        <v>45246.0</v>
      </c>
      <c r="Q47" s="365"/>
    </row>
    <row r="48" ht="22.5" customHeight="1">
      <c r="A48" s="146">
        <v>2023.0</v>
      </c>
      <c r="B48" s="366">
        <v>45245.0</v>
      </c>
      <c r="C48" s="367" t="s">
        <v>2015</v>
      </c>
      <c r="D48" s="391" t="s">
        <v>521</v>
      </c>
      <c r="E48" s="379">
        <v>199883.2</v>
      </c>
      <c r="F48" s="355" t="s">
        <v>1932</v>
      </c>
      <c r="G48" s="352" t="str">
        <f>IFERROR(VLOOKUP(D48,'Client ID Records_v2'!D:E, 2, FALSE), "")</f>
        <v>CL-2023-126</v>
      </c>
      <c r="H48" s="368" t="str">
        <f>IFERROR(VLOOKUP(G48,'Client ID Records_v2'!E:F, 2, FALSE), "")</f>
        <v>Institute of Aquaculutre, College of Fisheries and Ocean Science, University of the Philippines Visayas, Miagao, Iloilo</v>
      </c>
      <c r="I48" s="352" t="str">
        <f>IFERROR(VLOOKUP(D48,'Project Records_v2'!E:F, 2, FALSE), "")</f>
        <v>P-2023-062</v>
      </c>
      <c r="J48" s="372" t="str">
        <f>IFERROR(VLOOKUP(I48,'Project Records_v2'!F:G, 2, FALSE), "")</f>
        <v>Development of spawning and hatchery techniques for the blood cockle (Anadara granosa) for sustainable aquaculture</v>
      </c>
      <c r="K48" s="388" t="s">
        <v>1919</v>
      </c>
      <c r="L48" s="390" t="s">
        <v>26</v>
      </c>
      <c r="M48" s="377" t="s">
        <v>101</v>
      </c>
      <c r="N48" s="362"/>
      <c r="O48" s="370"/>
      <c r="P48" s="371"/>
      <c r="Q48" s="365"/>
    </row>
    <row r="49" ht="22.5" customHeight="1">
      <c r="A49" s="146">
        <v>2023.0</v>
      </c>
      <c r="B49" s="366">
        <v>45251.0</v>
      </c>
      <c r="C49" s="367" t="s">
        <v>2016</v>
      </c>
      <c r="D49" s="353" t="s">
        <v>547</v>
      </c>
      <c r="E49" s="379">
        <v>411000.0</v>
      </c>
      <c r="F49" s="355" t="s">
        <v>1918</v>
      </c>
      <c r="G49" s="352" t="str">
        <f>IFERROR(VLOOKUP(D49,'Client ID Records_v2'!D:E, 2, FALSE), "")</f>
        <v>CL-2024-131</v>
      </c>
      <c r="H49" s="368" t="str">
        <f>IFERROR(VLOOKUP(G49,'Client ID Records_v2'!E:F, 2, FALSE), "")</f>
        <v>DMMMSU Probiotics Research Project, Central Administration Building, Don Mariano Marcos Memorial State University, Sapilang, Bacnotan, La Union 2515</v>
      </c>
      <c r="I49" s="352" t="str">
        <f>IFERROR(VLOOKUP(D49,'Project Records_v2'!E:F, 2, FALSE), "")</f>
        <v>P-2024-071</v>
      </c>
      <c r="J49" s="372" t="str">
        <f>IFERROR(VLOOKUP(I49,'Project Records_v2'!F:G, 2, FALSE), "")</f>
        <v>Development of Probiotics from roselle (Hibiscus sabdariffa), mulberry (Morus alba), and corn (Zea mays)</v>
      </c>
      <c r="K49" s="388" t="s">
        <v>1961</v>
      </c>
      <c r="L49" s="390" t="s">
        <v>1986</v>
      </c>
      <c r="M49" s="377" t="s">
        <v>1919</v>
      </c>
      <c r="N49" s="362" t="s">
        <v>1930</v>
      </c>
      <c r="O49" s="370">
        <v>580750.0</v>
      </c>
      <c r="P49" s="394">
        <v>45525.0</v>
      </c>
      <c r="Q49" s="357" t="s">
        <v>2017</v>
      </c>
    </row>
    <row r="50" ht="22.5" customHeight="1">
      <c r="A50" s="146">
        <v>2023.0</v>
      </c>
      <c r="B50" s="366">
        <v>45265.0</v>
      </c>
      <c r="C50" s="367" t="s">
        <v>2018</v>
      </c>
      <c r="D50" s="378" t="s">
        <v>525</v>
      </c>
      <c r="E50" s="379">
        <v>195980.67</v>
      </c>
      <c r="F50" s="355" t="s">
        <v>1918</v>
      </c>
      <c r="G50" s="352" t="str">
        <f>IFERROR(VLOOKUP(D50,'Client ID Records_v2'!D:E, 2, FALSE), "")</f>
        <v>CL-2023-127</v>
      </c>
      <c r="H50" s="368" t="str">
        <f>IFERROR(VLOOKUP(G50,'Client ID Records_v2'!E:F, 2, FALSE), "")</f>
        <v>DOST-ITDI-VIP, DOST Cmpd., General Santos Avenue, Bicutan, Taguig City, Philippines</v>
      </c>
      <c r="I50" s="352" t="str">
        <f>IFERROR(VLOOKUP(D50,'Project Records_v2'!E:F, 2, FALSE), "")</f>
        <v>P-2024-093</v>
      </c>
      <c r="J50" s="372" t="str">
        <f>IFERROR(VLOOKUP(I50,'Project Records_v2'!F:G, 2, FALSE), "")</f>
        <v>Development of a LAMP-Based Detection Kit for Tomato Yellow Leaf Curl
Virus (TYLCV) Philippine Strains</v>
      </c>
      <c r="K50" s="388" t="s">
        <v>1961</v>
      </c>
      <c r="L50" s="390" t="s">
        <v>1979</v>
      </c>
      <c r="M50" s="377" t="s">
        <v>1919</v>
      </c>
      <c r="N50" s="362" t="s">
        <v>1930</v>
      </c>
      <c r="O50" s="370">
        <v>564168.0</v>
      </c>
      <c r="P50" s="395">
        <v>45335.0</v>
      </c>
      <c r="Q50" s="365"/>
    </row>
    <row r="51" ht="22.5" customHeight="1">
      <c r="A51" s="146">
        <v>2023.0</v>
      </c>
      <c r="B51" s="366">
        <v>45272.0</v>
      </c>
      <c r="C51" s="367" t="s">
        <v>2019</v>
      </c>
      <c r="D51" s="353" t="s">
        <v>507</v>
      </c>
      <c r="E51" s="379">
        <v>2710.4</v>
      </c>
      <c r="F51" s="355" t="s">
        <v>1918</v>
      </c>
      <c r="G51" s="352" t="str">
        <f>IFERROR(VLOOKUP(D51,'Client ID Records_v2'!D:E, 2, FALSE), "")</f>
        <v>CL-2023-119</v>
      </c>
      <c r="H51" s="368" t="str">
        <f>IFERROR(VLOOKUP(G51,'Client ID Records_v2'!E:F, 2, FALSE), "")</f>
        <v>Division of Biological Sciences, College of Arts and Sciences, UP Visayas Miagao Iloilo</v>
      </c>
      <c r="I51" s="352" t="str">
        <f>IFERROR(VLOOKUP(D51,'Project Records_v2'!E:F, 2, FALSE), "")</f>
        <v>P-2023-061</v>
      </c>
      <c r="J51" s="372" t="str">
        <f>IFERROR(VLOOKUP(I51,'Project Records_v2'!F:G, 2, FALSE), "")</f>
        <v>Integrating early warning systems for community outbreaks using water-based epidemiology during post-COVID-19 pandemic</v>
      </c>
      <c r="K51" s="388" t="s">
        <v>1418</v>
      </c>
      <c r="L51" s="390" t="s">
        <v>26</v>
      </c>
      <c r="M51" s="377" t="s">
        <v>1919</v>
      </c>
      <c r="N51" s="362" t="s">
        <v>2020</v>
      </c>
      <c r="O51" s="386" t="s">
        <v>26</v>
      </c>
      <c r="P51" s="394">
        <v>45299.0</v>
      </c>
      <c r="Q51" s="365"/>
    </row>
    <row r="52" ht="22.5" customHeight="1">
      <c r="A52" s="136">
        <v>2024.0</v>
      </c>
      <c r="B52" s="366">
        <v>45302.0</v>
      </c>
      <c r="C52" s="367" t="s">
        <v>2021</v>
      </c>
      <c r="D52" s="353" t="s">
        <v>443</v>
      </c>
      <c r="E52" s="379">
        <v>35763.2</v>
      </c>
      <c r="F52" s="355" t="s">
        <v>1918</v>
      </c>
      <c r="G52" s="352" t="str">
        <f>IFERROR(VLOOKUP(D52,'Client ID Records_v2'!D:E, 2, FALSE), "")</f>
        <v>CL-2023-101</v>
      </c>
      <c r="H52" s="368" t="str">
        <f>IFERROR(VLOOKUP(G52,'Client ID Records_v2'!E:F, 2, FALSE), "")</f>
        <v>Biotechnology and Microbiology Laboratory, College of Medicine, West Visayas State University</v>
      </c>
      <c r="I52" s="352" t="str">
        <f>IFERROR(VLOOKUP(D52,'Project Records_v2'!E:F, 2, FALSE), "")</f>
        <v>P-2023-055</v>
      </c>
      <c r="J52" s="372" t="str">
        <f>IFERROR(VLOOKUP(I52,'Project Records_v2'!F:G, 2, FALSE), "")</f>
        <v>Inhibitory Activity of Vitex negundo (Lagundi) Leaf Extract Against Biofilm Formation and Quorom Sensing of Vibrio cholerae</v>
      </c>
      <c r="K52" s="388" t="s">
        <v>1919</v>
      </c>
      <c r="L52" s="390" t="s">
        <v>1955</v>
      </c>
      <c r="M52" s="377" t="s">
        <v>1919</v>
      </c>
      <c r="N52" s="362" t="s">
        <v>1930</v>
      </c>
      <c r="O52" s="370">
        <v>560693.0</v>
      </c>
      <c r="P52" s="394">
        <v>45310.0</v>
      </c>
      <c r="Q52" s="357" t="s">
        <v>2022</v>
      </c>
    </row>
    <row r="53" ht="22.5" customHeight="1">
      <c r="A53" s="136">
        <v>2024.0</v>
      </c>
      <c r="B53" s="396">
        <v>45308.0</v>
      </c>
      <c r="C53" s="381" t="s">
        <v>2021</v>
      </c>
      <c r="D53" s="378" t="s">
        <v>531</v>
      </c>
      <c r="E53" s="376">
        <v>50000.0</v>
      </c>
      <c r="F53" s="355" t="s">
        <v>1918</v>
      </c>
      <c r="G53" s="352" t="str">
        <f>IFERROR(VLOOKUP(D53,'Client ID Records_v2'!D:E, 2, FALSE), "")</f>
        <v>CL-2024-128</v>
      </c>
      <c r="H53" s="368" t="str">
        <f>IFERROR(VLOOKUP(G53,'Client ID Records_v2'!E:F, 2, FALSE), "")</f>
        <v>Biology Department, College of Science and Arts, University of San Carlos, Nasipit, Talamban, Cebu City</v>
      </c>
      <c r="I53" s="352" t="str">
        <f>IFERROR(VLOOKUP(D53,'Project Records_v2'!E:F, 2, FALSE), "")</f>
        <v>P-2024-064</v>
      </c>
      <c r="J53" s="372" t="str">
        <f>IFERROR(VLOOKUP(I53,'Project Records_v2'!F:G, 2, FALSE), "")</f>
        <v>Detection of Natural Products Derived from Sediment Microbes in Mangrove</v>
      </c>
      <c r="K53" s="388" t="s">
        <v>1919</v>
      </c>
      <c r="L53" s="390" t="s">
        <v>1928</v>
      </c>
      <c r="M53" s="361" t="s">
        <v>1929</v>
      </c>
      <c r="N53" s="362" t="s">
        <v>1930</v>
      </c>
      <c r="O53" s="373">
        <v>572780.0</v>
      </c>
      <c r="P53" s="397">
        <v>45457.0</v>
      </c>
      <c r="Q53" s="357" t="s">
        <v>2023</v>
      </c>
    </row>
    <row r="54" ht="22.5" customHeight="1">
      <c r="A54" s="136">
        <v>2024.0</v>
      </c>
      <c r="B54" s="366">
        <v>45329.0</v>
      </c>
      <c r="C54" s="381" t="s">
        <v>2024</v>
      </c>
      <c r="D54" s="391" t="s">
        <v>558</v>
      </c>
      <c r="E54" s="379">
        <v>1232.0</v>
      </c>
      <c r="F54" s="355" t="s">
        <v>1918</v>
      </c>
      <c r="G54" s="352" t="str">
        <f>IFERROR(VLOOKUP(D54,'Client ID Records_v2'!D:E, 2, FALSE), "")</f>
        <v>CL-2024-135</v>
      </c>
      <c r="H54" s="368" t="str">
        <f>IFERROR(VLOOKUP(G54,'Client ID Records_v2'!E:F, 2, FALSE), "")</f>
        <v>School of Technology, University of the Philippines Visayas</v>
      </c>
      <c r="I54" s="352" t="str">
        <f>IFERROR(VLOOKUP(D54,'Project Records_v2'!E:F, 2, FALSE), "")</f>
        <v>P-2024-067</v>
      </c>
      <c r="J54" s="372" t="str">
        <f>IFERROR(VLOOKUP(I54,'Project Records_v2'!F:G, 2, FALSE), "")</f>
        <v>Mango Leaves-derived Biochar for the Removal of Amoxicillin in Aqueous Solution</v>
      </c>
      <c r="K54" s="388" t="s">
        <v>1472</v>
      </c>
      <c r="L54" s="390" t="s">
        <v>1933</v>
      </c>
      <c r="M54" s="377" t="s">
        <v>1919</v>
      </c>
      <c r="N54" s="362" t="s">
        <v>1930</v>
      </c>
      <c r="O54" s="370">
        <v>564179.0</v>
      </c>
      <c r="P54" s="394">
        <v>45334.0</v>
      </c>
      <c r="Q54" s="357" t="s">
        <v>1933</v>
      </c>
    </row>
    <row r="55" ht="22.5" customHeight="1">
      <c r="A55" s="136">
        <v>2024.0</v>
      </c>
      <c r="B55" s="366">
        <v>45335.0</v>
      </c>
      <c r="C55" s="381" t="s">
        <v>2025</v>
      </c>
      <c r="D55" s="353" t="s">
        <v>566</v>
      </c>
      <c r="E55" s="379">
        <v>492.8</v>
      </c>
      <c r="F55" s="355" t="s">
        <v>1918</v>
      </c>
      <c r="G55" s="352" t="str">
        <f>IFERROR(VLOOKUP(D55,'Client ID Records_v2'!D:E, 2, FALSE), "")</f>
        <v>CL-2024-139</v>
      </c>
      <c r="H55" s="368" t="str">
        <f>IFERROR(VLOOKUP(G55,'Client ID Records_v2'!E:F, 2, FALSE), "")</f>
        <v>School of Technology, University of the Philippines Visayas</v>
      </c>
      <c r="I55" s="352" t="str">
        <f>IFERROR(VLOOKUP(D55,'Project Records_v2'!E:F, 2, FALSE), "")</f>
        <v>P-2024-068</v>
      </c>
      <c r="J55" s="372" t="str">
        <f>IFERROR(VLOOKUP(I55,'Project Records_v2'!F:G, 2, FALSE), "")</f>
        <v>Transesterification of Waste Vegetable Oil from Oil-based Thermal Disinfection Technology using SrO/CaO Bamboo Biochar Composite</v>
      </c>
      <c r="K55" s="388" t="s">
        <v>1472</v>
      </c>
      <c r="L55" s="390" t="s">
        <v>1933</v>
      </c>
      <c r="M55" s="377" t="s">
        <v>1919</v>
      </c>
      <c r="N55" s="362" t="s">
        <v>1930</v>
      </c>
      <c r="O55" s="370">
        <v>569183.0</v>
      </c>
      <c r="P55" s="394">
        <v>45405.0</v>
      </c>
      <c r="Q55" s="357" t="s">
        <v>1933</v>
      </c>
    </row>
    <row r="56" ht="22.5" customHeight="1">
      <c r="A56" s="136">
        <v>2024.0</v>
      </c>
      <c r="B56" s="396">
        <v>45349.0</v>
      </c>
      <c r="C56" s="381" t="s">
        <v>2026</v>
      </c>
      <c r="D56" s="378" t="s">
        <v>2027</v>
      </c>
      <c r="E56" s="379">
        <v>204506.72</v>
      </c>
      <c r="F56" s="355" t="s">
        <v>1932</v>
      </c>
      <c r="G56" s="352" t="str">
        <f>IFERROR(VLOOKUP(D56,'Client ID Records_v2'!D:E, 2, FALSE), "")</f>
        <v/>
      </c>
      <c r="H56" s="368" t="str">
        <f>IFERROR(VLOOKUP(G56,'Client ID Records_v2'!E:F, 2, FALSE), "")</f>
        <v/>
      </c>
      <c r="I56" s="352" t="str">
        <f>IFERROR(VLOOKUP(D56,'Project Records_v2'!E:F, 2, FALSE), "")</f>
        <v/>
      </c>
      <c r="J56" s="372" t="str">
        <f>IFERROR(VLOOKUP(I56,'Project Records_v2'!F:G, 2, FALSE), "")</f>
        <v/>
      </c>
      <c r="K56" s="398"/>
      <c r="L56" s="390" t="s">
        <v>26</v>
      </c>
      <c r="M56" s="377" t="s">
        <v>101</v>
      </c>
      <c r="N56" s="370"/>
      <c r="O56" s="370"/>
      <c r="P56" s="394"/>
      <c r="Q56" s="357" t="s">
        <v>2028</v>
      </c>
    </row>
    <row r="57" ht="22.5" customHeight="1">
      <c r="A57" s="136">
        <v>2024.0</v>
      </c>
      <c r="B57" s="396">
        <v>45349.0</v>
      </c>
      <c r="C57" s="381" t="s">
        <v>2029</v>
      </c>
      <c r="D57" s="378" t="s">
        <v>576</v>
      </c>
      <c r="E57" s="379">
        <v>8976.0</v>
      </c>
      <c r="F57" s="355" t="s">
        <v>1918</v>
      </c>
      <c r="G57" s="352" t="str">
        <f>IFERROR(VLOOKUP(D57,'Client ID Records_v2'!D:E, 2, FALSE), "")</f>
        <v>CL-2024-142</v>
      </c>
      <c r="H57" s="368" t="str">
        <f>IFERROR(VLOOKUP(G57,'Client ID Records_v2'!E:F, 2, FALSE), "")</f>
        <v>College of Medicine - Biotechnology and Biomedical Research Laboratory, West Visayas State University</v>
      </c>
      <c r="I57" s="352" t="str">
        <f>IFERROR(VLOOKUP(D57,'Project Records_v2'!E:F, 2, FALSE), "")</f>
        <v>P-2024-070</v>
      </c>
      <c r="J57" s="372" t="str">
        <f>IFERROR(VLOOKUP(I57,'Project Records_v2'!F:G, 2, FALSE), "")</f>
        <v>DNA Barcoding and Depuration Protocol of Windowpane oysters (Placuna placenta) from Oton, Iloilo</v>
      </c>
      <c r="K57" s="388" t="s">
        <v>1919</v>
      </c>
      <c r="L57" s="390" t="s">
        <v>1928</v>
      </c>
      <c r="M57" s="377" t="s">
        <v>1919</v>
      </c>
      <c r="N57" s="362" t="s">
        <v>1930</v>
      </c>
      <c r="O57" s="370">
        <v>565598.0</v>
      </c>
      <c r="P57" s="394">
        <v>45357.0</v>
      </c>
      <c r="Q57" s="357" t="s">
        <v>580</v>
      </c>
    </row>
    <row r="58" ht="22.5" customHeight="1">
      <c r="A58" s="136">
        <v>2024.0</v>
      </c>
      <c r="B58" s="396">
        <v>45355.0</v>
      </c>
      <c r="C58" s="381" t="s">
        <v>2030</v>
      </c>
      <c r="D58" s="391" t="s">
        <v>547</v>
      </c>
      <c r="E58" s="379">
        <v>25036.0</v>
      </c>
      <c r="F58" s="355" t="s">
        <v>1918</v>
      </c>
      <c r="G58" s="352" t="str">
        <f>IFERROR(VLOOKUP(D58,'Client ID Records_v2'!D:E, 2, FALSE), "")</f>
        <v>CL-2024-131</v>
      </c>
      <c r="H58" s="368" t="str">
        <f>IFERROR(VLOOKUP(G58,'Client ID Records_v2'!E:F, 2, FALSE), "")</f>
        <v>DMMMSU Probiotics Research Project, Central Administration Building, Don Mariano Marcos Memorial State University, Sapilang, Bacnotan, La Union 2515</v>
      </c>
      <c r="I58" s="352" t="str">
        <f>IFERROR(VLOOKUP(D58,'Project Records_v2'!E:F, 2, FALSE), "")</f>
        <v>P-2024-071</v>
      </c>
      <c r="J58" s="372" t="str">
        <f>IFERROR(VLOOKUP(I58,'Project Records_v2'!F:G, 2, FALSE), "")</f>
        <v>Development of Probiotics from roselle (Hibiscus sabdariffa), mulberry (Morus alba), and corn (Zea mays)</v>
      </c>
      <c r="K58" s="388" t="s">
        <v>1919</v>
      </c>
      <c r="L58" s="390" t="s">
        <v>2031</v>
      </c>
      <c r="M58" s="377" t="s">
        <v>1919</v>
      </c>
      <c r="N58" s="362" t="s">
        <v>1930</v>
      </c>
      <c r="O58" s="370">
        <v>565477.0</v>
      </c>
      <c r="P58" s="394">
        <v>45356.0</v>
      </c>
      <c r="Q58" s="365"/>
    </row>
    <row r="59" ht="22.5" customHeight="1">
      <c r="A59" s="136">
        <v>2024.0</v>
      </c>
      <c r="B59" s="396">
        <v>45362.0</v>
      </c>
      <c r="C59" s="381" t="s">
        <v>2032</v>
      </c>
      <c r="D59" s="353" t="s">
        <v>582</v>
      </c>
      <c r="E59" s="379">
        <v>2175.9</v>
      </c>
      <c r="F59" s="355" t="s">
        <v>1918</v>
      </c>
      <c r="G59" s="352" t="str">
        <f>IFERROR(VLOOKUP(D59,'Client ID Records_v2'!D:E, 2, FALSE), "")</f>
        <v>CL-2024-144</v>
      </c>
      <c r="H59" s="368" t="str">
        <f>IFERROR(VLOOKUP(G59,'Client ID Records_v2'!E:F, 2, FALSE), "")</f>
        <v>Central Mindanao University, University Town, Musuan, Maramag, Bukidnon 8710</v>
      </c>
      <c r="I59" s="352" t="str">
        <f>IFERROR(VLOOKUP(D59,'Project Records_v2'!E:F, 2, FALSE), "")</f>
        <v>P-2024-079</v>
      </c>
      <c r="J59" s="372" t="str">
        <f>IFERROR(VLOOKUP(I59,'Project Records_v2'!F:G, 2, FALSE), "")</f>
        <v>.</v>
      </c>
      <c r="K59" s="388" t="s">
        <v>1962</v>
      </c>
      <c r="L59" s="390" t="s">
        <v>2033</v>
      </c>
      <c r="M59" s="377" t="s">
        <v>1919</v>
      </c>
      <c r="N59" s="362" t="s">
        <v>1930</v>
      </c>
      <c r="O59" s="370">
        <v>565885.0</v>
      </c>
      <c r="P59" s="394">
        <v>45365.0</v>
      </c>
      <c r="Q59" s="365"/>
    </row>
    <row r="60" ht="22.5" customHeight="1">
      <c r="A60" s="136">
        <v>2024.0</v>
      </c>
      <c r="B60" s="396">
        <v>45363.0</v>
      </c>
      <c r="C60" s="367" t="s">
        <v>2034</v>
      </c>
      <c r="D60" s="353" t="s">
        <v>599</v>
      </c>
      <c r="E60" s="379">
        <v>1839.2</v>
      </c>
      <c r="F60" s="355" t="s">
        <v>1918</v>
      </c>
      <c r="G60" s="352" t="str">
        <f>IFERROR(VLOOKUP(D60,'Client ID Records_v2'!D:E, 2, FALSE), "")</f>
        <v>CL-2024-151</v>
      </c>
      <c r="H60" s="368" t="str">
        <f>IFERROR(VLOOKUP(G60,'Client ID Records_v2'!E:F, 2, FALSE), "")</f>
        <v>University of the Philippines High School in Iloilo, College of Arts and Science</v>
      </c>
      <c r="I60" s="352" t="str">
        <f>IFERROR(VLOOKUP(D60,'Project Records_v2'!E:F, 2, FALSE), "")</f>
        <v>P-2024-080</v>
      </c>
      <c r="J60" s="372" t="str">
        <f>IFERROR(VLOOKUP(I60,'Project Records_v2'!F:G, 2, FALSE), "")</f>
        <v>Isolation and characterization of cellulolytic bacteria from decomposing leaf litter</v>
      </c>
      <c r="K60" s="388" t="s">
        <v>1919</v>
      </c>
      <c r="L60" s="390" t="s">
        <v>1928</v>
      </c>
      <c r="M60" s="377" t="s">
        <v>1919</v>
      </c>
      <c r="N60" s="362" t="s">
        <v>1930</v>
      </c>
      <c r="O60" s="370">
        <v>568383.0</v>
      </c>
      <c r="P60" s="394">
        <v>45378.0</v>
      </c>
      <c r="Q60" s="365"/>
    </row>
    <row r="61" ht="22.5" customHeight="1">
      <c r="A61" s="136">
        <v>2024.0</v>
      </c>
      <c r="B61" s="396">
        <v>45393.0</v>
      </c>
      <c r="C61" s="367" t="s">
        <v>2035</v>
      </c>
      <c r="D61" s="353" t="s">
        <v>603</v>
      </c>
      <c r="E61" s="379">
        <v>10096.15</v>
      </c>
      <c r="F61" s="355" t="s">
        <v>1918</v>
      </c>
      <c r="G61" s="352" t="str">
        <f>IFERROR(VLOOKUP(D61,'Client ID Records_v2'!D:E, 2, FALSE), "")</f>
        <v/>
      </c>
      <c r="H61" s="368" t="str">
        <f>IFERROR(VLOOKUP(G61,'Client ID Records_v2'!E:F, 2, FALSE), "")</f>
        <v/>
      </c>
      <c r="I61" s="352" t="str">
        <f>IFERROR(VLOOKUP(D61,'Project Records_v2'!E:F, 2, FALSE), "")</f>
        <v>P-2024-081</v>
      </c>
      <c r="J61" s="372" t="str">
        <f>IFERROR(VLOOKUP(I61,'Project Records_v2'!F:G, 2, FALSE), "")</f>
        <v>Role of Type VI Secretion System During Shrimp Infection of Vibrio spp. - Causing Acute Hepatopancreatic Necrosis Disease (AHPND)</v>
      </c>
      <c r="K61" s="388" t="s">
        <v>1962</v>
      </c>
      <c r="L61" s="390" t="s">
        <v>2033</v>
      </c>
      <c r="M61" s="377" t="s">
        <v>1919</v>
      </c>
      <c r="N61" s="362" t="s">
        <v>1930</v>
      </c>
      <c r="O61" s="370">
        <v>568985.0</v>
      </c>
      <c r="P61" s="394"/>
      <c r="Q61" s="357" t="s">
        <v>2036</v>
      </c>
    </row>
    <row r="62" ht="22.5" customHeight="1">
      <c r="A62" s="136">
        <v>2024.0</v>
      </c>
      <c r="B62" s="366">
        <v>45385.0</v>
      </c>
      <c r="C62" s="367" t="s">
        <v>2037</v>
      </c>
      <c r="D62" s="353" t="s">
        <v>966</v>
      </c>
      <c r="E62" s="379">
        <v>99040.0</v>
      </c>
      <c r="F62" s="355" t="s">
        <v>1918</v>
      </c>
      <c r="G62" s="352" t="str">
        <f>IFERROR(VLOOKUP(D62,'Client ID Records_v2'!D:E, 2, FALSE), "")</f>
        <v>CL-2023-096</v>
      </c>
      <c r="H62" s="368" t="str">
        <f>IFERROR(VLOOKUP(G62,'Client ID Records_v2'!E:F, 2, FALSE), "")</f>
        <v>Division of Biological Sciences, College of Arts and Sciences, UP Visayas Miagao Iloilo</v>
      </c>
      <c r="I62" s="352" t="str">
        <f>IFERROR(VLOOKUP(D62,'Project Records_v2'!E:F, 2, FALSE), "")</f>
        <v>P-2023-052</v>
      </c>
      <c r="J62" s="372" t="str">
        <f>IFERROR(VLOOKUP(I62,'Project Records_v2'!F:G, 2, FALSE), "")</f>
        <v>Unraveling the Hidden Diversity of Aquatic Fungi from Panay Island, Philippines Project</v>
      </c>
      <c r="K62" s="388" t="s">
        <v>1919</v>
      </c>
      <c r="L62" s="390" t="s">
        <v>1928</v>
      </c>
      <c r="M62" s="377" t="s">
        <v>1929</v>
      </c>
      <c r="N62" s="370" t="s">
        <v>2038</v>
      </c>
      <c r="O62" s="370"/>
      <c r="P62" s="394">
        <v>45421.0</v>
      </c>
      <c r="Q62" s="365"/>
    </row>
    <row r="63" ht="22.5" customHeight="1">
      <c r="A63" s="136">
        <v>2024.0</v>
      </c>
      <c r="B63" s="366">
        <v>45442.0</v>
      </c>
      <c r="C63" s="367" t="s">
        <v>2039</v>
      </c>
      <c r="D63" s="391" t="s">
        <v>651</v>
      </c>
      <c r="E63" s="379">
        <v>8228.0</v>
      </c>
      <c r="F63" s="355" t="s">
        <v>1918</v>
      </c>
      <c r="G63" s="352" t="str">
        <f>IFERROR(VLOOKUP(D63,'Client ID Records_v2'!D:E, 2, FALSE), "")</f>
        <v>CL-2024-167</v>
      </c>
      <c r="H63" s="368" t="str">
        <f>IFERROR(VLOOKUP(G63,'Client ID Records_v2'!E:F, 2, FALSE), "")</f>
        <v>Animal Ecology Laboratory, PRISM 2nd Floor, Mindanao State University - Iligan Institute of Technology, Andres Bonifacio Ave., Tibanga, Iligan City 9200, Philippines</v>
      </c>
      <c r="I63" s="352" t="str">
        <f>IFERROR(VLOOKUP(D63,'Project Records_v2'!E:F, 2, FALSE), "")</f>
        <v>P-2024-086</v>
      </c>
      <c r="J63" s="372" t="str">
        <f>IFERROR(VLOOKUP(I63,'Project Records_v2'!F:G, 2, FALSE), "")</f>
        <v>Metabarcoding of Goat feces for Gastrointestinal nematode identification</v>
      </c>
      <c r="K63" s="388" t="s">
        <v>1919</v>
      </c>
      <c r="L63" s="390" t="s">
        <v>2040</v>
      </c>
      <c r="M63" s="377" t="s">
        <v>1919</v>
      </c>
      <c r="N63" s="362" t="s">
        <v>1930</v>
      </c>
      <c r="O63" s="370">
        <v>572084.0</v>
      </c>
      <c r="P63" s="394">
        <v>45447.0</v>
      </c>
      <c r="Q63" s="365"/>
    </row>
    <row r="64" ht="22.5" customHeight="1">
      <c r="A64" s="136">
        <v>2024.0</v>
      </c>
      <c r="B64" s="366">
        <v>45443.0</v>
      </c>
      <c r="C64" s="367" t="s">
        <v>2041</v>
      </c>
      <c r="D64" s="391" t="s">
        <v>671</v>
      </c>
      <c r="E64" s="379">
        <v>5579.2</v>
      </c>
      <c r="F64" s="355" t="s">
        <v>1918</v>
      </c>
      <c r="G64" s="352" t="str">
        <f>IFERROR(VLOOKUP(D64,'Client ID Records_v2'!D:E, 2, FALSE), "")</f>
        <v>CL-2024-171</v>
      </c>
      <c r="H64" s="368" t="str">
        <f>IFERROR(VLOOKUP(G64,'Client ID Records_v2'!E:F, 2, FALSE), "")</f>
        <v>Aklan State University</v>
      </c>
      <c r="I64" s="352" t="str">
        <f>IFERROR(VLOOKUP(D64,'Project Records_v2'!E:F, 2, FALSE), "")</f>
        <v>P-2024-089</v>
      </c>
      <c r="J64" s="372" t="str">
        <f>IFERROR(VLOOKUP(I64,'Project Records_v2'!F:G, 2, FALSE), "")</f>
        <v>Detection of Salmonella in Barn Swallow (Hirundu rustica) in Banga, Aklan</v>
      </c>
      <c r="K64" s="388" t="s">
        <v>1919</v>
      </c>
      <c r="L64" s="390" t="s">
        <v>1928</v>
      </c>
      <c r="M64" s="377" t="s">
        <v>1919</v>
      </c>
      <c r="N64" s="362" t="s">
        <v>1930</v>
      </c>
      <c r="O64" s="370">
        <v>570950.0</v>
      </c>
      <c r="P64" s="394">
        <v>45446.0</v>
      </c>
      <c r="Q64" s="365"/>
    </row>
    <row r="65" ht="22.5" customHeight="1">
      <c r="A65" s="136">
        <v>2024.0</v>
      </c>
      <c r="B65" s="366">
        <v>45447.0</v>
      </c>
      <c r="C65" s="367" t="s">
        <v>2042</v>
      </c>
      <c r="D65" s="391" t="s">
        <v>667</v>
      </c>
      <c r="E65" s="379">
        <v>14989.88</v>
      </c>
      <c r="F65" s="355" t="s">
        <v>1918</v>
      </c>
      <c r="G65" s="352" t="str">
        <f>IFERROR(VLOOKUP(D65,'Client ID Records_v2'!D:E, 2, FALSE), "")</f>
        <v>CL-2024-170</v>
      </c>
      <c r="H65" s="368" t="str">
        <f>IFERROR(VLOOKUP(G65,'Client ID Records_v2'!E:F, 2, FALSE), "")</f>
        <v>Siargao National High School, Barangay 6, Dapa, Surigao del Norte 8417</v>
      </c>
      <c r="I65" s="352" t="str">
        <f>IFERROR(VLOOKUP(D65,'Project Records_v2'!E:F, 2, FALSE), "")</f>
        <v>P-2024-088</v>
      </c>
      <c r="J65" s="372" t="str">
        <f>IFERROR(VLOOKUP(I65,'Project Records_v2'!F:G, 2, FALSE), "")</f>
        <v>Microbes Beneath the Surface: Exploring Diversity and Distribution of Microbial Species on Different Soil Samples in Siargao Island</v>
      </c>
      <c r="K65" s="388" t="s">
        <v>1919</v>
      </c>
      <c r="L65" s="390" t="s">
        <v>2031</v>
      </c>
      <c r="M65" s="377" t="s">
        <v>1919</v>
      </c>
      <c r="N65" s="362" t="s">
        <v>1930</v>
      </c>
      <c r="O65" s="370">
        <v>574342.0</v>
      </c>
      <c r="P65" s="394"/>
      <c r="Q65" s="365"/>
    </row>
    <row r="66" ht="22.5" customHeight="1">
      <c r="A66" s="136">
        <v>2024.0</v>
      </c>
      <c r="B66" s="366">
        <v>45456.0</v>
      </c>
      <c r="C66" s="367" t="s">
        <v>2043</v>
      </c>
      <c r="D66" s="353" t="s">
        <v>684</v>
      </c>
      <c r="E66" s="379">
        <v>8976.0</v>
      </c>
      <c r="F66" s="355" t="s">
        <v>1918</v>
      </c>
      <c r="G66" s="352" t="str">
        <f>IFERROR(VLOOKUP(D66,'Client ID Records_v2'!D:E, 2, FALSE), "")</f>
        <v>CL-2024-175</v>
      </c>
      <c r="H66" s="368" t="str">
        <f>IFERROR(VLOOKUP(G66,'Client ID Records_v2'!E:F, 2, FALSE), "")</f>
        <v>Japan International Research Center for Agricultural Sciences (JIRCAS)</v>
      </c>
      <c r="I66" s="352" t="str">
        <f>IFERROR(VLOOKUP(D66,'Project Records_v2'!E:F, 2, FALSE), "")</f>
        <v>P-2024-092</v>
      </c>
      <c r="J66" s="372" t="str">
        <f>IFERROR(VLOOKUP(I66,'Project Records_v2'!F:G, 2, FALSE), "")</f>
        <v>Identification of seaweed species using DNA
sequence</v>
      </c>
      <c r="K66" s="388" t="s">
        <v>1919</v>
      </c>
      <c r="L66" s="390" t="s">
        <v>1928</v>
      </c>
      <c r="M66" s="377" t="s">
        <v>1919</v>
      </c>
      <c r="N66" s="362" t="s">
        <v>1930</v>
      </c>
      <c r="O66" s="370">
        <v>572622.0</v>
      </c>
      <c r="P66" s="394">
        <v>45456.0</v>
      </c>
      <c r="Q66" s="365"/>
    </row>
    <row r="67" ht="22.5" customHeight="1">
      <c r="A67" s="136">
        <v>2024.0</v>
      </c>
      <c r="B67" s="366">
        <v>45478.0</v>
      </c>
      <c r="C67" s="367" t="s">
        <v>2044</v>
      </c>
      <c r="D67" s="378" t="s">
        <v>378</v>
      </c>
      <c r="E67" s="399">
        <v>249962.97919999997</v>
      </c>
      <c r="F67" s="355" t="s">
        <v>1918</v>
      </c>
      <c r="G67" s="352" t="str">
        <f>IFERROR(VLOOKUP(D67,'Client ID Records_v2'!D:E, 2, FALSE), "")</f>
        <v>CL-2023-085</v>
      </c>
      <c r="H67" s="368" t="str">
        <f>IFERROR(VLOOKUP(G67,'Client ID Records_v2'!E:F, 2, FALSE), "")</f>
        <v>Institute of Aquaculutre, College of Fisheries and Ocean Science, University of the Philippines Visayas, Miagao, Iloilo</v>
      </c>
      <c r="I67" s="352" t="str">
        <f>IFERROR(VLOOKUP(D67,'Project Records_v2'!E:F, 2, FALSE), "")</f>
        <v>P-2024-084</v>
      </c>
      <c r="J67" s="372" t="str">
        <f>IFERROR(VLOOKUP(I67,'Project Records_v2'!F:G, 2, FALSE), "")</f>
        <v>Improvement of Milkfish Larval Rearing and Nursery Culture through Gut Metagenome, Transcriptome Analysis, and Gut Microbial Community Manipulations</v>
      </c>
      <c r="K67" s="400" t="s">
        <v>1919</v>
      </c>
      <c r="L67" s="390" t="s">
        <v>2045</v>
      </c>
      <c r="M67" s="377" t="s">
        <v>1929</v>
      </c>
      <c r="N67" s="386" t="s">
        <v>2046</v>
      </c>
      <c r="O67" s="386" t="s">
        <v>2047</v>
      </c>
      <c r="P67" s="401">
        <v>45988.0</v>
      </c>
      <c r="Q67" s="402" t="s">
        <v>2048</v>
      </c>
    </row>
    <row r="68" ht="22.5" customHeight="1">
      <c r="A68" s="136">
        <v>2024.0</v>
      </c>
      <c r="B68" s="366">
        <v>45498.0</v>
      </c>
      <c r="C68" s="367" t="s">
        <v>2049</v>
      </c>
      <c r="D68" s="391" t="s">
        <v>697</v>
      </c>
      <c r="E68" s="379">
        <v>1120.0</v>
      </c>
      <c r="F68" s="355" t="s">
        <v>1918</v>
      </c>
      <c r="G68" s="352" t="str">
        <f>IFERROR(VLOOKUP(D68,'Client ID Records_v2'!D:E, 2, FALSE), "")</f>
        <v>CL-2024-178</v>
      </c>
      <c r="H68" s="368" t="str">
        <f>IFERROR(VLOOKUP(G68,'Client ID Records_v2'!E:F, 2, FALSE), "")</f>
        <v>Passi National High School</v>
      </c>
      <c r="I68" s="352" t="str">
        <f>IFERROR(VLOOKUP(D68,'Project Records_v2'!E:F, 2, FALSE), "")</f>
        <v/>
      </c>
      <c r="J68" s="372" t="str">
        <f>IFERROR(VLOOKUP(I68,'Project Records_v2'!F:G, 2, FALSE), "")</f>
        <v/>
      </c>
      <c r="K68" s="388" t="s">
        <v>1418</v>
      </c>
      <c r="L68" s="390" t="s">
        <v>26</v>
      </c>
      <c r="M68" s="377" t="s">
        <v>1919</v>
      </c>
      <c r="N68" s="362" t="s">
        <v>1930</v>
      </c>
      <c r="O68" s="370">
        <v>579984.0</v>
      </c>
      <c r="P68" s="394">
        <v>45518.0</v>
      </c>
      <c r="Q68" s="365"/>
    </row>
    <row r="69" ht="22.5" customHeight="1">
      <c r="A69" s="136">
        <v>2024.0</v>
      </c>
      <c r="B69" s="366">
        <v>45538.0</v>
      </c>
      <c r="C69" s="367" t="s">
        <v>2050</v>
      </c>
      <c r="D69" s="391" t="s">
        <v>709</v>
      </c>
      <c r="E69" s="379">
        <v>23943.52</v>
      </c>
      <c r="F69" s="355" t="s">
        <v>1918</v>
      </c>
      <c r="G69" s="352" t="str">
        <f>IFERROR(VLOOKUP(D69,'Client ID Records_v2'!D:E, 2, FALSE), "")</f>
        <v>CL-2024-181</v>
      </c>
      <c r="H69" s="368" t="str">
        <f>IFERROR(VLOOKUP(G69,'Client ID Records_v2'!E:F, 2, FALSE), "")</f>
        <v>Iloilo State University of Fisheries Science and Technology </v>
      </c>
      <c r="I69" s="352" t="str">
        <f>IFERROR(VLOOKUP(D69,'Project Records_v2'!E:F, 2, FALSE), "")</f>
        <v>P-2024-096</v>
      </c>
      <c r="J69" s="372" t="str">
        <f>IFERROR(VLOOKUP(I69,'Project Records_v2'!F:G, 2, FALSE), "")</f>
        <v>Growth Performance and Genetic Characterization of Tilapia Strains in Culasi, Antique, Phiippines</v>
      </c>
      <c r="K69" s="388" t="s">
        <v>1919</v>
      </c>
      <c r="L69" s="390" t="s">
        <v>1928</v>
      </c>
      <c r="M69" s="377" t="s">
        <v>1919</v>
      </c>
      <c r="N69" s="362" t="s">
        <v>1930</v>
      </c>
      <c r="O69" s="370">
        <v>581654.0</v>
      </c>
      <c r="P69" s="394">
        <v>45549.0</v>
      </c>
      <c r="Q69" s="365"/>
    </row>
    <row r="70" ht="22.5" customHeight="1">
      <c r="A70" s="136">
        <v>2024.0</v>
      </c>
      <c r="B70" s="366">
        <v>45548.0</v>
      </c>
      <c r="C70" s="367" t="s">
        <v>2051</v>
      </c>
      <c r="D70" s="391" t="s">
        <v>547</v>
      </c>
      <c r="E70" s="403">
        <v>37878.95</v>
      </c>
      <c r="F70" s="355" t="s">
        <v>1918</v>
      </c>
      <c r="G70" s="352" t="str">
        <f>IFERROR(VLOOKUP(D70,'Client ID Records_v2'!D:E, 2, FALSE), "")</f>
        <v>CL-2024-131</v>
      </c>
      <c r="H70" s="368" t="str">
        <f>IFERROR(VLOOKUP(G70,'Client ID Records_v2'!E:F, 2, FALSE), "")</f>
        <v>DMMMSU Probiotics Research Project, Central Administration Building, Don Mariano Marcos Memorial State University, Sapilang, Bacnotan, La Union 2515</v>
      </c>
      <c r="I70" s="352" t="str">
        <f>IFERROR(VLOOKUP(D70,'Project Records_v2'!E:F, 2, FALSE), "")</f>
        <v>P-2024-071</v>
      </c>
      <c r="J70" s="372" t="str">
        <f>IFERROR(VLOOKUP(I70,'Project Records_v2'!F:G, 2, FALSE), "")</f>
        <v>Development of Probiotics from roselle (Hibiscus sabdariffa), mulberry (Morus alba), and corn (Zea mays)</v>
      </c>
      <c r="K70" s="388" t="s">
        <v>1919</v>
      </c>
      <c r="L70" s="390" t="s">
        <v>2031</v>
      </c>
      <c r="M70" s="377" t="s">
        <v>1929</v>
      </c>
      <c r="N70" s="386" t="s">
        <v>2052</v>
      </c>
      <c r="O70" s="386" t="s">
        <v>2053</v>
      </c>
      <c r="P70" s="395">
        <v>45712.0</v>
      </c>
      <c r="Q70" s="402" t="s">
        <v>2054</v>
      </c>
    </row>
    <row r="71" ht="22.5" customHeight="1">
      <c r="A71" s="136">
        <v>2024.0</v>
      </c>
      <c r="B71" s="366">
        <v>45554.0</v>
      </c>
      <c r="C71" s="367" t="s">
        <v>2055</v>
      </c>
      <c r="D71" s="353" t="s">
        <v>725</v>
      </c>
      <c r="E71" s="379">
        <v>350.0</v>
      </c>
      <c r="F71" s="404"/>
      <c r="G71" s="352" t="str">
        <f>IFERROR(VLOOKUP(D71,'Client ID Records_v2'!D:E, 2, FALSE), "")</f>
        <v>CL-2024-186</v>
      </c>
      <c r="H71" s="368" t="str">
        <f>IFERROR(VLOOKUP(G71,'Client ID Records_v2'!E:F, 2, FALSE), "")</f>
        <v>UP HSI</v>
      </c>
      <c r="I71" s="352" t="str">
        <f>IFERROR(VLOOKUP(D71,'Project Records_v2'!E:F, 2, FALSE), "")</f>
        <v/>
      </c>
      <c r="J71" s="372" t="str">
        <f>IFERROR(VLOOKUP(I71,'Project Records_v2'!F:G, 2, FALSE), "")</f>
        <v/>
      </c>
      <c r="K71" s="388" t="s">
        <v>1418</v>
      </c>
      <c r="L71" s="390" t="s">
        <v>26</v>
      </c>
      <c r="M71" s="377" t="s">
        <v>1919</v>
      </c>
      <c r="N71" s="370"/>
      <c r="O71" s="370"/>
      <c r="P71" s="394"/>
      <c r="Q71" s="365"/>
    </row>
    <row r="72" ht="22.5" customHeight="1">
      <c r="A72" s="136">
        <v>2024.0</v>
      </c>
      <c r="B72" s="366">
        <v>45555.0</v>
      </c>
      <c r="C72" s="367" t="s">
        <v>2056</v>
      </c>
      <c r="D72" s="378" t="s">
        <v>525</v>
      </c>
      <c r="E72" s="379">
        <v>466170.0</v>
      </c>
      <c r="F72" s="355" t="s">
        <v>1932</v>
      </c>
      <c r="G72" s="352" t="str">
        <f>IFERROR(VLOOKUP(D72,'Client ID Records_v2'!D:E, 2, FALSE), "")</f>
        <v>CL-2023-127</v>
      </c>
      <c r="H72" s="368" t="str">
        <f>IFERROR(VLOOKUP(G72,'Client ID Records_v2'!E:F, 2, FALSE), "")</f>
        <v>DOST-ITDI-VIP, DOST Cmpd., General Santos Avenue, Bicutan, Taguig City, Philippines</v>
      </c>
      <c r="I72" s="352" t="str">
        <f>IFERROR(VLOOKUP(D72,'Project Records_v2'!E:F, 2, FALSE), "")</f>
        <v>P-2024-093</v>
      </c>
      <c r="J72" s="372" t="str">
        <f>IFERROR(VLOOKUP(I72,'Project Records_v2'!F:G, 2, FALSE), "")</f>
        <v>Development of a LAMP-Based Detection Kit for Tomato Yellow Leaf Curl
Virus (TYLCV) Philippine Strains</v>
      </c>
      <c r="K72" s="398"/>
      <c r="L72" s="390" t="s">
        <v>2045</v>
      </c>
      <c r="M72" s="377" t="s">
        <v>101</v>
      </c>
      <c r="N72" s="370"/>
      <c r="O72" s="370"/>
      <c r="P72" s="394"/>
      <c r="Q72" s="286" t="s">
        <v>2057</v>
      </c>
    </row>
    <row r="73" ht="22.5" customHeight="1">
      <c r="A73" s="136">
        <v>2024.0</v>
      </c>
      <c r="B73" s="366">
        <v>45559.0</v>
      </c>
      <c r="C73" s="367" t="s">
        <v>2058</v>
      </c>
      <c r="D73" s="391" t="s">
        <v>674</v>
      </c>
      <c r="E73" s="405">
        <v>206965.44</v>
      </c>
      <c r="F73" s="355" t="s">
        <v>1918</v>
      </c>
      <c r="G73" s="352" t="str">
        <f>IFERROR(VLOOKUP(D73,'Client ID Records_v2'!D:E, 2, FALSE), "")</f>
        <v>CL-2024-172</v>
      </c>
      <c r="H73" s="368" t="str">
        <f>IFERROR(VLOOKUP(G73,'Client ID Records_v2'!E:F, 2, FALSE), "")</f>
        <v>Biological Sciences Department, West Visayas State University, Luna Street, Lapaz, Iloilo City 5001</v>
      </c>
      <c r="I73" s="352" t="str">
        <f>IFERROR(VLOOKUP(D73,'Project Records_v2'!E:F, 2, FALSE), "")</f>
        <v>P-2024-090</v>
      </c>
      <c r="J73" s="372" t="str">
        <f>IFERROR(VLOOKUP(I73,'Project Records_v2'!F:G, 2, FALSE), "")</f>
        <v>Understanding Endophytic Fungi in Medicinal Plants and their Antibacterial Potential on Common and Antibiotic-Resistant Bacteria (ESKAPE pathogens)</v>
      </c>
      <c r="K73" s="388" t="s">
        <v>1919</v>
      </c>
      <c r="L73" s="390" t="s">
        <v>2059</v>
      </c>
      <c r="M73" s="377" t="s">
        <v>1929</v>
      </c>
      <c r="N73" s="386" t="s">
        <v>26</v>
      </c>
      <c r="O73" s="386" t="s">
        <v>2060</v>
      </c>
      <c r="P73" s="401">
        <v>45665.0</v>
      </c>
      <c r="Q73" s="402" t="s">
        <v>2061</v>
      </c>
    </row>
    <row r="74" ht="22.5" customHeight="1">
      <c r="A74" s="136">
        <v>2024.0</v>
      </c>
      <c r="B74" s="366">
        <v>45567.0</v>
      </c>
      <c r="C74" s="367" t="s">
        <v>2062</v>
      </c>
      <c r="D74" s="378" t="s">
        <v>525</v>
      </c>
      <c r="E74" s="405">
        <v>298625.0</v>
      </c>
      <c r="F74" s="355" t="s">
        <v>2063</v>
      </c>
      <c r="G74" s="352" t="str">
        <f>IFERROR(VLOOKUP(D74,'Client ID Records_v2'!D:E, 2, FALSE), "")</f>
        <v>CL-2023-127</v>
      </c>
      <c r="H74" s="368" t="str">
        <f>IFERROR(VLOOKUP(G74,'Client ID Records_v2'!E:F, 2, FALSE), "")</f>
        <v>DOST-ITDI-VIP, DOST Cmpd., General Santos Avenue, Bicutan, Taguig City, Philippines</v>
      </c>
      <c r="I74" s="352" t="str">
        <f>IFERROR(VLOOKUP(D74,'Project Records_v2'!E:F, 2, FALSE), "")</f>
        <v>P-2024-093</v>
      </c>
      <c r="J74" s="372" t="str">
        <f>IFERROR(VLOOKUP(I74,'Project Records_v2'!F:G, 2, FALSE), "")</f>
        <v>Development of a LAMP-Based Detection Kit for Tomato Yellow Leaf Curl
Virus (TYLCV) Philippine Strains</v>
      </c>
      <c r="K74" s="388" t="s">
        <v>1919</v>
      </c>
      <c r="L74" s="390" t="s">
        <v>2045</v>
      </c>
      <c r="M74" s="377" t="s">
        <v>1919</v>
      </c>
      <c r="N74" s="386" t="s">
        <v>2064</v>
      </c>
      <c r="O74" s="370"/>
      <c r="P74" s="394"/>
      <c r="Q74" s="365"/>
    </row>
    <row r="75" ht="22.5" customHeight="1">
      <c r="A75" s="136">
        <v>2024.0</v>
      </c>
      <c r="B75" s="366">
        <v>45567.0</v>
      </c>
      <c r="C75" s="367" t="s">
        <v>2065</v>
      </c>
      <c r="D75" s="378" t="s">
        <v>525</v>
      </c>
      <c r="E75" s="376">
        <v>146288.0</v>
      </c>
      <c r="F75" s="355" t="s">
        <v>2063</v>
      </c>
      <c r="G75" s="352" t="str">
        <f>IFERROR(VLOOKUP(D75,'Client ID Records_v2'!D:E, 2, FALSE), "")</f>
        <v>CL-2023-127</v>
      </c>
      <c r="H75" s="368" t="str">
        <f>IFERROR(VLOOKUP(G75,'Client ID Records_v2'!E:F, 2, FALSE), "")</f>
        <v>DOST-ITDI-VIP, DOST Cmpd., General Santos Avenue, Bicutan, Taguig City, Philippines</v>
      </c>
      <c r="I75" s="352" t="str">
        <f>IFERROR(VLOOKUP(D75,'Project Records_v2'!E:F, 2, FALSE), "")</f>
        <v>P-2024-093</v>
      </c>
      <c r="J75" s="372" t="str">
        <f>IFERROR(VLOOKUP(I75,'Project Records_v2'!F:G, 2, FALSE), "")</f>
        <v>Development of a LAMP-Based Detection Kit for Tomato Yellow Leaf Curl
Virus (TYLCV) Philippine Strains</v>
      </c>
      <c r="K75" s="388" t="s">
        <v>1962</v>
      </c>
      <c r="L75" s="390" t="s">
        <v>2066</v>
      </c>
      <c r="M75" s="377" t="s">
        <v>1919</v>
      </c>
      <c r="N75" s="386" t="s">
        <v>2067</v>
      </c>
      <c r="O75" s="370"/>
      <c r="P75" s="394"/>
      <c r="Q75" s="365"/>
    </row>
    <row r="76" ht="22.5" customHeight="1">
      <c r="A76" s="136">
        <v>2024.0</v>
      </c>
      <c r="B76" s="366">
        <v>45567.0</v>
      </c>
      <c r="C76" s="367" t="s">
        <v>2068</v>
      </c>
      <c r="D76" s="378" t="s">
        <v>525</v>
      </c>
      <c r="E76" s="376">
        <v>21257.6</v>
      </c>
      <c r="F76" s="355" t="s">
        <v>1932</v>
      </c>
      <c r="G76" s="352" t="str">
        <f>IFERROR(VLOOKUP(D76,'Client ID Records_v2'!D:E, 2, FALSE), "")</f>
        <v>CL-2023-127</v>
      </c>
      <c r="H76" s="368" t="str">
        <f>IFERROR(VLOOKUP(G76,'Client ID Records_v2'!E:F, 2, FALSE), "")</f>
        <v>DOST-ITDI-VIP, DOST Cmpd., General Santos Avenue, Bicutan, Taguig City, Philippines</v>
      </c>
      <c r="I76" s="352" t="str">
        <f>IFERROR(VLOOKUP(D76,'Project Records_v2'!E:F, 2, FALSE), "")</f>
        <v>P-2024-093</v>
      </c>
      <c r="J76" s="372" t="str">
        <f>IFERROR(VLOOKUP(I76,'Project Records_v2'!F:G, 2, FALSE), "")</f>
        <v>Development of a LAMP-Based Detection Kit for Tomato Yellow Leaf Curl
Virus (TYLCV) Philippine Strains</v>
      </c>
      <c r="K76" s="398"/>
      <c r="L76" s="390" t="s">
        <v>2066</v>
      </c>
      <c r="M76" s="377" t="s">
        <v>101</v>
      </c>
      <c r="N76" s="370"/>
      <c r="O76" s="370"/>
      <c r="P76" s="394"/>
      <c r="Q76" s="365"/>
    </row>
    <row r="77" ht="22.5" customHeight="1">
      <c r="A77" s="136">
        <v>2024.0</v>
      </c>
      <c r="B77" s="366">
        <v>45567.0</v>
      </c>
      <c r="C77" s="367" t="s">
        <v>2069</v>
      </c>
      <c r="D77" s="391" t="s">
        <v>547</v>
      </c>
      <c r="E77" s="379">
        <v>8564.03</v>
      </c>
      <c r="F77" s="355" t="s">
        <v>1918</v>
      </c>
      <c r="G77" s="352" t="str">
        <f>IFERROR(VLOOKUP(D77,'Client ID Records_v2'!D:E, 2, FALSE), "")</f>
        <v>CL-2024-131</v>
      </c>
      <c r="H77" s="368" t="str">
        <f>IFERROR(VLOOKUP(G77,'Client ID Records_v2'!E:F, 2, FALSE), "")</f>
        <v>DMMMSU Probiotics Research Project, Central Administration Building, Don Mariano Marcos Memorial State University, Sapilang, Bacnotan, La Union 2515</v>
      </c>
      <c r="I77" s="352" t="str">
        <f>IFERROR(VLOOKUP(D77,'Project Records_v2'!E:F, 2, FALSE), "")</f>
        <v>P-2024-071</v>
      </c>
      <c r="J77" s="372" t="str">
        <f>IFERROR(VLOOKUP(I77,'Project Records_v2'!F:G, 2, FALSE), "")</f>
        <v>Development of Probiotics from roselle (Hibiscus sabdariffa), mulberry (Morus alba), and corn (Zea mays)</v>
      </c>
      <c r="K77" s="388" t="s">
        <v>1962</v>
      </c>
      <c r="L77" s="390" t="s">
        <v>2066</v>
      </c>
      <c r="M77" s="377" t="s">
        <v>1919</v>
      </c>
      <c r="N77" s="362" t="s">
        <v>1930</v>
      </c>
      <c r="O77" s="370" t="s">
        <v>2070</v>
      </c>
      <c r="P77" s="394">
        <v>45569.0</v>
      </c>
      <c r="Q77" s="365"/>
    </row>
    <row r="78" ht="22.5" customHeight="1">
      <c r="A78" s="136">
        <v>2024.0</v>
      </c>
      <c r="B78" s="366">
        <v>45568.0</v>
      </c>
      <c r="C78" s="367" t="s">
        <v>2071</v>
      </c>
      <c r="D78" s="391" t="s">
        <v>547</v>
      </c>
      <c r="E78" s="379">
        <v>47958.56</v>
      </c>
      <c r="F78" s="355" t="s">
        <v>1918</v>
      </c>
      <c r="G78" s="352" t="str">
        <f>IFERROR(VLOOKUP(D78,'Client ID Records_v2'!D:E, 2, FALSE), "")</f>
        <v>CL-2024-131</v>
      </c>
      <c r="H78" s="368" t="str">
        <f>IFERROR(VLOOKUP(G78,'Client ID Records_v2'!E:F, 2, FALSE), "")</f>
        <v>DMMMSU Probiotics Research Project, Central Administration Building, Don Mariano Marcos Memorial State University, Sapilang, Bacnotan, La Union 2515</v>
      </c>
      <c r="I78" s="352" t="str">
        <f>IFERROR(VLOOKUP(D78,'Project Records_v2'!E:F, 2, FALSE), "")</f>
        <v>P-2024-071</v>
      </c>
      <c r="J78" s="372" t="str">
        <f>IFERROR(VLOOKUP(I78,'Project Records_v2'!F:G, 2, FALSE), "")</f>
        <v>Development of Probiotics from roselle (Hibiscus sabdariffa), mulberry (Morus alba), and corn (Zea mays)</v>
      </c>
      <c r="K78" s="388" t="s">
        <v>1962</v>
      </c>
      <c r="L78" s="390" t="s">
        <v>2072</v>
      </c>
      <c r="M78" s="377" t="s">
        <v>1919</v>
      </c>
      <c r="N78" s="406" t="s">
        <v>2073</v>
      </c>
      <c r="O78" s="370"/>
      <c r="P78" s="394"/>
      <c r="Q78" s="407" t="s">
        <v>2074</v>
      </c>
    </row>
    <row r="79" ht="22.5" customHeight="1">
      <c r="A79" s="136">
        <v>2024.0</v>
      </c>
      <c r="B79" s="366">
        <v>45569.0</v>
      </c>
      <c r="C79" s="367" t="s">
        <v>2075</v>
      </c>
      <c r="D79" s="391" t="s">
        <v>112</v>
      </c>
      <c r="E79" s="379">
        <v>149943.2</v>
      </c>
      <c r="F79" s="355" t="s">
        <v>1932</v>
      </c>
      <c r="G79" s="352" t="str">
        <f>IFERROR(VLOOKUP(D79,'Client ID Records_v2'!D:E, 2, FALSE), "")</f>
        <v>CL-2020-021</v>
      </c>
      <c r="H79" s="368" t="str">
        <f>IFERROR(VLOOKUP(G79,'Client ID Records_v2'!E:F, 2, FALSE), "")</f>
        <v>Institute of Aquaculture, College of Fisheries and Ocean Sciences, University of the Philippines Visayas, Miagao, 5023, Iloilo</v>
      </c>
      <c r="I79" s="352" t="str">
        <f>IFERROR(VLOOKUP(D79,'Project Records_v2'!E:F, 2, FALSE), "")</f>
        <v>P-2024-101</v>
      </c>
      <c r="J79" s="372" t="str">
        <f>IFERROR(VLOOKUP(I79,'Project Records_v2'!F:G, 2, FALSE), "")</f>
        <v>Field Testing of Hatchery &amp; Nursery Production &amp; Development of Broodstock Transport Protocols for the Native Catfish Clarias macrocephalus</v>
      </c>
      <c r="K79" s="398"/>
      <c r="L79" s="390" t="s">
        <v>1928</v>
      </c>
      <c r="M79" s="377" t="s">
        <v>1929</v>
      </c>
      <c r="N79" s="370"/>
      <c r="O79" s="370"/>
      <c r="P79" s="394"/>
      <c r="Q79" s="365"/>
    </row>
    <row r="80" ht="22.5" customHeight="1">
      <c r="A80" s="136">
        <v>2024.0</v>
      </c>
      <c r="B80" s="366">
        <v>45575.0</v>
      </c>
      <c r="C80" s="367" t="s">
        <v>2076</v>
      </c>
      <c r="D80" s="391" t="s">
        <v>112</v>
      </c>
      <c r="E80" s="379">
        <v>144851.04</v>
      </c>
      <c r="F80" s="355" t="s">
        <v>1932</v>
      </c>
      <c r="G80" s="352" t="str">
        <f>IFERROR(VLOOKUP(D80,'Client ID Records_v2'!D:E, 2, FALSE), "")</f>
        <v>CL-2020-021</v>
      </c>
      <c r="H80" s="368" t="str">
        <f>IFERROR(VLOOKUP(G80,'Client ID Records_v2'!E:F, 2, FALSE), "")</f>
        <v>Institute of Aquaculture, College of Fisheries and Ocean Sciences, University of the Philippines Visayas, Miagao, 5023, Iloilo</v>
      </c>
      <c r="I80" s="352" t="str">
        <f>IFERROR(VLOOKUP(D80,'Project Records_v2'!E:F, 2, FALSE), "")</f>
        <v>P-2024-101</v>
      </c>
      <c r="J80" s="372" t="str">
        <f>IFERROR(VLOOKUP(I80,'Project Records_v2'!F:G, 2, FALSE), "")</f>
        <v>Field Testing of Hatchery &amp; Nursery Production &amp; Development of Broodstock Transport Protocols for the Native Catfish Clarias macrocephalus</v>
      </c>
      <c r="K80" s="143"/>
      <c r="L80" s="390" t="s">
        <v>1957</v>
      </c>
      <c r="M80" s="377" t="s">
        <v>1929</v>
      </c>
      <c r="N80" s="370"/>
      <c r="O80" s="370"/>
      <c r="P80" s="394"/>
      <c r="Q80" s="365"/>
    </row>
    <row r="81" ht="22.5" customHeight="1">
      <c r="A81" s="136">
        <v>2024.0</v>
      </c>
      <c r="B81" s="366">
        <v>45579.0</v>
      </c>
      <c r="C81" s="367" t="s">
        <v>2077</v>
      </c>
      <c r="D81" s="378" t="s">
        <v>752</v>
      </c>
      <c r="E81" s="405">
        <v>158526.72</v>
      </c>
      <c r="F81" s="355" t="s">
        <v>1918</v>
      </c>
      <c r="G81" s="352" t="str">
        <f>IFERROR(VLOOKUP(D81,'Client ID Records_v2'!D:E, 2, FALSE), "")</f>
        <v>CL-2024-202</v>
      </c>
      <c r="H81" s="368" t="str">
        <f>IFERROR(VLOOKUP(G81,'Client ID Records_v2'!E:F, 2, FALSE), "")</f>
        <v>CFOS-IA, University of the Philippines Visayas</v>
      </c>
      <c r="I81" s="352" t="str">
        <f>IFERROR(VLOOKUP(D81,'Project Records_v2'!E:F, 2, FALSE), "")</f>
        <v>P-2024-104</v>
      </c>
      <c r="J81" s="372" t="str">
        <f>IFERROR(VLOOKUP(I81,'Project Records_v2'!F:G, 2, FALSE), "")</f>
        <v>Development of Brackishwater Nursery Culturing Systems for Tropical Anguilid Eel, Anguilla marmorata, in the Philippines</v>
      </c>
      <c r="K81" s="388" t="s">
        <v>1919</v>
      </c>
      <c r="L81" s="390" t="s">
        <v>1928</v>
      </c>
      <c r="M81" s="377" t="s">
        <v>1929</v>
      </c>
      <c r="N81" s="386" t="s">
        <v>2078</v>
      </c>
      <c r="O81" s="386" t="s">
        <v>2079</v>
      </c>
      <c r="P81" s="401">
        <v>45601.0</v>
      </c>
      <c r="Q81" s="357" t="s">
        <v>2027</v>
      </c>
    </row>
    <row r="82" ht="22.5" customHeight="1">
      <c r="A82" s="136">
        <v>2024.0</v>
      </c>
      <c r="B82" s="366">
        <v>45594.0</v>
      </c>
      <c r="C82" s="367" t="s">
        <v>2080</v>
      </c>
      <c r="D82" s="391" t="s">
        <v>724</v>
      </c>
      <c r="E82" s="379">
        <v>4343.31</v>
      </c>
      <c r="F82" s="404"/>
      <c r="G82" s="352" t="str">
        <f>IFERROR(VLOOKUP(D82,'Client ID Records_v2'!D:E, 2, FALSE), "")</f>
        <v>CL-2024-185</v>
      </c>
      <c r="H82" s="368" t="str">
        <f>IFERROR(VLOOKUP(G82,'Client ID Records_v2'!E:F, 2, FALSE), "")</f>
        <v>IMFO, University of the Philippines Visayas</v>
      </c>
      <c r="I82" s="352" t="str">
        <f>IFERROR(VLOOKUP(D82,'Project Records_v2'!E:F, 2, FALSE), "")</f>
        <v>P-2024-100</v>
      </c>
      <c r="J82" s="372" t="str">
        <f>IFERROR(VLOOKUP(I82,'Project Records_v2'!F:G, 2, FALSE), "")</f>
        <v>Equipment Use</v>
      </c>
      <c r="K82" s="388" t="s">
        <v>1962</v>
      </c>
      <c r="L82" s="390" t="s">
        <v>2033</v>
      </c>
      <c r="M82" s="377" t="s">
        <v>1919</v>
      </c>
      <c r="N82" s="370"/>
      <c r="O82" s="370"/>
      <c r="P82" s="394"/>
      <c r="Q82" s="365"/>
    </row>
    <row r="83" ht="22.5" customHeight="1">
      <c r="A83" s="136">
        <v>2024.0</v>
      </c>
      <c r="B83" s="366">
        <v>45601.0</v>
      </c>
      <c r="C83" s="367" t="s">
        <v>2081</v>
      </c>
      <c r="D83" s="353" t="s">
        <v>762</v>
      </c>
      <c r="E83" s="405">
        <v>151156.52</v>
      </c>
      <c r="F83" s="355" t="s">
        <v>1932</v>
      </c>
      <c r="G83" s="352" t="str">
        <f>IFERROR(VLOOKUP(D83,'Client ID Records_v2'!D:E, 2, FALSE), "")</f>
        <v>CL-2024-205</v>
      </c>
      <c r="H83" s="368" t="str">
        <f>IFERROR(VLOOKUP(G83,'Client ID Records_v2'!E:F, 2, FALSE), "")</f>
        <v>Ilocos Sur Polytechnic State College</v>
      </c>
      <c r="I83" s="352" t="s">
        <v>2082</v>
      </c>
      <c r="J83" s="358" t="str">
        <f>IFERROR(VLOOKUP(I83,'Project Records_v2'!F:G, 2, FALSE), "")</f>
        <v/>
      </c>
      <c r="K83" s="398"/>
      <c r="L83" s="390" t="s">
        <v>1979</v>
      </c>
      <c r="M83" s="377" t="s">
        <v>101</v>
      </c>
      <c r="N83" s="370"/>
      <c r="O83" s="370"/>
      <c r="P83" s="394"/>
      <c r="Q83" s="408" t="s">
        <v>2083</v>
      </c>
    </row>
    <row r="84" ht="22.5" customHeight="1">
      <c r="A84" s="136">
        <v>2024.0</v>
      </c>
      <c r="B84" s="366">
        <v>45608.0</v>
      </c>
      <c r="C84" s="367" t="s">
        <v>2084</v>
      </c>
      <c r="D84" s="353" t="s">
        <v>762</v>
      </c>
      <c r="E84" s="405">
        <v>130996.52</v>
      </c>
      <c r="F84" s="355" t="s">
        <v>1932</v>
      </c>
      <c r="G84" s="352" t="str">
        <f>IFERROR(VLOOKUP(D84,'Client ID Records_v2'!D:E, 2, FALSE), "")</f>
        <v>CL-2024-205</v>
      </c>
      <c r="H84" s="368" t="str">
        <f>IFERROR(VLOOKUP(G84,'Client ID Records_v2'!E:F, 2, FALSE), "")</f>
        <v>Ilocos Sur Polytechnic State College</v>
      </c>
      <c r="I84" s="352" t="s">
        <v>2082</v>
      </c>
      <c r="J84" s="358" t="str">
        <f>IFERROR(VLOOKUP(I84,'Project Records_v2'!F:G, 2, FALSE), "")</f>
        <v/>
      </c>
      <c r="K84" s="143"/>
      <c r="L84" s="390" t="s">
        <v>1979</v>
      </c>
      <c r="M84" s="377" t="s">
        <v>101</v>
      </c>
      <c r="N84" s="370"/>
      <c r="O84" s="370"/>
      <c r="P84" s="394"/>
      <c r="Q84" s="408" t="s">
        <v>2085</v>
      </c>
    </row>
    <row r="85" ht="22.5" customHeight="1">
      <c r="A85" s="136">
        <v>2024.0</v>
      </c>
      <c r="B85" s="366">
        <v>45609.0</v>
      </c>
      <c r="C85" s="367" t="s">
        <v>2086</v>
      </c>
      <c r="D85" s="391" t="s">
        <v>777</v>
      </c>
      <c r="E85" s="379">
        <f>(280*7)-(280*7*12%)</f>
        <v>1724.8</v>
      </c>
      <c r="F85" s="355" t="s">
        <v>1918</v>
      </c>
      <c r="G85" s="352" t="str">
        <f>IFERROR(VLOOKUP(D85,'Client ID Records_v2'!D:E, 2, FALSE), "")</f>
        <v>CL-2024-210</v>
      </c>
      <c r="H85" s="368" t="str">
        <f>IFERROR(VLOOKUP(G85,'Client ID Records_v2'!E:F, 2, FALSE), "")</f>
        <v>SOTECH, UP Visayas</v>
      </c>
      <c r="I85" s="352" t="s">
        <v>26</v>
      </c>
      <c r="J85" s="372" t="str">
        <f>IFERROR(VLOOKUP(I85,'Project Records_v2'!F:G, 2, FALSE), "")</f>
        <v/>
      </c>
      <c r="K85" s="388" t="s">
        <v>1472</v>
      </c>
      <c r="L85" s="390" t="s">
        <v>1933</v>
      </c>
      <c r="M85" s="377" t="s">
        <v>1919</v>
      </c>
      <c r="N85" s="362" t="s">
        <v>1930</v>
      </c>
      <c r="O85" s="386" t="s">
        <v>2087</v>
      </c>
      <c r="P85" s="401">
        <v>45610.0</v>
      </c>
      <c r="Q85" s="365"/>
    </row>
    <row r="86" ht="22.5" customHeight="1">
      <c r="A86" s="136">
        <v>2024.0</v>
      </c>
      <c r="B86" s="366">
        <v>45609.0</v>
      </c>
      <c r="C86" s="367" t="s">
        <v>2088</v>
      </c>
      <c r="D86" s="391" t="s">
        <v>795</v>
      </c>
      <c r="E86" s="405">
        <v>19944.32</v>
      </c>
      <c r="F86" s="355" t="s">
        <v>1918</v>
      </c>
      <c r="G86" s="352" t="str">
        <f>IFERROR(VLOOKUP(D86,'Client ID Records_v2'!D:E, 2, FALSE), "")</f>
        <v>CL-2024-219</v>
      </c>
      <c r="H86" s="368" t="str">
        <f>IFERROR(VLOOKUP(G86,'Client ID Records_v2'!E:F, 2, FALSE), "")</f>
        <v>UPV-IFPT</v>
      </c>
      <c r="I86" s="352" t="str">
        <f>IFERROR(VLOOKUP(D86,'Project Records_v2'!E:F, 2, FALSE), "")</f>
        <v>P-2024-105</v>
      </c>
      <c r="J86" s="372" t="str">
        <f>IFERROR(VLOOKUP(I86,'Project Records_v2'!F:G, 2, FALSE), "")</f>
        <v/>
      </c>
      <c r="K86" s="388" t="s">
        <v>1919</v>
      </c>
      <c r="L86" s="390" t="s">
        <v>2031</v>
      </c>
      <c r="M86" s="377" t="s">
        <v>1919</v>
      </c>
      <c r="N86" s="362" t="s">
        <v>1930</v>
      </c>
      <c r="O86" s="370">
        <v>584802.0</v>
      </c>
      <c r="P86" s="394">
        <v>45610.0</v>
      </c>
      <c r="Q86" s="365"/>
    </row>
    <row r="87" ht="22.5" customHeight="1">
      <c r="A87" s="136">
        <v>2024.0</v>
      </c>
      <c r="B87" s="366">
        <v>45610.0</v>
      </c>
      <c r="C87" s="367" t="s">
        <v>2089</v>
      </c>
      <c r="D87" s="353" t="s">
        <v>762</v>
      </c>
      <c r="E87" s="405">
        <v>140239.9</v>
      </c>
      <c r="F87" s="355" t="s">
        <v>1932</v>
      </c>
      <c r="G87" s="352" t="str">
        <f>IFERROR(VLOOKUP(D87,'Client ID Records_v2'!D:E, 2, FALSE), "")</f>
        <v>CL-2024-205</v>
      </c>
      <c r="H87" s="368" t="str">
        <f>IFERROR(VLOOKUP(G87,'Client ID Records_v2'!E:F, 2, FALSE), "")</f>
        <v>Ilocos Sur Polytechnic State College</v>
      </c>
      <c r="I87" s="352" t="s">
        <v>2082</v>
      </c>
      <c r="J87" s="358" t="str">
        <f>IFERROR(VLOOKUP(I87,'Project Records_v2'!F:G, 2, FALSE), "")</f>
        <v/>
      </c>
      <c r="K87" s="388" t="s">
        <v>1961</v>
      </c>
      <c r="L87" s="390" t="s">
        <v>1979</v>
      </c>
      <c r="M87" s="377" t="s">
        <v>101</v>
      </c>
      <c r="N87" s="370"/>
      <c r="O87" s="370"/>
      <c r="P87" s="394"/>
      <c r="Q87" s="409" t="s">
        <v>2090</v>
      </c>
    </row>
    <row r="88" ht="22.5" customHeight="1">
      <c r="A88" s="136">
        <v>2024.0</v>
      </c>
      <c r="B88" s="366">
        <v>45611.0</v>
      </c>
      <c r="C88" s="367" t="s">
        <v>2091</v>
      </c>
      <c r="D88" s="353" t="s">
        <v>197</v>
      </c>
      <c r="E88" s="405">
        <v>199987.04</v>
      </c>
      <c r="F88" s="355" t="s">
        <v>1932</v>
      </c>
      <c r="G88" s="352" t="str">
        <f>IFERROR(VLOOKUP(D88,'Client ID Records_v2'!D:E, 2, FALSE), "")</f>
        <v>CL-2022-038</v>
      </c>
      <c r="H88" s="368" t="str">
        <f>IFERROR(VLOOKUP(G88,'Client ID Records_v2'!E:F, 2, FALSE), "")</f>
        <v>Division of Biological Sciences, College of Arts and Sciences, University of the Philippines Visayas, Miagao, Iloilo</v>
      </c>
      <c r="I88" s="352" t="str">
        <f>IFERROR(VLOOKUP(D88,'Project Records_v2'!E:F, 2, FALSE), "")</f>
        <v>P-2022-017</v>
      </c>
      <c r="J88" s="372" t="str">
        <f>IFERROR(VLOOKUP(I88,'Project Records_v2'!F:G, 2, FALSE), "")</f>
        <v>Development of a Water Quality Biological Monitoring Protocol using Genetic, Phylogenetic and Functional Diversity on Freshwater Zooplankton Communitites in Inland Waters of Panay Island, Philippines</v>
      </c>
      <c r="K88" s="410"/>
      <c r="L88" s="411" t="s">
        <v>1928</v>
      </c>
      <c r="M88" s="377" t="s">
        <v>101</v>
      </c>
      <c r="N88" s="370"/>
      <c r="O88" s="370"/>
      <c r="P88" s="394"/>
      <c r="Q88" s="365"/>
    </row>
    <row r="89" ht="22.5" customHeight="1">
      <c r="A89" s="136">
        <v>2024.0</v>
      </c>
      <c r="B89" s="366">
        <v>45611.0</v>
      </c>
      <c r="C89" s="367" t="s">
        <v>2092</v>
      </c>
      <c r="D89" s="353" t="s">
        <v>1115</v>
      </c>
      <c r="E89" s="405">
        <v>97979.59</v>
      </c>
      <c r="F89" s="355" t="s">
        <v>1918</v>
      </c>
      <c r="G89" s="352" t="str">
        <f>IFERROR(VLOOKUP(D89,'Client ID Records_v2'!D:E, 2, FALSE), "")</f>
        <v>CL-2024-221</v>
      </c>
      <c r="H89" s="368" t="str">
        <f>IFERROR(VLOOKUP(G89,'Client ID Records_v2'!E:F, 2, FALSE), "")</f>
        <v>Center for Limnological, Aquatic Biodiversity, and Mariculture Studies, Cebu Technological University - San Francisco</v>
      </c>
      <c r="I89" s="352" t="s">
        <v>2093</v>
      </c>
      <c r="J89" s="372" t="str">
        <f>IFERROR(VLOOKUP(I89,'Project Records_v2'!F:G, 2, FALSE), "")</f>
        <v/>
      </c>
      <c r="K89" s="412" t="s">
        <v>1961</v>
      </c>
      <c r="L89" s="390" t="s">
        <v>2094</v>
      </c>
      <c r="M89" s="377" t="s">
        <v>1919</v>
      </c>
      <c r="N89" s="386" t="s">
        <v>26</v>
      </c>
      <c r="O89" s="370"/>
      <c r="P89" s="394"/>
      <c r="Q89" s="357" t="s">
        <v>2095</v>
      </c>
    </row>
    <row r="90" ht="22.5" customHeight="1">
      <c r="A90" s="136">
        <v>2024.0</v>
      </c>
      <c r="B90" s="366">
        <v>45615.0</v>
      </c>
      <c r="C90" s="367" t="s">
        <v>2096</v>
      </c>
      <c r="D90" s="353" t="s">
        <v>762</v>
      </c>
      <c r="E90" s="405">
        <v>130996.52</v>
      </c>
      <c r="F90" s="355" t="s">
        <v>1918</v>
      </c>
      <c r="G90" s="352" t="str">
        <f>IFERROR(VLOOKUP(D90,'Client ID Records_v2'!D:E, 2, FALSE), "")</f>
        <v>CL-2024-205</v>
      </c>
      <c r="H90" s="368" t="str">
        <f>IFERROR(VLOOKUP(G90,'Client ID Records_v2'!E:F, 2, FALSE), "")</f>
        <v>Ilocos Sur Polytechnic State College</v>
      </c>
      <c r="I90" s="352" t="s">
        <v>2082</v>
      </c>
      <c r="J90" s="358" t="str">
        <f>IFERROR(VLOOKUP(I90,'Project Records_v2'!F:G, 2, FALSE), "")</f>
        <v/>
      </c>
      <c r="K90" s="388" t="s">
        <v>1961</v>
      </c>
      <c r="L90" s="390" t="s">
        <v>1979</v>
      </c>
      <c r="M90" s="377" t="s">
        <v>1919</v>
      </c>
      <c r="N90" s="386" t="s">
        <v>2097</v>
      </c>
      <c r="O90" s="386" t="s">
        <v>2098</v>
      </c>
      <c r="P90" s="401">
        <v>45638.0</v>
      </c>
      <c r="Q90" s="357" t="s">
        <v>2099</v>
      </c>
    </row>
    <row r="91" ht="22.5" customHeight="1">
      <c r="A91" s="136">
        <v>2024.0</v>
      </c>
      <c r="B91" s="366">
        <v>45616.0</v>
      </c>
      <c r="C91" s="367" t="s">
        <v>2100</v>
      </c>
      <c r="D91" s="353" t="s">
        <v>490</v>
      </c>
      <c r="E91" s="405">
        <v>199996.72</v>
      </c>
      <c r="F91" s="355" t="s">
        <v>1918</v>
      </c>
      <c r="G91" s="352" t="str">
        <f>IFERROR(VLOOKUP(D91,'Client ID Records_v2'!D:E, 2, FALSE), "")</f>
        <v>CL-2023-114</v>
      </c>
      <c r="H91" s="368" t="str">
        <f>IFERROR(VLOOKUP(G91,'Client ID Records_v2'!E:F, 2, FALSE), "")</f>
        <v>Division of Biological Sciences, CAS Bldg., UP Visayas, Miagao, Iloilo 5023</v>
      </c>
      <c r="I91" s="352" t="str">
        <f>IFERROR(VLOOKUP(D91,'Project Records_v2'!E:F, 2, FALSE), "")</f>
        <v>P-2023-058</v>
      </c>
      <c r="J91" s="358" t="str">
        <f>IFERROR(VLOOKUP(I91,'Project Records_v2'!F:G, 2, FALSE), "")</f>
        <v>Diversity assessment of freshwater zooplankton and macroinvertebrates towards identification of centers of biodiversity conservation in the Jalaur River Basin, Iloilo, Philippines</v>
      </c>
      <c r="K91" s="412" t="s">
        <v>1919</v>
      </c>
      <c r="L91" s="390" t="s">
        <v>1928</v>
      </c>
      <c r="M91" s="377" t="s">
        <v>1929</v>
      </c>
      <c r="N91" s="386" t="s">
        <v>2101</v>
      </c>
      <c r="O91" s="386" t="s">
        <v>2102</v>
      </c>
      <c r="P91" s="401">
        <v>45646.0</v>
      </c>
      <c r="Q91" s="357" t="s">
        <v>2103</v>
      </c>
    </row>
    <row r="92" ht="22.5" customHeight="1">
      <c r="A92" s="136">
        <v>2024.0</v>
      </c>
      <c r="B92" s="413">
        <v>45618.0</v>
      </c>
      <c r="C92" s="367" t="s">
        <v>2104</v>
      </c>
      <c r="D92" s="353" t="s">
        <v>749</v>
      </c>
      <c r="E92" s="405">
        <v>52162.67</v>
      </c>
      <c r="F92" s="355" t="s">
        <v>2063</v>
      </c>
      <c r="G92" s="352" t="str">
        <f>IFERROR(VLOOKUP(D92,'Client ID Records_v2'!D:E, 2, FALSE), "")</f>
        <v>CL-2024-201</v>
      </c>
      <c r="H92" s="368" t="str">
        <f>IFERROR(VLOOKUP(G92,'Client ID Records_v2'!E:F, 2, FALSE), "")</f>
        <v>School of Technology, UPV</v>
      </c>
      <c r="I92" s="352" t="s">
        <v>2105</v>
      </c>
      <c r="J92" s="358" t="str">
        <f>IFERROR(VLOOKUP(I92,'Project Records_v2'!F:G, 2, FALSE), "")</f>
        <v/>
      </c>
      <c r="K92" s="412" t="s">
        <v>1961</v>
      </c>
      <c r="L92" s="390" t="s">
        <v>2106</v>
      </c>
      <c r="M92" s="377" t="s">
        <v>1919</v>
      </c>
      <c r="N92" s="370"/>
      <c r="O92" s="370"/>
      <c r="P92" s="394"/>
      <c r="Q92" s="357" t="s">
        <v>2107</v>
      </c>
    </row>
    <row r="93" ht="22.5" customHeight="1">
      <c r="A93" s="136">
        <v>2024.0</v>
      </c>
      <c r="B93" s="413">
        <v>45623.0</v>
      </c>
      <c r="C93" s="367" t="s">
        <v>2108</v>
      </c>
      <c r="D93" s="353" t="s">
        <v>1125</v>
      </c>
      <c r="E93" s="405">
        <v>79966.04</v>
      </c>
      <c r="F93" s="355" t="s">
        <v>2063</v>
      </c>
      <c r="G93" s="352" t="str">
        <f>IFERROR(VLOOKUP(D93,'Client ID Records_v2'!D:E, 2, FALSE), "")</f>
        <v>CL-2024-224</v>
      </c>
      <c r="H93" s="368" t="str">
        <f>IFERROR(VLOOKUP(G93,'Client ID Records_v2'!E:F, 2, FALSE), "")</f>
        <v>Institute of Aquaculutre, College of Fisheries and Ocean Science, University of the Philippines Visayas, Miagao, Iloilo</v>
      </c>
      <c r="I93" s="352" t="str">
        <f>IFERROR(VLOOKUP(D93,'Project Records_v2'!E:F, 2, FALSE), "")</f>
        <v>P-2024-109</v>
      </c>
      <c r="J93" s="358" t="str">
        <f>IFERROR(VLOOKUP(I93,'Project Records_v2'!F:G, 2, FALSE), "")</f>
        <v>Developing insect-based feed using traditional and molecular approaches for sustainable production of Nile Tilapia in the Philippines</v>
      </c>
      <c r="K93" s="412" t="s">
        <v>1919</v>
      </c>
      <c r="L93" s="390" t="s">
        <v>2109</v>
      </c>
      <c r="M93" s="377" t="s">
        <v>1919</v>
      </c>
      <c r="N93" s="370"/>
      <c r="O93" s="370"/>
      <c r="P93" s="394"/>
      <c r="Q93" s="357" t="s">
        <v>2110</v>
      </c>
    </row>
    <row r="94" ht="22.5" customHeight="1">
      <c r="A94" s="136">
        <v>2024.0</v>
      </c>
      <c r="B94" s="413">
        <v>45624.0</v>
      </c>
      <c r="C94" s="367" t="s">
        <v>2111</v>
      </c>
      <c r="D94" s="353" t="s">
        <v>1128</v>
      </c>
      <c r="E94" s="405">
        <v>2640.0</v>
      </c>
      <c r="F94" s="355" t="s">
        <v>1918</v>
      </c>
      <c r="G94" s="352" t="str">
        <f>IFERROR(VLOOKUP(D94,'Client ID Records_v2'!D:E, 2, FALSE), "")</f>
        <v>CL-2024-225</v>
      </c>
      <c r="H94" s="368" t="str">
        <f>IFERROR(VLOOKUP(G94,'Client ID Records_v2'!E:F, 2, FALSE), "")</f>
        <v>College of Science, University of the Philippines Visayas</v>
      </c>
      <c r="I94" s="352" t="str">
        <f>IFERROR(VLOOKUP(D94,'Project Records_v2'!E:F, 2, FALSE), "")</f>
        <v>P-2024-110</v>
      </c>
      <c r="J94" s="358" t="str">
        <f>IFERROR(VLOOKUP(I94,'Project Records_v2'!F:G, 2, FALSE), "")</f>
        <v>Seasonal Variability of Ingested Microplastics in Stolephorus indicus (van Hasselt,1823) in Tangalan, Aklan Philippines</v>
      </c>
      <c r="K94" s="412" t="s">
        <v>1472</v>
      </c>
      <c r="L94" s="390" t="s">
        <v>2112</v>
      </c>
      <c r="M94" s="377" t="s">
        <v>1919</v>
      </c>
      <c r="N94" s="386" t="s">
        <v>699</v>
      </c>
      <c r="O94" s="386" t="s">
        <v>2113</v>
      </c>
      <c r="P94" s="401">
        <v>45625.0</v>
      </c>
      <c r="Q94" s="357" t="s">
        <v>2114</v>
      </c>
    </row>
    <row r="95" ht="22.5" customHeight="1">
      <c r="A95" s="136">
        <v>2024.0</v>
      </c>
      <c r="B95" s="413">
        <v>45638.0</v>
      </c>
      <c r="C95" s="367" t="s">
        <v>2115</v>
      </c>
      <c r="D95" s="353" t="s">
        <v>762</v>
      </c>
      <c r="E95" s="405">
        <v>89000.0</v>
      </c>
      <c r="F95" s="355" t="s">
        <v>1918</v>
      </c>
      <c r="G95" s="352" t="str">
        <f>IFERROR(VLOOKUP(D95,'Client ID Records_v2'!D:E, 2, FALSE), "")</f>
        <v>CL-2024-205</v>
      </c>
      <c r="H95" s="368" t="str">
        <f>IFERROR(VLOOKUP(G95,'Client ID Records_v2'!E:F, 2, FALSE), "")</f>
        <v>Ilocos Sur Polytechnic State College</v>
      </c>
      <c r="I95" s="352" t="str">
        <f>IFERROR(VLOOKUP(D95,'Project Records_v2'!E:F, 2, FALSE), "")</f>
        <v>P-2024-112</v>
      </c>
      <c r="J95" s="358" t="str">
        <f>IFERROR(VLOOKUP(I95,'Project Records_v2'!F:G, 2, FALSE), "")</f>
        <v>Probiotics Project</v>
      </c>
      <c r="K95" s="412" t="s">
        <v>2116</v>
      </c>
      <c r="L95" s="390" t="s">
        <v>2117</v>
      </c>
      <c r="M95" s="377" t="s">
        <v>1919</v>
      </c>
      <c r="N95" s="386" t="s">
        <v>2118</v>
      </c>
      <c r="O95" s="370"/>
      <c r="P95" s="394"/>
      <c r="Q95" s="357" t="s">
        <v>2119</v>
      </c>
    </row>
    <row r="96" ht="22.5" customHeight="1">
      <c r="A96" s="146">
        <v>2025.0</v>
      </c>
      <c r="B96" s="413">
        <v>45664.0</v>
      </c>
      <c r="C96" s="367" t="s">
        <v>2120</v>
      </c>
      <c r="D96" s="353" t="s">
        <v>1159</v>
      </c>
      <c r="E96" s="405">
        <v>1380.0</v>
      </c>
      <c r="F96" s="355" t="s">
        <v>1918</v>
      </c>
      <c r="G96" s="352" t="str">
        <f>IFERROR(VLOOKUP(D96,'Client ID Records_v2'!D:E, 2, FALSE), "")</f>
        <v>CL-2025-235</v>
      </c>
      <c r="H96" s="368" t="str">
        <f>IFERROR(VLOOKUP(G96,'Client ID Records_v2'!E:F, 2, FALSE), "")</f>
        <v>Colegio delas Hijas</v>
      </c>
      <c r="I96" s="352" t="s">
        <v>26</v>
      </c>
      <c r="J96" s="358" t="s">
        <v>1418</v>
      </c>
      <c r="K96" s="412" t="s">
        <v>1418</v>
      </c>
      <c r="L96" s="390" t="s">
        <v>2121</v>
      </c>
      <c r="M96" s="377" t="s">
        <v>1919</v>
      </c>
      <c r="N96" s="370"/>
      <c r="O96" s="370"/>
      <c r="P96" s="401">
        <v>45665.0</v>
      </c>
      <c r="Q96" s="357" t="s">
        <v>2122</v>
      </c>
    </row>
    <row r="97" ht="22.5" customHeight="1">
      <c r="A97" s="146">
        <v>2025.0</v>
      </c>
      <c r="B97" s="413">
        <v>45666.0</v>
      </c>
      <c r="C97" s="367" t="s">
        <v>2123</v>
      </c>
      <c r="D97" s="353" t="s">
        <v>547</v>
      </c>
      <c r="E97" s="414">
        <v>18777.44</v>
      </c>
      <c r="F97" s="355" t="s">
        <v>1918</v>
      </c>
      <c r="G97" s="352" t="str">
        <f>IFERROR(VLOOKUP(D97,'Client ID Records_v2'!D:E, 2, FALSE), "")</f>
        <v>CL-2024-131</v>
      </c>
      <c r="H97" s="368" t="str">
        <f>IFERROR(VLOOKUP(G97,'Client ID Records_v2'!E:F, 2, FALSE), "")</f>
        <v>DMMMSU Probiotics Research Project, Central Administration Building, Don Mariano Marcos Memorial State University, Sapilang, Bacnotan, La Union 2515</v>
      </c>
      <c r="I97" s="352" t="str">
        <f>IFERROR(VLOOKUP(D97,'Project Records_v2'!E:F, 2, FALSE), "")</f>
        <v>P-2024-071</v>
      </c>
      <c r="J97" s="358" t="str">
        <f>IFERROR(VLOOKUP(I97,'Project Records_v2'!F:G, 2, FALSE), "")</f>
        <v>Development of Probiotics from roselle (Hibiscus sabdariffa), mulberry (Morus alba), and corn (Zea mays)</v>
      </c>
      <c r="K97" s="412" t="s">
        <v>1919</v>
      </c>
      <c r="L97" s="390" t="s">
        <v>2124</v>
      </c>
      <c r="M97" s="377" t="s">
        <v>1919</v>
      </c>
      <c r="N97" s="386" t="s">
        <v>2052</v>
      </c>
      <c r="O97" s="386" t="s">
        <v>2053</v>
      </c>
      <c r="P97" s="401">
        <v>45712.0</v>
      </c>
      <c r="Q97" s="402" t="s">
        <v>2054</v>
      </c>
    </row>
    <row r="98" ht="22.5" customHeight="1">
      <c r="A98" s="146">
        <v>2025.0</v>
      </c>
      <c r="B98" s="413">
        <v>45680.0</v>
      </c>
      <c r="C98" s="367" t="s">
        <v>2125</v>
      </c>
      <c r="D98" s="353" t="s">
        <v>800</v>
      </c>
      <c r="E98" s="405">
        <v>96964.38</v>
      </c>
      <c r="F98" s="355" t="s">
        <v>1918</v>
      </c>
      <c r="G98" s="352" t="str">
        <f>IFERROR(VLOOKUP(D98,'Client ID Records_v2'!D:E, 2, FALSE), "")</f>
        <v>CL-2024-220</v>
      </c>
      <c r="H98" s="368" t="str">
        <f>IFERROR(VLOOKUP(G98,'Client ID Records_v2'!E:F, 2, FALSE), "")</f>
        <v>MSU Tawi Tawi</v>
      </c>
      <c r="I98" s="352" t="str">
        <f>IFERROR(VLOOKUP(D98,'Project Records_v2'!E:F, 2, FALSE), "")</f>
        <v>P-2024-106</v>
      </c>
      <c r="J98" s="358" t="s">
        <v>2126</v>
      </c>
      <c r="K98" s="412" t="s">
        <v>1919</v>
      </c>
      <c r="L98" s="390" t="s">
        <v>2127</v>
      </c>
      <c r="M98" s="377" t="s">
        <v>1919</v>
      </c>
      <c r="N98" s="386" t="s">
        <v>2128</v>
      </c>
      <c r="O98" s="386" t="s">
        <v>2129</v>
      </c>
      <c r="P98" s="395">
        <v>45693.0</v>
      </c>
      <c r="Q98" s="365"/>
    </row>
    <row r="99" ht="22.5" customHeight="1">
      <c r="A99" s="146">
        <v>2025.0</v>
      </c>
      <c r="B99" s="413">
        <v>45686.0</v>
      </c>
      <c r="C99" s="367" t="s">
        <v>2130</v>
      </c>
      <c r="D99" s="353" t="s">
        <v>1206</v>
      </c>
      <c r="E99" s="405">
        <v>985.6</v>
      </c>
      <c r="F99" s="355" t="s">
        <v>1918</v>
      </c>
      <c r="G99" s="352" t="str">
        <f>IFERROR(VLOOKUP(D99,'Client ID Records_v2'!D:E, 2, FALSE), "")</f>
        <v>CL-2025-252</v>
      </c>
      <c r="H99" s="359" t="s">
        <v>1102</v>
      </c>
      <c r="I99" s="352" t="s">
        <v>26</v>
      </c>
      <c r="J99" s="358" t="s">
        <v>2131</v>
      </c>
      <c r="K99" s="412" t="s">
        <v>1472</v>
      </c>
      <c r="L99" s="390" t="s">
        <v>2132</v>
      </c>
      <c r="M99" s="377" t="s">
        <v>1919</v>
      </c>
      <c r="N99" s="386" t="s">
        <v>699</v>
      </c>
      <c r="O99" s="370"/>
      <c r="P99" s="394"/>
      <c r="Q99" s="357" t="s">
        <v>2122</v>
      </c>
    </row>
    <row r="100" ht="22.5" customHeight="1">
      <c r="A100" s="146">
        <v>2025.0</v>
      </c>
      <c r="B100" s="413">
        <v>45322.0</v>
      </c>
      <c r="C100" s="367" t="s">
        <v>2133</v>
      </c>
      <c r="D100" s="353" t="s">
        <v>378</v>
      </c>
      <c r="E100" s="405">
        <v>249981.6</v>
      </c>
      <c r="F100" s="355" t="s">
        <v>2063</v>
      </c>
      <c r="G100" s="352" t="str">
        <f>IFERROR(VLOOKUP(D100,'Client ID Records_v2'!D:E, 2, FALSE), "")</f>
        <v>CL-2023-085</v>
      </c>
      <c r="H100" s="368" t="str">
        <f>IFERROR(VLOOKUP(G100,'Client ID Records_v2'!E:F, 2, FALSE), "")</f>
        <v>Institute of Aquaculutre, College of Fisheries and Ocean Science, University of the Philippines Visayas, Miagao, Iloilo</v>
      </c>
      <c r="I100" s="352" t="str">
        <f>IFERROR(VLOOKUP(D100,'Project Records_v2'!E:F, 2, FALSE), "")</f>
        <v>P-2024-084</v>
      </c>
      <c r="J100" s="358" t="str">
        <f>IFERROR(VLOOKUP(I100,'Project Records_v2'!F:G, 2, FALSE), "")</f>
        <v>Improvement of Milkfish Larval Rearing and Nursery Culture through Gut Metagenome, Transcriptome Analysis, and Gut Microbial Community Manipulations</v>
      </c>
      <c r="K100" s="412" t="s">
        <v>2116</v>
      </c>
      <c r="L100" s="390" t="s">
        <v>2134</v>
      </c>
      <c r="M100" s="377" t="s">
        <v>1919</v>
      </c>
      <c r="N100" s="370"/>
      <c r="O100" s="370"/>
      <c r="P100" s="394"/>
      <c r="Q100" s="365"/>
    </row>
    <row r="101" ht="22.5" customHeight="1">
      <c r="A101" s="146">
        <v>2025.0</v>
      </c>
      <c r="B101" s="413">
        <v>45691.0</v>
      </c>
      <c r="C101" s="367" t="s">
        <v>2135</v>
      </c>
      <c r="D101" s="353" t="s">
        <v>777</v>
      </c>
      <c r="E101" s="405">
        <v>985.6</v>
      </c>
      <c r="F101" s="355" t="s">
        <v>1918</v>
      </c>
      <c r="G101" s="352" t="str">
        <f>IFERROR(VLOOKUP(D101,'Client ID Records_v2'!D:E, 2, FALSE), "")</f>
        <v>CL-2024-210</v>
      </c>
      <c r="H101" s="368" t="str">
        <f>IFERROR(VLOOKUP(G101,'Client ID Records_v2'!E:F, 2, FALSE), "")</f>
        <v>SOTECH, UP Visayas</v>
      </c>
      <c r="I101" s="352" t="s">
        <v>26</v>
      </c>
      <c r="J101" s="358" t="s">
        <v>2136</v>
      </c>
      <c r="K101" s="412" t="s">
        <v>1472</v>
      </c>
      <c r="L101" s="390" t="s">
        <v>1933</v>
      </c>
      <c r="M101" s="377" t="s">
        <v>1919</v>
      </c>
      <c r="N101" s="386" t="s">
        <v>2128</v>
      </c>
      <c r="O101" s="370"/>
      <c r="P101" s="394"/>
      <c r="Q101" s="357" t="s">
        <v>2122</v>
      </c>
    </row>
    <row r="102" ht="22.5" customHeight="1">
      <c r="A102" s="146">
        <v>2025.0</v>
      </c>
      <c r="B102" s="413">
        <v>45694.0</v>
      </c>
      <c r="C102" s="367" t="s">
        <v>2137</v>
      </c>
      <c r="D102" s="353" t="s">
        <v>795</v>
      </c>
      <c r="E102" s="405">
        <v>2084.64</v>
      </c>
      <c r="F102" s="355" t="s">
        <v>1918</v>
      </c>
      <c r="G102" s="352" t="str">
        <f>IFERROR(VLOOKUP(D102,'Client ID Records_v2'!D:E, 2, FALSE), "")</f>
        <v>CL-2024-219</v>
      </c>
      <c r="H102" s="368" t="str">
        <f>IFERROR(VLOOKUP(G102,'Client ID Records_v2'!E:F, 2, FALSE), "")</f>
        <v>UPV-IFPT</v>
      </c>
      <c r="I102" s="352" t="s">
        <v>1778</v>
      </c>
      <c r="J102" s="358" t="s">
        <v>1779</v>
      </c>
      <c r="K102" s="412" t="s">
        <v>1962</v>
      </c>
      <c r="L102" s="390" t="s">
        <v>1962</v>
      </c>
      <c r="M102" s="377" t="s">
        <v>1919</v>
      </c>
      <c r="N102" s="386" t="s">
        <v>2128</v>
      </c>
      <c r="O102" s="386" t="s">
        <v>2138</v>
      </c>
      <c r="P102" s="401">
        <v>45701.0</v>
      </c>
      <c r="Q102" s="357" t="s">
        <v>2122</v>
      </c>
    </row>
    <row r="103" ht="22.5" customHeight="1">
      <c r="A103" s="146">
        <v>2025.0</v>
      </c>
      <c r="B103" s="413">
        <v>45698.0</v>
      </c>
      <c r="C103" s="367" t="s">
        <v>2139</v>
      </c>
      <c r="D103" s="353" t="s">
        <v>777</v>
      </c>
      <c r="E103" s="405">
        <v>739.2</v>
      </c>
      <c r="F103" s="355" t="s">
        <v>1918</v>
      </c>
      <c r="G103" s="352" t="str">
        <f>IFERROR(VLOOKUP(D103,'Client ID Records_v2'!D:E, 2, FALSE), "")</f>
        <v>CL-2024-210</v>
      </c>
      <c r="H103" s="368" t="str">
        <f>IFERROR(VLOOKUP(G103,'Client ID Records_v2'!E:F, 2, FALSE), "")</f>
        <v>SOTECH, UP Visayas</v>
      </c>
      <c r="I103" s="352" t="s">
        <v>26</v>
      </c>
      <c r="J103" s="358" t="s">
        <v>2136</v>
      </c>
      <c r="K103" s="412" t="s">
        <v>1472</v>
      </c>
      <c r="L103" s="390" t="s">
        <v>1933</v>
      </c>
      <c r="M103" s="377" t="s">
        <v>1919</v>
      </c>
      <c r="N103" s="386" t="s">
        <v>2128</v>
      </c>
      <c r="O103" s="370"/>
      <c r="P103" s="394"/>
      <c r="Q103" s="357" t="s">
        <v>2140</v>
      </c>
    </row>
    <row r="104" ht="22.5" customHeight="1">
      <c r="A104" s="146">
        <v>2025.0</v>
      </c>
      <c r="B104" s="413">
        <v>45700.0</v>
      </c>
      <c r="C104" s="367" t="s">
        <v>2141</v>
      </c>
      <c r="D104" s="353" t="s">
        <v>1210</v>
      </c>
      <c r="E104" s="405"/>
      <c r="F104" s="355" t="s">
        <v>1932</v>
      </c>
      <c r="G104" s="352" t="str">
        <f>IFERROR(VLOOKUP(D104,'Client ID Records_v2'!D:E, 2, FALSE), "")</f>
        <v>CL-2025-253</v>
      </c>
      <c r="H104" s="368" t="str">
        <f>IFERROR(VLOOKUP(G104,'Client ID Records_v2'!E:F, 2, FALSE), "")</f>
        <v>NRCP Sediment Project, Biology Department University of San Carlos</v>
      </c>
      <c r="I104" s="352" t="s">
        <v>2142</v>
      </c>
      <c r="J104" s="358" t="s">
        <v>2143</v>
      </c>
      <c r="K104" s="412" t="s">
        <v>1961</v>
      </c>
      <c r="L104" s="390" t="s">
        <v>2144</v>
      </c>
      <c r="M104" s="377" t="s">
        <v>1919</v>
      </c>
      <c r="N104" s="370"/>
      <c r="O104" s="370"/>
      <c r="P104" s="394"/>
      <c r="Q104" s="365"/>
    </row>
    <row r="105" ht="22.5" customHeight="1">
      <c r="A105" s="146">
        <v>2025.0</v>
      </c>
      <c r="B105" s="413">
        <v>45709.0</v>
      </c>
      <c r="C105" s="367" t="s">
        <v>2145</v>
      </c>
      <c r="D105" s="353" t="s">
        <v>490</v>
      </c>
      <c r="E105" s="405">
        <v>72149.88</v>
      </c>
      <c r="F105" s="355" t="s">
        <v>2063</v>
      </c>
      <c r="G105" s="352" t="str">
        <f>IFERROR(VLOOKUP(D105,'Client ID Records_v2'!D:E, 2, FALSE), "")</f>
        <v>CL-2023-114</v>
      </c>
      <c r="H105" s="368" t="str">
        <f>IFERROR(VLOOKUP(G105,'Client ID Records_v2'!E:F, 2, FALSE), "")</f>
        <v>Division of Biological Sciences, CAS Bldg., UP Visayas, Miagao, Iloilo 5023</v>
      </c>
      <c r="I105" s="352" t="str">
        <f>IFERROR(VLOOKUP(D105,'Project Records_v2'!E:F, 2, FALSE), "")</f>
        <v>P-2023-058</v>
      </c>
      <c r="J105" s="358" t="str">
        <f>IFERROR(VLOOKUP(I105,'Project Records_v2'!F:G, 2, FALSE), "")</f>
        <v>Diversity assessment of freshwater zooplankton and macroinvertebrates towards identification of centers of biodiversity conservation in the Jalaur River Basin, Iloilo, Philippines</v>
      </c>
      <c r="K105" s="412" t="s">
        <v>1919</v>
      </c>
      <c r="L105" s="390" t="s">
        <v>2146</v>
      </c>
      <c r="M105" s="377" t="s">
        <v>1919</v>
      </c>
      <c r="N105" s="370"/>
      <c r="O105" s="370"/>
      <c r="P105" s="394"/>
      <c r="Q105" s="365"/>
    </row>
    <row r="106" ht="22.5" customHeight="1">
      <c r="A106" s="146">
        <v>2025.0</v>
      </c>
      <c r="B106" s="413">
        <v>45712.0</v>
      </c>
      <c r="C106" s="367" t="s">
        <v>2147</v>
      </c>
      <c r="D106" s="353" t="s">
        <v>547</v>
      </c>
      <c r="E106" s="405"/>
      <c r="F106" s="355" t="s">
        <v>1932</v>
      </c>
      <c r="G106" s="352" t="str">
        <f>IFERROR(VLOOKUP(D106,'Client ID Records_v2'!D:E, 2, FALSE), "")</f>
        <v>CL-2024-131</v>
      </c>
      <c r="H106" s="368" t="str">
        <f>IFERROR(VLOOKUP(G106,'Client ID Records_v2'!E:F, 2, FALSE), "")</f>
        <v>DMMMSU Probiotics Research Project, Central Administration Building, Don Mariano Marcos Memorial State University, Sapilang, Bacnotan, La Union 2515</v>
      </c>
      <c r="I106" s="352" t="str">
        <f>IFERROR(VLOOKUP(D106,'Project Records_v2'!E:F, 2, FALSE), "")</f>
        <v>P-2024-071</v>
      </c>
      <c r="J106" s="358" t="str">
        <f>IFERROR(VLOOKUP(I106,'Project Records_v2'!F:G, 2, FALSE), "")</f>
        <v>Development of Probiotics from roselle (Hibiscus sabdariffa), mulberry (Morus alba), and corn (Zea mays)</v>
      </c>
      <c r="K106" s="412" t="s">
        <v>2116</v>
      </c>
      <c r="L106" s="390" t="s">
        <v>2148</v>
      </c>
      <c r="M106" s="377"/>
      <c r="N106" s="370"/>
      <c r="O106" s="370"/>
      <c r="P106" s="394"/>
      <c r="Q106" s="365"/>
    </row>
    <row r="107" ht="22.5" customHeight="1">
      <c r="A107" s="146">
        <v>2025.0</v>
      </c>
      <c r="B107" s="413">
        <v>45716.0</v>
      </c>
      <c r="C107" s="367" t="s">
        <v>2149</v>
      </c>
      <c r="D107" s="353" t="s">
        <v>1223</v>
      </c>
      <c r="E107" s="405">
        <v>54284.25</v>
      </c>
      <c r="F107" s="355" t="s">
        <v>1918</v>
      </c>
      <c r="G107" s="352" t="str">
        <f>IFERROR(VLOOKUP(D107,'Client ID Records_v2'!D:E, 2, FALSE), "")</f>
        <v>CL-2025-257</v>
      </c>
      <c r="H107" s="368" t="str">
        <f>IFERROR(VLOOKUP(G107,'Client ID Records_v2'!E:F, 2, FALSE), "")</f>
        <v>College of Medical Technology, Velez College 41 F. Ramos St., Cebu City</v>
      </c>
      <c r="I107" s="352" t="s">
        <v>2150</v>
      </c>
      <c r="J107" s="358" t="s">
        <v>2151</v>
      </c>
      <c r="K107" s="358" t="s">
        <v>1961</v>
      </c>
      <c r="L107" s="390" t="s">
        <v>2152</v>
      </c>
      <c r="M107" s="377" t="s">
        <v>1919</v>
      </c>
      <c r="N107" s="386" t="s">
        <v>26</v>
      </c>
      <c r="O107" s="415" t="s">
        <v>2153</v>
      </c>
      <c r="P107" s="401">
        <v>45727.0</v>
      </c>
      <c r="Q107" s="365"/>
    </row>
    <row r="108" ht="22.5" customHeight="1">
      <c r="A108" s="146">
        <v>2025.0</v>
      </c>
      <c r="B108" s="413">
        <v>45720.0</v>
      </c>
      <c r="C108" s="367" t="s">
        <v>2154</v>
      </c>
      <c r="D108" s="353" t="s">
        <v>1037</v>
      </c>
      <c r="E108" s="405">
        <v>4271.0</v>
      </c>
      <c r="F108" s="355" t="s">
        <v>1918</v>
      </c>
      <c r="G108" s="352" t="str">
        <f>IFERROR(VLOOKUP(D108,'Client ID Records_v2'!D:E, 2, FALSE), "")</f>
        <v>CL-2024-152</v>
      </c>
      <c r="H108" s="368" t="str">
        <f>IFERROR(VLOOKUP(G108,'Client ID Records_v2'!E:F, 2, FALSE), "")</f>
        <v>Department of Agriculture-National Fisheries Research and Development Institute (DA-NFRDI)</v>
      </c>
      <c r="I108" s="352" t="str">
        <f>IFERROR(VLOOKUP(D108,'Project Records_v2'!E:F, 2, FALSE), "")</f>
        <v/>
      </c>
      <c r="J108" s="358" t="str">
        <f>IFERROR(VLOOKUP(I108,'Project Records_v2'!F:G, 2, FALSE), "")</f>
        <v/>
      </c>
      <c r="K108" s="358" t="s">
        <v>1962</v>
      </c>
      <c r="L108" s="390" t="s">
        <v>2155</v>
      </c>
      <c r="M108" s="377" t="s">
        <v>1919</v>
      </c>
      <c r="N108" s="386" t="s">
        <v>2128</v>
      </c>
      <c r="O108" s="370"/>
      <c r="P108" s="394"/>
      <c r="Q108" s="357" t="s">
        <v>2156</v>
      </c>
    </row>
    <row r="109" ht="22.5" customHeight="1">
      <c r="A109" s="146">
        <v>2025.0</v>
      </c>
      <c r="B109" s="413">
        <v>45720.0</v>
      </c>
      <c r="C109" s="367" t="s">
        <v>2157</v>
      </c>
      <c r="D109" s="353" t="s">
        <v>1210</v>
      </c>
      <c r="E109" s="405">
        <v>49266.41</v>
      </c>
      <c r="F109" s="355" t="s">
        <v>1918</v>
      </c>
      <c r="G109" s="352" t="str">
        <f>IFERROR(VLOOKUP(D109,'Client ID Records_v2'!D:E, 2, FALSE), "")</f>
        <v>CL-2025-253</v>
      </c>
      <c r="H109" s="368" t="str">
        <f>IFERROR(VLOOKUP(G109,'Client ID Records_v2'!E:F, 2, FALSE), "")</f>
        <v>NRCP Sediment Project, Biology Department University of San Carlos</v>
      </c>
      <c r="I109" s="352" t="s">
        <v>2142</v>
      </c>
      <c r="J109" s="358" t="s">
        <v>2143</v>
      </c>
      <c r="K109" s="412" t="s">
        <v>1961</v>
      </c>
      <c r="L109" s="390" t="s">
        <v>2158</v>
      </c>
      <c r="M109" s="377" t="s">
        <v>1919</v>
      </c>
      <c r="N109" s="386" t="s">
        <v>2159</v>
      </c>
      <c r="O109" s="386" t="s">
        <v>2160</v>
      </c>
      <c r="P109" s="395">
        <v>45749.0</v>
      </c>
      <c r="Q109" s="402" t="s">
        <v>1961</v>
      </c>
    </row>
    <row r="110" ht="22.5" customHeight="1">
      <c r="A110" s="146">
        <v>2025.0</v>
      </c>
      <c r="B110" s="413">
        <v>45733.0</v>
      </c>
      <c r="C110" s="367" t="s">
        <v>2161</v>
      </c>
      <c r="D110" s="353" t="s">
        <v>297</v>
      </c>
      <c r="E110" s="405">
        <v>4426.4</v>
      </c>
      <c r="F110" s="355" t="s">
        <v>2063</v>
      </c>
      <c r="G110" s="352" t="str">
        <f>IFERROR(VLOOKUP(D110,'Client ID Records_v2'!D:E, 2, FALSE), "")</f>
        <v>CL-2022-062</v>
      </c>
      <c r="H110" s="368" t="str">
        <f>IFERROR(VLOOKUP(G110,'Client ID Records_v2'!E:F, 2, FALSE), "")</f>
        <v>Regional Research Center Building, University of the Philippines Visayas Miagao, 5023, Iloilo</v>
      </c>
      <c r="I110" s="352" t="str">
        <f>IFERROR(VLOOKUP(D110,'Project Records_v2'!E:F, 2, FALSE), "")</f>
        <v>P-2022-034</v>
      </c>
      <c r="J110" s="358" t="str">
        <f>IFERROR(VLOOKUP(I110,'Project Records_v2'!F:G, 2, FALSE), "")</f>
        <v>Production and evaluation of Dried Microalgal Biomass for improved shelf life and product diversification</v>
      </c>
      <c r="K110" s="358" t="s">
        <v>1418</v>
      </c>
      <c r="L110" s="390" t="s">
        <v>2162</v>
      </c>
      <c r="M110" s="377" t="s">
        <v>1929</v>
      </c>
      <c r="N110" s="370"/>
      <c r="O110" s="370"/>
      <c r="P110" s="394"/>
      <c r="Q110" s="365"/>
    </row>
    <row r="111" ht="22.5" customHeight="1">
      <c r="A111" s="146">
        <v>2025.0</v>
      </c>
      <c r="B111" s="413">
        <v>45735.0</v>
      </c>
      <c r="C111" s="367" t="s">
        <v>2163</v>
      </c>
      <c r="D111" s="353" t="s">
        <v>657</v>
      </c>
      <c r="E111" s="405">
        <v>135599.2</v>
      </c>
      <c r="F111" s="355" t="s">
        <v>2063</v>
      </c>
      <c r="G111" s="352" t="str">
        <f>IFERROR(VLOOKUP(D111,'Client ID Records_v2'!D:E, 2, FALSE), "")</f>
        <v>CL-2024-168a</v>
      </c>
      <c r="H111" s="368" t="str">
        <f>IFERROR(VLOOKUP(G111,'Client ID Records_v2'!E:F, 2, FALSE), "")</f>
        <v>Institute of Aquaculutre, College of Fisheries and Ocean Science, University of the Philippines Visayas, Miagao, Iloilo</v>
      </c>
      <c r="I111" s="352" t="str">
        <f>IFERROR(VLOOKUP(D111,'Project Records_v2'!E:F, 2, FALSE), "")</f>
        <v>P-2024-087</v>
      </c>
      <c r="J111" s="358" t="str">
        <f>IFERROR(VLOOKUP(I111,'Project Records_v2'!F:G, 2, FALSE), "")</f>
        <v>Molecular Guided Techniques for Improvement of Reproduction Performance of Saline-Tolerant Tilapia</v>
      </c>
      <c r="K111" s="358" t="s">
        <v>1919</v>
      </c>
      <c r="L111" s="390" t="s">
        <v>2164</v>
      </c>
      <c r="M111" s="377" t="s">
        <v>1919</v>
      </c>
      <c r="N111" s="370"/>
      <c r="O111" s="370"/>
      <c r="P111" s="394"/>
      <c r="Q111" s="365"/>
    </row>
    <row r="112" ht="22.5" customHeight="1">
      <c r="A112" s="146">
        <v>2025.0</v>
      </c>
      <c r="B112" s="413">
        <v>45736.0</v>
      </c>
      <c r="C112" s="367" t="s">
        <v>2165</v>
      </c>
      <c r="D112" s="353" t="s">
        <v>966</v>
      </c>
      <c r="E112" s="405">
        <v>49940.0</v>
      </c>
      <c r="F112" s="355" t="s">
        <v>2063</v>
      </c>
      <c r="G112" s="352" t="str">
        <f>IFERROR(VLOOKUP(D112,'Client ID Records_v2'!D:E, 2, FALSE), "")</f>
        <v>CL-2023-096</v>
      </c>
      <c r="H112" s="368" t="str">
        <f>IFERROR(VLOOKUP(G112,'Client ID Records_v2'!E:F, 2, FALSE), "")</f>
        <v>Division of Biological Sciences, College of Arts and Sciences, UP Visayas Miagao Iloilo</v>
      </c>
      <c r="I112" s="352" t="str">
        <f>IFERROR(VLOOKUP(D112,'Project Records_v2'!E:F, 2, FALSE), "")</f>
        <v>P-2023-052</v>
      </c>
      <c r="J112" s="358" t="str">
        <f>IFERROR(VLOOKUP(I112,'Project Records_v2'!F:G, 2, FALSE), "")</f>
        <v>Unraveling the Hidden Diversity of Aquatic Fungi from Panay Island, Philippines Project</v>
      </c>
      <c r="K112" s="358" t="s">
        <v>1919</v>
      </c>
      <c r="L112" s="390" t="s">
        <v>2106</v>
      </c>
      <c r="M112" s="377" t="s">
        <v>1919</v>
      </c>
      <c r="N112" s="370"/>
      <c r="O112" s="370"/>
      <c r="P112" s="394"/>
      <c r="Q112" s="365"/>
    </row>
    <row r="113" ht="22.5" customHeight="1">
      <c r="A113" s="146">
        <v>2025.0</v>
      </c>
      <c r="B113" s="413">
        <v>45742.0</v>
      </c>
      <c r="C113" s="367" t="s">
        <v>2166</v>
      </c>
      <c r="D113" s="353" t="s">
        <v>1239</v>
      </c>
      <c r="E113" s="405"/>
      <c r="F113" s="355" t="s">
        <v>2063</v>
      </c>
      <c r="G113" s="352" t="str">
        <f>IFERROR(VLOOKUP(D113,'Client ID Records_v2'!D:E, 2, FALSE), "")</f>
        <v>CL-2025-262</v>
      </c>
      <c r="H113" s="368" t="str">
        <f>IFERROR(VLOOKUP(G113,'Client ID Records_v2'!E:F, 2, FALSE), "")</f>
        <v>IMFO, University of the Philippines Visayas</v>
      </c>
      <c r="I113" s="352" t="s">
        <v>1163</v>
      </c>
      <c r="J113" s="358" t="str">
        <f>IFERROR(VLOOKUP(I113,'Project Records_v2'!F:G, 2, FALSE), "")</f>
        <v/>
      </c>
      <c r="K113" s="358" t="s">
        <v>1919</v>
      </c>
      <c r="L113" s="390" t="s">
        <v>2167</v>
      </c>
      <c r="M113" s="377"/>
      <c r="N113" s="370"/>
      <c r="O113" s="370"/>
      <c r="P113" s="394"/>
      <c r="Q113" s="365"/>
    </row>
    <row r="114" ht="22.5" customHeight="1">
      <c r="A114" s="146">
        <v>2025.0</v>
      </c>
      <c r="B114" s="413">
        <v>45744.0</v>
      </c>
      <c r="C114" s="367" t="s">
        <v>2168</v>
      </c>
      <c r="D114" s="353" t="s">
        <v>1255</v>
      </c>
      <c r="E114" s="405">
        <v>16619.5</v>
      </c>
      <c r="F114" s="355" t="s">
        <v>1932</v>
      </c>
      <c r="G114" s="352" t="str">
        <f>IFERROR(VLOOKUP(D114,'Client ID Records_v2'!D:E, 2, FALSE), "")</f>
        <v>CL-2025-267</v>
      </c>
      <c r="H114" s="368" t="str">
        <f>IFERROR(VLOOKUP(G114,'Client ID Records_v2'!E:F, 2, FALSE), "")</f>
        <v>Iloilo DOctors College</v>
      </c>
      <c r="I114" s="352" t="s">
        <v>1163</v>
      </c>
      <c r="J114" s="358" t="s">
        <v>2169</v>
      </c>
      <c r="K114" s="358" t="s">
        <v>1919</v>
      </c>
      <c r="L114" s="390" t="s">
        <v>2167</v>
      </c>
      <c r="M114" s="377" t="s">
        <v>1919</v>
      </c>
      <c r="N114" s="370"/>
      <c r="O114" s="370"/>
      <c r="P114" s="394"/>
      <c r="Q114" s="357" t="s">
        <v>2170</v>
      </c>
    </row>
    <row r="115" ht="22.5" customHeight="1">
      <c r="A115" s="146">
        <v>2025.0</v>
      </c>
      <c r="B115" s="413">
        <v>45758.0</v>
      </c>
      <c r="C115" s="381" t="s">
        <v>2171</v>
      </c>
      <c r="D115" s="353" t="s">
        <v>1176</v>
      </c>
      <c r="E115" s="405">
        <v>24928.0</v>
      </c>
      <c r="F115" s="355" t="s">
        <v>1918</v>
      </c>
      <c r="G115" s="352" t="str">
        <f>IFERROR(VLOOKUP(D115,'Client ID Records_v2'!D:E, 2, FALSE), "")</f>
        <v>CL-2025-242</v>
      </c>
      <c r="H115" s="368" t="str">
        <f>IFERROR(VLOOKUP(G115,'Client ID Records_v2'!E:F, 2, FALSE), "")</f>
        <v>CLSU</v>
      </c>
      <c r="I115" s="352" t="str">
        <f>IFERROR(VLOOKUP(D115,'Project Records_v2'!E:F, 2, FALSE), "")</f>
        <v>P-2025-113</v>
      </c>
      <c r="J115" s="358" t="str">
        <f>IFERROR(VLOOKUP(I115,'Project Records_v2'!F:G, 2, FALSE), "")</f>
        <v>Characterization of Abaca cultivars in the Province of Aklan; Morphological, Tensile Strength and genomic analysis</v>
      </c>
      <c r="K115" s="358" t="s">
        <v>1919</v>
      </c>
      <c r="L115" s="390" t="s">
        <v>1928</v>
      </c>
      <c r="M115" s="377" t="s">
        <v>1919</v>
      </c>
      <c r="N115" s="386" t="s">
        <v>26</v>
      </c>
      <c r="O115" s="386" t="s">
        <v>2172</v>
      </c>
      <c r="P115" s="401">
        <v>45757.0</v>
      </c>
      <c r="Q115" s="416" t="s">
        <v>2048</v>
      </c>
    </row>
    <row r="116" ht="22.5" customHeight="1">
      <c r="A116" s="146">
        <v>2025.0</v>
      </c>
      <c r="B116" s="413">
        <v>45758.0</v>
      </c>
      <c r="C116" s="367" t="s">
        <v>2173</v>
      </c>
      <c r="D116" s="353" t="s">
        <v>729</v>
      </c>
      <c r="E116" s="405">
        <v>141999.44</v>
      </c>
      <c r="F116" s="355" t="s">
        <v>2063</v>
      </c>
      <c r="G116" s="352" t="str">
        <f>IFERROR(VLOOKUP(D116,'Client ID Records_v2'!D:E, 2, FALSE), "")</f>
        <v>CL-2024-187</v>
      </c>
      <c r="H116" s="368" t="str">
        <f>IFERROR(VLOOKUP(G116,'Client ID Records_v2'!E:F, 2, FALSE), "")</f>
        <v>Division of Biological Sciences, College of Arts and Sciences, UP Visayas Miagao Iloilo</v>
      </c>
      <c r="I116" s="352" t="str">
        <f>IFERROR(VLOOKUP(D116,'Project Records_v2'!E:F, 2, FALSE), "")</f>
        <v>P-2024-107</v>
      </c>
      <c r="J116" s="358" t="str">
        <f>IFERROR(VLOOKUP(I116,'Project Records_v2'!F:G, 2, FALSE), "")</f>
        <v>“Morpho-Functional Traits and eDNA Metabarcoding of Freshwater Fishes and Invertebrate Communities in Panay Island”. </v>
      </c>
      <c r="K116" s="358" t="s">
        <v>1919</v>
      </c>
      <c r="L116" s="390" t="s">
        <v>1928</v>
      </c>
      <c r="M116" s="377" t="s">
        <v>1919</v>
      </c>
      <c r="N116" s="370"/>
      <c r="O116" s="370"/>
      <c r="P116" s="394"/>
      <c r="Q116" s="365"/>
    </row>
    <row r="117" ht="22.5" customHeight="1">
      <c r="A117" s="146">
        <v>2025.0</v>
      </c>
      <c r="B117" s="413">
        <v>45770.0</v>
      </c>
      <c r="C117" s="367" t="s">
        <v>2174</v>
      </c>
      <c r="D117" s="353" t="s">
        <v>1281</v>
      </c>
      <c r="E117" s="405">
        <v>39058.36</v>
      </c>
      <c r="F117" s="355" t="s">
        <v>1918</v>
      </c>
      <c r="G117" s="352" t="str">
        <f>IFERROR(VLOOKUP(D117,'Client ID Records_v2'!D:E, 2, FALSE), "")</f>
        <v>CL-2025-275</v>
      </c>
      <c r="H117" s="368" t="str">
        <f>IFERROR(VLOOKUP(G117,'Client ID Records_v2'!E:F, 2, FALSE), "")</f>
        <v>Institute of Environmental &amp; Marine Science, Silliman University</v>
      </c>
      <c r="I117" s="352" t="str">
        <f>IFERROR(VLOOKUP(D117,'Project Records_v2'!E:F, 2, FALSE), "")</f>
        <v>P-2025-124</v>
      </c>
      <c r="J117" s="358" t="str">
        <f>IFERROR(VLOOKUP(I117,'Project Records_v2'!F:G, 2, FALSE), "")</f>
        <v>Molecular Identification of Shipworm Species from Different Mangrove Species in Palawan, Philippines</v>
      </c>
      <c r="K117" s="358" t="s">
        <v>1919</v>
      </c>
      <c r="L117" s="390" t="s">
        <v>1957</v>
      </c>
      <c r="M117" s="377" t="s">
        <v>1919</v>
      </c>
      <c r="N117" s="386" t="s">
        <v>2159</v>
      </c>
      <c r="O117" s="386" t="s">
        <v>2175</v>
      </c>
      <c r="P117" s="401">
        <v>45771.0</v>
      </c>
      <c r="Q117" s="402" t="s">
        <v>2176</v>
      </c>
    </row>
    <row r="118" ht="22.5" customHeight="1">
      <c r="A118" s="146">
        <v>2025.0</v>
      </c>
      <c r="B118" s="413">
        <v>45771.0</v>
      </c>
      <c r="C118" s="367" t="s">
        <v>2177</v>
      </c>
      <c r="D118" s="353" t="s">
        <v>1289</v>
      </c>
      <c r="E118" s="405">
        <v>43673.96</v>
      </c>
      <c r="F118" s="355" t="s">
        <v>2063</v>
      </c>
      <c r="G118" s="352" t="str">
        <f>IFERROR(VLOOKUP(D118,'Client ID Records_v2'!D:E, 2, FALSE), "")</f>
        <v>CL-2025-277</v>
      </c>
      <c r="H118" s="368" t="str">
        <f>IFERROR(VLOOKUP(G118,'Client ID Records_v2'!E:F, 2, FALSE), "")</f>
        <v>School of Marine Fisheries and Technology,
Mindanao State University at Naawan,
Pedro Pagalan St. Poblacion, Naawan Misamis Oriental 9023</v>
      </c>
      <c r="I118" s="352" t="str">
        <f>IFERROR(VLOOKUP(D118,'Project Records_v2'!E:F, 2, FALSE), "")</f>
        <v>P-2025-126</v>
      </c>
      <c r="J118" s="358" t="str">
        <f>IFERROR(VLOOKUP(I118,'Project Records_v2'!F:G, 2, FALSE), "")</f>
        <v>Potential Application of Liquid Fermented Pineapple Silage to Enhance Growth, Gut Microbiota
and Water Quality in Tilapia spp.</v>
      </c>
      <c r="K118" s="358" t="s">
        <v>1919</v>
      </c>
      <c r="L118" s="390" t="s">
        <v>2178</v>
      </c>
      <c r="M118" s="377" t="s">
        <v>1919</v>
      </c>
      <c r="N118" s="370"/>
      <c r="O118" s="370"/>
      <c r="P118" s="394"/>
      <c r="Q118" s="365"/>
    </row>
    <row r="119" ht="22.5" customHeight="1">
      <c r="A119" s="146">
        <v>2025.0</v>
      </c>
      <c r="B119" s="413">
        <v>45776.0</v>
      </c>
      <c r="C119" s="367" t="s">
        <v>2179</v>
      </c>
      <c r="D119" s="353" t="s">
        <v>795</v>
      </c>
      <c r="E119" s="405">
        <v>12214.4</v>
      </c>
      <c r="F119" s="355" t="s">
        <v>1918</v>
      </c>
      <c r="G119" s="352" t="str">
        <f>IFERROR(VLOOKUP(D119,'Client ID Records_v2'!D:E, 2, FALSE), "")</f>
        <v>CL-2024-219</v>
      </c>
      <c r="H119" s="368" t="str">
        <f>IFERROR(VLOOKUP(G119,'Client ID Records_v2'!E:F, 2, FALSE), "")</f>
        <v>UPV-IFPT</v>
      </c>
      <c r="I119" s="352" t="str">
        <f>IFERROR(VLOOKUP(D119,'Project Records_v2'!E:F, 2, FALSE), "")</f>
        <v>P-2024-105</v>
      </c>
      <c r="J119" s="358" t="s">
        <v>2180</v>
      </c>
      <c r="K119" s="358" t="s">
        <v>1919</v>
      </c>
      <c r="L119" s="390" t="s">
        <v>2181</v>
      </c>
      <c r="M119" s="377" t="s">
        <v>1919</v>
      </c>
      <c r="N119" s="370"/>
      <c r="O119" s="386" t="s">
        <v>2182</v>
      </c>
      <c r="P119" s="401">
        <v>45779.0</v>
      </c>
      <c r="Q119" s="402" t="s">
        <v>2183</v>
      </c>
    </row>
    <row r="120" ht="22.5" customHeight="1">
      <c r="A120" s="146">
        <v>2025.0</v>
      </c>
      <c r="B120" s="413">
        <v>45776.0</v>
      </c>
      <c r="C120" s="367" t="s">
        <v>2184</v>
      </c>
      <c r="D120" s="353" t="s">
        <v>1255</v>
      </c>
      <c r="E120" s="405">
        <v>16619.5</v>
      </c>
      <c r="F120" s="355" t="s">
        <v>1932</v>
      </c>
      <c r="G120" s="352" t="str">
        <f>IFERROR(VLOOKUP(D120,'Client ID Records_v2'!D:E, 2, FALSE), "")</f>
        <v>CL-2025-267</v>
      </c>
      <c r="H120" s="368" t="str">
        <f>IFERROR(VLOOKUP(G120,'Client ID Records_v2'!E:F, 2, FALSE), "")</f>
        <v>Iloilo DOctors College</v>
      </c>
      <c r="I120" s="352" t="s">
        <v>1163</v>
      </c>
      <c r="J120" s="358" t="s">
        <v>2185</v>
      </c>
      <c r="K120" s="143"/>
      <c r="L120" s="358" t="s">
        <v>2185</v>
      </c>
      <c r="M120" s="377" t="s">
        <v>1919</v>
      </c>
      <c r="N120" s="370"/>
      <c r="O120" s="370"/>
      <c r="P120" s="394"/>
      <c r="Q120" s="357" t="s">
        <v>2170</v>
      </c>
    </row>
    <row r="121" ht="22.5" customHeight="1">
      <c r="A121" s="146">
        <v>2025.0</v>
      </c>
      <c r="B121" s="413">
        <v>45777.0</v>
      </c>
      <c r="C121" s="367" t="s">
        <v>2186</v>
      </c>
      <c r="D121" s="353" t="s">
        <v>1217</v>
      </c>
      <c r="E121" s="405">
        <v>9782.96</v>
      </c>
      <c r="F121" s="355" t="s">
        <v>1918</v>
      </c>
      <c r="G121" s="352" t="str">
        <f>IFERROR(VLOOKUP(D121,'Client ID Records_v2'!D:E, 2, FALSE), "")</f>
        <v>CL-2025-255</v>
      </c>
      <c r="H121" s="368" t="str">
        <f>IFERROR(VLOOKUP(G121,'Client ID Records_v2'!E:F, 2, FALSE), "")</f>
        <v>UP Visayas</v>
      </c>
      <c r="I121" s="352" t="str">
        <f>IFERROR(VLOOKUP(D121,'Project Records_v2'!E:F, 2, FALSE), "")</f>
        <v>P-2025-118</v>
      </c>
      <c r="J121" s="358" t="str">
        <f>IFERROR(VLOOKUP(I121,'Project Records_v2'!F:G, 2, FALSE), "")</f>
        <v>Metagenomic Sequencing of Yeast sp. from Plant sample</v>
      </c>
      <c r="K121" s="358" t="s">
        <v>1919</v>
      </c>
      <c r="L121" s="390" t="s">
        <v>2187</v>
      </c>
      <c r="M121" s="377" t="s">
        <v>1919</v>
      </c>
      <c r="N121" s="370"/>
      <c r="O121" s="386" t="s">
        <v>2188</v>
      </c>
      <c r="P121" s="401">
        <v>45782.0</v>
      </c>
      <c r="Q121" s="365"/>
    </row>
    <row r="122" ht="22.5" customHeight="1">
      <c r="A122" s="146">
        <v>2025.0</v>
      </c>
      <c r="B122" s="413">
        <v>45779.0</v>
      </c>
      <c r="C122" s="367" t="s">
        <v>2189</v>
      </c>
      <c r="D122" s="353" t="s">
        <v>684</v>
      </c>
      <c r="E122" s="405">
        <v>15222.24</v>
      </c>
      <c r="F122" s="355" t="s">
        <v>1918</v>
      </c>
      <c r="G122" s="352" t="str">
        <f>IFERROR(VLOOKUP(D122,'Client ID Records_v2'!D:E, 2, FALSE), "")</f>
        <v>CL-2024-175</v>
      </c>
      <c r="H122" s="368" t="str">
        <f>IFERROR(VLOOKUP(G122,'Client ID Records_v2'!E:F, 2, FALSE), "")</f>
        <v>Japan International Research Center for Agricultural Sciences (JIRCAS)</v>
      </c>
      <c r="I122" s="352" t="str">
        <f>IFERROR(VLOOKUP(D122,'Project Records_v2'!E:F, 2, FALSE), "")</f>
        <v>P-2024-092</v>
      </c>
      <c r="J122" s="358" t="str">
        <f>IFERROR(VLOOKUP(I122,'Project Records_v2'!F:G, 2, FALSE), "")</f>
        <v>Identification of seaweed species using DNA
sequence</v>
      </c>
      <c r="K122" s="358" t="s">
        <v>1919</v>
      </c>
      <c r="L122" s="390" t="s">
        <v>2190</v>
      </c>
      <c r="M122" s="377" t="s">
        <v>1919</v>
      </c>
      <c r="N122" s="370"/>
      <c r="O122" s="386" t="s">
        <v>2191</v>
      </c>
      <c r="P122" s="401">
        <v>45779.0</v>
      </c>
      <c r="Q122" s="402" t="s">
        <v>2048</v>
      </c>
    </row>
    <row r="123" ht="22.5" customHeight="1">
      <c r="A123" s="146">
        <v>2025.0</v>
      </c>
      <c r="B123" s="413">
        <v>45782.0</v>
      </c>
      <c r="C123" s="367" t="s">
        <v>2192</v>
      </c>
      <c r="D123" s="353" t="s">
        <v>1285</v>
      </c>
      <c r="E123" s="405">
        <v>35719.68</v>
      </c>
      <c r="F123" s="355" t="s">
        <v>2063</v>
      </c>
      <c r="G123" s="352" t="str">
        <f>IFERROR(VLOOKUP(D123,'Client ID Records_v2'!D:E, 2, FALSE), "")</f>
        <v>CL-2025-276</v>
      </c>
      <c r="H123" s="368" t="str">
        <f>IFERROR(VLOOKUP(G123,'Client ID Records_v2'!E:F, 2, FALSE), "")</f>
        <v>Dept. of Chemistry, CAS, UP Visayas</v>
      </c>
      <c r="I123" s="352" t="str">
        <f>IFERROR(VLOOKUP(D123,'Project Records_v2'!E:F, 2, FALSE), "")</f>
        <v>P-2025-125</v>
      </c>
      <c r="J123" s="358" t="str">
        <f>IFERROR(VLOOKUP(I123,'Project Records_v2'!F:G, 2, FALSE), "")</f>
        <v>Unveiling the Microbiome Profile of Muntingia calabura Roots and Bark: Linking Microbial Diversity to Secondary Metabolite Production</v>
      </c>
      <c r="K123" s="358" t="s">
        <v>1919</v>
      </c>
      <c r="L123" s="390" t="s">
        <v>2193</v>
      </c>
      <c r="M123" s="377" t="s">
        <v>1919</v>
      </c>
      <c r="N123" s="370"/>
      <c r="O123" s="370"/>
      <c r="P123" s="394"/>
      <c r="Q123" s="365"/>
    </row>
    <row r="124" ht="22.5" customHeight="1">
      <c r="A124" s="146">
        <v>2025.0</v>
      </c>
      <c r="B124" s="413">
        <v>45793.0</v>
      </c>
      <c r="C124" s="367" t="s">
        <v>2194</v>
      </c>
      <c r="D124" s="353" t="s">
        <v>565</v>
      </c>
      <c r="E124" s="405">
        <v>11968.0</v>
      </c>
      <c r="F124" s="355" t="s">
        <v>1918</v>
      </c>
      <c r="G124" s="352" t="str">
        <f>IFERROR(VLOOKUP(D124,'Client ID Records_v2'!D:E, 2, FALSE), "")</f>
        <v>CL-2024-138</v>
      </c>
      <c r="H124" s="368" t="str">
        <f>IFERROR(VLOOKUP(G124,'Client ID Records_v2'!E:F, 2, FALSE), "")</f>
        <v>Institute of Marine Fisheries and Oceanology, College of Fisheries and Ocean Sciences, University of the Philippines Visayas</v>
      </c>
      <c r="I124" s="352" t="str">
        <f>IFERROR(VLOOKUP(D124,'Project Records_v2'!E:F, 2, FALSE), "")</f>
        <v>P-2025-119</v>
      </c>
      <c r="J124" s="358" t="str">
        <f>IFERROR(VLOOKUP(I124,'Project Records_v2'!F:G, 2, FALSE), "")</f>
        <v>Microbial and Meiofaunal Successional Shifts in Biofilm on Pearl Farm Structures</v>
      </c>
      <c r="K124" s="358" t="s">
        <v>1919</v>
      </c>
      <c r="L124" s="390" t="s">
        <v>2195</v>
      </c>
      <c r="M124" s="377" t="s">
        <v>1919</v>
      </c>
      <c r="N124" s="370"/>
      <c r="O124" s="386" t="s">
        <v>2196</v>
      </c>
      <c r="P124" s="401">
        <v>45800.0</v>
      </c>
      <c r="Q124" s="402" t="s">
        <v>2197</v>
      </c>
    </row>
    <row r="125" ht="22.5" customHeight="1">
      <c r="A125" s="146">
        <v>2025.0</v>
      </c>
      <c r="B125" s="413">
        <v>45805.0</v>
      </c>
      <c r="C125" s="367" t="s">
        <v>2198</v>
      </c>
      <c r="D125" s="353" t="s">
        <v>1304</v>
      </c>
      <c r="E125" s="405">
        <v>38759.94</v>
      </c>
      <c r="F125" s="355" t="s">
        <v>2063</v>
      </c>
      <c r="G125" s="352" t="str">
        <f>IFERROR(VLOOKUP(D125,'Client ID Records_v2'!D:E, 2, FALSE), "")</f>
        <v>CL-2025-281</v>
      </c>
      <c r="H125" s="368" t="str">
        <f>IFERROR(VLOOKUP(G125,'Client ID Records_v2'!E:F, 2, FALSE), "")</f>
        <v>Medical Biophysics Group, University of San Carlos Talamban Campus</v>
      </c>
      <c r="I125" s="352" t="s">
        <v>2199</v>
      </c>
      <c r="J125" s="358" t="s">
        <v>2143</v>
      </c>
      <c r="K125" s="358" t="s">
        <v>1961</v>
      </c>
      <c r="L125" s="390" t="s">
        <v>2200</v>
      </c>
      <c r="M125" s="377" t="s">
        <v>1919</v>
      </c>
      <c r="N125" s="370"/>
      <c r="O125" s="370"/>
      <c r="P125" s="394"/>
      <c r="Q125" s="365"/>
    </row>
    <row r="126" ht="22.5" customHeight="1">
      <c r="A126" s="146">
        <v>2025.0</v>
      </c>
      <c r="B126" s="413">
        <v>45805.0</v>
      </c>
      <c r="C126" s="367" t="s">
        <v>2201</v>
      </c>
      <c r="D126" s="353" t="s">
        <v>1296</v>
      </c>
      <c r="E126" s="405">
        <v>44871.2</v>
      </c>
      <c r="F126" s="355" t="s">
        <v>1918</v>
      </c>
      <c r="G126" s="352" t="str">
        <f>IFERROR(VLOOKUP(D126,'Client ID Records_v2'!D:E, 2, FALSE), "")</f>
        <v>CL-2025-279</v>
      </c>
      <c r="H126" s="368" t="str">
        <f>IFERROR(VLOOKUP(G126,'Client ID Records_v2'!E:F, 2, FALSE), "")</f>
        <v>University of San Agustin</v>
      </c>
      <c r="I126" s="352" t="str">
        <f>IFERROR(VLOOKUP(D126,'Project Records_v2'!E:F, 2, FALSE), "")</f>
        <v>P-2025-128</v>
      </c>
      <c r="J126" s="358" t="str">
        <f>IFERROR(VLOOKUP(I126,'Project Records_v2'!F:G, 2, FALSE), "")</f>
        <v>Zoonotic Potential of Blastocystis among pigs in Oton, Iloilo</v>
      </c>
      <c r="K126" s="358" t="s">
        <v>1919</v>
      </c>
      <c r="L126" s="390" t="s">
        <v>2202</v>
      </c>
      <c r="M126" s="377" t="s">
        <v>1919</v>
      </c>
      <c r="N126" s="370"/>
      <c r="O126" s="386" t="s">
        <v>2203</v>
      </c>
      <c r="P126" s="401">
        <v>45806.0</v>
      </c>
      <c r="Q126" s="402" t="s">
        <v>2204</v>
      </c>
    </row>
    <row r="127" ht="22.5" customHeight="1">
      <c r="A127" s="146">
        <v>2025.0</v>
      </c>
      <c r="B127" s="413">
        <v>45813.0</v>
      </c>
      <c r="C127" s="367" t="s">
        <v>2205</v>
      </c>
      <c r="D127" s="353" t="s">
        <v>1255</v>
      </c>
      <c r="E127" s="405">
        <v>2720.0</v>
      </c>
      <c r="F127" s="355" t="s">
        <v>1918</v>
      </c>
      <c r="G127" s="352" t="str">
        <f>IFERROR(VLOOKUP(D127,'Client ID Records_v2'!D:E, 2, FALSE), "")</f>
        <v>CL-2025-267</v>
      </c>
      <c r="H127" s="368" t="str">
        <f>IFERROR(VLOOKUP(G127,'Client ID Records_v2'!E:F, 2, FALSE), "")</f>
        <v>Iloilo DOctors College</v>
      </c>
      <c r="I127" s="352" t="s">
        <v>699</v>
      </c>
      <c r="J127" s="358" t="s">
        <v>2206</v>
      </c>
      <c r="K127" s="358" t="s">
        <v>1919</v>
      </c>
      <c r="L127" s="390" t="s">
        <v>2202</v>
      </c>
      <c r="M127" s="377" t="s">
        <v>1919</v>
      </c>
      <c r="N127" s="370"/>
      <c r="O127" s="386" t="s">
        <v>2207</v>
      </c>
      <c r="P127" s="401">
        <v>45833.0</v>
      </c>
      <c r="Q127" s="402" t="s">
        <v>2208</v>
      </c>
    </row>
    <row r="128" ht="22.5" customHeight="1">
      <c r="A128" s="146">
        <v>2025.0</v>
      </c>
      <c r="B128" s="413">
        <v>45814.0</v>
      </c>
      <c r="C128" s="367" t="s">
        <v>2209</v>
      </c>
      <c r="D128" s="353" t="s">
        <v>1255</v>
      </c>
      <c r="E128" s="405">
        <v>3660.0</v>
      </c>
      <c r="F128" s="355" t="s">
        <v>1918</v>
      </c>
      <c r="G128" s="352" t="str">
        <f>IFERROR(VLOOKUP(D128,'Client ID Records_v2'!D:E, 2, FALSE), "")</f>
        <v>CL-2025-267</v>
      </c>
      <c r="H128" s="368" t="str">
        <f>IFERROR(VLOOKUP(G128,'Client ID Records_v2'!E:F, 2, FALSE), "")</f>
        <v>Iloilo DOctors College</v>
      </c>
      <c r="I128" s="352" t="s">
        <v>699</v>
      </c>
      <c r="J128" s="358" t="s">
        <v>2206</v>
      </c>
      <c r="K128" s="358" t="s">
        <v>1919</v>
      </c>
      <c r="L128" s="390" t="s">
        <v>2202</v>
      </c>
      <c r="M128" s="377" t="s">
        <v>1919</v>
      </c>
      <c r="N128" s="370"/>
      <c r="O128" s="386" t="s">
        <v>2210</v>
      </c>
      <c r="P128" s="401">
        <v>45860.0</v>
      </c>
      <c r="Q128" s="402" t="s">
        <v>2211</v>
      </c>
    </row>
    <row r="129" ht="22.5" customHeight="1">
      <c r="A129" s="146">
        <v>2025.0</v>
      </c>
      <c r="B129" s="413">
        <v>45825.0</v>
      </c>
      <c r="C129" s="367" t="s">
        <v>2212</v>
      </c>
      <c r="D129" s="353" t="s">
        <v>1265</v>
      </c>
      <c r="E129" s="405">
        <v>68849.47</v>
      </c>
      <c r="F129" s="355" t="s">
        <v>2063</v>
      </c>
      <c r="G129" s="352" t="str">
        <f>IFERROR(VLOOKUP(D129,'Client ID Records_v2'!D:E, 2, FALSE), "")</f>
        <v>CL-2025-270</v>
      </c>
      <c r="H129" s="368" t="str">
        <f>IFERROR(VLOOKUP(G129,'Client ID Records_v2'!E:F, 2, FALSE), "")</f>
        <v>Aklan State University</v>
      </c>
      <c r="I129" s="352" t="s">
        <v>699</v>
      </c>
      <c r="J129" s="358" t="s">
        <v>2213</v>
      </c>
      <c r="K129" s="358" t="s">
        <v>1919</v>
      </c>
      <c r="L129" s="390" t="s">
        <v>2200</v>
      </c>
      <c r="M129" s="377" t="s">
        <v>1919</v>
      </c>
      <c r="N129" s="370"/>
      <c r="O129" s="370"/>
      <c r="P129" s="394"/>
      <c r="Q129" s="365"/>
    </row>
    <row r="130" ht="22.5" customHeight="1">
      <c r="A130" s="146">
        <v>2025.0</v>
      </c>
      <c r="B130" s="413">
        <v>45828.0</v>
      </c>
      <c r="C130" s="367" t="s">
        <v>2214</v>
      </c>
      <c r="D130" s="353" t="s">
        <v>684</v>
      </c>
      <c r="E130" s="405">
        <v>19083.68</v>
      </c>
      <c r="F130" s="355" t="s">
        <v>2063</v>
      </c>
      <c r="G130" s="352" t="str">
        <f>IFERROR(VLOOKUP(D130,'Client ID Records_v2'!D:E, 2, FALSE), "")</f>
        <v>CL-2024-175</v>
      </c>
      <c r="H130" s="368" t="str">
        <f>IFERROR(VLOOKUP(G130,'Client ID Records_v2'!E:F, 2, FALSE), "")</f>
        <v>Japan International Research Center for Agricultural Sciences (JIRCAS)</v>
      </c>
      <c r="I130" s="352" t="str">
        <f>IFERROR(VLOOKUP(D130,'Project Records_v2'!E:F, 2, FALSE), "")</f>
        <v>P-2024-092</v>
      </c>
      <c r="J130" s="358" t="str">
        <f>IFERROR(VLOOKUP(I130,'Project Records_v2'!F:G, 2, FALSE), "")</f>
        <v>Identification of seaweed species using DNA
sequence</v>
      </c>
      <c r="K130" s="358" t="s">
        <v>1919</v>
      </c>
      <c r="L130" s="390" t="s">
        <v>2215</v>
      </c>
      <c r="M130" s="377" t="s">
        <v>1919</v>
      </c>
      <c r="N130" s="370"/>
      <c r="O130" s="370"/>
      <c r="P130" s="394"/>
      <c r="Q130" s="365"/>
    </row>
    <row r="131" ht="22.5" customHeight="1">
      <c r="A131" s="146">
        <v>2025.0</v>
      </c>
      <c r="B131" s="413">
        <v>45853.0</v>
      </c>
      <c r="C131" s="367" t="s">
        <v>2216</v>
      </c>
      <c r="D131" s="353" t="s">
        <v>1300</v>
      </c>
      <c r="E131" s="405">
        <v>34983.52</v>
      </c>
      <c r="F131" s="355" t="s">
        <v>1918</v>
      </c>
      <c r="G131" s="352" t="str">
        <f>IFERROR(VLOOKUP(D131,'Client ID Records_v2'!D:E, 2, FALSE), "")</f>
        <v>CL-2025-280</v>
      </c>
      <c r="H131" s="368" t="str">
        <f>IFERROR(VLOOKUP(G131,'Client ID Records_v2'!E:F, 2, FALSE), "")</f>
        <v>Northern Iloilo State University (Estancia)</v>
      </c>
      <c r="I131" s="352" t="str">
        <f>IFERROR(VLOOKUP(D131,'Project Records_v2'!E:F, 2, FALSE), "")</f>
        <v>P-2025-129</v>
      </c>
      <c r="J131" s="358" t="str">
        <f>IFERROR(VLOOKUP(I131,'Project Records_v2'!F:G, 2, FALSE), "")</f>
        <v>Metagenomics Analysis of Microbial Shifts, Functional Pathways and Probiotic-Pathogen Dynamics in Fermented Saccostrea spp. Insights into Microbial Ecology, Metabolism &amp; Food Safety</v>
      </c>
      <c r="K131" s="358" t="s">
        <v>1919</v>
      </c>
      <c r="L131" s="390" t="s">
        <v>2217</v>
      </c>
      <c r="M131" s="377" t="s">
        <v>1919</v>
      </c>
      <c r="N131" s="386" t="s">
        <v>2218</v>
      </c>
      <c r="O131" s="370"/>
      <c r="P131" s="394"/>
      <c r="Q131" s="365"/>
    </row>
    <row r="132" ht="22.5" customHeight="1">
      <c r="A132" s="146">
        <v>2025.0</v>
      </c>
      <c r="B132" s="413">
        <v>45891.0</v>
      </c>
      <c r="C132" s="367" t="s">
        <v>2219</v>
      </c>
      <c r="D132" s="353" t="s">
        <v>1341</v>
      </c>
      <c r="E132" s="405">
        <v>2244.0</v>
      </c>
      <c r="F132" s="355" t="s">
        <v>1918</v>
      </c>
      <c r="G132" s="352" t="str">
        <f>IFERROR(VLOOKUP(D132,'Client ID Records_v2'!D:E, 2, FALSE), "")</f>
        <v>CL-2025-293</v>
      </c>
      <c r="H132" s="368" t="str">
        <f>IFERROR(VLOOKUP(G132,'Client ID Records_v2'!E:F, 2, FALSE), "")</f>
        <v>ASU</v>
      </c>
      <c r="I132" s="352" t="s">
        <v>699</v>
      </c>
      <c r="J132" s="358" t="s">
        <v>2220</v>
      </c>
      <c r="K132" s="358" t="s">
        <v>1418</v>
      </c>
      <c r="L132" s="390"/>
      <c r="M132" s="377" t="s">
        <v>1919</v>
      </c>
      <c r="N132" s="386" t="s">
        <v>2218</v>
      </c>
      <c r="O132" s="386" t="s">
        <v>2221</v>
      </c>
      <c r="P132" s="401">
        <v>45919.0</v>
      </c>
      <c r="Q132" s="365"/>
    </row>
    <row r="133" ht="22.5" customHeight="1">
      <c r="A133" s="146">
        <v>2025.0</v>
      </c>
      <c r="B133" s="413">
        <v>45896.0</v>
      </c>
      <c r="C133" s="367" t="s">
        <v>2222</v>
      </c>
      <c r="D133" s="353" t="s">
        <v>430</v>
      </c>
      <c r="E133" s="405">
        <v>6394.08</v>
      </c>
      <c r="F133" s="355" t="s">
        <v>1918</v>
      </c>
      <c r="G133" s="352" t="str">
        <f>IFERROR(VLOOKUP(D133,'Client ID Records_v2'!D:E, 2, FALSE), "")</f>
        <v>CL-2023-097</v>
      </c>
      <c r="H133" s="368" t="str">
        <f>IFERROR(VLOOKUP(G133,'Client ID Records_v2'!E:F, 2, FALSE), "")</f>
        <v>Division of Biological Sciences, College of Arts and Sciences, UP Visayas Miagao Iloilo</v>
      </c>
      <c r="I133" s="352" t="s">
        <v>699</v>
      </c>
      <c r="J133" s="358" t="s">
        <v>2223</v>
      </c>
      <c r="K133" s="358" t="s">
        <v>1919</v>
      </c>
      <c r="L133" s="390" t="s">
        <v>2224</v>
      </c>
      <c r="M133" s="377" t="s">
        <v>1919</v>
      </c>
      <c r="N133" s="386" t="s">
        <v>2218</v>
      </c>
      <c r="O133" s="417" t="s">
        <v>2225</v>
      </c>
      <c r="P133" s="394"/>
      <c r="Q133" s="365"/>
    </row>
    <row r="134" ht="22.5" customHeight="1">
      <c r="A134" s="146">
        <v>2025.0</v>
      </c>
      <c r="B134" s="413">
        <v>45897.0</v>
      </c>
      <c r="C134" s="367" t="s">
        <v>2226</v>
      </c>
      <c r="D134" s="353" t="s">
        <v>1293</v>
      </c>
      <c r="E134" s="405">
        <v>143950.29</v>
      </c>
      <c r="F134" s="355" t="s">
        <v>2063</v>
      </c>
      <c r="G134" s="352" t="str">
        <f>IFERROR(VLOOKUP(D134,'Client ID Records_v2'!D:E, 2, FALSE), "")</f>
        <v>CL-2025-278</v>
      </c>
      <c r="H134" s="368" t="str">
        <f>IFERROR(VLOOKUP(G134,'Client ID Records_v2'!E:F, 2, FALSE), "")</f>
        <v>UPV CFOS IA</v>
      </c>
      <c r="I134" s="352" t="str">
        <f>IFERROR(VLOOKUP(D134,'Project Records_v2'!E:F, 2, FALSE), "")</f>
        <v>P-2025-127</v>
      </c>
      <c r="J134" s="358" t="str">
        <f>IFERROR(VLOOKUP(I134,'Project Records_v2'!F:G, 2, FALSE), "")</f>
        <v>Development of locally-available essential oil as a growth promoting and anti-microbial feed additive for saline tolerant tilapia Oreochromis niloticus</v>
      </c>
      <c r="K134" s="358" t="s">
        <v>1919</v>
      </c>
      <c r="L134" s="390" t="s">
        <v>2227</v>
      </c>
      <c r="M134" s="377" t="s">
        <v>1919</v>
      </c>
      <c r="N134" s="370"/>
      <c r="O134" s="370"/>
      <c r="P134" s="394"/>
      <c r="Q134" s="365"/>
    </row>
    <row r="135" ht="22.5" customHeight="1">
      <c r="A135" s="146">
        <v>2025.0</v>
      </c>
      <c r="B135" s="413">
        <v>45901.0</v>
      </c>
      <c r="C135" s="367" t="s">
        <v>2228</v>
      </c>
      <c r="D135" s="353" t="s">
        <v>762</v>
      </c>
      <c r="E135" s="405">
        <v>31732.8</v>
      </c>
      <c r="F135" s="355" t="s">
        <v>2063</v>
      </c>
      <c r="G135" s="352" t="str">
        <f>IFERROR(VLOOKUP(D135,'Client ID Records_v2'!D:E, 2, FALSE), "")</f>
        <v>CL-2024-205</v>
      </c>
      <c r="H135" s="368" t="str">
        <f>IFERROR(VLOOKUP(G135,'Client ID Records_v2'!E:F, 2, FALSE), "")</f>
        <v>Ilocos Sur Polytechnic State College</v>
      </c>
      <c r="I135" s="352" t="str">
        <f>IFERROR(VLOOKUP(D135,'Project Records_v2'!E:F, 2, FALSE), "")</f>
        <v>P-2024-112</v>
      </c>
      <c r="J135" s="358" t="str">
        <f>IFERROR(VLOOKUP(I135,'Project Records_v2'!F:G, 2, FALSE), "")</f>
        <v>Probiotics Project</v>
      </c>
      <c r="K135" s="358" t="s">
        <v>1919</v>
      </c>
      <c r="L135" s="390" t="s">
        <v>2224</v>
      </c>
      <c r="M135" s="377" t="s">
        <v>1919</v>
      </c>
      <c r="N135" s="370"/>
      <c r="O135" s="370"/>
      <c r="P135" s="394"/>
      <c r="Q135" s="365"/>
    </row>
    <row r="136" ht="22.5" customHeight="1">
      <c r="A136" s="146">
        <v>2025.0</v>
      </c>
      <c r="B136" s="413">
        <v>45905.0</v>
      </c>
      <c r="C136" s="367" t="s">
        <v>2229</v>
      </c>
      <c r="D136" s="353" t="s">
        <v>1125</v>
      </c>
      <c r="E136" s="405">
        <v>79939.2</v>
      </c>
      <c r="F136" s="355" t="s">
        <v>2063</v>
      </c>
      <c r="G136" s="352" t="str">
        <f>IFERROR(VLOOKUP(D136,'Client ID Records_v2'!D:E, 2, FALSE), "")</f>
        <v>CL-2024-224</v>
      </c>
      <c r="H136" s="368" t="str">
        <f>IFERROR(VLOOKUP(G136,'Client ID Records_v2'!E:F, 2, FALSE), "")</f>
        <v>Institute of Aquaculutre, College of Fisheries and Ocean Science, University of the Philippines Visayas, Miagao, Iloilo</v>
      </c>
      <c r="I136" s="352" t="str">
        <f>IFERROR(VLOOKUP(D136,'Project Records_v2'!E:F, 2, FALSE), "")</f>
        <v>P-2024-109</v>
      </c>
      <c r="J136" s="358" t="str">
        <f>IFERROR(VLOOKUP(I136,'Project Records_v2'!F:G, 2, FALSE), "")</f>
        <v>Developing insect-based feed using traditional and molecular approaches for sustainable production of Nile Tilapia in the Philippines</v>
      </c>
      <c r="K136" s="358" t="s">
        <v>2230</v>
      </c>
      <c r="L136" s="390" t="s">
        <v>2231</v>
      </c>
      <c r="M136" s="377" t="s">
        <v>1919</v>
      </c>
      <c r="N136" s="370"/>
      <c r="O136" s="370"/>
      <c r="P136" s="394"/>
      <c r="Q136" s="365"/>
    </row>
    <row r="137" ht="22.5" customHeight="1">
      <c r="A137" s="146">
        <v>2025.0</v>
      </c>
      <c r="B137" s="413">
        <v>45909.0</v>
      </c>
      <c r="C137" s="367" t="s">
        <v>2232</v>
      </c>
      <c r="D137" s="353" t="s">
        <v>1362</v>
      </c>
      <c r="E137" s="405">
        <v>39558.97</v>
      </c>
      <c r="F137" s="355" t="s">
        <v>1918</v>
      </c>
      <c r="G137" s="352" t="str">
        <f>IFERROR(VLOOKUP(D137,'Client ID Records_v2'!D:E, 2, FALSE), "")</f>
        <v>CL-2025-298</v>
      </c>
      <c r="H137" s="368" t="str">
        <f>IFERROR(VLOOKUP(G137,'Client ID Records_v2'!E:F, 2, FALSE), "")</f>
        <v>University of San Carlos</v>
      </c>
      <c r="I137" s="352" t="str">
        <f>IFERROR(VLOOKUP(D137,'Project Records_v2'!E:F, 2, FALSE), "")</f>
        <v>P-2025-137</v>
      </c>
      <c r="J137" s="358" t="str">
        <f>IFERROR(VLOOKUP(I137,'Project Records_v2'!F:G, 2, FALSE), "")</f>
        <v>In-Vitro Characterization, Sequencing &amp; Greenhouse Evaluation of Endophytic Bacteria for Sugarcane Stress Tolerance</v>
      </c>
      <c r="K137" s="143" t="s">
        <v>2230</v>
      </c>
      <c r="L137" s="390" t="s">
        <v>2233</v>
      </c>
      <c r="M137" s="377" t="s">
        <v>1919</v>
      </c>
      <c r="N137" s="386" t="s">
        <v>2234</v>
      </c>
      <c r="O137" s="386" t="s">
        <v>2235</v>
      </c>
      <c r="P137" s="401">
        <v>45909.0</v>
      </c>
      <c r="Q137" s="365"/>
    </row>
    <row r="138" ht="22.5" customHeight="1">
      <c r="A138" s="146">
        <v>2025.0</v>
      </c>
      <c r="B138" s="413">
        <v>45909.0</v>
      </c>
      <c r="C138" s="367" t="s">
        <v>2236</v>
      </c>
      <c r="D138" s="353" t="s">
        <v>1348</v>
      </c>
      <c r="E138" s="405">
        <v>10932.0</v>
      </c>
      <c r="F138" s="355" t="s">
        <v>1918</v>
      </c>
      <c r="G138" s="352" t="str">
        <f>IFERROR(VLOOKUP(D138,'Client ID Records_v2'!D:E, 2, FALSE), "")</f>
        <v>CL-2025-295</v>
      </c>
      <c r="H138" s="368" t="str">
        <f>IFERROR(VLOOKUP(G138,'Client ID Records_v2'!E:F, 2, FALSE), "")</f>
        <v>Fisheries Division, JIRCAS</v>
      </c>
      <c r="I138" s="352" t="str">
        <f>IFERROR(VLOOKUP(D138,'Project Records_v2'!E:F, 2, FALSE), "")</f>
        <v>P-2025-136</v>
      </c>
      <c r="J138" s="358" t="str">
        <f>IFERROR(VLOOKUP(I138,'Project Records_v2'!F:G, 2, FALSE), "")</f>
        <v>Diatoms Genetic Analysis Services</v>
      </c>
      <c r="K138" s="143" t="s">
        <v>1919</v>
      </c>
      <c r="L138" s="390" t="s">
        <v>1928</v>
      </c>
      <c r="M138" s="377" t="s">
        <v>1919</v>
      </c>
      <c r="N138" s="386" t="s">
        <v>2234</v>
      </c>
      <c r="O138" s="386" t="s">
        <v>2237</v>
      </c>
      <c r="P138" s="395">
        <v>45909.0</v>
      </c>
      <c r="Q138" s="357"/>
    </row>
    <row r="139" ht="22.5" customHeight="1">
      <c r="A139" s="146">
        <v>2025.0</v>
      </c>
      <c r="B139" s="413">
        <v>45912.0</v>
      </c>
      <c r="C139" s="367" t="s">
        <v>2238</v>
      </c>
      <c r="D139" s="353" t="s">
        <v>1037</v>
      </c>
      <c r="E139" s="405">
        <v>9041.5</v>
      </c>
      <c r="F139" s="355" t="s">
        <v>2063</v>
      </c>
      <c r="G139" s="352" t="str">
        <f>IFERROR(VLOOKUP(D139,'Client ID Records_v2'!D:E, 2, FALSE), "")</f>
        <v>CL-2024-152</v>
      </c>
      <c r="H139" s="368" t="str">
        <f>IFERROR(VLOOKUP(G139,'Client ID Records_v2'!E:F, 2, FALSE), "")</f>
        <v>Department of Agriculture-National Fisheries Research and Development Institute (DA-NFRDI)</v>
      </c>
      <c r="I139" s="352" t="s">
        <v>26</v>
      </c>
      <c r="J139" s="358" t="str">
        <f>IFERROR(VLOOKUP(I139,'Project Records_v2'!F:G, 2, FALSE), "")</f>
        <v/>
      </c>
      <c r="K139" s="143" t="s">
        <v>1919</v>
      </c>
      <c r="L139" s="390" t="s">
        <v>2239</v>
      </c>
      <c r="M139" s="377" t="s">
        <v>1919</v>
      </c>
      <c r="N139" s="370"/>
      <c r="O139" s="370"/>
      <c r="P139" s="394"/>
      <c r="Q139" s="365"/>
    </row>
    <row r="140" ht="22.5" customHeight="1">
      <c r="A140" s="146">
        <v>2025.0</v>
      </c>
      <c r="B140" s="413">
        <v>45913.0</v>
      </c>
      <c r="C140" s="367" t="s">
        <v>2240</v>
      </c>
      <c r="D140" s="353" t="s">
        <v>1037</v>
      </c>
      <c r="E140" s="405">
        <v>12124.77</v>
      </c>
      <c r="F140" s="355" t="s">
        <v>2063</v>
      </c>
      <c r="G140" s="352" t="str">
        <f>IFERROR(VLOOKUP(D140,'Client ID Records_v2'!D:E, 2, FALSE), "")</f>
        <v>CL-2024-152</v>
      </c>
      <c r="H140" s="368" t="str">
        <f>IFERROR(VLOOKUP(G140,'Client ID Records_v2'!E:F, 2, FALSE), "")</f>
        <v>Department of Agriculture-National Fisheries Research and Development Institute (DA-NFRDI)</v>
      </c>
      <c r="I140" s="352" t="s">
        <v>26</v>
      </c>
      <c r="J140" s="358" t="str">
        <f>IFERROR(VLOOKUP(I140,'Project Records_v2'!F:G, 2, FALSE), "")</f>
        <v/>
      </c>
      <c r="K140" s="143" t="s">
        <v>1962</v>
      </c>
      <c r="L140" s="390" t="s">
        <v>2241</v>
      </c>
      <c r="M140" s="377" t="s">
        <v>1919</v>
      </c>
      <c r="N140" s="370"/>
      <c r="O140" s="370"/>
      <c r="P140" s="394"/>
      <c r="Q140" s="365"/>
    </row>
    <row r="141" ht="22.5" customHeight="1">
      <c r="A141" s="146">
        <v>2025.0</v>
      </c>
      <c r="B141" s="413">
        <v>45917.0</v>
      </c>
      <c r="C141" s="367" t="s">
        <v>2242</v>
      </c>
      <c r="D141" s="353" t="s">
        <v>1358</v>
      </c>
      <c r="E141" s="405">
        <v>28863.03</v>
      </c>
      <c r="F141" s="355" t="s">
        <v>1918</v>
      </c>
      <c r="G141" s="352" t="str">
        <f>IFERROR(VLOOKUP(D141,'Client ID Records_v2'!D:E, 2, FALSE), "")</f>
        <v>CL-2025-297</v>
      </c>
      <c r="H141" s="368" t="str">
        <f>IFERROR(VLOOKUP(G141,'Client ID Records_v2'!E:F, 2, FALSE), "")</f>
        <v>Biology Department, Siliman University, Dumaguete City Negros Oriental</v>
      </c>
      <c r="I141" s="352" t="str">
        <f>IFERROR(VLOOKUP(D141,'Project Records_v2'!E:F, 2, FALSE), "")</f>
        <v/>
      </c>
      <c r="J141" s="358" t="s">
        <v>2243</v>
      </c>
      <c r="K141" s="143" t="s">
        <v>1961</v>
      </c>
      <c r="L141" s="390" t="s">
        <v>2244</v>
      </c>
      <c r="M141" s="377" t="s">
        <v>1919</v>
      </c>
      <c r="N141" s="386" t="s">
        <v>2245</v>
      </c>
      <c r="O141" s="386" t="s">
        <v>2246</v>
      </c>
      <c r="P141" s="401">
        <v>45918.0</v>
      </c>
      <c r="Q141" s="365"/>
    </row>
    <row r="142" ht="22.5" customHeight="1">
      <c r="A142" s="146">
        <v>2025.0</v>
      </c>
      <c r="B142" s="413">
        <v>45923.0</v>
      </c>
      <c r="C142" s="367" t="s">
        <v>2247</v>
      </c>
      <c r="D142" s="353" t="s">
        <v>1336</v>
      </c>
      <c r="E142" s="405">
        <v>299868.8</v>
      </c>
      <c r="F142" s="355" t="s">
        <v>2063</v>
      </c>
      <c r="G142" s="352" t="str">
        <f>IFERROR(VLOOKUP(D142,'Client ID Records_v2'!D:E, 2, FALSE), "")</f>
        <v>CL-2025-291</v>
      </c>
      <c r="H142" s="368" t="str">
        <f>IFERROR(VLOOKUP(G142,'Client ID Records_v2'!E:F, 2, FALSE), "")</f>
        <v>CFOS-IA, University of the Philippines Visayas</v>
      </c>
      <c r="I142" s="352" t="str">
        <f>IFERROR(VLOOKUP(D142,'Project Records_v2'!E:F, 2, FALSE), "")</f>
        <v>P-2025-135</v>
      </c>
      <c r="J142" s="358" t="str">
        <f>IFERROR(VLOOKUP(I142,'Project Records_v2'!F:G, 2, FALSE), "")</f>
        <v>Environmental Genetic Analysis of Shellfish and Digitization of Harmful Algal Bloom (HAB) Patterns in WV</v>
      </c>
      <c r="K142" s="143" t="s">
        <v>1919</v>
      </c>
      <c r="L142" s="390" t="s">
        <v>2215</v>
      </c>
      <c r="M142" s="377" t="s">
        <v>1919</v>
      </c>
      <c r="N142" s="370"/>
      <c r="O142" s="370"/>
      <c r="P142" s="394"/>
      <c r="Q142" s="365"/>
    </row>
    <row r="143" ht="22.5" customHeight="1">
      <c r="A143" s="146">
        <v>2025.0</v>
      </c>
      <c r="B143" s="413">
        <v>45951.0</v>
      </c>
      <c r="C143" s="367" t="s">
        <v>2248</v>
      </c>
      <c r="D143" s="353" t="s">
        <v>2249</v>
      </c>
      <c r="E143" s="405">
        <f>500-(500*12%)</f>
        <v>440</v>
      </c>
      <c r="F143" s="355" t="s">
        <v>1918</v>
      </c>
      <c r="G143" s="352" t="str">
        <f>IFERROR(VLOOKUP(D143,'Client ID Records_v2'!D:E, 2, FALSE), "")</f>
        <v>CL-2025-305</v>
      </c>
      <c r="H143" s="368" t="str">
        <f>IFERROR(VLOOKUP(G143,'Client ID Records_v2'!E:F, 2, FALSE), "")</f>
        <v>Department of Chemical Engineering, School of Technology, University
of the Philippines Visayas, 5023 Miagao, Iloilo</v>
      </c>
      <c r="I143" s="352" t="str">
        <f>IFERROR(VLOOKUP(D143,'Project Records_v2'!E:F, 2, FALSE), "")</f>
        <v>P-2025-141</v>
      </c>
      <c r="J143" s="358" t="str">
        <f>IFERROR(VLOOKUP(I143,'Project Records_v2'!F:G, 2, FALSE), "")</f>
        <v>Evaluation of Synergistic Effects of the Extracts from Peacock Flowers and Cadena de AMor Leaves for TiO2-Based Dye Sensitized Solar Cell Application</v>
      </c>
      <c r="K143" s="143" t="s">
        <v>1418</v>
      </c>
      <c r="L143" s="390" t="s">
        <v>2250</v>
      </c>
      <c r="M143" s="377" t="s">
        <v>1919</v>
      </c>
      <c r="N143" s="386" t="s">
        <v>2245</v>
      </c>
      <c r="O143" s="386" t="s">
        <v>2251</v>
      </c>
      <c r="P143" s="401">
        <v>45952.0</v>
      </c>
      <c r="Q143" s="357" t="s">
        <v>2252</v>
      </c>
    </row>
    <row r="144" ht="22.5" customHeight="1">
      <c r="A144" s="146">
        <v>2025.0</v>
      </c>
      <c r="B144" s="413">
        <v>45952.0</v>
      </c>
      <c r="C144" s="367" t="s">
        <v>2253</v>
      </c>
      <c r="D144" s="353" t="s">
        <v>474</v>
      </c>
      <c r="E144" s="405">
        <v>499782.1</v>
      </c>
      <c r="F144" s="355" t="s">
        <v>2063</v>
      </c>
      <c r="G144" s="352" t="str">
        <f>IFERROR(VLOOKUP(D144,'Client ID Records_v2'!D:E, 2, FALSE), "")</f>
        <v>CL-2023-111</v>
      </c>
      <c r="H144" s="368" t="str">
        <f>IFERROR(VLOOKUP(G144,'Client ID Records_v2'!E:F, 2, FALSE), "")</f>
        <v>Division of Biological Sciences, CAS Bldg., UP Visayas, Miagao, Iloilo 5023</v>
      </c>
      <c r="I144" s="352" t="str">
        <f>IFERROR(VLOOKUP(D144,'Project Records_v2'!E:F, 2, FALSE), "")</f>
        <v>P-2025-140</v>
      </c>
      <c r="J144" s="358" t="str">
        <f>IFERROR(VLOOKUP(I144,'Project Records_v2'!F:G, 2, FALSE), "")</f>
        <v>Surveillance of Antimicrobial resistant bacteria and genes in Iloilo River</v>
      </c>
      <c r="K144" s="143"/>
      <c r="L144" s="390"/>
      <c r="M144" s="377"/>
      <c r="N144" s="370"/>
      <c r="O144" s="370"/>
      <c r="P144" s="394"/>
      <c r="Q144" s="365"/>
    </row>
    <row r="145" ht="22.5" customHeight="1">
      <c r="A145" s="146">
        <v>2025.0</v>
      </c>
      <c r="B145" s="413">
        <v>45967.0</v>
      </c>
      <c r="C145" s="367" t="s">
        <v>2254</v>
      </c>
      <c r="D145" s="353" t="s">
        <v>565</v>
      </c>
      <c r="E145" s="405">
        <v>110381.07</v>
      </c>
      <c r="F145" s="355" t="s">
        <v>2063</v>
      </c>
      <c r="G145" s="352" t="str">
        <f>IFERROR(VLOOKUP(D145,'Client ID Records_v2'!D:E, 2, FALSE), "")</f>
        <v>CL-2024-138</v>
      </c>
      <c r="H145" s="368" t="str">
        <f>IFERROR(VLOOKUP(G145,'Client ID Records_v2'!E:F, 2, FALSE), "")</f>
        <v>Institute of Marine Fisheries and Oceanology, College of Fisheries and Ocean Sciences, University of the Philippines Visayas</v>
      </c>
      <c r="I145" s="352" t="str">
        <f>IFERROR(VLOOKUP(D145,'Project Records_v2'!E:F, 2, FALSE), "")</f>
        <v>P-2025-119</v>
      </c>
      <c r="J145" s="358" t="str">
        <f>IFERROR(VLOOKUP(I145,'Project Records_v2'!F:G, 2, FALSE), "")</f>
        <v>Microbial and Meiofaunal Successional Shifts in Biofilm on Pearl Farm Structures</v>
      </c>
      <c r="K145" s="143"/>
      <c r="L145" s="390"/>
      <c r="M145" s="377"/>
      <c r="N145" s="370"/>
      <c r="O145" s="370"/>
      <c r="P145" s="394"/>
      <c r="Q145" s="365"/>
    </row>
    <row r="146" ht="22.5" customHeight="1">
      <c r="A146" s="146">
        <v>2025.0</v>
      </c>
      <c r="B146" s="413">
        <v>45972.0</v>
      </c>
      <c r="C146" s="367" t="s">
        <v>2255</v>
      </c>
      <c r="D146" s="353" t="s">
        <v>1379</v>
      </c>
      <c r="E146" s="405">
        <v>79960.28</v>
      </c>
      <c r="F146" s="355" t="s">
        <v>2063</v>
      </c>
      <c r="G146" s="352" t="str">
        <f>IFERROR(VLOOKUP(D146,'Client ID Records_v2'!D:E, 2, FALSE), "")</f>
        <v>CL-2025-304</v>
      </c>
      <c r="H146" s="368" t="str">
        <f>IFERROR(VLOOKUP(G146,'Client ID Records_v2'!E:F, 2, FALSE), "")</f>
        <v>CFOS IFPT</v>
      </c>
      <c r="I146" s="352" t="str">
        <f>IFERROR(VLOOKUP(D146,'Project Records_v2'!E:F, 2, FALSE), "")</f>
        <v>P-2025-142</v>
      </c>
      <c r="J146" s="358" t="str">
        <f>IFERROR(VLOOKUP(I146,'Project Records_v2'!F:G, 2, FALSE), "")</f>
        <v>AMR and Whole Genome Sequencing of Blood Cockle Pathogens</v>
      </c>
      <c r="K146" s="143"/>
      <c r="L146" s="390"/>
      <c r="M146" s="377"/>
      <c r="N146" s="370"/>
      <c r="O146" s="370"/>
      <c r="P146" s="394"/>
      <c r="Q146" s="365"/>
    </row>
    <row r="147" ht="22.5" customHeight="1">
      <c r="A147" s="146">
        <v>2025.0</v>
      </c>
      <c r="B147" s="413">
        <v>45973.0</v>
      </c>
      <c r="C147" s="367" t="s">
        <v>2256</v>
      </c>
      <c r="D147" s="353" t="s">
        <v>1341</v>
      </c>
      <c r="E147" s="405">
        <v>2690.0</v>
      </c>
      <c r="F147" s="355" t="s">
        <v>1918</v>
      </c>
      <c r="G147" s="352" t="str">
        <f>IFERROR(VLOOKUP(D147,'Client ID Records_v2'!D:E, 2, FALSE), "")</f>
        <v>CL-2025-293</v>
      </c>
      <c r="H147" s="368" t="str">
        <f>IFERROR(VLOOKUP(G147,'Client ID Records_v2'!E:F, 2, FALSE), "")</f>
        <v>ASU</v>
      </c>
      <c r="I147" s="352" t="str">
        <f>IFERROR(VLOOKUP(D147,'Project Records_v2'!E:F, 2, FALSE), "")</f>
        <v/>
      </c>
      <c r="J147" s="358" t="str">
        <f>IFERROR(VLOOKUP(I147,'Project Records_v2'!F:G, 2, FALSE), "")</f>
        <v/>
      </c>
      <c r="K147" s="143" t="s">
        <v>1418</v>
      </c>
      <c r="L147" s="390" t="s">
        <v>2257</v>
      </c>
      <c r="M147" s="377" t="s">
        <v>1919</v>
      </c>
      <c r="N147" s="386" t="s">
        <v>2245</v>
      </c>
      <c r="O147" s="386" t="s">
        <v>2258</v>
      </c>
      <c r="P147" s="401">
        <v>45974.0</v>
      </c>
      <c r="Q147" s="365"/>
    </row>
    <row r="148" ht="22.5" customHeight="1">
      <c r="A148" s="146">
        <v>2025.0</v>
      </c>
      <c r="B148" s="413">
        <v>45981.0</v>
      </c>
      <c r="C148" s="367" t="s">
        <v>2259</v>
      </c>
      <c r="D148" s="353" t="s">
        <v>762</v>
      </c>
      <c r="E148" s="418">
        <v>67968.42</v>
      </c>
      <c r="F148" s="355" t="s">
        <v>2063</v>
      </c>
      <c r="G148" s="352" t="str">
        <f>IFERROR(VLOOKUP(D148,'Client ID Records_v2'!D:E, 2, FALSE), "")</f>
        <v>CL-2024-205</v>
      </c>
      <c r="H148" s="368" t="str">
        <f>IFERROR(VLOOKUP(G148,'Client ID Records_v2'!E:F, 2, FALSE), "")</f>
        <v>Ilocos Sur Polytechnic State College</v>
      </c>
      <c r="I148" s="352" t="str">
        <f>IFERROR(VLOOKUP(D148,'Project Records_v2'!E:F, 2, FALSE), "")</f>
        <v>P-2024-112</v>
      </c>
      <c r="J148" s="358" t="str">
        <f>IFERROR(VLOOKUP(I148,'Project Records_v2'!F:G, 2, FALSE), "")</f>
        <v>Probiotics Project</v>
      </c>
      <c r="K148" s="143"/>
      <c r="L148" s="390"/>
      <c r="M148" s="419"/>
      <c r="N148" s="386"/>
      <c r="O148" s="386"/>
      <c r="P148" s="395"/>
      <c r="Q148" s="365"/>
    </row>
    <row r="149" ht="22.5" customHeight="1">
      <c r="A149" s="146">
        <v>2025.0</v>
      </c>
      <c r="B149" s="413">
        <v>45985.0</v>
      </c>
      <c r="C149" s="367" t="s">
        <v>2260</v>
      </c>
      <c r="D149" s="353" t="s">
        <v>1394</v>
      </c>
      <c r="E149" s="405"/>
      <c r="F149" s="355" t="s">
        <v>2063</v>
      </c>
      <c r="G149" s="352" t="str">
        <f>IFERROR(VLOOKUP(D149,'Client ID Records_v2'!D:E, 2, FALSE), "")</f>
        <v>CL-2025-308</v>
      </c>
      <c r="H149" s="368" t="str">
        <f>IFERROR(VLOOKUP(G149,'Client ID Records_v2'!E:F, 2, FALSE), "")</f>
        <v>Department of Biology, Caraga State University, Butuan City</v>
      </c>
      <c r="I149" s="352" t="str">
        <f>IFERROR(VLOOKUP(D149,'Project Records_v2'!E:F, 2, FALSE), "")</f>
        <v>P-2025-145</v>
      </c>
      <c r="J149" s="358" t="str">
        <f>IFERROR(VLOOKUP(I149,'Project Records_v2'!F:G, 2, FALSE), "")</f>
        <v>DNA METABARCODING ANALYSIS OF PLANT-BASED DIET COMPOSITION IN LONG-TAILED MACAQUES (Macaca fascicularis Raffles, 1821) IN BARANGAY SUMILE, BUTUAN CITY, PHILIPPINES</v>
      </c>
      <c r="K149" s="143" t="s">
        <v>2230</v>
      </c>
      <c r="L149" s="390"/>
      <c r="M149" s="419"/>
      <c r="N149" s="370"/>
      <c r="O149" s="370"/>
      <c r="P149" s="371"/>
      <c r="Q149" s="365"/>
    </row>
    <row r="150" ht="22.5" customHeight="1">
      <c r="A150" s="146"/>
      <c r="B150" s="413"/>
      <c r="C150" s="367"/>
      <c r="D150" s="420"/>
      <c r="E150" s="405"/>
      <c r="F150" s="404"/>
      <c r="G150" s="352" t="str">
        <f>IFERROR(VLOOKUP(D150,'Client ID Records_v2'!D:E, 2, FALSE), "")</f>
        <v/>
      </c>
      <c r="H150" s="368" t="str">
        <f>IFERROR(VLOOKUP(G150,'Client ID Records_v2'!E:F, 2, FALSE), "")</f>
        <v/>
      </c>
      <c r="I150" s="352" t="str">
        <f>IFERROR(VLOOKUP(D150,'Project Records_v2'!E:F, 2, FALSE), "")</f>
        <v/>
      </c>
      <c r="J150" s="358" t="str">
        <f>IFERROR(VLOOKUP(I150,'Project Records_v2'!F:G, 2, FALSE), "")</f>
        <v/>
      </c>
      <c r="K150" s="143"/>
      <c r="L150" s="390"/>
      <c r="M150" s="419"/>
      <c r="N150" s="370"/>
      <c r="O150" s="370"/>
      <c r="P150" s="371"/>
      <c r="Q150" s="365"/>
    </row>
    <row r="151" ht="22.5" customHeight="1">
      <c r="A151" s="146"/>
      <c r="B151" s="413"/>
      <c r="C151" s="367"/>
      <c r="D151" s="420"/>
      <c r="E151" s="405"/>
      <c r="F151" s="404"/>
      <c r="G151" s="352" t="str">
        <f>IFERROR(VLOOKUP(D151,'Client ID Records_v2'!D:E, 2, FALSE), "")</f>
        <v/>
      </c>
      <c r="H151" s="368" t="str">
        <f>IFERROR(VLOOKUP(G151,'Client ID Records_v2'!E:F, 2, FALSE), "")</f>
        <v/>
      </c>
      <c r="I151" s="352" t="str">
        <f>IFERROR(VLOOKUP(D151,'Project Records_v2'!E:F, 2, FALSE), "")</f>
        <v/>
      </c>
      <c r="J151" s="358" t="str">
        <f>IFERROR(VLOOKUP(I151,'Project Records_v2'!F:G, 2, FALSE), "")</f>
        <v/>
      </c>
      <c r="K151" s="143"/>
      <c r="L151" s="390"/>
      <c r="M151" s="419"/>
      <c r="N151" s="370"/>
      <c r="O151" s="370"/>
      <c r="P151" s="371"/>
      <c r="Q151" s="365"/>
    </row>
    <row r="152" ht="22.5" customHeight="1">
      <c r="A152" s="146"/>
      <c r="B152" s="413"/>
      <c r="C152" s="367"/>
      <c r="D152" s="420"/>
      <c r="E152" s="405"/>
      <c r="F152" s="404"/>
      <c r="G152" s="352" t="str">
        <f>IFERROR(VLOOKUP(D152,'Client ID Records_v2'!D:E, 2, FALSE), "")</f>
        <v/>
      </c>
      <c r="H152" s="368" t="str">
        <f>IFERROR(VLOOKUP(G152,'Client ID Records_v2'!E:F, 2, FALSE), "")</f>
        <v/>
      </c>
      <c r="I152" s="352" t="str">
        <f>IFERROR(VLOOKUP(D152,'Project Records_v2'!E:F, 2, FALSE), "")</f>
        <v/>
      </c>
      <c r="J152" s="358" t="str">
        <f>IFERROR(VLOOKUP(I152,'Project Records_v2'!F:G, 2, FALSE), "")</f>
        <v/>
      </c>
      <c r="K152" s="143"/>
      <c r="L152" s="390"/>
      <c r="M152" s="419"/>
      <c r="N152" s="370"/>
      <c r="O152" s="370"/>
      <c r="P152" s="371"/>
      <c r="Q152" s="365"/>
    </row>
    <row r="153" ht="22.5" customHeight="1">
      <c r="A153" s="146"/>
      <c r="B153" s="413"/>
      <c r="C153" s="367"/>
      <c r="D153" s="420"/>
      <c r="E153" s="405"/>
      <c r="F153" s="404"/>
      <c r="G153" s="352" t="str">
        <f>IFERROR(VLOOKUP(D153,'Client ID Records_v2'!D:E, 2, FALSE), "")</f>
        <v/>
      </c>
      <c r="H153" s="368" t="str">
        <f>IFERROR(VLOOKUP(G153,'Client ID Records_v2'!E:F, 2, FALSE), "")</f>
        <v/>
      </c>
      <c r="I153" s="352" t="str">
        <f>IFERROR(VLOOKUP(D153,'Project Records_v2'!E:F, 2, FALSE), "")</f>
        <v/>
      </c>
      <c r="J153" s="358" t="str">
        <f>IFERROR(VLOOKUP(I153,'Project Records_v2'!F:G, 2, FALSE), "")</f>
        <v/>
      </c>
      <c r="K153" s="143"/>
      <c r="L153" s="390"/>
      <c r="M153" s="419"/>
      <c r="N153" s="370"/>
      <c r="O153" s="370"/>
      <c r="P153" s="371"/>
      <c r="Q153" s="365"/>
    </row>
    <row r="154" ht="22.5" customHeight="1">
      <c r="A154" s="146"/>
      <c r="B154" s="413"/>
      <c r="C154" s="367"/>
      <c r="D154" s="420"/>
      <c r="E154" s="405"/>
      <c r="F154" s="404"/>
      <c r="G154" s="352" t="str">
        <f>IFERROR(VLOOKUP(D154,'Client ID Records_v2'!D:E, 2, FALSE), "")</f>
        <v/>
      </c>
      <c r="H154" s="368" t="str">
        <f>IFERROR(VLOOKUP(G154,'Client ID Records_v2'!E:F, 2, FALSE), "")</f>
        <v/>
      </c>
      <c r="I154" s="352" t="str">
        <f>IFERROR(VLOOKUP(D154,'Project Records_v2'!E:F, 2, FALSE), "")</f>
        <v/>
      </c>
      <c r="J154" s="358" t="str">
        <f>IFERROR(VLOOKUP(I154,'Project Records_v2'!F:G, 2, FALSE), "")</f>
        <v/>
      </c>
      <c r="K154" s="143"/>
      <c r="L154" s="390"/>
      <c r="M154" s="419"/>
      <c r="N154" s="370"/>
      <c r="O154" s="370"/>
      <c r="P154" s="371"/>
      <c r="Q154" s="365"/>
    </row>
    <row r="155" ht="22.5" customHeight="1">
      <c r="A155" s="146"/>
      <c r="B155" s="413"/>
      <c r="C155" s="367"/>
      <c r="D155" s="420"/>
      <c r="E155" s="405"/>
      <c r="F155" s="404"/>
      <c r="G155" s="352" t="str">
        <f>IFERROR(VLOOKUP(D155,'Client ID Records_v2'!D:E, 2, FALSE), "")</f>
        <v/>
      </c>
      <c r="H155" s="368" t="str">
        <f>IFERROR(VLOOKUP(G155,'Client ID Records_v2'!E:F, 2, FALSE), "")</f>
        <v/>
      </c>
      <c r="I155" s="352" t="str">
        <f>IFERROR(VLOOKUP(D155,'Project Records_v2'!E:F, 2, FALSE), "")</f>
        <v/>
      </c>
      <c r="J155" s="358" t="str">
        <f>IFERROR(VLOOKUP(I155,'Project Records_v2'!F:G, 2, FALSE), "")</f>
        <v/>
      </c>
      <c r="K155" s="143"/>
      <c r="L155" s="390"/>
      <c r="M155" s="419"/>
      <c r="N155" s="370"/>
      <c r="O155" s="370"/>
      <c r="P155" s="371"/>
      <c r="Q155" s="365"/>
    </row>
    <row r="156" ht="22.5" customHeight="1">
      <c r="A156" s="146"/>
      <c r="B156" s="413"/>
      <c r="C156" s="367"/>
      <c r="D156" s="420"/>
      <c r="E156" s="405"/>
      <c r="F156" s="404"/>
      <c r="G156" s="352" t="str">
        <f>IFERROR(VLOOKUP(D156,'Client ID Records_v2'!D:E, 2, FALSE), "")</f>
        <v/>
      </c>
      <c r="H156" s="368" t="str">
        <f>IFERROR(VLOOKUP(G156,'Client ID Records_v2'!E:F, 2, FALSE), "")</f>
        <v/>
      </c>
      <c r="I156" s="352" t="str">
        <f>IFERROR(VLOOKUP(D156,'Project Records_v2'!E:F, 2, FALSE), "")</f>
        <v/>
      </c>
      <c r="J156" s="358" t="str">
        <f>IFERROR(VLOOKUP(I156,'Project Records_v2'!F:G, 2, FALSE), "")</f>
        <v/>
      </c>
      <c r="K156" s="143"/>
      <c r="L156" s="390"/>
      <c r="M156" s="419"/>
      <c r="N156" s="370"/>
      <c r="O156" s="370"/>
      <c r="P156" s="371"/>
      <c r="Q156" s="365"/>
    </row>
    <row r="157" ht="22.5" customHeight="1">
      <c r="A157" s="146"/>
      <c r="B157" s="413"/>
      <c r="C157" s="367"/>
      <c r="D157" s="420"/>
      <c r="E157" s="405"/>
      <c r="F157" s="404"/>
      <c r="G157" s="352" t="str">
        <f>IFERROR(VLOOKUP(D157,'Client ID Records_v2'!D:E, 2, FALSE), "")</f>
        <v/>
      </c>
      <c r="H157" s="368" t="str">
        <f>IFERROR(VLOOKUP(G157,'Client ID Records_v2'!E:F, 2, FALSE), "")</f>
        <v/>
      </c>
      <c r="I157" s="352" t="str">
        <f>IFERROR(VLOOKUP(D157,'Project Records_v2'!E:F, 2, FALSE), "")</f>
        <v/>
      </c>
      <c r="J157" s="358" t="str">
        <f>IFERROR(VLOOKUP(I157,'Project Records_v2'!F:G, 2, FALSE), "")</f>
        <v/>
      </c>
      <c r="K157" s="143"/>
      <c r="L157" s="390"/>
      <c r="M157" s="419"/>
      <c r="N157" s="370"/>
      <c r="O157" s="370"/>
      <c r="P157" s="371"/>
      <c r="Q157" s="365"/>
    </row>
    <row r="158" ht="22.5" customHeight="1">
      <c r="A158" s="146"/>
      <c r="B158" s="413"/>
      <c r="C158" s="367"/>
      <c r="D158" s="420"/>
      <c r="E158" s="405"/>
      <c r="F158" s="404"/>
      <c r="G158" s="352" t="str">
        <f>IFERROR(VLOOKUP(D158,'Client ID Records_v2'!D:E, 2, FALSE), "")</f>
        <v/>
      </c>
      <c r="H158" s="368" t="str">
        <f>IFERROR(VLOOKUP(G158,'Client ID Records_v2'!E:F, 2, FALSE), "")</f>
        <v/>
      </c>
      <c r="I158" s="352" t="str">
        <f>IFERROR(VLOOKUP(D158,'Project Records_v2'!E:F, 2, FALSE), "")</f>
        <v/>
      </c>
      <c r="J158" s="358" t="str">
        <f>IFERROR(VLOOKUP(I158,'Project Records_v2'!F:G, 2, FALSE), "")</f>
        <v/>
      </c>
      <c r="K158" s="143"/>
      <c r="L158" s="390"/>
      <c r="M158" s="419"/>
      <c r="N158" s="370"/>
      <c r="O158" s="370"/>
      <c r="P158" s="371"/>
      <c r="Q158" s="365"/>
    </row>
    <row r="159" ht="22.5" customHeight="1">
      <c r="A159" s="146"/>
      <c r="B159" s="413"/>
      <c r="C159" s="367"/>
      <c r="D159" s="420"/>
      <c r="E159" s="405"/>
      <c r="F159" s="404"/>
      <c r="G159" s="352" t="str">
        <f>IFERROR(VLOOKUP(D159,'Client ID Records_v2'!D:E, 2, FALSE), "")</f>
        <v/>
      </c>
      <c r="H159" s="368" t="str">
        <f>IFERROR(VLOOKUP(G159,'Client ID Records_v2'!E:F, 2, FALSE), "")</f>
        <v/>
      </c>
      <c r="I159" s="352" t="str">
        <f>IFERROR(VLOOKUP(D159,'Project Records_v2'!E:F, 2, FALSE), "")</f>
        <v/>
      </c>
      <c r="J159" s="358" t="str">
        <f>IFERROR(VLOOKUP(I159,'Project Records_v2'!F:G, 2, FALSE), "")</f>
        <v/>
      </c>
      <c r="K159" s="143"/>
      <c r="L159" s="390"/>
      <c r="M159" s="419"/>
      <c r="N159" s="370"/>
      <c r="O159" s="370"/>
      <c r="P159" s="371"/>
      <c r="Q159" s="365"/>
    </row>
    <row r="160" ht="22.5" customHeight="1">
      <c r="A160" s="146"/>
      <c r="B160" s="413"/>
      <c r="C160" s="367"/>
      <c r="D160" s="420"/>
      <c r="E160" s="405"/>
      <c r="F160" s="404"/>
      <c r="G160" s="352" t="str">
        <f>IFERROR(VLOOKUP(D160,'Client ID Records_v2'!D:E, 2, FALSE), "")</f>
        <v/>
      </c>
      <c r="H160" s="368" t="str">
        <f>IFERROR(VLOOKUP(G160,'Client ID Records_v2'!E:F, 2, FALSE), "")</f>
        <v/>
      </c>
      <c r="I160" s="352" t="str">
        <f>IFERROR(VLOOKUP(D160,'Project Records_v2'!E:F, 2, FALSE), "")</f>
        <v/>
      </c>
      <c r="J160" s="358" t="str">
        <f>IFERROR(VLOOKUP(I160,'Project Records_v2'!F:G, 2, FALSE), "")</f>
        <v/>
      </c>
      <c r="K160" s="143"/>
      <c r="L160" s="390"/>
      <c r="M160" s="419"/>
      <c r="N160" s="370"/>
      <c r="O160" s="370"/>
      <c r="P160" s="371"/>
      <c r="Q160" s="365"/>
    </row>
    <row r="161" ht="22.5" customHeight="1">
      <c r="A161" s="146"/>
      <c r="B161" s="413"/>
      <c r="C161" s="367"/>
      <c r="D161" s="420"/>
      <c r="E161" s="405"/>
      <c r="F161" s="404"/>
      <c r="G161" s="352" t="str">
        <f>IFERROR(VLOOKUP(D161,'Client ID Records_v2'!D:E, 2, FALSE), "")</f>
        <v/>
      </c>
      <c r="H161" s="368" t="str">
        <f>IFERROR(VLOOKUP(G161,'Client ID Records_v2'!E:F, 2, FALSE), "")</f>
        <v/>
      </c>
      <c r="I161" s="352" t="str">
        <f>IFERROR(VLOOKUP(D161,'Project Records_v2'!E:F, 2, FALSE), "")</f>
        <v/>
      </c>
      <c r="J161" s="358" t="str">
        <f>IFERROR(VLOOKUP(I161,'Project Records_v2'!F:G, 2, FALSE), "")</f>
        <v/>
      </c>
      <c r="K161" s="143"/>
      <c r="L161" s="390"/>
      <c r="M161" s="419"/>
      <c r="N161" s="370"/>
      <c r="O161" s="370"/>
      <c r="P161" s="371"/>
      <c r="Q161" s="365"/>
    </row>
    <row r="162" ht="22.5" customHeight="1">
      <c r="A162" s="146"/>
      <c r="B162" s="413"/>
      <c r="C162" s="367"/>
      <c r="D162" s="420"/>
      <c r="E162" s="405"/>
      <c r="F162" s="404"/>
      <c r="G162" s="352" t="str">
        <f>IFERROR(VLOOKUP(D162,'Client ID Records_v2'!D:E, 2, FALSE), "")</f>
        <v/>
      </c>
      <c r="H162" s="368" t="str">
        <f>IFERROR(VLOOKUP(G162,'Client ID Records_v2'!E:F, 2, FALSE), "")</f>
        <v/>
      </c>
      <c r="I162" s="352" t="str">
        <f>IFERROR(VLOOKUP(D162,'Project Records_v2'!E:F, 2, FALSE), "")</f>
        <v/>
      </c>
      <c r="J162" s="358" t="str">
        <f>IFERROR(VLOOKUP(I162,'Project Records_v2'!F:G, 2, FALSE), "")</f>
        <v/>
      </c>
      <c r="K162" s="143"/>
      <c r="L162" s="390"/>
      <c r="M162" s="419"/>
      <c r="N162" s="370"/>
      <c r="O162" s="370"/>
      <c r="P162" s="371"/>
      <c r="Q162" s="365"/>
    </row>
    <row r="163" ht="22.5" customHeight="1">
      <c r="A163" s="146"/>
      <c r="B163" s="413"/>
      <c r="C163" s="367"/>
      <c r="D163" s="420"/>
      <c r="E163" s="405"/>
      <c r="F163" s="404"/>
      <c r="G163" s="352" t="str">
        <f>IFERROR(VLOOKUP(D163,'Client ID Records_v2'!D:E, 2, FALSE), "")</f>
        <v/>
      </c>
      <c r="H163" s="368" t="str">
        <f>IFERROR(VLOOKUP(G163,'Client ID Records_v2'!E:F, 2, FALSE), "")</f>
        <v/>
      </c>
      <c r="I163" s="352" t="str">
        <f>IFERROR(VLOOKUP(D163,'Project Records_v2'!E:F, 2, FALSE), "")</f>
        <v/>
      </c>
      <c r="J163" s="358" t="str">
        <f>IFERROR(VLOOKUP(I163,'Project Records_v2'!F:G, 2, FALSE), "")</f>
        <v/>
      </c>
      <c r="K163" s="143"/>
      <c r="L163" s="390"/>
      <c r="M163" s="419"/>
      <c r="N163" s="370"/>
      <c r="O163" s="370"/>
      <c r="P163" s="371"/>
      <c r="Q163" s="365"/>
    </row>
    <row r="164" ht="22.5" customHeight="1">
      <c r="A164" s="146"/>
      <c r="B164" s="413"/>
      <c r="C164" s="367"/>
      <c r="D164" s="420"/>
      <c r="E164" s="405"/>
      <c r="F164" s="404"/>
      <c r="G164" s="352" t="str">
        <f>IFERROR(VLOOKUP(D164,'Client ID Records_v2'!D:E, 2, FALSE), "")</f>
        <v/>
      </c>
      <c r="H164" s="368" t="str">
        <f>IFERROR(VLOOKUP(G164,'Client ID Records_v2'!E:F, 2, FALSE), "")</f>
        <v/>
      </c>
      <c r="I164" s="352" t="str">
        <f>IFERROR(VLOOKUP(D164,'Project Records_v2'!E:F, 2, FALSE), "")</f>
        <v/>
      </c>
      <c r="J164" s="358" t="str">
        <f>IFERROR(VLOOKUP(I164,'Project Records_v2'!F:G, 2, FALSE), "")</f>
        <v/>
      </c>
      <c r="K164" s="143"/>
      <c r="L164" s="390"/>
      <c r="M164" s="419"/>
      <c r="N164" s="370"/>
      <c r="O164" s="370"/>
      <c r="P164" s="371"/>
      <c r="Q164" s="365"/>
    </row>
    <row r="165" ht="22.5" customHeight="1">
      <c r="A165" s="146"/>
      <c r="B165" s="413"/>
      <c r="C165" s="367"/>
      <c r="D165" s="420"/>
      <c r="E165" s="405"/>
      <c r="F165" s="404"/>
      <c r="G165" s="352" t="str">
        <f>IFERROR(VLOOKUP(D165,'Client ID Records_v2'!D:E, 2, FALSE), "")</f>
        <v/>
      </c>
      <c r="H165" s="368" t="str">
        <f>IFERROR(VLOOKUP(G165,'Client ID Records_v2'!E:F, 2, FALSE), "")</f>
        <v/>
      </c>
      <c r="I165" s="352" t="str">
        <f>IFERROR(VLOOKUP(D165,'Project Records_v2'!E:F, 2, FALSE), "")</f>
        <v/>
      </c>
      <c r="J165" s="358" t="str">
        <f>IFERROR(VLOOKUP(I165,'Project Records_v2'!F:G, 2, FALSE), "")</f>
        <v/>
      </c>
      <c r="K165" s="143"/>
      <c r="L165" s="390"/>
      <c r="M165" s="419"/>
      <c r="N165" s="370"/>
      <c r="O165" s="370"/>
      <c r="P165" s="371"/>
      <c r="Q165" s="365"/>
    </row>
    <row r="166" ht="22.5" customHeight="1">
      <c r="A166" s="146"/>
      <c r="B166" s="413"/>
      <c r="C166" s="367"/>
      <c r="D166" s="420"/>
      <c r="E166" s="405"/>
      <c r="F166" s="404"/>
      <c r="G166" s="352" t="str">
        <f>IFERROR(VLOOKUP(D166,'Client ID Records_v2'!D:E, 2, FALSE), "")</f>
        <v/>
      </c>
      <c r="H166" s="368" t="str">
        <f>IFERROR(VLOOKUP(G166,'Client ID Records_v2'!E:F, 2, FALSE), "")</f>
        <v/>
      </c>
      <c r="I166" s="352" t="str">
        <f>IFERROR(VLOOKUP(D166,'Project Records_v2'!E:F, 2, FALSE), "")</f>
        <v/>
      </c>
      <c r="J166" s="358" t="str">
        <f>IFERROR(VLOOKUP(I166,'Project Records_v2'!F:G, 2, FALSE), "")</f>
        <v/>
      </c>
      <c r="K166" s="143"/>
      <c r="L166" s="390"/>
      <c r="M166" s="419"/>
      <c r="N166" s="370"/>
      <c r="O166" s="370"/>
      <c r="P166" s="371"/>
      <c r="Q166" s="365"/>
    </row>
    <row r="167" ht="22.5" customHeight="1">
      <c r="A167" s="146"/>
      <c r="B167" s="413"/>
      <c r="C167" s="367"/>
      <c r="D167" s="420"/>
      <c r="E167" s="405"/>
      <c r="F167" s="404"/>
      <c r="G167" s="352" t="str">
        <f>IFERROR(VLOOKUP(D167,'Client ID Records_v2'!D:E, 2, FALSE), "")</f>
        <v/>
      </c>
      <c r="H167" s="368" t="str">
        <f>IFERROR(VLOOKUP(G167,'Client ID Records_v2'!E:F, 2, FALSE), "")</f>
        <v/>
      </c>
      <c r="I167" s="352" t="str">
        <f>IFERROR(VLOOKUP(D167,'Project Records_v2'!E:F, 2, FALSE), "")</f>
        <v/>
      </c>
      <c r="J167" s="358" t="str">
        <f>IFERROR(VLOOKUP(I167,'Project Records_v2'!F:G, 2, FALSE), "")</f>
        <v/>
      </c>
      <c r="K167" s="143"/>
      <c r="L167" s="390"/>
      <c r="M167" s="419"/>
      <c r="N167" s="370"/>
      <c r="O167" s="370"/>
      <c r="P167" s="371"/>
      <c r="Q167" s="365"/>
    </row>
    <row r="168" ht="22.5" customHeight="1">
      <c r="A168" s="146"/>
      <c r="B168" s="413"/>
      <c r="C168" s="367"/>
      <c r="D168" s="420"/>
      <c r="E168" s="405"/>
      <c r="F168" s="404"/>
      <c r="G168" s="352" t="str">
        <f>IFERROR(VLOOKUP(D168,'Client ID Records_v2'!D:E, 2, FALSE), "")</f>
        <v/>
      </c>
      <c r="H168" s="368" t="str">
        <f>IFERROR(VLOOKUP(G168,'Client ID Records_v2'!E:F, 2, FALSE), "")</f>
        <v/>
      </c>
      <c r="I168" s="352" t="str">
        <f>IFERROR(VLOOKUP(D168,'Project Records_v2'!E:F, 2, FALSE), "")</f>
        <v/>
      </c>
      <c r="J168" s="358" t="str">
        <f>IFERROR(VLOOKUP(I168,'Project Records_v2'!F:G, 2, FALSE), "")</f>
        <v/>
      </c>
      <c r="K168" s="143"/>
      <c r="L168" s="390"/>
      <c r="M168" s="419"/>
      <c r="N168" s="370"/>
      <c r="O168" s="370"/>
      <c r="P168" s="371"/>
      <c r="Q168" s="365"/>
    </row>
    <row r="169" ht="22.5" customHeight="1">
      <c r="A169" s="146"/>
      <c r="B169" s="413"/>
      <c r="C169" s="367"/>
      <c r="D169" s="420"/>
      <c r="E169" s="405"/>
      <c r="F169" s="404"/>
      <c r="G169" s="352" t="str">
        <f>IFERROR(VLOOKUP(D169,'Client ID Records_v2'!D:E, 2, FALSE), "")</f>
        <v/>
      </c>
      <c r="H169" s="368" t="str">
        <f>IFERROR(VLOOKUP(G169,'Client ID Records_v2'!E:F, 2, FALSE), "")</f>
        <v/>
      </c>
      <c r="I169" s="352" t="str">
        <f>IFERROR(VLOOKUP(D169,'Project Records_v2'!E:F, 2, FALSE), "")</f>
        <v/>
      </c>
      <c r="J169" s="358" t="str">
        <f>IFERROR(VLOOKUP(I169,'Project Records_v2'!F:G, 2, FALSE), "")</f>
        <v/>
      </c>
      <c r="K169" s="143"/>
      <c r="L169" s="390"/>
      <c r="M169" s="419"/>
      <c r="N169" s="370"/>
      <c r="O169" s="370"/>
      <c r="P169" s="371"/>
      <c r="Q169" s="365"/>
    </row>
    <row r="170" ht="22.5" customHeight="1">
      <c r="A170" s="146"/>
      <c r="B170" s="413"/>
      <c r="C170" s="367"/>
      <c r="D170" s="420"/>
      <c r="E170" s="405"/>
      <c r="F170" s="404"/>
      <c r="G170" s="352" t="str">
        <f>IFERROR(VLOOKUP(D170,'Client ID Records_v2'!D:E, 2, FALSE), "")</f>
        <v/>
      </c>
      <c r="H170" s="368" t="str">
        <f>IFERROR(VLOOKUP(G170,'Client ID Records_v2'!E:F, 2, FALSE), "")</f>
        <v/>
      </c>
      <c r="I170" s="352" t="str">
        <f>IFERROR(VLOOKUP(D170,'Project Records_v2'!E:F, 2, FALSE), "")</f>
        <v/>
      </c>
      <c r="J170" s="358" t="str">
        <f>IFERROR(VLOOKUP(I170,'Project Records_v2'!F:G, 2, FALSE), "")</f>
        <v/>
      </c>
      <c r="K170" s="143"/>
      <c r="L170" s="390"/>
      <c r="M170" s="419"/>
      <c r="N170" s="370"/>
      <c r="O170" s="370"/>
      <c r="P170" s="371"/>
      <c r="Q170" s="365"/>
    </row>
    <row r="171" ht="22.5" customHeight="1">
      <c r="A171" s="146"/>
      <c r="B171" s="413"/>
      <c r="C171" s="367"/>
      <c r="D171" s="420"/>
      <c r="E171" s="405"/>
      <c r="F171" s="404"/>
      <c r="G171" s="352" t="str">
        <f>IFERROR(VLOOKUP(D171,'Client ID Records_v2'!D:E, 2, FALSE), "")</f>
        <v/>
      </c>
      <c r="H171" s="368" t="str">
        <f>IFERROR(VLOOKUP(G171,'Client ID Records_v2'!E:F, 2, FALSE), "")</f>
        <v/>
      </c>
      <c r="I171" s="352" t="str">
        <f>IFERROR(VLOOKUP(D171,'Project Records_v2'!E:F, 2, FALSE), "")</f>
        <v/>
      </c>
      <c r="J171" s="358" t="str">
        <f>IFERROR(VLOOKUP(I171,'Project Records_v2'!F:G, 2, FALSE), "")</f>
        <v/>
      </c>
      <c r="K171" s="143"/>
      <c r="L171" s="390"/>
      <c r="M171" s="419"/>
      <c r="N171" s="370"/>
      <c r="O171" s="370"/>
      <c r="P171" s="371"/>
      <c r="Q171" s="365"/>
    </row>
    <row r="172" ht="22.5" customHeight="1">
      <c r="A172" s="146"/>
      <c r="B172" s="413"/>
      <c r="C172" s="367"/>
      <c r="D172" s="420"/>
      <c r="E172" s="405"/>
      <c r="F172" s="404"/>
      <c r="G172" s="352" t="str">
        <f>IFERROR(VLOOKUP(D172,'Client ID Records_v2'!D:E, 2, FALSE), "")</f>
        <v/>
      </c>
      <c r="H172" s="368" t="str">
        <f>IFERROR(VLOOKUP(G172,'Client ID Records_v2'!E:F, 2, FALSE), "")</f>
        <v/>
      </c>
      <c r="I172" s="352" t="str">
        <f>IFERROR(VLOOKUP(D172,'Project Records_v2'!E:F, 2, FALSE), "")</f>
        <v/>
      </c>
      <c r="J172" s="358" t="str">
        <f>IFERROR(VLOOKUP(I172,'Project Records_v2'!F:G, 2, FALSE), "")</f>
        <v/>
      </c>
      <c r="K172" s="143"/>
      <c r="L172" s="390"/>
      <c r="M172" s="419"/>
      <c r="N172" s="370"/>
      <c r="O172" s="370"/>
      <c r="P172" s="371"/>
      <c r="Q172" s="365"/>
    </row>
    <row r="173" ht="22.5" customHeight="1">
      <c r="A173" s="146"/>
      <c r="B173" s="413"/>
      <c r="C173" s="367"/>
      <c r="D173" s="420"/>
      <c r="E173" s="405"/>
      <c r="F173" s="404"/>
      <c r="G173" s="352" t="str">
        <f>IFERROR(VLOOKUP(D173,'Client ID Records_v2'!D:E, 2, FALSE), "")</f>
        <v/>
      </c>
      <c r="H173" s="368" t="str">
        <f>IFERROR(VLOOKUP(G173,'Client ID Records_v2'!E:F, 2, FALSE), "")</f>
        <v/>
      </c>
      <c r="I173" s="352" t="str">
        <f>IFERROR(VLOOKUP(D173,'Project Records_v2'!E:F, 2, FALSE), "")</f>
        <v/>
      </c>
      <c r="J173" s="358" t="str">
        <f>IFERROR(VLOOKUP(I173,'Project Records_v2'!F:G, 2, FALSE), "")</f>
        <v/>
      </c>
      <c r="K173" s="143"/>
      <c r="L173" s="390"/>
      <c r="M173" s="419"/>
      <c r="N173" s="370"/>
      <c r="O173" s="370"/>
      <c r="P173" s="371"/>
      <c r="Q173" s="365"/>
    </row>
    <row r="174" ht="22.5" customHeight="1">
      <c r="A174" s="146"/>
      <c r="B174" s="413"/>
      <c r="C174" s="367"/>
      <c r="D174" s="420"/>
      <c r="E174" s="405"/>
      <c r="F174" s="404"/>
      <c r="G174" s="352" t="str">
        <f>IFERROR(VLOOKUP(D174,'Client ID Records_v2'!D:E, 2, FALSE), "")</f>
        <v/>
      </c>
      <c r="H174" s="368" t="str">
        <f>IFERROR(VLOOKUP(G174,'Client ID Records_v2'!E:F, 2, FALSE), "")</f>
        <v/>
      </c>
      <c r="I174" s="352" t="str">
        <f>IFERROR(VLOOKUP(D174,'Project Records_v2'!E:F, 2, FALSE), "")</f>
        <v/>
      </c>
      <c r="J174" s="358" t="str">
        <f>IFERROR(VLOOKUP(I174,'Project Records_v2'!F:G, 2, FALSE), "")</f>
        <v/>
      </c>
      <c r="K174" s="143"/>
      <c r="L174" s="390"/>
      <c r="M174" s="419"/>
      <c r="N174" s="370"/>
      <c r="O174" s="370"/>
      <c r="P174" s="371"/>
      <c r="Q174" s="365"/>
    </row>
    <row r="175" ht="22.5" customHeight="1">
      <c r="A175" s="146"/>
      <c r="B175" s="413"/>
      <c r="C175" s="367"/>
      <c r="D175" s="420"/>
      <c r="E175" s="405"/>
      <c r="F175" s="404"/>
      <c r="G175" s="352" t="str">
        <f>IFERROR(VLOOKUP(D175,'Client ID Records_v2'!D:E, 2, FALSE), "")</f>
        <v/>
      </c>
      <c r="H175" s="368" t="str">
        <f>IFERROR(VLOOKUP(G175,'Client ID Records_v2'!E:F, 2, FALSE), "")</f>
        <v/>
      </c>
      <c r="I175" s="352" t="str">
        <f>IFERROR(VLOOKUP(D175,'Project Records_v2'!E:F, 2, FALSE), "")</f>
        <v/>
      </c>
      <c r="J175" s="358" t="str">
        <f>IFERROR(VLOOKUP(I175,'Project Records_v2'!F:G, 2, FALSE), "")</f>
        <v/>
      </c>
      <c r="K175" s="143"/>
      <c r="L175" s="390"/>
      <c r="M175" s="419"/>
      <c r="N175" s="370"/>
      <c r="O175" s="370"/>
      <c r="P175" s="371"/>
      <c r="Q175" s="365"/>
    </row>
    <row r="176" ht="22.5" customHeight="1">
      <c r="A176" s="146"/>
      <c r="B176" s="413"/>
      <c r="C176" s="367"/>
      <c r="D176" s="420"/>
      <c r="E176" s="405"/>
      <c r="F176" s="404"/>
      <c r="G176" s="352" t="str">
        <f>IFERROR(VLOOKUP(D176,'Client ID Records_v2'!D:E, 2, FALSE), "")</f>
        <v/>
      </c>
      <c r="H176" s="368" t="str">
        <f>IFERROR(VLOOKUP(G176,'Client ID Records_v2'!E:F, 2, FALSE), "")</f>
        <v/>
      </c>
      <c r="I176" s="352" t="str">
        <f>IFERROR(VLOOKUP(D176,'Project Records_v2'!E:F, 2, FALSE), "")</f>
        <v/>
      </c>
      <c r="J176" s="358" t="str">
        <f>IFERROR(VLOOKUP(I176,'Project Records_v2'!F:G, 2, FALSE), "")</f>
        <v/>
      </c>
      <c r="K176" s="143"/>
      <c r="L176" s="390"/>
      <c r="M176" s="419"/>
      <c r="N176" s="370"/>
      <c r="O176" s="370"/>
      <c r="P176" s="371"/>
      <c r="Q176" s="365"/>
    </row>
    <row r="177" ht="22.5" customHeight="1">
      <c r="A177" s="146"/>
      <c r="B177" s="413"/>
      <c r="C177" s="367"/>
      <c r="D177" s="420"/>
      <c r="E177" s="405"/>
      <c r="F177" s="404"/>
      <c r="G177" s="352" t="str">
        <f>IFERROR(VLOOKUP(D177,'Client ID Records_v2'!D:E, 2, FALSE), "")</f>
        <v/>
      </c>
      <c r="H177" s="368" t="str">
        <f>IFERROR(VLOOKUP(G177,'Client ID Records_v2'!E:F, 2, FALSE), "")</f>
        <v/>
      </c>
      <c r="I177" s="352" t="str">
        <f>IFERROR(VLOOKUP(D177,'Project Records_v2'!E:F, 2, FALSE), "")</f>
        <v/>
      </c>
      <c r="J177" s="358" t="str">
        <f>IFERROR(VLOOKUP(I177,'Project Records_v2'!F:G, 2, FALSE), "")</f>
        <v/>
      </c>
      <c r="K177" s="143"/>
      <c r="L177" s="390"/>
      <c r="M177" s="419"/>
      <c r="N177" s="370"/>
      <c r="O177" s="370"/>
      <c r="P177" s="371"/>
      <c r="Q177" s="365"/>
    </row>
    <row r="178" ht="22.5" customHeight="1">
      <c r="A178" s="146"/>
      <c r="B178" s="413"/>
      <c r="C178" s="367"/>
      <c r="D178" s="420"/>
      <c r="E178" s="405"/>
      <c r="F178" s="404"/>
      <c r="G178" s="352" t="str">
        <f>IFERROR(VLOOKUP(D178,'Client ID Records_v2'!D:E, 2, FALSE), "")</f>
        <v/>
      </c>
      <c r="H178" s="368" t="str">
        <f>IFERROR(VLOOKUP(G178,'Client ID Records_v2'!E:F, 2, FALSE), "")</f>
        <v/>
      </c>
      <c r="I178" s="352" t="str">
        <f>IFERROR(VLOOKUP(D178,'Project Records_v2'!E:F, 2, FALSE), "")</f>
        <v/>
      </c>
      <c r="J178" s="358" t="str">
        <f>IFERROR(VLOOKUP(I178,'Project Records_v2'!F:G, 2, FALSE), "")</f>
        <v/>
      </c>
      <c r="K178" s="143"/>
      <c r="L178" s="390"/>
      <c r="M178" s="419"/>
      <c r="N178" s="370"/>
      <c r="O178" s="370"/>
      <c r="P178" s="371"/>
      <c r="Q178" s="365"/>
    </row>
    <row r="179" ht="22.5" customHeight="1">
      <c r="A179" s="146"/>
      <c r="B179" s="413"/>
      <c r="C179" s="367"/>
      <c r="D179" s="420"/>
      <c r="E179" s="405"/>
      <c r="F179" s="404"/>
      <c r="G179" s="352" t="str">
        <f>IFERROR(VLOOKUP(D179,'Client ID Records_v2'!D:E, 2, FALSE), "")</f>
        <v/>
      </c>
      <c r="H179" s="368" t="str">
        <f>IFERROR(VLOOKUP(G179,'Client ID Records_v2'!E:F, 2, FALSE), "")</f>
        <v/>
      </c>
      <c r="I179" s="352" t="str">
        <f>IFERROR(VLOOKUP(D179,'Project Records_v2'!E:F, 2, FALSE), "")</f>
        <v/>
      </c>
      <c r="J179" s="358" t="str">
        <f>IFERROR(VLOOKUP(I179,'Project Records_v2'!F:G, 2, FALSE), "")</f>
        <v/>
      </c>
      <c r="K179" s="143"/>
      <c r="L179" s="390"/>
      <c r="M179" s="419"/>
      <c r="N179" s="370"/>
      <c r="O179" s="370"/>
      <c r="P179" s="371"/>
      <c r="Q179" s="365"/>
    </row>
    <row r="180" ht="22.5" customHeight="1">
      <c r="A180" s="146"/>
      <c r="B180" s="413"/>
      <c r="C180" s="367"/>
      <c r="D180" s="420"/>
      <c r="E180" s="405"/>
      <c r="F180" s="404"/>
      <c r="G180" s="352" t="str">
        <f>IFERROR(VLOOKUP(D180,'Client ID Records_v2'!D:E, 2, FALSE), "")</f>
        <v/>
      </c>
      <c r="H180" s="368" t="str">
        <f>IFERROR(VLOOKUP(G180,'Client ID Records_v2'!E:F, 2, FALSE), "")</f>
        <v/>
      </c>
      <c r="I180" s="352" t="str">
        <f>IFERROR(VLOOKUP(D180,'Project Records_v2'!E:F, 2, FALSE), "")</f>
        <v/>
      </c>
      <c r="J180" s="358" t="str">
        <f>IFERROR(VLOOKUP(I180,'Project Records_v2'!F:G, 2, FALSE), "")</f>
        <v/>
      </c>
      <c r="K180" s="143"/>
      <c r="L180" s="390"/>
      <c r="M180" s="419"/>
      <c r="N180" s="370"/>
      <c r="O180" s="370"/>
      <c r="P180" s="371"/>
      <c r="Q180" s="365"/>
    </row>
    <row r="181" ht="22.5" customHeight="1">
      <c r="A181" s="146"/>
      <c r="B181" s="413"/>
      <c r="C181" s="367"/>
      <c r="D181" s="420"/>
      <c r="E181" s="405"/>
      <c r="F181" s="404"/>
      <c r="G181" s="352" t="str">
        <f>IFERROR(VLOOKUP(D181,'Client ID Records_v2'!D:E, 2, FALSE), "")</f>
        <v/>
      </c>
      <c r="H181" s="368" t="str">
        <f>IFERROR(VLOOKUP(G181,'Client ID Records_v2'!E:F, 2, FALSE), "")</f>
        <v/>
      </c>
      <c r="I181" s="352" t="str">
        <f>IFERROR(VLOOKUP(D181,'Project Records_v2'!E:F, 2, FALSE), "")</f>
        <v/>
      </c>
      <c r="J181" s="358" t="str">
        <f>IFERROR(VLOOKUP(I181,'Project Records_v2'!F:G, 2, FALSE), "")</f>
        <v/>
      </c>
      <c r="K181" s="143"/>
      <c r="L181" s="390"/>
      <c r="M181" s="419"/>
      <c r="N181" s="370"/>
      <c r="O181" s="370"/>
      <c r="P181" s="371"/>
      <c r="Q181" s="365"/>
    </row>
    <row r="182" ht="22.5" customHeight="1">
      <c r="A182" s="146"/>
      <c r="B182" s="413"/>
      <c r="C182" s="367"/>
      <c r="D182" s="420"/>
      <c r="E182" s="405"/>
      <c r="F182" s="404"/>
      <c r="G182" s="352" t="str">
        <f>IFERROR(VLOOKUP(D182,'Client ID Records_v2'!D:E, 2, FALSE), "")</f>
        <v/>
      </c>
      <c r="H182" s="368" t="str">
        <f>IFERROR(VLOOKUP(G182,'Client ID Records_v2'!E:F, 2, FALSE), "")</f>
        <v/>
      </c>
      <c r="I182" s="352" t="str">
        <f>IFERROR(VLOOKUP(D182,'Project Records_v2'!E:F, 2, FALSE), "")</f>
        <v/>
      </c>
      <c r="J182" s="358" t="str">
        <f>IFERROR(VLOOKUP(I182,'Project Records_v2'!F:G, 2, FALSE), "")</f>
        <v/>
      </c>
      <c r="K182" s="143"/>
      <c r="L182" s="390"/>
      <c r="M182" s="419"/>
      <c r="N182" s="370"/>
      <c r="O182" s="370"/>
      <c r="P182" s="371"/>
      <c r="Q182" s="365"/>
    </row>
    <row r="183" ht="22.5" customHeight="1">
      <c r="A183" s="146"/>
      <c r="B183" s="413"/>
      <c r="C183" s="367"/>
      <c r="D183" s="420"/>
      <c r="E183" s="405"/>
      <c r="F183" s="404"/>
      <c r="G183" s="352" t="str">
        <f>IFERROR(VLOOKUP(D183,'Client ID Records_v2'!D:E, 2, FALSE), "")</f>
        <v/>
      </c>
      <c r="H183" s="368" t="str">
        <f>IFERROR(VLOOKUP(G183,'Client ID Records_v2'!E:F, 2, FALSE), "")</f>
        <v/>
      </c>
      <c r="I183" s="352" t="str">
        <f>IFERROR(VLOOKUP(D183,'Project Records_v2'!E:F, 2, FALSE), "")</f>
        <v/>
      </c>
      <c r="J183" s="358" t="str">
        <f>IFERROR(VLOOKUP(I183,'Project Records_v2'!F:G, 2, FALSE), "")</f>
        <v/>
      </c>
      <c r="K183" s="143"/>
      <c r="L183" s="390"/>
      <c r="M183" s="419"/>
      <c r="N183" s="370"/>
      <c r="O183" s="370"/>
      <c r="P183" s="371"/>
      <c r="Q183" s="365"/>
    </row>
    <row r="184" ht="22.5" customHeight="1">
      <c r="A184" s="146"/>
      <c r="B184" s="413"/>
      <c r="C184" s="367"/>
      <c r="D184" s="420"/>
      <c r="E184" s="405"/>
      <c r="F184" s="404"/>
      <c r="G184" s="352" t="str">
        <f>IFERROR(VLOOKUP(D184,'Client ID Records_v2'!D:E, 2, FALSE), "")</f>
        <v/>
      </c>
      <c r="H184" s="368" t="str">
        <f>IFERROR(VLOOKUP(G184,'Client ID Records_v2'!E:F, 2, FALSE), "")</f>
        <v/>
      </c>
      <c r="I184" s="352" t="str">
        <f>IFERROR(VLOOKUP(D184,'Project Records_v2'!E:F, 2, FALSE), "")</f>
        <v/>
      </c>
      <c r="J184" s="358" t="str">
        <f>IFERROR(VLOOKUP(I184,'Project Records_v2'!F:G, 2, FALSE), "")</f>
        <v/>
      </c>
      <c r="K184" s="143"/>
      <c r="L184" s="390"/>
      <c r="M184" s="419"/>
      <c r="N184" s="370"/>
      <c r="O184" s="370"/>
      <c r="P184" s="371"/>
      <c r="Q184" s="365"/>
    </row>
    <row r="185" ht="22.5" customHeight="1">
      <c r="A185" s="146"/>
      <c r="B185" s="413"/>
      <c r="C185" s="367"/>
      <c r="D185" s="420"/>
      <c r="E185" s="405"/>
      <c r="F185" s="404"/>
      <c r="G185" s="352" t="str">
        <f>IFERROR(VLOOKUP(D185,'Client ID Records_v2'!D:E, 2, FALSE), "")</f>
        <v/>
      </c>
      <c r="H185" s="368" t="str">
        <f>IFERROR(VLOOKUP(G185,'Client ID Records_v2'!E:F, 2, FALSE), "")</f>
        <v/>
      </c>
      <c r="I185" s="352" t="str">
        <f>IFERROR(VLOOKUP(D185,'Project Records_v2'!E:F, 2, FALSE), "")</f>
        <v/>
      </c>
      <c r="J185" s="358" t="str">
        <f>IFERROR(VLOOKUP(I185,'Project Records_v2'!F:G, 2, FALSE), "")</f>
        <v/>
      </c>
      <c r="K185" s="143"/>
      <c r="L185" s="390"/>
      <c r="M185" s="419"/>
      <c r="N185" s="370"/>
      <c r="O185" s="370"/>
      <c r="P185" s="371"/>
      <c r="Q185" s="365"/>
    </row>
    <row r="186" ht="22.5" customHeight="1">
      <c r="A186" s="146"/>
      <c r="B186" s="413"/>
      <c r="C186" s="367"/>
      <c r="D186" s="420"/>
      <c r="E186" s="405"/>
      <c r="F186" s="404"/>
      <c r="G186" s="352" t="str">
        <f>IFERROR(VLOOKUP(D186,'Client ID Records_v2'!D:E, 2, FALSE), "")</f>
        <v/>
      </c>
      <c r="H186" s="368" t="str">
        <f>IFERROR(VLOOKUP(G186,'Client ID Records_v2'!E:F, 2, FALSE), "")</f>
        <v/>
      </c>
      <c r="I186" s="352" t="str">
        <f>IFERROR(VLOOKUP(D186,'Project Records_v2'!E:F, 2, FALSE), "")</f>
        <v/>
      </c>
      <c r="J186" s="358" t="str">
        <f>IFERROR(VLOOKUP(I186,'Project Records_v2'!F:G, 2, FALSE), "")</f>
        <v/>
      </c>
      <c r="K186" s="143"/>
      <c r="L186" s="390"/>
      <c r="M186" s="419"/>
      <c r="N186" s="370"/>
      <c r="O186" s="370"/>
      <c r="P186" s="371"/>
      <c r="Q186" s="365"/>
    </row>
    <row r="187" ht="22.5" customHeight="1">
      <c r="A187" s="146"/>
      <c r="B187" s="413"/>
      <c r="C187" s="367"/>
      <c r="D187" s="420"/>
      <c r="E187" s="405"/>
      <c r="F187" s="404"/>
      <c r="G187" s="352" t="str">
        <f>IFERROR(VLOOKUP(D187,'Client ID Records_v2'!D:E, 2, FALSE), "")</f>
        <v/>
      </c>
      <c r="H187" s="368" t="str">
        <f>IFERROR(VLOOKUP(G187,'Client ID Records_v2'!E:F, 2, FALSE), "")</f>
        <v/>
      </c>
      <c r="I187" s="352" t="str">
        <f>IFERROR(VLOOKUP(D187,'Project Records_v2'!E:F, 2, FALSE), "")</f>
        <v/>
      </c>
      <c r="J187" s="358" t="str">
        <f>IFERROR(VLOOKUP(I187,'Project Records_v2'!F:G, 2, FALSE), "")</f>
        <v/>
      </c>
      <c r="K187" s="143"/>
      <c r="L187" s="390"/>
      <c r="M187" s="419"/>
      <c r="N187" s="370"/>
      <c r="O187" s="370"/>
      <c r="P187" s="371"/>
      <c r="Q187" s="365"/>
    </row>
    <row r="188" ht="22.5" customHeight="1">
      <c r="A188" s="146"/>
      <c r="B188" s="413"/>
      <c r="C188" s="367"/>
      <c r="D188" s="420"/>
      <c r="E188" s="405"/>
      <c r="F188" s="404"/>
      <c r="G188" s="352" t="str">
        <f>IFERROR(VLOOKUP(D188,'Client ID Records_v2'!D:E, 2, FALSE), "")</f>
        <v/>
      </c>
      <c r="H188" s="368" t="str">
        <f>IFERROR(VLOOKUP(G188,'Client ID Records_v2'!E:F, 2, FALSE), "")</f>
        <v/>
      </c>
      <c r="I188" s="352" t="str">
        <f>IFERROR(VLOOKUP(D188,'Project Records_v2'!E:F, 2, FALSE), "")</f>
        <v/>
      </c>
      <c r="J188" s="358" t="str">
        <f>IFERROR(VLOOKUP(I188,'Project Records_v2'!F:G, 2, FALSE), "")</f>
        <v/>
      </c>
      <c r="K188" s="143"/>
      <c r="L188" s="390"/>
      <c r="M188" s="419"/>
      <c r="N188" s="370"/>
      <c r="O188" s="370"/>
      <c r="P188" s="371"/>
      <c r="Q188" s="365"/>
    </row>
    <row r="189" ht="22.5" customHeight="1">
      <c r="A189" s="146"/>
      <c r="B189" s="413"/>
      <c r="C189" s="367"/>
      <c r="D189" s="420"/>
      <c r="E189" s="405"/>
      <c r="F189" s="404"/>
      <c r="G189" s="352" t="str">
        <f>IFERROR(VLOOKUP(D189,'Client ID Records_v2'!D:E, 2, FALSE), "")</f>
        <v/>
      </c>
      <c r="H189" s="368" t="str">
        <f>IFERROR(VLOOKUP(G189,'Client ID Records_v2'!E:F, 2, FALSE), "")</f>
        <v/>
      </c>
      <c r="I189" s="352" t="str">
        <f>IFERROR(VLOOKUP(D189,'Project Records_v2'!E:F, 2, FALSE), "")</f>
        <v/>
      </c>
      <c r="J189" s="358" t="str">
        <f>IFERROR(VLOOKUP(I189,'Project Records_v2'!F:G, 2, FALSE), "")</f>
        <v/>
      </c>
      <c r="K189" s="143"/>
      <c r="L189" s="390"/>
      <c r="M189" s="419"/>
      <c r="N189" s="370"/>
      <c r="O189" s="370"/>
      <c r="P189" s="371"/>
      <c r="Q189" s="365"/>
    </row>
    <row r="190" ht="22.5" customHeight="1">
      <c r="A190" s="146"/>
      <c r="B190" s="413"/>
      <c r="C190" s="367"/>
      <c r="D190" s="420"/>
      <c r="E190" s="405"/>
      <c r="F190" s="404"/>
      <c r="G190" s="352" t="str">
        <f>IFERROR(VLOOKUP(D190,'Client ID Records_v2'!D:E, 2, FALSE), "")</f>
        <v/>
      </c>
      <c r="H190" s="368" t="str">
        <f>IFERROR(VLOOKUP(G190,'Client ID Records_v2'!E:F, 2, FALSE), "")</f>
        <v/>
      </c>
      <c r="I190" s="352" t="str">
        <f>IFERROR(VLOOKUP(D190,'Project Records_v2'!E:F, 2, FALSE), "")</f>
        <v/>
      </c>
      <c r="J190" s="358" t="str">
        <f>IFERROR(VLOOKUP(I190,'Project Records_v2'!F:G, 2, FALSE), "")</f>
        <v/>
      </c>
      <c r="K190" s="143"/>
      <c r="L190" s="390"/>
      <c r="M190" s="419"/>
      <c r="N190" s="370"/>
      <c r="O190" s="370"/>
      <c r="P190" s="371"/>
      <c r="Q190" s="365"/>
    </row>
    <row r="191" ht="22.5" customHeight="1">
      <c r="A191" s="146"/>
      <c r="B191" s="413"/>
      <c r="C191" s="367"/>
      <c r="D191" s="420"/>
      <c r="E191" s="405"/>
      <c r="F191" s="404"/>
      <c r="G191" s="352" t="str">
        <f>IFERROR(VLOOKUP(D191,'Client ID Records_v2'!D:E, 2, FALSE), "")</f>
        <v/>
      </c>
      <c r="H191" s="368" t="str">
        <f>IFERROR(VLOOKUP(G191,'Client ID Records_v2'!E:F, 2, FALSE), "")</f>
        <v/>
      </c>
      <c r="I191" s="352" t="str">
        <f>IFERROR(VLOOKUP(D191,'Project Records_v2'!E:F, 2, FALSE), "")</f>
        <v/>
      </c>
      <c r="J191" s="358" t="str">
        <f>IFERROR(VLOOKUP(I191,'Project Records_v2'!F:G, 2, FALSE), "")</f>
        <v/>
      </c>
      <c r="K191" s="143"/>
      <c r="L191" s="390"/>
      <c r="M191" s="419"/>
      <c r="N191" s="370"/>
      <c r="O191" s="370"/>
      <c r="P191" s="371"/>
      <c r="Q191" s="365"/>
    </row>
    <row r="192" ht="22.5" customHeight="1">
      <c r="A192" s="146"/>
      <c r="B192" s="413"/>
      <c r="C192" s="367"/>
      <c r="D192" s="420"/>
      <c r="E192" s="405"/>
      <c r="F192" s="404"/>
      <c r="G192" s="352" t="str">
        <f>IFERROR(VLOOKUP(D192,'Client ID Records_v2'!D:E, 2, FALSE), "")</f>
        <v/>
      </c>
      <c r="H192" s="368" t="str">
        <f>IFERROR(VLOOKUP(G192,'Client ID Records_v2'!E:F, 2, FALSE), "")</f>
        <v/>
      </c>
      <c r="I192" s="352" t="str">
        <f>IFERROR(VLOOKUP(D192,'Project Records_v2'!E:F, 2, FALSE), "")</f>
        <v/>
      </c>
      <c r="J192" s="358" t="str">
        <f>IFERROR(VLOOKUP(I192,'Project Records_v2'!F:G, 2, FALSE), "")</f>
        <v/>
      </c>
      <c r="K192" s="143"/>
      <c r="L192" s="390"/>
      <c r="M192" s="419"/>
      <c r="N192" s="370"/>
      <c r="O192" s="370"/>
      <c r="P192" s="371"/>
      <c r="Q192" s="365"/>
    </row>
    <row r="193" ht="22.5" customHeight="1">
      <c r="A193" s="146"/>
      <c r="B193" s="413"/>
      <c r="C193" s="367"/>
      <c r="D193" s="420"/>
      <c r="E193" s="405"/>
      <c r="F193" s="404"/>
      <c r="G193" s="352" t="str">
        <f>IFERROR(VLOOKUP(D193,'Client ID Records_v2'!D:E, 2, FALSE), "")</f>
        <v/>
      </c>
      <c r="H193" s="368" t="str">
        <f>IFERROR(VLOOKUP(G193,'Client ID Records_v2'!E:F, 2, FALSE), "")</f>
        <v/>
      </c>
      <c r="I193" s="352" t="str">
        <f>IFERROR(VLOOKUP(D193,'Project Records_v2'!E:F, 2, FALSE), "")</f>
        <v/>
      </c>
      <c r="J193" s="358" t="str">
        <f>IFERROR(VLOOKUP(I193,'Project Records_v2'!F:G, 2, FALSE), "")</f>
        <v/>
      </c>
      <c r="K193" s="143"/>
      <c r="L193" s="390"/>
      <c r="M193" s="419"/>
      <c r="N193" s="370"/>
      <c r="O193" s="370"/>
      <c r="P193" s="371"/>
      <c r="Q193" s="365"/>
    </row>
    <row r="194" ht="22.5" customHeight="1">
      <c r="A194" s="146"/>
      <c r="B194" s="413"/>
      <c r="C194" s="367"/>
      <c r="D194" s="420"/>
      <c r="E194" s="405"/>
      <c r="F194" s="404"/>
      <c r="G194" s="352" t="str">
        <f>IFERROR(VLOOKUP(D194,'Client ID Records_v2'!D:E, 2, FALSE), "")</f>
        <v/>
      </c>
      <c r="H194" s="368" t="str">
        <f>IFERROR(VLOOKUP(G194,'Client ID Records_v2'!E:F, 2, FALSE), "")</f>
        <v/>
      </c>
      <c r="I194" s="352" t="str">
        <f>IFERROR(VLOOKUP(D194,'Project Records_v2'!E:F, 2, FALSE), "")</f>
        <v/>
      </c>
      <c r="J194" s="358" t="str">
        <f>IFERROR(VLOOKUP(I194,'Project Records_v2'!F:G, 2, FALSE), "")</f>
        <v/>
      </c>
      <c r="K194" s="143"/>
      <c r="L194" s="390"/>
      <c r="M194" s="419"/>
      <c r="N194" s="370"/>
      <c r="O194" s="370"/>
      <c r="P194" s="371"/>
      <c r="Q194" s="365"/>
    </row>
    <row r="195" ht="22.5" customHeight="1">
      <c r="A195" s="146"/>
      <c r="B195" s="413"/>
      <c r="C195" s="367"/>
      <c r="D195" s="420"/>
      <c r="E195" s="405"/>
      <c r="F195" s="404"/>
      <c r="G195" s="352" t="str">
        <f>IFERROR(VLOOKUP(D195,'Client ID Records_v2'!D:E, 2, FALSE), "")</f>
        <v/>
      </c>
      <c r="H195" s="368" t="str">
        <f>IFERROR(VLOOKUP(G195,'Client ID Records_v2'!E:F, 2, FALSE), "")</f>
        <v/>
      </c>
      <c r="I195" s="352" t="str">
        <f>IFERROR(VLOOKUP(D195,'Project Records_v2'!E:F, 2, FALSE), "")</f>
        <v/>
      </c>
      <c r="J195" s="358" t="str">
        <f>IFERROR(VLOOKUP(I195,'Project Records_v2'!F:G, 2, FALSE), "")</f>
        <v/>
      </c>
      <c r="K195" s="143"/>
      <c r="L195" s="390"/>
      <c r="M195" s="419"/>
      <c r="N195" s="370"/>
      <c r="O195" s="370"/>
      <c r="P195" s="371"/>
      <c r="Q195" s="365"/>
    </row>
    <row r="196" ht="22.5" customHeight="1">
      <c r="A196" s="146"/>
      <c r="B196" s="413"/>
      <c r="C196" s="367"/>
      <c r="D196" s="420"/>
      <c r="E196" s="405"/>
      <c r="F196" s="404"/>
      <c r="G196" s="352" t="str">
        <f>IFERROR(VLOOKUP(D196,'Client ID Records_v2'!D:E, 2, FALSE), "")</f>
        <v/>
      </c>
      <c r="H196" s="368" t="str">
        <f>IFERROR(VLOOKUP(G196,'Client ID Records_v2'!E:F, 2, FALSE), "")</f>
        <v/>
      </c>
      <c r="I196" s="352" t="str">
        <f>IFERROR(VLOOKUP(D196,'Project Records_v2'!E:F, 2, FALSE), "")</f>
        <v/>
      </c>
      <c r="J196" s="358" t="str">
        <f>IFERROR(VLOOKUP(I196,'Project Records_v2'!F:G, 2, FALSE), "")</f>
        <v/>
      </c>
      <c r="K196" s="143"/>
      <c r="L196" s="390"/>
      <c r="M196" s="419"/>
      <c r="N196" s="370"/>
      <c r="O196" s="370"/>
      <c r="P196" s="371"/>
      <c r="Q196" s="365"/>
    </row>
    <row r="197" ht="22.5" customHeight="1">
      <c r="A197" s="146"/>
      <c r="B197" s="413"/>
      <c r="C197" s="367"/>
      <c r="D197" s="420"/>
      <c r="E197" s="405"/>
      <c r="F197" s="404"/>
      <c r="G197" s="352" t="str">
        <f>IFERROR(VLOOKUP(D197,'Client ID Records_v2'!D:E, 2, FALSE), "")</f>
        <v/>
      </c>
      <c r="H197" s="368" t="str">
        <f>IFERROR(VLOOKUP(G197,'Client ID Records_v2'!E:F, 2, FALSE), "")</f>
        <v/>
      </c>
      <c r="I197" s="352" t="str">
        <f>IFERROR(VLOOKUP(D197,'Project Records_v2'!E:F, 2, FALSE), "")</f>
        <v/>
      </c>
      <c r="J197" s="358" t="str">
        <f>IFERROR(VLOOKUP(I197,'Project Records_v2'!F:G, 2, FALSE), "")</f>
        <v/>
      </c>
      <c r="K197" s="143"/>
      <c r="L197" s="390"/>
      <c r="M197" s="419"/>
      <c r="N197" s="370"/>
      <c r="O197" s="370"/>
      <c r="P197" s="371"/>
      <c r="Q197" s="365"/>
    </row>
    <row r="198" ht="22.5" customHeight="1">
      <c r="A198" s="146"/>
      <c r="B198" s="413"/>
      <c r="C198" s="367"/>
      <c r="D198" s="420"/>
      <c r="E198" s="405"/>
      <c r="F198" s="404"/>
      <c r="G198" s="352" t="str">
        <f>IFERROR(VLOOKUP(D198,'Client ID Records_v2'!D:E, 2, FALSE), "")</f>
        <v/>
      </c>
      <c r="H198" s="368" t="str">
        <f>IFERROR(VLOOKUP(G198,'Client ID Records_v2'!E:F, 2, FALSE), "")</f>
        <v/>
      </c>
      <c r="I198" s="352" t="str">
        <f>IFERROR(VLOOKUP(D198,'Project Records_v2'!E:F, 2, FALSE), "")</f>
        <v/>
      </c>
      <c r="J198" s="358" t="str">
        <f>IFERROR(VLOOKUP(I198,'Project Records_v2'!F:G, 2, FALSE), "")</f>
        <v/>
      </c>
      <c r="K198" s="143"/>
      <c r="L198" s="390"/>
      <c r="M198" s="419"/>
      <c r="N198" s="370"/>
      <c r="O198" s="370"/>
      <c r="P198" s="371"/>
      <c r="Q198" s="365"/>
    </row>
    <row r="199" ht="22.5" customHeight="1">
      <c r="A199" s="146"/>
      <c r="B199" s="413"/>
      <c r="C199" s="367"/>
      <c r="D199" s="420"/>
      <c r="E199" s="405"/>
      <c r="F199" s="404"/>
      <c r="G199" s="352" t="str">
        <f>IFERROR(VLOOKUP(D199,'Client ID Records_v2'!D:E, 2, FALSE), "")</f>
        <v/>
      </c>
      <c r="H199" s="368" t="str">
        <f>IFERROR(VLOOKUP(G199,'Client ID Records_v2'!E:F, 2, FALSE), "")</f>
        <v/>
      </c>
      <c r="I199" s="352" t="str">
        <f>IFERROR(VLOOKUP(D199,'Project Records_v2'!E:F, 2, FALSE), "")</f>
        <v/>
      </c>
      <c r="J199" s="358" t="str">
        <f>IFERROR(VLOOKUP(I199,'Project Records_v2'!F:G, 2, FALSE), "")</f>
        <v/>
      </c>
      <c r="K199" s="143"/>
      <c r="L199" s="390"/>
      <c r="M199" s="419"/>
      <c r="N199" s="370"/>
      <c r="O199" s="370"/>
      <c r="P199" s="371"/>
      <c r="Q199" s="365"/>
    </row>
    <row r="200" ht="22.5" customHeight="1">
      <c r="A200" s="146"/>
      <c r="B200" s="413"/>
      <c r="C200" s="367"/>
      <c r="D200" s="420"/>
      <c r="E200" s="405"/>
      <c r="F200" s="404"/>
      <c r="G200" s="352" t="str">
        <f>IFERROR(VLOOKUP(D200,'Client ID Records_v2'!D:E, 2, FALSE), "")</f>
        <v/>
      </c>
      <c r="H200" s="368" t="str">
        <f>IFERROR(VLOOKUP(G200,'Client ID Records_v2'!E:F, 2, FALSE), "")</f>
        <v/>
      </c>
      <c r="I200" s="352" t="str">
        <f>IFERROR(VLOOKUP(D200,'Project Records_v2'!E:F, 2, FALSE), "")</f>
        <v/>
      </c>
      <c r="J200" s="358" t="str">
        <f>IFERROR(VLOOKUP(I200,'Project Records_v2'!F:G, 2, FALSE), "")</f>
        <v/>
      </c>
      <c r="K200" s="143"/>
      <c r="L200" s="390"/>
      <c r="M200" s="419"/>
      <c r="N200" s="370"/>
      <c r="O200" s="370"/>
      <c r="P200" s="371"/>
      <c r="Q200" s="365"/>
    </row>
    <row r="201" ht="22.5" customHeight="1">
      <c r="A201" s="146"/>
      <c r="B201" s="413"/>
      <c r="C201" s="367"/>
      <c r="D201" s="420"/>
      <c r="E201" s="405"/>
      <c r="F201" s="404"/>
      <c r="G201" s="352" t="str">
        <f>IFERROR(VLOOKUP(D201,'Client ID Records_v2'!D:E, 2, FALSE), "")</f>
        <v/>
      </c>
      <c r="H201" s="368" t="str">
        <f>IFERROR(VLOOKUP(G201,'Client ID Records_v2'!E:F, 2, FALSE), "")</f>
        <v/>
      </c>
      <c r="I201" s="352"/>
      <c r="J201" s="358" t="str">
        <f>IFERROR(VLOOKUP(I201,'Project Records_v2'!F:G, 2, FALSE), "")</f>
        <v/>
      </c>
      <c r="K201" s="143"/>
      <c r="L201" s="390"/>
      <c r="M201" s="419"/>
      <c r="N201" s="370"/>
      <c r="O201" s="370"/>
      <c r="P201" s="371"/>
      <c r="Q201" s="365"/>
    </row>
    <row r="202" ht="22.5" customHeight="1">
      <c r="A202" s="146"/>
      <c r="B202" s="413"/>
      <c r="C202" s="367"/>
      <c r="D202" s="420"/>
      <c r="E202" s="405"/>
      <c r="F202" s="404"/>
      <c r="G202" s="352" t="str">
        <f>IFERROR(VLOOKUP(D202,'Client ID Records_v2'!D:E, 2, FALSE), "")</f>
        <v/>
      </c>
      <c r="H202" s="368" t="str">
        <f>IFERROR(VLOOKUP(G202,'Client ID Records_v2'!E:F, 2, FALSE), "")</f>
        <v/>
      </c>
      <c r="I202" s="352"/>
      <c r="J202" s="358" t="str">
        <f>IFERROR(VLOOKUP(I202,'Project Records_v2'!F:G, 2, FALSE), "")</f>
        <v/>
      </c>
      <c r="K202" s="143"/>
      <c r="L202" s="390"/>
      <c r="M202" s="419"/>
      <c r="N202" s="370"/>
      <c r="O202" s="370"/>
      <c r="P202" s="371"/>
      <c r="Q202" s="365"/>
    </row>
    <row r="203" ht="22.5" customHeight="1">
      <c r="A203" s="146"/>
      <c r="B203" s="413"/>
      <c r="C203" s="367"/>
      <c r="D203" s="420"/>
      <c r="E203" s="405"/>
      <c r="F203" s="404"/>
      <c r="G203" s="352" t="str">
        <f>IFERROR(VLOOKUP(D203,'Client ID Records_v2'!D:E, 2, FALSE), "")</f>
        <v/>
      </c>
      <c r="H203" s="368" t="str">
        <f>IFERROR(VLOOKUP(G203,'Client ID Records_v2'!E:F, 2, FALSE), "")</f>
        <v/>
      </c>
      <c r="I203" s="352"/>
      <c r="J203" s="358" t="str">
        <f>IFERROR(VLOOKUP(I203,'Project Records_v2'!F:G, 2, FALSE), "")</f>
        <v/>
      </c>
      <c r="K203" s="143"/>
      <c r="L203" s="390"/>
      <c r="M203" s="419"/>
      <c r="N203" s="370"/>
      <c r="O203" s="370"/>
      <c r="P203" s="371"/>
      <c r="Q203" s="365"/>
    </row>
    <row r="204" ht="22.5" customHeight="1">
      <c r="A204" s="146"/>
      <c r="B204" s="413"/>
      <c r="C204" s="367"/>
      <c r="D204" s="420"/>
      <c r="E204" s="405"/>
      <c r="F204" s="404"/>
      <c r="G204" s="352" t="str">
        <f>IFERROR(VLOOKUP(D204,'Client ID Records_v2'!D:E, 2, FALSE), "")</f>
        <v/>
      </c>
      <c r="H204" s="368" t="str">
        <f>IFERROR(VLOOKUP(G204,'Client ID Records_v2'!E:F, 2, FALSE), "")</f>
        <v/>
      </c>
      <c r="I204" s="352"/>
      <c r="J204" s="358" t="str">
        <f>IFERROR(VLOOKUP(I204,'Project Records_v2'!F:G, 2, FALSE), "")</f>
        <v/>
      </c>
      <c r="K204" s="143"/>
      <c r="L204" s="390"/>
      <c r="M204" s="419"/>
      <c r="N204" s="370"/>
      <c r="O204" s="370"/>
      <c r="P204" s="371"/>
      <c r="Q204" s="365"/>
    </row>
    <row r="205" ht="22.5" customHeight="1">
      <c r="A205" s="146"/>
      <c r="B205" s="413"/>
      <c r="C205" s="367"/>
      <c r="D205" s="420"/>
      <c r="E205" s="405"/>
      <c r="F205" s="404"/>
      <c r="G205" s="352" t="str">
        <f>IFERROR(VLOOKUP(D205,'Client ID Records_v2'!D:E, 2, FALSE), "")</f>
        <v/>
      </c>
      <c r="H205" s="368" t="str">
        <f>IFERROR(VLOOKUP(G205,'Client ID Records_v2'!E:F, 2, FALSE), "")</f>
        <v/>
      </c>
      <c r="I205" s="352"/>
      <c r="J205" s="358" t="str">
        <f>IFERROR(VLOOKUP(I205,'Project Records_v2'!F:G, 2, FALSE), "")</f>
        <v/>
      </c>
      <c r="K205" s="143"/>
      <c r="L205" s="390"/>
      <c r="M205" s="419"/>
      <c r="N205" s="370"/>
      <c r="O205" s="370"/>
      <c r="P205" s="371"/>
      <c r="Q205" s="365"/>
    </row>
    <row r="206" ht="22.5" customHeight="1">
      <c r="A206" s="146"/>
      <c r="B206" s="413"/>
      <c r="C206" s="367"/>
      <c r="D206" s="420"/>
      <c r="E206" s="405"/>
      <c r="F206" s="404"/>
      <c r="G206" s="352" t="str">
        <f>IFERROR(VLOOKUP(D206,'Client ID Records_v2'!D:E, 2, FALSE), "")</f>
        <v/>
      </c>
      <c r="H206" s="368" t="str">
        <f>IFERROR(VLOOKUP(G206,'Client ID Records_v2'!E:F, 2, FALSE), "")</f>
        <v/>
      </c>
      <c r="I206" s="352"/>
      <c r="J206" s="358" t="str">
        <f>IFERROR(VLOOKUP(I206,'Project Records_v2'!F:G, 2, FALSE), "")</f>
        <v/>
      </c>
      <c r="K206" s="143"/>
      <c r="L206" s="390"/>
      <c r="M206" s="419"/>
      <c r="N206" s="370"/>
      <c r="O206" s="370"/>
      <c r="P206" s="371"/>
      <c r="Q206" s="365"/>
    </row>
    <row r="207" ht="22.5" customHeight="1">
      <c r="A207" s="146"/>
      <c r="B207" s="413"/>
      <c r="C207" s="367"/>
      <c r="D207" s="420"/>
      <c r="E207" s="405"/>
      <c r="F207" s="404"/>
      <c r="G207" s="352" t="str">
        <f>IFERROR(VLOOKUP(D207,'Client ID Records_v2'!D:E, 2, FALSE), "")</f>
        <v/>
      </c>
      <c r="H207" s="368" t="str">
        <f>IFERROR(VLOOKUP(G207,'Client ID Records_v2'!E:F, 2, FALSE), "")</f>
        <v/>
      </c>
      <c r="I207" s="352"/>
      <c r="J207" s="358" t="str">
        <f>IFERROR(VLOOKUP(I207,'Project Records_v2'!F:G, 2, FALSE), "")</f>
        <v/>
      </c>
      <c r="K207" s="143"/>
      <c r="L207" s="390"/>
      <c r="M207" s="419"/>
      <c r="N207" s="370"/>
      <c r="O207" s="370"/>
      <c r="P207" s="371"/>
      <c r="Q207" s="365"/>
    </row>
    <row r="208" ht="22.5" customHeight="1">
      <c r="A208" s="146"/>
      <c r="B208" s="413"/>
      <c r="C208" s="367"/>
      <c r="D208" s="420"/>
      <c r="E208" s="405"/>
      <c r="F208" s="404"/>
      <c r="G208" s="352" t="str">
        <f>IFERROR(VLOOKUP(D208,'Client ID Records_v2'!D:E, 2, FALSE), "")</f>
        <v/>
      </c>
      <c r="H208" s="368" t="str">
        <f>IFERROR(VLOOKUP(G208,'Client ID Records_v2'!E:F, 2, FALSE), "")</f>
        <v/>
      </c>
      <c r="I208" s="352"/>
      <c r="J208" s="358" t="str">
        <f>IFERROR(VLOOKUP(I208,'Project Records_v2'!F:G, 2, FALSE), "")</f>
        <v/>
      </c>
      <c r="K208" s="143"/>
      <c r="L208" s="390"/>
      <c r="M208" s="419"/>
      <c r="N208" s="370"/>
      <c r="O208" s="370"/>
      <c r="P208" s="371"/>
      <c r="Q208" s="365"/>
    </row>
    <row r="209" ht="22.5" customHeight="1">
      <c r="A209" s="146"/>
      <c r="B209" s="413"/>
      <c r="C209" s="367"/>
      <c r="D209" s="420"/>
      <c r="E209" s="405"/>
      <c r="F209" s="404"/>
      <c r="G209" s="352" t="str">
        <f>IFERROR(VLOOKUP(D209,'Client ID Records_v2'!D:E, 2, FALSE), "")</f>
        <v/>
      </c>
      <c r="H209" s="368" t="str">
        <f>IFERROR(VLOOKUP(G209,'Client ID Records_v2'!E:F, 2, FALSE), "")</f>
        <v/>
      </c>
      <c r="I209" s="352"/>
      <c r="J209" s="358" t="str">
        <f>IFERROR(VLOOKUP(I209,'Project Records_v2'!F:G, 2, FALSE), "")</f>
        <v/>
      </c>
      <c r="K209" s="143"/>
      <c r="L209" s="390"/>
      <c r="M209" s="419"/>
      <c r="N209" s="370"/>
      <c r="O209" s="370"/>
      <c r="P209" s="371"/>
      <c r="Q209" s="365"/>
    </row>
    <row r="210" ht="22.5" customHeight="1">
      <c r="A210" s="146"/>
      <c r="B210" s="413"/>
      <c r="C210" s="367"/>
      <c r="D210" s="420"/>
      <c r="E210" s="405"/>
      <c r="F210" s="404"/>
      <c r="G210" s="352" t="str">
        <f>IFERROR(VLOOKUP(D210,'Client ID Records_v2'!D:E, 2, FALSE), "")</f>
        <v/>
      </c>
      <c r="H210" s="368" t="str">
        <f>IFERROR(VLOOKUP(G210,'Client ID Records_v2'!E:F, 2, FALSE), "")</f>
        <v/>
      </c>
      <c r="I210" s="352"/>
      <c r="J210" s="358" t="str">
        <f>IFERROR(VLOOKUP(I210,'Project Records_v2'!F:G, 2, FALSE), "")</f>
        <v/>
      </c>
      <c r="K210" s="143"/>
      <c r="L210" s="390"/>
      <c r="M210" s="419"/>
      <c r="N210" s="370"/>
      <c r="O210" s="370"/>
      <c r="P210" s="371"/>
      <c r="Q210" s="365"/>
    </row>
    <row r="211" ht="22.5" customHeight="1">
      <c r="A211" s="146"/>
      <c r="B211" s="413"/>
      <c r="C211" s="367"/>
      <c r="D211" s="420"/>
      <c r="E211" s="405"/>
      <c r="F211" s="404"/>
      <c r="G211" s="352" t="str">
        <f>IFERROR(VLOOKUP(D211,'Client ID Records_v2'!D:E, 2, FALSE), "")</f>
        <v/>
      </c>
      <c r="H211" s="368" t="str">
        <f>IFERROR(VLOOKUP(G211,'Client ID Records_v2'!E:F, 2, FALSE), "")</f>
        <v/>
      </c>
      <c r="I211" s="352"/>
      <c r="J211" s="358" t="str">
        <f>IFERROR(VLOOKUP(I211,'Project Records_v2'!F:G, 2, FALSE), "")</f>
        <v/>
      </c>
      <c r="K211" s="143"/>
      <c r="L211" s="390"/>
      <c r="M211" s="419"/>
      <c r="N211" s="370"/>
      <c r="O211" s="370"/>
      <c r="P211" s="371"/>
      <c r="Q211" s="365"/>
    </row>
    <row r="212" ht="22.5" customHeight="1">
      <c r="A212" s="146"/>
      <c r="B212" s="413"/>
      <c r="C212" s="367"/>
      <c r="D212" s="420"/>
      <c r="E212" s="405"/>
      <c r="F212" s="404"/>
      <c r="G212" s="352" t="str">
        <f>IFERROR(VLOOKUP(D212,'Client ID Records_v2'!D:E, 2, FALSE), "")</f>
        <v/>
      </c>
      <c r="H212" s="368" t="str">
        <f>IFERROR(VLOOKUP(G212,'Client ID Records_v2'!E:F, 2, FALSE), "")</f>
        <v/>
      </c>
      <c r="I212" s="352"/>
      <c r="J212" s="358" t="str">
        <f>IFERROR(VLOOKUP(I212,'Project Records_v2'!F:G, 2, FALSE), "")</f>
        <v/>
      </c>
      <c r="K212" s="143"/>
      <c r="L212" s="390"/>
      <c r="M212" s="419"/>
      <c r="N212" s="370"/>
      <c r="O212" s="370"/>
      <c r="P212" s="371"/>
      <c r="Q212" s="365"/>
    </row>
    <row r="213" ht="22.5" customHeight="1">
      <c r="A213" s="146"/>
      <c r="B213" s="413"/>
      <c r="C213" s="367"/>
      <c r="D213" s="420"/>
      <c r="E213" s="405"/>
      <c r="F213" s="404"/>
      <c r="G213" s="352" t="str">
        <f>IFERROR(VLOOKUP(D213,'Client ID Records_v2'!D:E, 2, FALSE), "")</f>
        <v/>
      </c>
      <c r="H213" s="368" t="str">
        <f>IFERROR(VLOOKUP(G213,'Client ID Records_v2'!E:F, 2, FALSE), "")</f>
        <v/>
      </c>
      <c r="I213" s="352"/>
      <c r="J213" s="358" t="str">
        <f>IFERROR(VLOOKUP(I213,'Project Records_v2'!F:G, 2, FALSE), "")</f>
        <v/>
      </c>
      <c r="K213" s="143"/>
      <c r="L213" s="390"/>
      <c r="M213" s="419"/>
      <c r="N213" s="370"/>
      <c r="O213" s="370"/>
      <c r="P213" s="371"/>
      <c r="Q213" s="365"/>
    </row>
    <row r="214" ht="22.5" customHeight="1">
      <c r="A214" s="146"/>
      <c r="B214" s="413"/>
      <c r="C214" s="367"/>
      <c r="D214" s="420"/>
      <c r="E214" s="405"/>
      <c r="F214" s="404"/>
      <c r="G214" s="352" t="str">
        <f>IFERROR(VLOOKUP(D214,'Client ID Records_v2'!D:E, 2, FALSE), "")</f>
        <v/>
      </c>
      <c r="H214" s="368" t="str">
        <f>IFERROR(VLOOKUP(G214,'Client ID Records_v2'!E:F, 2, FALSE), "")</f>
        <v/>
      </c>
      <c r="I214" s="352"/>
      <c r="J214" s="358" t="str">
        <f>IFERROR(VLOOKUP(I214,'Project Records_v2'!F:G, 2, FALSE), "")</f>
        <v/>
      </c>
      <c r="K214" s="143"/>
      <c r="L214" s="390"/>
      <c r="M214" s="419"/>
      <c r="N214" s="370"/>
      <c r="O214" s="370"/>
      <c r="P214" s="371"/>
      <c r="Q214" s="365"/>
    </row>
    <row r="215" ht="22.5" customHeight="1">
      <c r="A215" s="146"/>
      <c r="B215" s="413"/>
      <c r="C215" s="367"/>
      <c r="D215" s="420"/>
      <c r="E215" s="405"/>
      <c r="F215" s="404"/>
      <c r="G215" s="352" t="str">
        <f>IFERROR(VLOOKUP(D215,'Client ID Records_v2'!D:E, 2, FALSE), "")</f>
        <v/>
      </c>
      <c r="H215" s="368" t="str">
        <f>IFERROR(VLOOKUP(G215,'Client ID Records_v2'!E:F, 2, FALSE), "")</f>
        <v/>
      </c>
      <c r="I215" s="352"/>
      <c r="J215" s="358" t="str">
        <f>IFERROR(VLOOKUP(I215,'Project Records_v2'!F:G, 2, FALSE), "")</f>
        <v/>
      </c>
      <c r="K215" s="143"/>
      <c r="L215" s="390"/>
      <c r="M215" s="419"/>
      <c r="N215" s="370"/>
      <c r="O215" s="370"/>
      <c r="P215" s="371"/>
      <c r="Q215" s="365"/>
    </row>
    <row r="216" ht="22.5" customHeight="1">
      <c r="A216" s="146"/>
      <c r="B216" s="413"/>
      <c r="C216" s="367"/>
      <c r="D216" s="420"/>
      <c r="E216" s="405"/>
      <c r="F216" s="404"/>
      <c r="G216" s="352" t="str">
        <f>IFERROR(VLOOKUP(D216,'Client ID Records_v2'!D:E, 2, FALSE), "")</f>
        <v/>
      </c>
      <c r="H216" s="368" t="str">
        <f>IFERROR(VLOOKUP(G216,'Client ID Records_v2'!E:F, 2, FALSE), "")</f>
        <v/>
      </c>
      <c r="I216" s="352"/>
      <c r="J216" s="358" t="str">
        <f>IFERROR(VLOOKUP(I216,'Project Records_v2'!F:G, 2, FALSE), "")</f>
        <v/>
      </c>
      <c r="K216" s="143"/>
      <c r="L216" s="390"/>
      <c r="M216" s="419"/>
      <c r="N216" s="370"/>
      <c r="O216" s="370"/>
      <c r="P216" s="371"/>
      <c r="Q216" s="365"/>
    </row>
    <row r="217" ht="22.5" customHeight="1">
      <c r="A217" s="146"/>
      <c r="B217" s="413"/>
      <c r="C217" s="367"/>
      <c r="D217" s="420"/>
      <c r="E217" s="405"/>
      <c r="F217" s="404"/>
      <c r="G217" s="352" t="str">
        <f>IFERROR(VLOOKUP(D217,'Client ID Records_v2'!D:E, 2, FALSE), "")</f>
        <v/>
      </c>
      <c r="H217" s="368" t="str">
        <f>IFERROR(VLOOKUP(G217,'Client ID Records_v2'!E:F, 2, FALSE), "")</f>
        <v/>
      </c>
      <c r="I217" s="352"/>
      <c r="J217" s="358" t="str">
        <f>IFERROR(VLOOKUP(I217,'Project Records_v2'!F:G, 2, FALSE), "")</f>
        <v/>
      </c>
      <c r="K217" s="143"/>
      <c r="L217" s="390"/>
      <c r="M217" s="419"/>
      <c r="N217" s="370"/>
      <c r="O217" s="370"/>
      <c r="P217" s="371"/>
      <c r="Q217" s="365"/>
    </row>
    <row r="218" ht="22.5" customHeight="1">
      <c r="A218" s="146"/>
      <c r="B218" s="413"/>
      <c r="C218" s="367"/>
      <c r="D218" s="420"/>
      <c r="E218" s="405"/>
      <c r="F218" s="404"/>
      <c r="G218" s="352" t="str">
        <f>IFERROR(VLOOKUP(D218,'Client ID Records_v2'!D:E, 2, FALSE), "")</f>
        <v/>
      </c>
      <c r="H218" s="368" t="str">
        <f>IFERROR(VLOOKUP(G218,'Client ID Records_v2'!E:F, 2, FALSE), "")</f>
        <v/>
      </c>
      <c r="I218" s="352"/>
      <c r="J218" s="358" t="str">
        <f>IFERROR(VLOOKUP(I218,'Project Records_v2'!F:G, 2, FALSE), "")</f>
        <v/>
      </c>
      <c r="K218" s="143"/>
      <c r="L218" s="390"/>
      <c r="M218" s="419"/>
      <c r="N218" s="370"/>
      <c r="O218" s="370"/>
      <c r="P218" s="371"/>
      <c r="Q218" s="365"/>
    </row>
    <row r="219" ht="22.5" customHeight="1">
      <c r="A219" s="146"/>
      <c r="B219" s="413"/>
      <c r="C219" s="367"/>
      <c r="D219" s="420"/>
      <c r="E219" s="405"/>
      <c r="F219" s="404"/>
      <c r="G219" s="352" t="str">
        <f>IFERROR(VLOOKUP(D219,'Client ID Records_v2'!D:E, 2, FALSE), "")</f>
        <v/>
      </c>
      <c r="H219" s="368" t="str">
        <f>IFERROR(VLOOKUP(G219,'Client ID Records_v2'!E:F, 2, FALSE), "")</f>
        <v/>
      </c>
      <c r="I219" s="352"/>
      <c r="J219" s="358" t="str">
        <f>IFERROR(VLOOKUP(I219,'Project Records_v2'!F:G, 2, FALSE), "")</f>
        <v/>
      </c>
      <c r="K219" s="143"/>
      <c r="L219" s="390"/>
      <c r="M219" s="419"/>
      <c r="N219" s="370"/>
      <c r="O219" s="370"/>
      <c r="P219" s="371"/>
      <c r="Q219" s="365"/>
    </row>
    <row r="220" ht="22.5" customHeight="1">
      <c r="A220" s="146"/>
      <c r="B220" s="413"/>
      <c r="C220" s="367"/>
      <c r="D220" s="420"/>
      <c r="E220" s="405"/>
      <c r="F220" s="404"/>
      <c r="G220" s="352" t="str">
        <f>IFERROR(VLOOKUP(D220,'Client ID Records_v2'!D:E, 2, FALSE), "")</f>
        <v/>
      </c>
      <c r="H220" s="368" t="str">
        <f>IFERROR(VLOOKUP(G220,'Client ID Records_v2'!E:F, 2, FALSE), "")</f>
        <v/>
      </c>
      <c r="I220" s="352"/>
      <c r="J220" s="358" t="str">
        <f>IFERROR(VLOOKUP(I220,'Project Records_v2'!F:G, 2, FALSE), "")</f>
        <v/>
      </c>
      <c r="K220" s="143"/>
      <c r="L220" s="390"/>
      <c r="M220" s="419"/>
      <c r="N220" s="370"/>
      <c r="O220" s="370"/>
      <c r="P220" s="371"/>
      <c r="Q220" s="365"/>
    </row>
    <row r="221" ht="22.5" customHeight="1">
      <c r="A221" s="146"/>
      <c r="B221" s="413"/>
      <c r="C221" s="367"/>
      <c r="D221" s="420"/>
      <c r="E221" s="405"/>
      <c r="F221" s="404"/>
      <c r="G221" s="352" t="str">
        <f>IFERROR(VLOOKUP(D221,'Client ID Records_v2'!D:E, 2, FALSE), "")</f>
        <v/>
      </c>
      <c r="H221" s="368" t="str">
        <f>IFERROR(VLOOKUP(G221,'Client ID Records_v2'!E:F, 2, FALSE), "")</f>
        <v/>
      </c>
      <c r="I221" s="352"/>
      <c r="J221" s="358" t="str">
        <f>IFERROR(VLOOKUP(I221,'Project Records_v2'!F:G, 2, FALSE), "")</f>
        <v/>
      </c>
      <c r="K221" s="143"/>
      <c r="L221" s="390"/>
      <c r="M221" s="419"/>
      <c r="N221" s="370"/>
      <c r="O221" s="370"/>
      <c r="P221" s="371"/>
      <c r="Q221" s="365"/>
    </row>
    <row r="222" ht="22.5" customHeight="1">
      <c r="A222" s="146"/>
      <c r="B222" s="413"/>
      <c r="C222" s="367"/>
      <c r="D222" s="420"/>
      <c r="E222" s="405"/>
      <c r="F222" s="404"/>
      <c r="G222" s="352" t="str">
        <f>IFERROR(VLOOKUP(D222,'Client ID Records_v2'!D:E, 2, FALSE), "")</f>
        <v/>
      </c>
      <c r="H222" s="368" t="str">
        <f>IFERROR(VLOOKUP(G222,'Client ID Records_v2'!E:F, 2, FALSE), "")</f>
        <v/>
      </c>
      <c r="I222" s="352"/>
      <c r="J222" s="358" t="str">
        <f>IFERROR(VLOOKUP(I222,'Project Records_v2'!F:G, 2, FALSE), "")</f>
        <v/>
      </c>
      <c r="K222" s="143"/>
      <c r="L222" s="390"/>
      <c r="M222" s="419"/>
      <c r="N222" s="370"/>
      <c r="O222" s="370"/>
      <c r="P222" s="371"/>
      <c r="Q222" s="365"/>
    </row>
    <row r="223" ht="22.5" customHeight="1">
      <c r="A223" s="146"/>
      <c r="B223" s="413"/>
      <c r="C223" s="367"/>
      <c r="D223" s="420"/>
      <c r="E223" s="405"/>
      <c r="F223" s="404"/>
      <c r="G223" s="352" t="str">
        <f>IFERROR(VLOOKUP(D223,'Client ID Records_v2'!D:E, 2, FALSE), "")</f>
        <v/>
      </c>
      <c r="H223" s="368" t="str">
        <f>IFERROR(VLOOKUP(G223,'Client ID Records_v2'!E:F, 2, FALSE), "")</f>
        <v/>
      </c>
      <c r="I223" s="352"/>
      <c r="J223" s="358" t="str">
        <f>IFERROR(VLOOKUP(I223,'Project Records_v2'!F:G, 2, FALSE), "")</f>
        <v/>
      </c>
      <c r="K223" s="143"/>
      <c r="L223" s="390"/>
      <c r="M223" s="419"/>
      <c r="N223" s="370"/>
      <c r="O223" s="370"/>
      <c r="P223" s="371"/>
      <c r="Q223" s="365"/>
    </row>
    <row r="224" ht="22.5" customHeight="1">
      <c r="A224" s="146"/>
      <c r="B224" s="413"/>
      <c r="C224" s="367"/>
      <c r="D224" s="420"/>
      <c r="E224" s="405"/>
      <c r="F224" s="404"/>
      <c r="G224" s="352" t="str">
        <f>IFERROR(VLOOKUP(D224,'Client ID Records_v2'!D:E, 2, FALSE), "")</f>
        <v/>
      </c>
      <c r="H224" s="368" t="str">
        <f>IFERROR(VLOOKUP(G224,'Client ID Records_v2'!E:F, 2, FALSE), "")</f>
        <v/>
      </c>
      <c r="I224" s="352"/>
      <c r="J224" s="358" t="str">
        <f>IFERROR(VLOOKUP(I224,'Project Records_v2'!F:G, 2, FALSE), "")</f>
        <v/>
      </c>
      <c r="K224" s="143"/>
      <c r="L224" s="390"/>
      <c r="M224" s="419"/>
      <c r="N224" s="370"/>
      <c r="O224" s="370"/>
      <c r="P224" s="371"/>
      <c r="Q224" s="365"/>
    </row>
    <row r="225" ht="22.5" customHeight="1">
      <c r="A225" s="146"/>
      <c r="B225" s="413"/>
      <c r="C225" s="367"/>
      <c r="D225" s="420"/>
      <c r="E225" s="405"/>
      <c r="F225" s="404"/>
      <c r="G225" s="352" t="str">
        <f>IFERROR(VLOOKUP(D225,'Client ID Records_v2'!D:E, 2, FALSE), "")</f>
        <v/>
      </c>
      <c r="H225" s="368" t="str">
        <f>IFERROR(VLOOKUP(G225,'Client ID Records_v2'!E:F, 2, FALSE), "")</f>
        <v/>
      </c>
      <c r="I225" s="352"/>
      <c r="J225" s="358" t="str">
        <f>IFERROR(VLOOKUP(I225,'Project Records_v2'!F:G, 2, FALSE), "")</f>
        <v/>
      </c>
      <c r="K225" s="143"/>
      <c r="L225" s="390"/>
      <c r="M225" s="419"/>
      <c r="N225" s="370"/>
      <c r="O225" s="370"/>
      <c r="P225" s="371"/>
      <c r="Q225" s="365"/>
    </row>
    <row r="226" ht="22.5" customHeight="1">
      <c r="A226" s="146"/>
      <c r="B226" s="413"/>
      <c r="C226" s="367"/>
      <c r="D226" s="420"/>
      <c r="E226" s="405"/>
      <c r="F226" s="404"/>
      <c r="G226" s="352" t="str">
        <f>IFERROR(VLOOKUP(D226,'Client ID Records_v2'!D:E, 2, FALSE), "")</f>
        <v/>
      </c>
      <c r="H226" s="368" t="str">
        <f>IFERROR(VLOOKUP(G226,'Client ID Records_v2'!E:F, 2, FALSE), "")</f>
        <v/>
      </c>
      <c r="I226" s="352"/>
      <c r="J226" s="358" t="str">
        <f>IFERROR(VLOOKUP(I226,'Project Records_v2'!F:G, 2, FALSE), "")</f>
        <v/>
      </c>
      <c r="K226" s="143"/>
      <c r="L226" s="390"/>
      <c r="M226" s="419"/>
      <c r="N226" s="370"/>
      <c r="O226" s="370"/>
      <c r="P226" s="371"/>
      <c r="Q226" s="365"/>
    </row>
    <row r="227" ht="22.5" customHeight="1">
      <c r="A227" s="146"/>
      <c r="B227" s="413"/>
      <c r="C227" s="367"/>
      <c r="D227" s="420"/>
      <c r="E227" s="405"/>
      <c r="F227" s="404"/>
      <c r="G227" s="352" t="str">
        <f>IFERROR(VLOOKUP(D227,'Client ID Records_v2'!D:E, 2, FALSE), "")</f>
        <v/>
      </c>
      <c r="H227" s="368" t="str">
        <f>IFERROR(VLOOKUP(G227,'Client ID Records_v2'!E:F, 2, FALSE), "")</f>
        <v/>
      </c>
      <c r="I227" s="352"/>
      <c r="J227" s="358" t="str">
        <f>IFERROR(VLOOKUP(I227,'Project Records_v2'!F:G, 2, FALSE), "")</f>
        <v/>
      </c>
      <c r="K227" s="143"/>
      <c r="L227" s="390"/>
      <c r="M227" s="419"/>
      <c r="N227" s="370"/>
      <c r="O227" s="370"/>
      <c r="P227" s="371"/>
      <c r="Q227" s="365"/>
    </row>
    <row r="228" ht="22.5" customHeight="1">
      <c r="A228" s="146"/>
      <c r="B228" s="413"/>
      <c r="C228" s="367"/>
      <c r="D228" s="420"/>
      <c r="E228" s="405"/>
      <c r="F228" s="404"/>
      <c r="G228" s="352" t="str">
        <f>IFERROR(VLOOKUP(D228,'Client ID Records_v2'!D:E, 2, FALSE), "")</f>
        <v/>
      </c>
      <c r="H228" s="368" t="str">
        <f>IFERROR(VLOOKUP(G228,'Client ID Records_v2'!E:F, 2, FALSE), "")</f>
        <v/>
      </c>
      <c r="I228" s="352"/>
      <c r="J228" s="358" t="str">
        <f>IFERROR(VLOOKUP(I228,'Project Records_v2'!F:G, 2, FALSE), "")</f>
        <v/>
      </c>
      <c r="K228" s="143"/>
      <c r="L228" s="390"/>
      <c r="M228" s="419"/>
      <c r="N228" s="370"/>
      <c r="O228" s="370"/>
      <c r="P228" s="371"/>
      <c r="Q228" s="365"/>
    </row>
    <row r="229" ht="22.5" customHeight="1">
      <c r="A229" s="146"/>
      <c r="B229" s="413"/>
      <c r="C229" s="367"/>
      <c r="D229" s="420"/>
      <c r="E229" s="405"/>
      <c r="F229" s="404"/>
      <c r="G229" s="352" t="str">
        <f>IFERROR(VLOOKUP(D229,'Client ID Records_v2'!D:E, 2, FALSE), "")</f>
        <v/>
      </c>
      <c r="H229" s="368" t="str">
        <f>IFERROR(VLOOKUP(G229,'Client ID Records_v2'!E:F, 2, FALSE), "")</f>
        <v/>
      </c>
      <c r="I229" s="352"/>
      <c r="J229" s="358" t="str">
        <f>IFERROR(VLOOKUP(I229,'Project Records_v2'!F:G, 2, FALSE), "")</f>
        <v/>
      </c>
      <c r="K229" s="143"/>
      <c r="L229" s="390"/>
      <c r="M229" s="419"/>
      <c r="N229" s="370"/>
      <c r="O229" s="370"/>
      <c r="P229" s="371"/>
      <c r="Q229" s="365"/>
    </row>
    <row r="230" ht="22.5" customHeight="1">
      <c r="A230" s="146"/>
      <c r="B230" s="413"/>
      <c r="C230" s="367"/>
      <c r="D230" s="420"/>
      <c r="E230" s="405"/>
      <c r="F230" s="404"/>
      <c r="G230" s="352" t="str">
        <f>IFERROR(VLOOKUP(D230,'Client ID Records_v2'!D:E, 2, FALSE), "")</f>
        <v/>
      </c>
      <c r="H230" s="368" t="str">
        <f>IFERROR(VLOOKUP(G230,'Client ID Records_v2'!E:F, 2, FALSE), "")</f>
        <v/>
      </c>
      <c r="I230" s="352"/>
      <c r="J230" s="358" t="str">
        <f>IFERROR(VLOOKUP(I230,'Project Records_v2'!F:G, 2, FALSE), "")</f>
        <v/>
      </c>
      <c r="K230" s="143"/>
      <c r="L230" s="390"/>
      <c r="M230" s="419"/>
      <c r="N230" s="370"/>
      <c r="O230" s="370"/>
      <c r="P230" s="371"/>
      <c r="Q230" s="365"/>
    </row>
    <row r="231" ht="22.5" customHeight="1">
      <c r="A231" s="146"/>
      <c r="B231" s="413"/>
      <c r="C231" s="367"/>
      <c r="D231" s="420"/>
      <c r="E231" s="405"/>
      <c r="F231" s="404"/>
      <c r="G231" s="352" t="str">
        <f>IFERROR(VLOOKUP(D231,'Client ID Records_v2'!D:E, 2, FALSE), "")</f>
        <v/>
      </c>
      <c r="H231" s="368" t="str">
        <f>IFERROR(VLOOKUP(G231,'Client ID Records_v2'!E:F, 2, FALSE), "")</f>
        <v/>
      </c>
      <c r="I231" s="352"/>
      <c r="J231" s="358" t="str">
        <f>IFERROR(VLOOKUP(I231,'Project Records_v2'!F:G, 2, FALSE), "")</f>
        <v/>
      </c>
      <c r="K231" s="143"/>
      <c r="L231" s="390"/>
      <c r="M231" s="419"/>
      <c r="N231" s="370"/>
      <c r="O231" s="370"/>
      <c r="P231" s="371"/>
      <c r="Q231" s="365"/>
    </row>
    <row r="232" ht="22.5" customHeight="1">
      <c r="A232" s="146"/>
      <c r="B232" s="413"/>
      <c r="C232" s="367"/>
      <c r="D232" s="420"/>
      <c r="E232" s="405"/>
      <c r="F232" s="404"/>
      <c r="G232" s="352" t="str">
        <f>IFERROR(VLOOKUP(D232,'Client ID Records_v2'!D:E, 2, FALSE), "")</f>
        <v/>
      </c>
      <c r="H232" s="368" t="str">
        <f>IFERROR(VLOOKUP(G232,'Client ID Records_v2'!E:F, 2, FALSE), "")</f>
        <v/>
      </c>
      <c r="I232" s="352"/>
      <c r="J232" s="358" t="str">
        <f>IFERROR(VLOOKUP(I232,'Project Records_v2'!F:G, 2, FALSE), "")</f>
        <v/>
      </c>
      <c r="K232" s="143"/>
      <c r="L232" s="390"/>
      <c r="M232" s="419"/>
      <c r="N232" s="370"/>
      <c r="O232" s="370"/>
      <c r="P232" s="371"/>
      <c r="Q232" s="365"/>
    </row>
    <row r="233" ht="22.5" customHeight="1">
      <c r="A233" s="146"/>
      <c r="B233" s="413"/>
      <c r="C233" s="367"/>
      <c r="D233" s="420"/>
      <c r="E233" s="405"/>
      <c r="F233" s="404"/>
      <c r="G233" s="352" t="str">
        <f>IFERROR(VLOOKUP(D233,'Client ID Records_v2'!D:E, 2, FALSE), "")</f>
        <v/>
      </c>
      <c r="H233" s="368" t="str">
        <f>IFERROR(VLOOKUP(G233,'Client ID Records_v2'!E:F, 2, FALSE), "")</f>
        <v/>
      </c>
      <c r="I233" s="352"/>
      <c r="J233" s="358" t="str">
        <f>IFERROR(VLOOKUP(I233,'Project Records_v2'!F:G, 2, FALSE), "")</f>
        <v/>
      </c>
      <c r="K233" s="143"/>
      <c r="L233" s="390"/>
      <c r="M233" s="419"/>
      <c r="N233" s="370"/>
      <c r="O233" s="370"/>
      <c r="P233" s="371"/>
      <c r="Q233" s="365"/>
    </row>
    <row r="234" ht="22.5" customHeight="1">
      <c r="A234" s="146"/>
      <c r="B234" s="413"/>
      <c r="C234" s="367"/>
      <c r="D234" s="420"/>
      <c r="E234" s="405"/>
      <c r="F234" s="404"/>
      <c r="G234" s="352" t="str">
        <f>IFERROR(VLOOKUP(D234,'Client ID Records_v2'!D:E, 2, FALSE), "")</f>
        <v/>
      </c>
      <c r="H234" s="368" t="str">
        <f>IFERROR(VLOOKUP(G234,'Client ID Records_v2'!E:F, 2, FALSE), "")</f>
        <v/>
      </c>
      <c r="I234" s="352"/>
      <c r="J234" s="358" t="str">
        <f>IFERROR(VLOOKUP(I234,'Project Records_v2'!F:G, 2, FALSE), "")</f>
        <v/>
      </c>
      <c r="K234" s="143"/>
      <c r="L234" s="390"/>
      <c r="M234" s="419"/>
      <c r="N234" s="370"/>
      <c r="O234" s="370"/>
      <c r="P234" s="371"/>
      <c r="Q234" s="365"/>
    </row>
    <row r="235" ht="22.5" customHeight="1">
      <c r="A235" s="146"/>
      <c r="B235" s="413"/>
      <c r="C235" s="367"/>
      <c r="D235" s="420"/>
      <c r="E235" s="405"/>
      <c r="F235" s="404"/>
      <c r="G235" s="352" t="str">
        <f>IFERROR(VLOOKUP(D235,'Client ID Records_v2'!D:E, 2, FALSE), "")</f>
        <v/>
      </c>
      <c r="H235" s="368" t="str">
        <f>IFERROR(VLOOKUP(G235,'Client ID Records_v2'!E:F, 2, FALSE), "")</f>
        <v/>
      </c>
      <c r="I235" s="352"/>
      <c r="J235" s="358" t="str">
        <f>IFERROR(VLOOKUP(I235,'Project Records_v2'!F:G, 2, FALSE), "")</f>
        <v/>
      </c>
      <c r="K235" s="143"/>
      <c r="L235" s="390"/>
      <c r="M235" s="419"/>
      <c r="N235" s="370"/>
      <c r="O235" s="370"/>
      <c r="P235" s="371"/>
      <c r="Q235" s="365"/>
    </row>
    <row r="236" ht="22.5" customHeight="1">
      <c r="A236" s="146"/>
      <c r="B236" s="413"/>
      <c r="C236" s="367"/>
      <c r="D236" s="420"/>
      <c r="E236" s="405"/>
      <c r="F236" s="404"/>
      <c r="G236" s="352" t="str">
        <f>IFERROR(VLOOKUP(D236,'Client ID Records_v2'!D:E, 2, FALSE), "")</f>
        <v/>
      </c>
      <c r="H236" s="368" t="str">
        <f>IFERROR(VLOOKUP(G236,'Client ID Records_v2'!E:F, 2, FALSE), "")</f>
        <v/>
      </c>
      <c r="I236" s="352"/>
      <c r="J236" s="358" t="str">
        <f>IFERROR(VLOOKUP(I236,'Project Records_v2'!F:G, 2, FALSE), "")</f>
        <v/>
      </c>
      <c r="K236" s="143"/>
      <c r="L236" s="390"/>
      <c r="M236" s="419"/>
      <c r="N236" s="370"/>
      <c r="O236" s="370"/>
      <c r="P236" s="371"/>
      <c r="Q236" s="365"/>
    </row>
    <row r="237" ht="22.5" customHeight="1">
      <c r="A237" s="146"/>
      <c r="B237" s="413"/>
      <c r="C237" s="367"/>
      <c r="D237" s="420"/>
      <c r="E237" s="405"/>
      <c r="F237" s="404"/>
      <c r="G237" s="352" t="str">
        <f>IFERROR(VLOOKUP(D237,'Client ID Records_v2'!D:E, 2, FALSE), "")</f>
        <v/>
      </c>
      <c r="H237" s="368" t="str">
        <f>IFERROR(VLOOKUP(G237,'Client ID Records_v2'!E:F, 2, FALSE), "")</f>
        <v/>
      </c>
      <c r="I237" s="352"/>
      <c r="J237" s="358" t="str">
        <f>IFERROR(VLOOKUP(I237,'Project Records_v2'!F:G, 2, FALSE), "")</f>
        <v/>
      </c>
      <c r="K237" s="143"/>
      <c r="L237" s="390"/>
      <c r="M237" s="419"/>
      <c r="N237" s="370"/>
      <c r="O237" s="370"/>
      <c r="P237" s="371"/>
      <c r="Q237" s="365"/>
    </row>
    <row r="238" ht="22.5" customHeight="1">
      <c r="A238" s="146"/>
      <c r="B238" s="413"/>
      <c r="C238" s="367"/>
      <c r="D238" s="420"/>
      <c r="E238" s="405"/>
      <c r="F238" s="404"/>
      <c r="G238" s="352" t="str">
        <f>IFERROR(VLOOKUP(D238,'Client ID Records_v2'!D:E, 2, FALSE), "")</f>
        <v/>
      </c>
      <c r="H238" s="368" t="str">
        <f>IFERROR(VLOOKUP(G238,'Client ID Records_v2'!E:F, 2, FALSE), "")</f>
        <v/>
      </c>
      <c r="I238" s="352"/>
      <c r="J238" s="358" t="str">
        <f>IFERROR(VLOOKUP(I238,'Project Records_v2'!F:G, 2, FALSE), "")</f>
        <v/>
      </c>
      <c r="K238" s="143"/>
      <c r="L238" s="390"/>
      <c r="M238" s="419"/>
      <c r="N238" s="370"/>
      <c r="O238" s="370"/>
      <c r="P238" s="371"/>
      <c r="Q238" s="365"/>
    </row>
    <row r="239" ht="22.5" customHeight="1">
      <c r="A239" s="146"/>
      <c r="B239" s="413"/>
      <c r="C239" s="367"/>
      <c r="D239" s="420"/>
      <c r="E239" s="405"/>
      <c r="F239" s="404"/>
      <c r="G239" s="352" t="str">
        <f>IFERROR(VLOOKUP(D239,'Client ID Records_v2'!D:E, 2, FALSE), "")</f>
        <v/>
      </c>
      <c r="H239" s="368" t="str">
        <f>IFERROR(VLOOKUP(G239,'Client ID Records_v2'!E:F, 2, FALSE), "")</f>
        <v/>
      </c>
      <c r="I239" s="352"/>
      <c r="J239" s="358" t="str">
        <f>IFERROR(VLOOKUP(I239,'Project Records_v2'!F:G, 2, FALSE), "")</f>
        <v/>
      </c>
      <c r="K239" s="143"/>
      <c r="L239" s="390"/>
      <c r="M239" s="419"/>
      <c r="N239" s="370"/>
      <c r="O239" s="370"/>
      <c r="P239" s="371"/>
      <c r="Q239" s="365"/>
    </row>
    <row r="240" ht="22.5" customHeight="1">
      <c r="A240" s="146"/>
      <c r="B240" s="413"/>
      <c r="C240" s="367"/>
      <c r="D240" s="420"/>
      <c r="E240" s="405"/>
      <c r="F240" s="404"/>
      <c r="G240" s="352" t="str">
        <f>IFERROR(VLOOKUP(D240,'Client ID Records_v2'!D:E, 2, FALSE), "")</f>
        <v/>
      </c>
      <c r="H240" s="368" t="str">
        <f>IFERROR(VLOOKUP(G240,'Client ID Records_v2'!E:F, 2, FALSE), "")</f>
        <v/>
      </c>
      <c r="I240" s="352"/>
      <c r="J240" s="358" t="str">
        <f>IFERROR(VLOOKUP(I240,'Project Records_v2'!F:G, 2, FALSE), "")</f>
        <v/>
      </c>
      <c r="K240" s="143"/>
      <c r="L240" s="390"/>
      <c r="M240" s="419"/>
      <c r="N240" s="370"/>
      <c r="O240" s="370"/>
      <c r="P240" s="371"/>
      <c r="Q240" s="365"/>
    </row>
    <row r="241" ht="22.5" customHeight="1">
      <c r="A241" s="146"/>
      <c r="B241" s="413"/>
      <c r="C241" s="367"/>
      <c r="D241" s="420"/>
      <c r="E241" s="405"/>
      <c r="F241" s="404"/>
      <c r="G241" s="352" t="str">
        <f>IFERROR(VLOOKUP(D241,'Client ID Records_v2'!D:E, 2, FALSE), "")</f>
        <v/>
      </c>
      <c r="H241" s="368" t="str">
        <f>IFERROR(VLOOKUP(G241,'Client ID Records_v2'!E:F, 2, FALSE), "")</f>
        <v/>
      </c>
      <c r="I241" s="352"/>
      <c r="J241" s="358" t="str">
        <f>IFERROR(VLOOKUP(I241,'Project Records_v2'!F:G, 2, FALSE), "")</f>
        <v/>
      </c>
      <c r="K241" s="143"/>
      <c r="L241" s="390"/>
      <c r="M241" s="419"/>
      <c r="N241" s="370"/>
      <c r="O241" s="370"/>
      <c r="P241" s="371"/>
      <c r="Q241" s="365"/>
    </row>
    <row r="242" ht="22.5" customHeight="1">
      <c r="A242" s="146"/>
      <c r="B242" s="413"/>
      <c r="C242" s="367"/>
      <c r="D242" s="420"/>
      <c r="E242" s="405"/>
      <c r="F242" s="404"/>
      <c r="G242" s="352" t="str">
        <f>IFERROR(VLOOKUP(D242,'Client ID Records_v2'!D:E, 2, FALSE), "")</f>
        <v/>
      </c>
      <c r="H242" s="368" t="str">
        <f>IFERROR(VLOOKUP(G242,'Client ID Records_v2'!E:F, 2, FALSE), "")</f>
        <v/>
      </c>
      <c r="I242" s="352"/>
      <c r="J242" s="358" t="str">
        <f>IFERROR(VLOOKUP(I242,'Project Records_v2'!F:G, 2, FALSE), "")</f>
        <v/>
      </c>
      <c r="K242" s="143"/>
      <c r="L242" s="390"/>
      <c r="M242" s="419"/>
      <c r="N242" s="370"/>
      <c r="O242" s="370"/>
      <c r="P242" s="371"/>
      <c r="Q242" s="365"/>
    </row>
    <row r="243" ht="22.5" customHeight="1">
      <c r="A243" s="146"/>
      <c r="B243" s="413"/>
      <c r="C243" s="367"/>
      <c r="D243" s="420"/>
      <c r="E243" s="405"/>
      <c r="F243" s="404"/>
      <c r="G243" s="352" t="str">
        <f>IFERROR(VLOOKUP(D243,'Client ID Records_v2'!D:E, 2, FALSE), "")</f>
        <v/>
      </c>
      <c r="H243" s="368" t="str">
        <f>IFERROR(VLOOKUP(G243,'Client ID Records_v2'!E:F, 2, FALSE), "")</f>
        <v/>
      </c>
      <c r="I243" s="352"/>
      <c r="J243" s="358" t="str">
        <f>IFERROR(VLOOKUP(I243,'Project Records_v2'!F:G, 2, FALSE), "")</f>
        <v/>
      </c>
      <c r="K243" s="143"/>
      <c r="L243" s="390"/>
      <c r="M243" s="419"/>
      <c r="N243" s="370"/>
      <c r="O243" s="370"/>
      <c r="P243" s="371"/>
      <c r="Q243" s="365"/>
    </row>
    <row r="244" ht="22.5" customHeight="1">
      <c r="A244" s="146"/>
      <c r="B244" s="413"/>
      <c r="C244" s="367"/>
      <c r="D244" s="420"/>
      <c r="E244" s="405"/>
      <c r="F244" s="404"/>
      <c r="G244" s="352" t="str">
        <f>IFERROR(VLOOKUP(D244,'Client ID Records_v2'!D:E, 2, FALSE), "")</f>
        <v/>
      </c>
      <c r="H244" s="368" t="str">
        <f>IFERROR(VLOOKUP(G244,'Client ID Records_v2'!E:F, 2, FALSE), "")</f>
        <v/>
      </c>
      <c r="I244" s="352"/>
      <c r="J244" s="358" t="str">
        <f>IFERROR(VLOOKUP(I244,'Project Records_v2'!F:G, 2, FALSE), "")</f>
        <v/>
      </c>
      <c r="K244" s="143"/>
      <c r="L244" s="390"/>
      <c r="M244" s="419"/>
      <c r="N244" s="370"/>
      <c r="O244" s="370"/>
      <c r="P244" s="371"/>
      <c r="Q244" s="365"/>
    </row>
    <row r="245" ht="22.5" customHeight="1">
      <c r="A245" s="146"/>
      <c r="B245" s="413"/>
      <c r="C245" s="367"/>
      <c r="D245" s="420"/>
      <c r="E245" s="405"/>
      <c r="F245" s="404"/>
      <c r="G245" s="352" t="str">
        <f>IFERROR(VLOOKUP(D245,'Client ID Records_v2'!D:E, 2, FALSE), "")</f>
        <v/>
      </c>
      <c r="H245" s="368" t="str">
        <f>IFERROR(VLOOKUP(G245,'Client ID Records_v2'!E:F, 2, FALSE), "")</f>
        <v/>
      </c>
      <c r="I245" s="352"/>
      <c r="J245" s="358" t="str">
        <f>IFERROR(VLOOKUP(I245,'Project Records_v2'!F:G, 2, FALSE), "")</f>
        <v/>
      </c>
      <c r="K245" s="143"/>
      <c r="L245" s="390"/>
      <c r="M245" s="419"/>
      <c r="N245" s="370"/>
      <c r="O245" s="370"/>
      <c r="P245" s="371"/>
      <c r="Q245" s="365"/>
    </row>
    <row r="246" ht="22.5" customHeight="1">
      <c r="A246" s="146"/>
      <c r="B246" s="413"/>
      <c r="C246" s="367"/>
      <c r="D246" s="420"/>
      <c r="E246" s="405"/>
      <c r="F246" s="404"/>
      <c r="G246" s="352" t="str">
        <f>IFERROR(VLOOKUP(D246,'Client ID Records_v2'!D:E, 2, FALSE), "")</f>
        <v/>
      </c>
      <c r="H246" s="368" t="str">
        <f>IFERROR(VLOOKUP(G246,'Client ID Records_v2'!E:F, 2, FALSE), "")</f>
        <v/>
      </c>
      <c r="I246" s="352"/>
      <c r="J246" s="358" t="str">
        <f>IFERROR(VLOOKUP(I246,'Project Records_v2'!F:G, 2, FALSE), "")</f>
        <v/>
      </c>
      <c r="K246" s="143"/>
      <c r="L246" s="390"/>
      <c r="M246" s="419"/>
      <c r="N246" s="370"/>
      <c r="O246" s="370"/>
      <c r="P246" s="371"/>
      <c r="Q246" s="365"/>
    </row>
    <row r="247" ht="22.5" customHeight="1">
      <c r="A247" s="146"/>
      <c r="B247" s="413"/>
      <c r="C247" s="367"/>
      <c r="D247" s="420"/>
      <c r="E247" s="405"/>
      <c r="F247" s="404"/>
      <c r="G247" s="352" t="str">
        <f>IFERROR(VLOOKUP(D247,'Client ID Records_v2'!D:E, 2, FALSE), "")</f>
        <v/>
      </c>
      <c r="H247" s="368" t="str">
        <f>IFERROR(VLOOKUP(G247,'Client ID Records_v2'!E:F, 2, FALSE), "")</f>
        <v/>
      </c>
      <c r="I247" s="352"/>
      <c r="J247" s="358" t="str">
        <f>IFERROR(VLOOKUP(I247,'Project Records_v2'!F:G, 2, FALSE), "")</f>
        <v/>
      </c>
      <c r="K247" s="143"/>
      <c r="L247" s="390"/>
      <c r="M247" s="419"/>
      <c r="N247" s="370"/>
      <c r="O247" s="370"/>
      <c r="P247" s="371"/>
      <c r="Q247" s="365"/>
    </row>
    <row r="248" ht="22.5" customHeight="1">
      <c r="A248" s="146"/>
      <c r="B248" s="413"/>
      <c r="C248" s="367"/>
      <c r="D248" s="420"/>
      <c r="E248" s="405"/>
      <c r="F248" s="404"/>
      <c r="G248" s="352" t="str">
        <f>IFERROR(VLOOKUP(D248,'Client ID Records_v2'!D:E, 2, FALSE), "")</f>
        <v/>
      </c>
      <c r="H248" s="368" t="str">
        <f>IFERROR(VLOOKUP(G248,'Client ID Records_v2'!E:F, 2, FALSE), "")</f>
        <v/>
      </c>
      <c r="I248" s="352"/>
      <c r="J248" s="358" t="str">
        <f>IFERROR(VLOOKUP(I248,'Project Records_v2'!F:G, 2, FALSE), "")</f>
        <v/>
      </c>
      <c r="K248" s="143"/>
      <c r="L248" s="390"/>
      <c r="M248" s="419"/>
      <c r="N248" s="370"/>
      <c r="O248" s="370"/>
      <c r="P248" s="371"/>
      <c r="Q248" s="365"/>
    </row>
    <row r="249" ht="22.5" customHeight="1">
      <c r="A249" s="146"/>
      <c r="B249" s="413"/>
      <c r="C249" s="367"/>
      <c r="D249" s="420"/>
      <c r="E249" s="405"/>
      <c r="F249" s="404"/>
      <c r="G249" s="352" t="str">
        <f>IFERROR(VLOOKUP(D249,'Client ID Records_v2'!D:E, 2, FALSE), "")</f>
        <v/>
      </c>
      <c r="H249" s="368" t="str">
        <f>IFERROR(VLOOKUP(G249,'Client ID Records_v2'!E:F, 2, FALSE), "")</f>
        <v/>
      </c>
      <c r="I249" s="352"/>
      <c r="J249" s="358" t="str">
        <f>IFERROR(VLOOKUP(I249,'Project Records_v2'!F:G, 2, FALSE), "")</f>
        <v/>
      </c>
      <c r="K249" s="143"/>
      <c r="L249" s="390"/>
      <c r="M249" s="419"/>
      <c r="N249" s="370"/>
      <c r="O249" s="370"/>
      <c r="P249" s="371"/>
      <c r="Q249" s="365"/>
    </row>
    <row r="250" ht="22.5" customHeight="1">
      <c r="A250" s="146"/>
      <c r="B250" s="413"/>
      <c r="C250" s="367"/>
      <c r="D250" s="420"/>
      <c r="E250" s="405"/>
      <c r="F250" s="404"/>
      <c r="G250" s="352" t="str">
        <f>IFERROR(VLOOKUP(D250,'Client ID Records_v2'!D:E, 2, FALSE), "")</f>
        <v/>
      </c>
      <c r="H250" s="368" t="str">
        <f>IFERROR(VLOOKUP(G250,'Client ID Records_v2'!E:F, 2, FALSE), "")</f>
        <v/>
      </c>
      <c r="I250" s="352"/>
      <c r="J250" s="358" t="str">
        <f>IFERROR(VLOOKUP(I250,'Project Records_v2'!F:G, 2, FALSE), "")</f>
        <v/>
      </c>
      <c r="K250" s="143"/>
      <c r="L250" s="390"/>
      <c r="M250" s="419"/>
      <c r="N250" s="370"/>
      <c r="O250" s="370"/>
      <c r="P250" s="371"/>
      <c r="Q250" s="365"/>
    </row>
    <row r="251" ht="22.5" customHeight="1">
      <c r="A251" s="146"/>
      <c r="B251" s="413"/>
      <c r="C251" s="367"/>
      <c r="D251" s="420"/>
      <c r="E251" s="405"/>
      <c r="F251" s="404"/>
      <c r="G251" s="352" t="str">
        <f>IFERROR(VLOOKUP(D251,'Client ID Records_v2'!D:E, 2, FALSE), "")</f>
        <v/>
      </c>
      <c r="H251" s="368" t="str">
        <f>IFERROR(VLOOKUP(G251,'Client ID Records_v2'!E:F, 2, FALSE), "")</f>
        <v/>
      </c>
      <c r="I251" s="352"/>
      <c r="J251" s="358" t="str">
        <f>IFERROR(VLOOKUP(I251,'Project Records_v2'!F:G, 2, FALSE), "")</f>
        <v/>
      </c>
      <c r="K251" s="143"/>
      <c r="L251" s="390"/>
      <c r="M251" s="419"/>
      <c r="N251" s="370"/>
      <c r="O251" s="370"/>
      <c r="P251" s="371"/>
      <c r="Q251" s="365"/>
    </row>
    <row r="252" ht="22.5" customHeight="1">
      <c r="A252" s="146"/>
      <c r="B252" s="413"/>
      <c r="C252" s="367"/>
      <c r="D252" s="420"/>
      <c r="E252" s="405"/>
      <c r="F252" s="404"/>
      <c r="G252" s="352" t="str">
        <f>IFERROR(VLOOKUP(D252,'Client ID Records_v2'!D:E, 2, FALSE), "")</f>
        <v/>
      </c>
      <c r="H252" s="368" t="str">
        <f>IFERROR(VLOOKUP(G252,'Client ID Records_v2'!E:F, 2, FALSE), "")</f>
        <v/>
      </c>
      <c r="I252" s="352"/>
      <c r="J252" s="358" t="str">
        <f>IFERROR(VLOOKUP(I252,'Project Records_v2'!F:G, 2, FALSE), "")</f>
        <v/>
      </c>
      <c r="K252" s="143"/>
      <c r="L252" s="390"/>
      <c r="M252" s="419"/>
      <c r="N252" s="370"/>
      <c r="O252" s="370"/>
      <c r="P252" s="371"/>
      <c r="Q252" s="365"/>
    </row>
    <row r="253" ht="22.5" customHeight="1">
      <c r="A253" s="146"/>
      <c r="B253" s="413"/>
      <c r="C253" s="367"/>
      <c r="D253" s="420"/>
      <c r="E253" s="405"/>
      <c r="F253" s="404"/>
      <c r="G253" s="352" t="str">
        <f>IFERROR(VLOOKUP(D253,'Client ID Records_v2'!D:E, 2, FALSE), "")</f>
        <v/>
      </c>
      <c r="H253" s="368" t="str">
        <f>IFERROR(VLOOKUP(G253,'Client ID Records_v2'!E:F, 2, FALSE), "")</f>
        <v/>
      </c>
      <c r="I253" s="352"/>
      <c r="J253" s="358" t="str">
        <f>IFERROR(VLOOKUP(I253,'Project Records_v2'!F:G, 2, FALSE), "")</f>
        <v/>
      </c>
      <c r="K253" s="143"/>
      <c r="L253" s="390"/>
      <c r="M253" s="419"/>
      <c r="N253" s="370"/>
      <c r="O253" s="370"/>
      <c r="P253" s="371"/>
      <c r="Q253" s="365"/>
    </row>
    <row r="254" ht="22.5" customHeight="1">
      <c r="A254" s="146"/>
      <c r="B254" s="413"/>
      <c r="C254" s="367"/>
      <c r="D254" s="420"/>
      <c r="E254" s="405"/>
      <c r="F254" s="404"/>
      <c r="G254" s="352" t="str">
        <f>IFERROR(VLOOKUP(D254,'Client ID Records_v2'!D:E, 2, FALSE), "")</f>
        <v/>
      </c>
      <c r="H254" s="368" t="str">
        <f>IFERROR(VLOOKUP(G254,'Client ID Records_v2'!E:F, 2, FALSE), "")</f>
        <v/>
      </c>
      <c r="I254" s="352"/>
      <c r="J254" s="358" t="str">
        <f>IFERROR(VLOOKUP(I254,'Project Records_v2'!F:G, 2, FALSE), "")</f>
        <v/>
      </c>
      <c r="K254" s="143"/>
      <c r="L254" s="390"/>
      <c r="M254" s="419"/>
      <c r="N254" s="370"/>
      <c r="O254" s="370"/>
      <c r="P254" s="371"/>
      <c r="Q254" s="365"/>
    </row>
    <row r="255" ht="22.5" customHeight="1">
      <c r="A255" s="146"/>
      <c r="B255" s="413"/>
      <c r="C255" s="367"/>
      <c r="D255" s="420"/>
      <c r="E255" s="405"/>
      <c r="F255" s="404"/>
      <c r="G255" s="352" t="str">
        <f>IFERROR(VLOOKUP(D255,'Client ID Records_v2'!D:E, 2, FALSE), "")</f>
        <v/>
      </c>
      <c r="H255" s="368" t="str">
        <f>IFERROR(VLOOKUP(G255,'Client ID Records_v2'!E:F, 2, FALSE), "")</f>
        <v/>
      </c>
      <c r="I255" s="352"/>
      <c r="J255" s="358" t="str">
        <f>IFERROR(VLOOKUP(I255,'Project Records_v2'!F:G, 2, FALSE), "")</f>
        <v/>
      </c>
      <c r="K255" s="143"/>
      <c r="L255" s="390"/>
      <c r="M255" s="419"/>
      <c r="N255" s="370"/>
      <c r="O255" s="370"/>
      <c r="P255" s="371"/>
      <c r="Q255" s="365"/>
    </row>
    <row r="256" ht="22.5" customHeight="1">
      <c r="A256" s="146"/>
      <c r="B256" s="413"/>
      <c r="C256" s="367"/>
      <c r="D256" s="420"/>
      <c r="E256" s="405"/>
      <c r="F256" s="404"/>
      <c r="G256" s="352" t="str">
        <f>IFERROR(VLOOKUP(D256,'Client ID Records_v2'!D:E, 2, FALSE), "")</f>
        <v/>
      </c>
      <c r="H256" s="368" t="str">
        <f>IFERROR(VLOOKUP(G256,'Client ID Records_v2'!E:F, 2, FALSE), "")</f>
        <v/>
      </c>
      <c r="I256" s="352"/>
      <c r="J256" s="358" t="str">
        <f>IFERROR(VLOOKUP(I256,'Project Records_v2'!F:G, 2, FALSE), "")</f>
        <v/>
      </c>
      <c r="K256" s="143"/>
      <c r="L256" s="390"/>
      <c r="M256" s="419"/>
      <c r="N256" s="370"/>
      <c r="O256" s="370"/>
      <c r="P256" s="371"/>
      <c r="Q256" s="365"/>
    </row>
    <row r="257" ht="22.5" customHeight="1">
      <c r="A257" s="146"/>
      <c r="B257" s="413"/>
      <c r="C257" s="367"/>
      <c r="D257" s="420"/>
      <c r="E257" s="405"/>
      <c r="F257" s="404"/>
      <c r="G257" s="352" t="str">
        <f>IFERROR(VLOOKUP(D257,'Client ID Records_v2'!D:E, 2, FALSE), "")</f>
        <v/>
      </c>
      <c r="H257" s="368" t="str">
        <f>IFERROR(VLOOKUP(G257,'Client ID Records_v2'!E:F, 2, FALSE), "")</f>
        <v/>
      </c>
      <c r="I257" s="352"/>
      <c r="J257" s="358" t="str">
        <f>IFERROR(VLOOKUP(I257,'Project Records_v2'!F:G, 2, FALSE), "")</f>
        <v/>
      </c>
      <c r="K257" s="143"/>
      <c r="L257" s="390"/>
      <c r="M257" s="419"/>
      <c r="N257" s="370"/>
      <c r="O257" s="370"/>
      <c r="P257" s="371"/>
      <c r="Q257" s="365"/>
    </row>
    <row r="258" ht="22.5" customHeight="1">
      <c r="A258" s="146"/>
      <c r="B258" s="413"/>
      <c r="C258" s="367"/>
      <c r="D258" s="420"/>
      <c r="E258" s="405"/>
      <c r="F258" s="404"/>
      <c r="G258" s="352" t="str">
        <f>IFERROR(VLOOKUP(D258,'Client ID Records_v2'!D:E, 2, FALSE), "")</f>
        <v/>
      </c>
      <c r="H258" s="368" t="str">
        <f>IFERROR(VLOOKUP(G258,'Client ID Records_v2'!E:F, 2, FALSE), "")</f>
        <v/>
      </c>
      <c r="I258" s="352"/>
      <c r="J258" s="358" t="str">
        <f>IFERROR(VLOOKUP(I258,'Project Records_v2'!F:G, 2, FALSE), "")</f>
        <v/>
      </c>
      <c r="K258" s="143"/>
      <c r="L258" s="390"/>
      <c r="M258" s="419"/>
      <c r="N258" s="370"/>
      <c r="O258" s="370"/>
      <c r="P258" s="371"/>
      <c r="Q258" s="365"/>
    </row>
    <row r="259" ht="22.5" customHeight="1">
      <c r="A259" s="146"/>
      <c r="B259" s="413"/>
      <c r="C259" s="367"/>
      <c r="D259" s="420"/>
      <c r="E259" s="405"/>
      <c r="F259" s="404"/>
      <c r="G259" s="352" t="str">
        <f>IFERROR(VLOOKUP(D259,'Client ID Records_v2'!D:E, 2, FALSE), "")</f>
        <v/>
      </c>
      <c r="H259" s="368" t="str">
        <f>IFERROR(VLOOKUP(G259,'Client ID Records_v2'!E:F, 2, FALSE), "")</f>
        <v/>
      </c>
      <c r="I259" s="352"/>
      <c r="J259" s="358" t="str">
        <f>IFERROR(VLOOKUP(I259,'Project Records_v2'!F:G, 2, FALSE), "")</f>
        <v/>
      </c>
      <c r="K259" s="143"/>
      <c r="L259" s="390"/>
      <c r="M259" s="419"/>
      <c r="N259" s="370"/>
      <c r="O259" s="370"/>
      <c r="P259" s="371"/>
      <c r="Q259" s="365"/>
    </row>
    <row r="260" ht="22.5" customHeight="1">
      <c r="A260" s="146"/>
      <c r="B260" s="413"/>
      <c r="C260" s="367"/>
      <c r="D260" s="420"/>
      <c r="E260" s="405"/>
      <c r="F260" s="404"/>
      <c r="G260" s="352" t="str">
        <f>IFERROR(VLOOKUP(D260,'Client ID Records_v2'!D:E, 2, FALSE), "")</f>
        <v/>
      </c>
      <c r="H260" s="368" t="str">
        <f>IFERROR(VLOOKUP(G260,'Client ID Records_v2'!E:F, 2, FALSE), "")</f>
        <v/>
      </c>
      <c r="I260" s="352"/>
      <c r="J260" s="358" t="str">
        <f>IFERROR(VLOOKUP(I260,'Project Records_v2'!F:G, 2, FALSE), "")</f>
        <v/>
      </c>
      <c r="K260" s="143"/>
      <c r="L260" s="390"/>
      <c r="M260" s="419"/>
      <c r="N260" s="370"/>
      <c r="O260" s="370"/>
      <c r="P260" s="371"/>
      <c r="Q260" s="365"/>
    </row>
    <row r="261" ht="22.5" customHeight="1">
      <c r="A261" s="146"/>
      <c r="B261" s="413"/>
      <c r="C261" s="367"/>
      <c r="D261" s="420"/>
      <c r="E261" s="405"/>
      <c r="F261" s="404"/>
      <c r="G261" s="352" t="str">
        <f>IFERROR(VLOOKUP(D261,'Client ID Records_v2'!D:E, 2, FALSE), "")</f>
        <v/>
      </c>
      <c r="H261" s="368" t="str">
        <f>IFERROR(VLOOKUP(G261,'Client ID Records_v2'!E:F, 2, FALSE), "")</f>
        <v/>
      </c>
      <c r="I261" s="352"/>
      <c r="J261" s="358" t="str">
        <f>IFERROR(VLOOKUP(I261,'Project Records_v2'!F:G, 2, FALSE), "")</f>
        <v/>
      </c>
      <c r="K261" s="143"/>
      <c r="L261" s="390"/>
      <c r="M261" s="419"/>
      <c r="N261" s="370"/>
      <c r="O261" s="370"/>
      <c r="P261" s="371"/>
      <c r="Q261" s="365"/>
    </row>
    <row r="262" ht="22.5" customHeight="1">
      <c r="A262" s="146"/>
      <c r="B262" s="413"/>
      <c r="C262" s="367"/>
      <c r="D262" s="420"/>
      <c r="E262" s="405"/>
      <c r="F262" s="404"/>
      <c r="G262" s="352" t="str">
        <f>IFERROR(VLOOKUP(D262,'Client ID Records_v2'!D:E, 2, FALSE), "")</f>
        <v/>
      </c>
      <c r="H262" s="368" t="str">
        <f>IFERROR(VLOOKUP(G262,'Client ID Records_v2'!E:F, 2, FALSE), "")</f>
        <v/>
      </c>
      <c r="I262" s="352"/>
      <c r="J262" s="358" t="str">
        <f>IFERROR(VLOOKUP(I262,'Project Records_v2'!F:G, 2, FALSE), "")</f>
        <v/>
      </c>
      <c r="K262" s="143"/>
      <c r="L262" s="390"/>
      <c r="M262" s="419"/>
      <c r="N262" s="370"/>
      <c r="O262" s="370"/>
      <c r="P262" s="371"/>
      <c r="Q262" s="365"/>
    </row>
    <row r="263" ht="22.5" customHeight="1">
      <c r="A263" s="146"/>
      <c r="B263" s="413"/>
      <c r="C263" s="367"/>
      <c r="D263" s="420"/>
      <c r="E263" s="405"/>
      <c r="F263" s="404"/>
      <c r="G263" s="352" t="str">
        <f>IFERROR(VLOOKUP(D263,'Client ID Records_v2'!D:E, 2, FALSE), "")</f>
        <v/>
      </c>
      <c r="H263" s="368" t="str">
        <f>IFERROR(VLOOKUP(G263,'Client ID Records_v2'!E:F, 2, FALSE), "")</f>
        <v/>
      </c>
      <c r="I263" s="352"/>
      <c r="J263" s="358" t="str">
        <f>IFERROR(VLOOKUP(I263,'Project Records_v2'!F:G, 2, FALSE), "")</f>
        <v/>
      </c>
      <c r="K263" s="143"/>
      <c r="L263" s="390"/>
      <c r="M263" s="419"/>
      <c r="N263" s="370"/>
      <c r="O263" s="370"/>
      <c r="P263" s="371"/>
      <c r="Q263" s="365"/>
    </row>
    <row r="264" ht="22.5" customHeight="1">
      <c r="A264" s="146"/>
      <c r="B264" s="413"/>
      <c r="C264" s="367"/>
      <c r="D264" s="420"/>
      <c r="E264" s="405"/>
      <c r="F264" s="404"/>
      <c r="G264" s="352" t="str">
        <f>IFERROR(VLOOKUP(D264,'Client ID Records_v2'!D:E, 2, FALSE), "")</f>
        <v/>
      </c>
      <c r="H264" s="368" t="str">
        <f>IFERROR(VLOOKUP(G264,'Client ID Records_v2'!E:F, 2, FALSE), "")</f>
        <v/>
      </c>
      <c r="I264" s="352"/>
      <c r="J264" s="358" t="str">
        <f>IFERROR(VLOOKUP(I264,'Project Records_v2'!F:G, 2, FALSE), "")</f>
        <v/>
      </c>
      <c r="K264" s="143"/>
      <c r="L264" s="390"/>
      <c r="M264" s="419"/>
      <c r="N264" s="370"/>
      <c r="O264" s="370"/>
      <c r="P264" s="371"/>
      <c r="Q264" s="365"/>
    </row>
    <row r="265" ht="22.5" customHeight="1">
      <c r="A265" s="146"/>
      <c r="B265" s="413"/>
      <c r="C265" s="367"/>
      <c r="D265" s="420"/>
      <c r="E265" s="405"/>
      <c r="F265" s="404"/>
      <c r="G265" s="352" t="str">
        <f>IFERROR(VLOOKUP(D265,'Client ID Records_v2'!D:E, 2, FALSE), "")</f>
        <v/>
      </c>
      <c r="H265" s="368" t="str">
        <f>IFERROR(VLOOKUP(G265,'Client ID Records_v2'!E:F, 2, FALSE), "")</f>
        <v/>
      </c>
      <c r="I265" s="352"/>
      <c r="J265" s="358" t="str">
        <f>IFERROR(VLOOKUP(I265,'Project Records_v2'!F:G, 2, FALSE), "")</f>
        <v/>
      </c>
      <c r="K265" s="143"/>
      <c r="L265" s="390"/>
      <c r="M265" s="419"/>
      <c r="N265" s="370"/>
      <c r="O265" s="370"/>
      <c r="P265" s="371"/>
      <c r="Q265" s="365"/>
    </row>
    <row r="266" ht="22.5" customHeight="1">
      <c r="A266" s="146"/>
      <c r="B266" s="413"/>
      <c r="C266" s="367"/>
      <c r="D266" s="420"/>
      <c r="E266" s="405"/>
      <c r="F266" s="404"/>
      <c r="G266" s="352" t="str">
        <f>IFERROR(VLOOKUP(D266,'Client ID Records_v2'!D:E, 2, FALSE), "")</f>
        <v/>
      </c>
      <c r="H266" s="368" t="str">
        <f>IFERROR(VLOOKUP(G266,'Client ID Records_v2'!E:F, 2, FALSE), "")</f>
        <v/>
      </c>
      <c r="I266" s="352"/>
      <c r="J266" s="358" t="str">
        <f>IFERROR(VLOOKUP(I266,'Project Records_v2'!F:G, 2, FALSE), "")</f>
        <v/>
      </c>
      <c r="K266" s="143"/>
      <c r="L266" s="390"/>
      <c r="M266" s="419"/>
      <c r="N266" s="370"/>
      <c r="O266" s="370"/>
      <c r="P266" s="371"/>
      <c r="Q266" s="365"/>
    </row>
    <row r="267" ht="22.5" customHeight="1">
      <c r="A267" s="146"/>
      <c r="B267" s="413"/>
      <c r="C267" s="367"/>
      <c r="D267" s="420"/>
      <c r="E267" s="405"/>
      <c r="F267" s="404"/>
      <c r="G267" s="352" t="str">
        <f>IFERROR(VLOOKUP(D267,'Client ID Records_v2'!D:E, 2, FALSE), "")</f>
        <v/>
      </c>
      <c r="H267" s="368" t="str">
        <f>IFERROR(VLOOKUP(G267,'Client ID Records_v2'!E:F, 2, FALSE), "")</f>
        <v/>
      </c>
      <c r="I267" s="352"/>
      <c r="J267" s="358" t="str">
        <f>IFERROR(VLOOKUP(I267,'Project Records_v2'!F:G, 2, FALSE), "")</f>
        <v/>
      </c>
      <c r="K267" s="143"/>
      <c r="L267" s="390"/>
      <c r="M267" s="419"/>
      <c r="N267" s="370"/>
      <c r="O267" s="370"/>
      <c r="P267" s="371"/>
      <c r="Q267" s="365"/>
    </row>
    <row r="268" ht="22.5" customHeight="1">
      <c r="A268" s="146"/>
      <c r="B268" s="413"/>
      <c r="C268" s="367"/>
      <c r="D268" s="420"/>
      <c r="E268" s="405"/>
      <c r="F268" s="404"/>
      <c r="G268" s="352" t="str">
        <f>IFERROR(VLOOKUP(D268,'Client ID Records_v2'!D:E, 2, FALSE), "")</f>
        <v/>
      </c>
      <c r="H268" s="368" t="str">
        <f>IFERROR(VLOOKUP(G268,'Client ID Records_v2'!E:F, 2, FALSE), "")</f>
        <v/>
      </c>
      <c r="I268" s="352"/>
      <c r="J268" s="358" t="str">
        <f>IFERROR(VLOOKUP(I268,'Project Records_v2'!F:G, 2, FALSE), "")</f>
        <v/>
      </c>
      <c r="K268" s="143"/>
      <c r="L268" s="390"/>
      <c r="M268" s="419"/>
      <c r="N268" s="370"/>
      <c r="O268" s="370"/>
      <c r="P268" s="371"/>
      <c r="Q268" s="365"/>
    </row>
    <row r="269" ht="22.5" customHeight="1">
      <c r="A269" s="146"/>
      <c r="B269" s="413"/>
      <c r="C269" s="367"/>
      <c r="D269" s="420"/>
      <c r="E269" s="405"/>
      <c r="F269" s="404"/>
      <c r="G269" s="352" t="str">
        <f>IFERROR(VLOOKUP(D269,'Client ID Records_v2'!D:E, 2, FALSE), "")</f>
        <v/>
      </c>
      <c r="H269" s="368" t="str">
        <f>IFERROR(VLOOKUP(G269,'Client ID Records_v2'!E:F, 2, FALSE), "")</f>
        <v/>
      </c>
      <c r="I269" s="352"/>
      <c r="J269" s="358" t="str">
        <f>IFERROR(VLOOKUP(I269,'Project Records_v2'!F:G, 2, FALSE), "")</f>
        <v/>
      </c>
      <c r="K269" s="143"/>
      <c r="L269" s="390"/>
      <c r="M269" s="419"/>
      <c r="N269" s="370"/>
      <c r="O269" s="370"/>
      <c r="P269" s="371"/>
      <c r="Q269" s="365"/>
    </row>
    <row r="270" ht="22.5" customHeight="1">
      <c r="A270" s="146"/>
      <c r="B270" s="413"/>
      <c r="C270" s="367"/>
      <c r="D270" s="420"/>
      <c r="E270" s="405"/>
      <c r="F270" s="404"/>
      <c r="G270" s="352" t="str">
        <f>IFERROR(VLOOKUP(D270,'Client ID Records_v2'!D:E, 2, FALSE), "")</f>
        <v/>
      </c>
      <c r="H270" s="368" t="str">
        <f>IFERROR(VLOOKUP(G270,'Client ID Records_v2'!E:F, 2, FALSE), "")</f>
        <v/>
      </c>
      <c r="I270" s="352"/>
      <c r="J270" s="358" t="str">
        <f>IFERROR(VLOOKUP(I270,'Project Records_v2'!F:G, 2, FALSE), "")</f>
        <v/>
      </c>
      <c r="K270" s="143"/>
      <c r="L270" s="390"/>
      <c r="M270" s="419"/>
      <c r="N270" s="370"/>
      <c r="O270" s="370"/>
      <c r="P270" s="371"/>
      <c r="Q270" s="365"/>
    </row>
    <row r="271" ht="22.5" customHeight="1">
      <c r="A271" s="146"/>
      <c r="B271" s="413"/>
      <c r="C271" s="367"/>
      <c r="D271" s="420"/>
      <c r="E271" s="405"/>
      <c r="F271" s="404"/>
      <c r="G271" s="352" t="str">
        <f>IFERROR(VLOOKUP(D271,'Client ID Records_v2'!D:E, 2, FALSE), "")</f>
        <v/>
      </c>
      <c r="H271" s="368" t="str">
        <f>IFERROR(VLOOKUP(G271,'Client ID Records_v2'!E:F, 2, FALSE), "")</f>
        <v/>
      </c>
      <c r="I271" s="352"/>
      <c r="J271" s="358" t="str">
        <f>IFERROR(VLOOKUP(I271,'Project Records_v2'!F:G, 2, FALSE), "")</f>
        <v/>
      </c>
      <c r="K271" s="143"/>
      <c r="L271" s="390"/>
      <c r="M271" s="419"/>
      <c r="N271" s="370"/>
      <c r="O271" s="370"/>
      <c r="P271" s="371"/>
      <c r="Q271" s="365"/>
    </row>
    <row r="272" ht="22.5" customHeight="1">
      <c r="A272" s="146"/>
      <c r="B272" s="413"/>
      <c r="C272" s="367"/>
      <c r="D272" s="420"/>
      <c r="E272" s="405"/>
      <c r="F272" s="404"/>
      <c r="G272" s="352" t="str">
        <f>IFERROR(VLOOKUP(D272,'Client ID Records_v2'!D:E, 2, FALSE), "")</f>
        <v/>
      </c>
      <c r="H272" s="368" t="str">
        <f>IFERROR(VLOOKUP(G272,'Client ID Records_v2'!E:F, 2, FALSE), "")</f>
        <v/>
      </c>
      <c r="I272" s="352"/>
      <c r="J272" s="358" t="str">
        <f>IFERROR(VLOOKUP(I272,'Project Records_v2'!F:G, 2, FALSE), "")</f>
        <v/>
      </c>
      <c r="K272" s="143"/>
      <c r="L272" s="390"/>
      <c r="M272" s="419"/>
      <c r="N272" s="370"/>
      <c r="O272" s="370"/>
      <c r="P272" s="371"/>
      <c r="Q272" s="365"/>
    </row>
    <row r="273" ht="22.5" customHeight="1">
      <c r="A273" s="146"/>
      <c r="B273" s="413"/>
      <c r="C273" s="367"/>
      <c r="D273" s="420"/>
      <c r="E273" s="405"/>
      <c r="F273" s="404"/>
      <c r="G273" s="352" t="str">
        <f>IFERROR(VLOOKUP(D273,'Client ID Records_v2'!D:E, 2, FALSE), "")</f>
        <v/>
      </c>
      <c r="H273" s="368" t="str">
        <f>IFERROR(VLOOKUP(G273,'Client ID Records_v2'!E:F, 2, FALSE), "")</f>
        <v/>
      </c>
      <c r="I273" s="352"/>
      <c r="J273" s="358" t="str">
        <f>IFERROR(VLOOKUP(I273,'Project Records_v2'!F:G, 2, FALSE), "")</f>
        <v/>
      </c>
      <c r="K273" s="143"/>
      <c r="L273" s="390"/>
      <c r="M273" s="419"/>
      <c r="N273" s="370"/>
      <c r="O273" s="370"/>
      <c r="P273" s="371"/>
      <c r="Q273" s="365"/>
    </row>
    <row r="274" ht="22.5" customHeight="1">
      <c r="A274" s="146"/>
      <c r="B274" s="413"/>
      <c r="C274" s="367"/>
      <c r="D274" s="420"/>
      <c r="E274" s="405"/>
      <c r="F274" s="404"/>
      <c r="G274" s="352" t="str">
        <f>IFERROR(VLOOKUP(D274,'Client ID Records_v2'!D:E, 2, FALSE), "")</f>
        <v/>
      </c>
      <c r="H274" s="368" t="str">
        <f>IFERROR(VLOOKUP(G274,'Client ID Records_v2'!E:F, 2, FALSE), "")</f>
        <v/>
      </c>
      <c r="I274" s="352"/>
      <c r="J274" s="358" t="str">
        <f>IFERROR(VLOOKUP(I274,'Project Records_v2'!F:G, 2, FALSE), "")</f>
        <v/>
      </c>
      <c r="K274" s="143"/>
      <c r="L274" s="390"/>
      <c r="M274" s="419"/>
      <c r="N274" s="370"/>
      <c r="O274" s="370"/>
      <c r="P274" s="371"/>
      <c r="Q274" s="365"/>
    </row>
    <row r="275" ht="22.5" customHeight="1">
      <c r="A275" s="146"/>
      <c r="B275" s="413"/>
      <c r="C275" s="367"/>
      <c r="D275" s="420"/>
      <c r="E275" s="405"/>
      <c r="F275" s="404"/>
      <c r="G275" s="352" t="str">
        <f>IFERROR(VLOOKUP(D275,'Client ID Records_v2'!D:E, 2, FALSE), "")</f>
        <v/>
      </c>
      <c r="H275" s="368" t="str">
        <f>IFERROR(VLOOKUP(G275,'Client ID Records_v2'!E:F, 2, FALSE), "")</f>
        <v/>
      </c>
      <c r="I275" s="352"/>
      <c r="J275" s="358" t="str">
        <f>IFERROR(VLOOKUP(I275,'Project Records_v2'!F:G, 2, FALSE), "")</f>
        <v/>
      </c>
      <c r="K275" s="143"/>
      <c r="L275" s="390"/>
      <c r="M275" s="419"/>
      <c r="N275" s="370"/>
      <c r="O275" s="370"/>
      <c r="P275" s="371"/>
      <c r="Q275" s="365"/>
    </row>
    <row r="276" ht="22.5" customHeight="1">
      <c r="A276" s="146"/>
      <c r="B276" s="413"/>
      <c r="C276" s="367"/>
      <c r="D276" s="420"/>
      <c r="E276" s="405"/>
      <c r="F276" s="404"/>
      <c r="G276" s="352" t="str">
        <f>IFERROR(VLOOKUP(D276,'Client ID Records_v2'!D:E, 2, FALSE), "")</f>
        <v/>
      </c>
      <c r="H276" s="368" t="str">
        <f>IFERROR(VLOOKUP(G276,'Client ID Records_v2'!E:F, 2, FALSE), "")</f>
        <v/>
      </c>
      <c r="I276" s="352"/>
      <c r="J276" s="358" t="str">
        <f>IFERROR(VLOOKUP(I276,'Project Records_v2'!F:G, 2, FALSE), "")</f>
        <v/>
      </c>
      <c r="K276" s="143"/>
      <c r="L276" s="390"/>
      <c r="M276" s="419"/>
      <c r="N276" s="370"/>
      <c r="O276" s="370"/>
      <c r="P276" s="371"/>
      <c r="Q276" s="365"/>
    </row>
    <row r="277" ht="22.5" customHeight="1">
      <c r="A277" s="146"/>
      <c r="B277" s="413"/>
      <c r="C277" s="367"/>
      <c r="D277" s="420"/>
      <c r="E277" s="405"/>
      <c r="F277" s="404"/>
      <c r="G277" s="352" t="str">
        <f>IFERROR(VLOOKUP(D277,'Client ID Records_v2'!D:E, 2, FALSE), "")</f>
        <v/>
      </c>
      <c r="H277" s="368" t="str">
        <f>IFERROR(VLOOKUP(G277,'Client ID Records_v2'!E:F, 2, FALSE), "")</f>
        <v/>
      </c>
      <c r="I277" s="352"/>
      <c r="J277" s="358" t="str">
        <f>IFERROR(VLOOKUP(I277,'Project Records_v2'!F:G, 2, FALSE), "")</f>
        <v/>
      </c>
      <c r="K277" s="143"/>
      <c r="L277" s="390"/>
      <c r="M277" s="419"/>
      <c r="N277" s="370"/>
      <c r="O277" s="370"/>
      <c r="P277" s="371"/>
      <c r="Q277" s="365"/>
    </row>
    <row r="278" ht="22.5" customHeight="1">
      <c r="A278" s="146"/>
      <c r="B278" s="413"/>
      <c r="C278" s="367"/>
      <c r="D278" s="420"/>
      <c r="E278" s="405"/>
      <c r="F278" s="404"/>
      <c r="G278" s="352" t="str">
        <f>IFERROR(VLOOKUP(D278,'Client ID Records_v2'!D:E, 2, FALSE), "")</f>
        <v/>
      </c>
      <c r="H278" s="368" t="str">
        <f>IFERROR(VLOOKUP(G278,'Client ID Records_v2'!E:F, 2, FALSE), "")</f>
        <v/>
      </c>
      <c r="I278" s="352"/>
      <c r="J278" s="358" t="str">
        <f>IFERROR(VLOOKUP(I278,'Project Records_v2'!F:G, 2, FALSE), "")</f>
        <v/>
      </c>
      <c r="K278" s="143"/>
      <c r="L278" s="390"/>
      <c r="M278" s="419"/>
      <c r="N278" s="370"/>
      <c r="O278" s="370"/>
      <c r="P278" s="371"/>
      <c r="Q278" s="365"/>
    </row>
    <row r="279" ht="22.5" customHeight="1">
      <c r="A279" s="146"/>
      <c r="B279" s="413"/>
      <c r="C279" s="367"/>
      <c r="D279" s="420"/>
      <c r="E279" s="405"/>
      <c r="F279" s="404"/>
      <c r="G279" s="352" t="str">
        <f>IFERROR(VLOOKUP(D279,'Client ID Records_v2'!D:E, 2, FALSE), "")</f>
        <v/>
      </c>
      <c r="H279" s="368" t="str">
        <f>IFERROR(VLOOKUP(G279,'Client ID Records_v2'!E:F, 2, FALSE), "")</f>
        <v/>
      </c>
      <c r="I279" s="352"/>
      <c r="J279" s="358" t="str">
        <f>IFERROR(VLOOKUP(I279,'Project Records_v2'!F:G, 2, FALSE), "")</f>
        <v/>
      </c>
      <c r="K279" s="143"/>
      <c r="L279" s="390"/>
      <c r="M279" s="419"/>
      <c r="N279" s="370"/>
      <c r="O279" s="370"/>
      <c r="P279" s="371"/>
      <c r="Q279" s="365"/>
    </row>
    <row r="280" ht="22.5" customHeight="1">
      <c r="A280" s="146"/>
      <c r="B280" s="413"/>
      <c r="C280" s="367"/>
      <c r="D280" s="420"/>
      <c r="E280" s="405"/>
      <c r="F280" s="404"/>
      <c r="G280" s="352" t="str">
        <f>IFERROR(VLOOKUP(D280,'Client ID Records_v2'!D:E, 2, FALSE), "")</f>
        <v/>
      </c>
      <c r="H280" s="368" t="str">
        <f>IFERROR(VLOOKUP(G280,'Client ID Records_v2'!E:F, 2, FALSE), "")</f>
        <v/>
      </c>
      <c r="I280" s="352"/>
      <c r="J280" s="358" t="str">
        <f>IFERROR(VLOOKUP(I280,'Project Records_v2'!F:G, 2, FALSE), "")</f>
        <v/>
      </c>
      <c r="K280" s="143"/>
      <c r="L280" s="390"/>
      <c r="M280" s="419"/>
      <c r="N280" s="370"/>
      <c r="O280" s="370"/>
      <c r="P280" s="371"/>
      <c r="Q280" s="365"/>
    </row>
    <row r="281" ht="22.5" customHeight="1">
      <c r="A281" s="146"/>
      <c r="B281" s="413"/>
      <c r="C281" s="367"/>
      <c r="D281" s="420"/>
      <c r="E281" s="405"/>
      <c r="F281" s="404"/>
      <c r="G281" s="352" t="str">
        <f>IFERROR(VLOOKUP(D281,'Client ID Records_v2'!D:E, 2, FALSE), "")</f>
        <v/>
      </c>
      <c r="H281" s="368" t="str">
        <f>IFERROR(VLOOKUP(G281,'Client ID Records_v2'!E:F, 2, FALSE), "")</f>
        <v/>
      </c>
      <c r="I281" s="352"/>
      <c r="J281" s="358" t="str">
        <f>IFERROR(VLOOKUP(I281,'Project Records_v2'!F:G, 2, FALSE), "")</f>
        <v/>
      </c>
      <c r="K281" s="143"/>
      <c r="L281" s="390"/>
      <c r="M281" s="419"/>
      <c r="N281" s="370"/>
      <c r="O281" s="370"/>
      <c r="P281" s="371"/>
      <c r="Q281" s="365"/>
    </row>
    <row r="282" ht="22.5" customHeight="1">
      <c r="A282" s="146"/>
      <c r="B282" s="413"/>
      <c r="C282" s="367"/>
      <c r="D282" s="420"/>
      <c r="E282" s="405"/>
      <c r="F282" s="404"/>
      <c r="G282" s="352" t="str">
        <f>IFERROR(VLOOKUP(D282,'Client ID Records_v2'!D:E, 2, FALSE), "")</f>
        <v/>
      </c>
      <c r="H282" s="368" t="str">
        <f>IFERROR(VLOOKUP(G282,'Client ID Records_v2'!E:F, 2, FALSE), "")</f>
        <v/>
      </c>
      <c r="I282" s="352"/>
      <c r="J282" s="358" t="str">
        <f>IFERROR(VLOOKUP(I282,'Project Records_v2'!F:G, 2, FALSE), "")</f>
        <v/>
      </c>
      <c r="K282" s="143"/>
      <c r="L282" s="390"/>
      <c r="M282" s="419"/>
      <c r="N282" s="370"/>
      <c r="O282" s="370"/>
      <c r="P282" s="371"/>
      <c r="Q282" s="365"/>
    </row>
    <row r="283" ht="22.5" customHeight="1">
      <c r="A283" s="146"/>
      <c r="B283" s="413"/>
      <c r="C283" s="367"/>
      <c r="D283" s="420"/>
      <c r="E283" s="405"/>
      <c r="F283" s="404"/>
      <c r="G283" s="352" t="str">
        <f>IFERROR(VLOOKUP(D283,'Client ID Records_v2'!D:E, 2, FALSE), "")</f>
        <v/>
      </c>
      <c r="H283" s="368" t="str">
        <f>IFERROR(VLOOKUP(G283,'Client ID Records_v2'!E:F, 2, FALSE), "")</f>
        <v/>
      </c>
      <c r="I283" s="352"/>
      <c r="J283" s="358" t="str">
        <f>IFERROR(VLOOKUP(I283,'Project Records_v2'!F:G, 2, FALSE), "")</f>
        <v/>
      </c>
      <c r="K283" s="143"/>
      <c r="L283" s="390"/>
      <c r="M283" s="419"/>
      <c r="N283" s="370"/>
      <c r="O283" s="370"/>
      <c r="P283" s="371"/>
      <c r="Q283" s="365"/>
    </row>
    <row r="284" ht="22.5" customHeight="1">
      <c r="A284" s="146"/>
      <c r="B284" s="413"/>
      <c r="C284" s="367"/>
      <c r="D284" s="420"/>
      <c r="E284" s="405"/>
      <c r="F284" s="404"/>
      <c r="G284" s="352" t="str">
        <f>IFERROR(VLOOKUP(D284,'Client ID Records_v2'!D:E, 2, FALSE), "")</f>
        <v/>
      </c>
      <c r="H284" s="368" t="str">
        <f>IFERROR(VLOOKUP(G284,'Client ID Records_v2'!E:F, 2, FALSE), "")</f>
        <v/>
      </c>
      <c r="I284" s="352"/>
      <c r="J284" s="358" t="str">
        <f>IFERROR(VLOOKUP(I284,'Project Records_v2'!F:G, 2, FALSE), "")</f>
        <v/>
      </c>
      <c r="K284" s="143"/>
      <c r="L284" s="390"/>
      <c r="M284" s="419"/>
      <c r="N284" s="370"/>
      <c r="O284" s="370"/>
      <c r="P284" s="371"/>
      <c r="Q284" s="365"/>
    </row>
    <row r="285" ht="22.5" customHeight="1">
      <c r="A285" s="146"/>
      <c r="B285" s="413"/>
      <c r="C285" s="367"/>
      <c r="D285" s="420"/>
      <c r="E285" s="405"/>
      <c r="F285" s="404"/>
      <c r="G285" s="352" t="str">
        <f>IFERROR(VLOOKUP(D285,'Client ID Records_v2'!D:E, 2, FALSE), "")</f>
        <v/>
      </c>
      <c r="H285" s="368" t="str">
        <f>IFERROR(VLOOKUP(G285,'Client ID Records_v2'!E:F, 2, FALSE), "")</f>
        <v/>
      </c>
      <c r="I285" s="352"/>
      <c r="J285" s="358" t="str">
        <f>IFERROR(VLOOKUP(I285,'Project Records_v2'!F:G, 2, FALSE), "")</f>
        <v/>
      </c>
      <c r="K285" s="143"/>
      <c r="L285" s="390"/>
      <c r="M285" s="419"/>
      <c r="N285" s="370"/>
      <c r="O285" s="370"/>
      <c r="P285" s="371"/>
      <c r="Q285" s="365"/>
    </row>
    <row r="286" ht="22.5" customHeight="1">
      <c r="A286" s="146"/>
      <c r="B286" s="413"/>
      <c r="C286" s="367"/>
      <c r="D286" s="420"/>
      <c r="E286" s="405"/>
      <c r="F286" s="404"/>
      <c r="G286" s="352" t="str">
        <f>IFERROR(VLOOKUP(D286,'Client ID Records_v2'!D:E, 2, FALSE), "")</f>
        <v/>
      </c>
      <c r="H286" s="368" t="str">
        <f>IFERROR(VLOOKUP(G286,'Client ID Records_v2'!E:F, 2, FALSE), "")</f>
        <v/>
      </c>
      <c r="I286" s="352"/>
      <c r="J286" s="358" t="str">
        <f>IFERROR(VLOOKUP(I286,'Project Records_v2'!F:G, 2, FALSE), "")</f>
        <v/>
      </c>
      <c r="K286" s="143"/>
      <c r="L286" s="390"/>
      <c r="M286" s="419"/>
      <c r="N286" s="370"/>
      <c r="O286" s="370"/>
      <c r="P286" s="371"/>
      <c r="Q286" s="365"/>
    </row>
    <row r="287" ht="22.5" customHeight="1">
      <c r="A287" s="146"/>
      <c r="B287" s="413"/>
      <c r="C287" s="367"/>
      <c r="D287" s="420"/>
      <c r="E287" s="405"/>
      <c r="F287" s="404"/>
      <c r="G287" s="352" t="str">
        <f>IFERROR(VLOOKUP(D287,'Client ID Records_v2'!D:E, 2, FALSE), "")</f>
        <v/>
      </c>
      <c r="H287" s="368" t="str">
        <f>IFERROR(VLOOKUP(G287,'Client ID Records_v2'!E:F, 2, FALSE), "")</f>
        <v/>
      </c>
      <c r="I287" s="352"/>
      <c r="J287" s="358" t="str">
        <f>IFERROR(VLOOKUP(I287,'Project Records_v2'!F:G, 2, FALSE), "")</f>
        <v/>
      </c>
      <c r="K287" s="143"/>
      <c r="L287" s="390"/>
      <c r="M287" s="419"/>
      <c r="N287" s="370"/>
      <c r="O287" s="370"/>
      <c r="P287" s="371"/>
      <c r="Q287" s="365"/>
    </row>
    <row r="288" ht="22.5" customHeight="1">
      <c r="A288" s="146"/>
      <c r="B288" s="413"/>
      <c r="C288" s="367"/>
      <c r="D288" s="420"/>
      <c r="E288" s="405"/>
      <c r="F288" s="404"/>
      <c r="G288" s="352" t="str">
        <f>IFERROR(VLOOKUP(D288,'Client ID Records_v2'!D:E, 2, FALSE), "")</f>
        <v/>
      </c>
      <c r="H288" s="368" t="str">
        <f>IFERROR(VLOOKUP(G288,'Client ID Records_v2'!E:F, 2, FALSE), "")</f>
        <v/>
      </c>
      <c r="I288" s="352"/>
      <c r="J288" s="358" t="str">
        <f>IFERROR(VLOOKUP(I288,'Project Records_v2'!F:G, 2, FALSE), "")</f>
        <v/>
      </c>
      <c r="K288" s="143"/>
      <c r="L288" s="390"/>
      <c r="M288" s="419"/>
      <c r="N288" s="370"/>
      <c r="O288" s="370"/>
      <c r="P288" s="371"/>
      <c r="Q288" s="365"/>
    </row>
    <row r="289" ht="22.5" customHeight="1">
      <c r="A289" s="146"/>
      <c r="B289" s="413"/>
      <c r="C289" s="367"/>
      <c r="D289" s="420"/>
      <c r="E289" s="405"/>
      <c r="F289" s="404"/>
      <c r="G289" s="352" t="str">
        <f>IFERROR(VLOOKUP(D289,'Client ID Records_v2'!D:E, 2, FALSE), "")</f>
        <v/>
      </c>
      <c r="H289" s="368" t="str">
        <f>IFERROR(VLOOKUP(G289,'Client ID Records_v2'!E:F, 2, FALSE), "")</f>
        <v/>
      </c>
      <c r="I289" s="352"/>
      <c r="J289" s="358" t="str">
        <f>IFERROR(VLOOKUP(I289,'Project Records_v2'!F:G, 2, FALSE), "")</f>
        <v/>
      </c>
      <c r="K289" s="143"/>
      <c r="L289" s="390"/>
      <c r="M289" s="419"/>
      <c r="N289" s="370"/>
      <c r="O289" s="370"/>
      <c r="P289" s="371"/>
      <c r="Q289" s="365"/>
    </row>
    <row r="290" ht="22.5" customHeight="1">
      <c r="A290" s="146"/>
      <c r="B290" s="413"/>
      <c r="C290" s="367"/>
      <c r="D290" s="420"/>
      <c r="E290" s="405"/>
      <c r="F290" s="404"/>
      <c r="G290" s="352" t="str">
        <f>IFERROR(VLOOKUP(D290,'Client ID Records_v2'!D:E, 2, FALSE), "")</f>
        <v/>
      </c>
      <c r="H290" s="368" t="str">
        <f>IFERROR(VLOOKUP(G290,'Client ID Records_v2'!E:F, 2, FALSE), "")</f>
        <v/>
      </c>
      <c r="I290" s="352"/>
      <c r="J290" s="358" t="str">
        <f>IFERROR(VLOOKUP(I290,'Project Records_v2'!F:G, 2, FALSE), "")</f>
        <v/>
      </c>
      <c r="K290" s="143"/>
      <c r="L290" s="390"/>
      <c r="M290" s="419"/>
      <c r="N290" s="370"/>
      <c r="O290" s="370"/>
      <c r="P290" s="371"/>
      <c r="Q290" s="365"/>
    </row>
    <row r="291" ht="22.5" customHeight="1">
      <c r="A291" s="146"/>
      <c r="B291" s="413"/>
      <c r="C291" s="367"/>
      <c r="D291" s="420"/>
      <c r="E291" s="405"/>
      <c r="F291" s="404"/>
      <c r="G291" s="352" t="str">
        <f>IFERROR(VLOOKUP(D291,'Client ID Records_v2'!D:E, 2, FALSE), "")</f>
        <v/>
      </c>
      <c r="H291" s="368" t="str">
        <f>IFERROR(VLOOKUP(G291,'Client ID Records_v2'!E:F, 2, FALSE), "")</f>
        <v/>
      </c>
      <c r="I291" s="352"/>
      <c r="J291" s="358" t="str">
        <f>IFERROR(VLOOKUP(I291,'Project Records_v2'!F:G, 2, FALSE), "")</f>
        <v/>
      </c>
      <c r="K291" s="143"/>
      <c r="L291" s="390"/>
      <c r="M291" s="419"/>
      <c r="N291" s="370"/>
      <c r="O291" s="370"/>
      <c r="P291" s="371"/>
      <c r="Q291" s="365"/>
    </row>
    <row r="292" ht="22.5" customHeight="1">
      <c r="A292" s="146"/>
      <c r="B292" s="413"/>
      <c r="C292" s="367"/>
      <c r="D292" s="420"/>
      <c r="E292" s="405"/>
      <c r="F292" s="404"/>
      <c r="G292" s="352" t="str">
        <f>IFERROR(VLOOKUP(D292,'Client ID Records_v2'!D:E, 2, FALSE), "")</f>
        <v/>
      </c>
      <c r="H292" s="368" t="str">
        <f>IFERROR(VLOOKUP(G292,'Client ID Records_v2'!E:F, 2, FALSE), "")</f>
        <v/>
      </c>
      <c r="I292" s="352"/>
      <c r="J292" s="358" t="str">
        <f>IFERROR(VLOOKUP(I292,'Project Records_v2'!F:G, 2, FALSE), "")</f>
        <v/>
      </c>
      <c r="K292" s="143"/>
      <c r="L292" s="390"/>
      <c r="M292" s="419"/>
      <c r="N292" s="370"/>
      <c r="O292" s="370"/>
      <c r="P292" s="371"/>
      <c r="Q292" s="365"/>
    </row>
    <row r="293" ht="22.5" customHeight="1">
      <c r="A293" s="146"/>
      <c r="B293" s="413"/>
      <c r="C293" s="367"/>
      <c r="D293" s="420"/>
      <c r="E293" s="405"/>
      <c r="F293" s="404"/>
      <c r="G293" s="352" t="str">
        <f>IFERROR(VLOOKUP(D293,'Client ID Records_v2'!D:E, 2, FALSE), "")</f>
        <v/>
      </c>
      <c r="H293" s="368" t="str">
        <f>IFERROR(VLOOKUP(G293,'Client ID Records_v2'!E:F, 2, FALSE), "")</f>
        <v/>
      </c>
      <c r="I293" s="352"/>
      <c r="J293" s="358" t="str">
        <f>IFERROR(VLOOKUP(I293,'Project Records_v2'!F:G, 2, FALSE), "")</f>
        <v/>
      </c>
      <c r="K293" s="143"/>
      <c r="L293" s="390"/>
      <c r="M293" s="419"/>
      <c r="N293" s="370"/>
      <c r="O293" s="370"/>
      <c r="P293" s="371"/>
      <c r="Q293" s="365"/>
    </row>
    <row r="294" ht="22.5" customHeight="1">
      <c r="A294" s="146"/>
      <c r="B294" s="413"/>
      <c r="C294" s="367"/>
      <c r="D294" s="420"/>
      <c r="E294" s="405"/>
      <c r="F294" s="404"/>
      <c r="G294" s="352" t="str">
        <f>IFERROR(VLOOKUP(D294,'Client ID Records_v2'!D:E, 2, FALSE), "")</f>
        <v/>
      </c>
      <c r="H294" s="368" t="str">
        <f>IFERROR(VLOOKUP(G294,'Client ID Records_v2'!E:F, 2, FALSE), "")</f>
        <v/>
      </c>
      <c r="I294" s="352"/>
      <c r="J294" s="358" t="str">
        <f>IFERROR(VLOOKUP(I294,'Project Records_v2'!F:G, 2, FALSE), "")</f>
        <v/>
      </c>
      <c r="K294" s="143"/>
      <c r="L294" s="390"/>
      <c r="M294" s="419"/>
      <c r="N294" s="370"/>
      <c r="O294" s="370"/>
      <c r="P294" s="371"/>
      <c r="Q294" s="365"/>
    </row>
    <row r="295" ht="22.5" customHeight="1">
      <c r="A295" s="146"/>
      <c r="B295" s="413"/>
      <c r="C295" s="367"/>
      <c r="D295" s="420"/>
      <c r="E295" s="405"/>
      <c r="F295" s="404"/>
      <c r="G295" s="352" t="str">
        <f>IFERROR(VLOOKUP(D295,'Client ID Records_v2'!D:E, 2, FALSE), "")</f>
        <v/>
      </c>
      <c r="H295" s="368" t="str">
        <f>IFERROR(VLOOKUP(G295,'Client ID Records_v2'!E:F, 2, FALSE), "")</f>
        <v/>
      </c>
      <c r="I295" s="352"/>
      <c r="J295" s="358" t="str">
        <f>IFERROR(VLOOKUP(I295,'Project Records_v2'!F:G, 2, FALSE), "")</f>
        <v/>
      </c>
      <c r="K295" s="143"/>
      <c r="L295" s="390"/>
      <c r="M295" s="419"/>
      <c r="N295" s="370"/>
      <c r="O295" s="370"/>
      <c r="P295" s="371"/>
      <c r="Q295" s="365"/>
    </row>
    <row r="296" ht="22.5" customHeight="1">
      <c r="A296" s="146"/>
      <c r="B296" s="413"/>
      <c r="C296" s="367"/>
      <c r="D296" s="420"/>
      <c r="E296" s="405"/>
      <c r="F296" s="404"/>
      <c r="G296" s="352" t="str">
        <f>IFERROR(VLOOKUP(D296,'Client ID Records_v2'!D:E, 2, FALSE), "")</f>
        <v/>
      </c>
      <c r="H296" s="368" t="str">
        <f>IFERROR(VLOOKUP(G296,'Client ID Records_v2'!E:F, 2, FALSE), "")</f>
        <v/>
      </c>
      <c r="I296" s="352"/>
      <c r="J296" s="358" t="str">
        <f>IFERROR(VLOOKUP(I296,'Project Records_v2'!F:G, 2, FALSE), "")</f>
        <v/>
      </c>
      <c r="K296" s="143"/>
      <c r="L296" s="390"/>
      <c r="M296" s="419"/>
      <c r="N296" s="370"/>
      <c r="O296" s="370"/>
      <c r="P296" s="371"/>
      <c r="Q296" s="365"/>
    </row>
    <row r="297" ht="22.5" customHeight="1">
      <c r="A297" s="146"/>
      <c r="B297" s="413"/>
      <c r="C297" s="367"/>
      <c r="D297" s="420"/>
      <c r="E297" s="405"/>
      <c r="F297" s="404"/>
      <c r="G297" s="352" t="str">
        <f>IFERROR(VLOOKUP(D297,'Client ID Records_v2'!D:E, 2, FALSE), "")</f>
        <v/>
      </c>
      <c r="H297" s="368" t="str">
        <f>IFERROR(VLOOKUP(G297,'Client ID Records_v2'!E:F, 2, FALSE), "")</f>
        <v/>
      </c>
      <c r="I297" s="352"/>
      <c r="J297" s="358" t="str">
        <f>IFERROR(VLOOKUP(I297,'Project Records_v2'!F:G, 2, FALSE), "")</f>
        <v/>
      </c>
      <c r="K297" s="143"/>
      <c r="L297" s="390"/>
      <c r="M297" s="419"/>
      <c r="N297" s="370"/>
      <c r="O297" s="370"/>
      <c r="P297" s="371"/>
      <c r="Q297" s="365"/>
    </row>
    <row r="298" ht="22.5" customHeight="1">
      <c r="A298" s="146"/>
      <c r="B298" s="413"/>
      <c r="C298" s="367"/>
      <c r="D298" s="420"/>
      <c r="E298" s="405"/>
      <c r="F298" s="404"/>
      <c r="G298" s="352" t="str">
        <f>IFERROR(VLOOKUP(D298,'Client ID Records_v2'!D:E, 2, FALSE), "")</f>
        <v/>
      </c>
      <c r="H298" s="368" t="str">
        <f>IFERROR(VLOOKUP(G298,'Client ID Records_v2'!E:F, 2, FALSE), "")</f>
        <v/>
      </c>
      <c r="I298" s="352"/>
      <c r="J298" s="358" t="str">
        <f>IFERROR(VLOOKUP(I298,'Project Records_v2'!F:G, 2, FALSE), "")</f>
        <v/>
      </c>
      <c r="K298" s="143"/>
      <c r="L298" s="390"/>
      <c r="M298" s="419"/>
      <c r="N298" s="370"/>
      <c r="O298" s="370"/>
      <c r="P298" s="371"/>
      <c r="Q298" s="365"/>
    </row>
    <row r="299" ht="22.5" customHeight="1">
      <c r="A299" s="146"/>
      <c r="B299" s="413"/>
      <c r="C299" s="367"/>
      <c r="D299" s="420"/>
      <c r="E299" s="405"/>
      <c r="F299" s="404"/>
      <c r="G299" s="352" t="str">
        <f>IFERROR(VLOOKUP(D299,'Client ID Records_v2'!D:E, 2, FALSE), "")</f>
        <v/>
      </c>
      <c r="H299" s="368" t="str">
        <f>IFERROR(VLOOKUP(G299,'Client ID Records_v2'!E:F, 2, FALSE), "")</f>
        <v/>
      </c>
      <c r="I299" s="352"/>
      <c r="J299" s="358" t="str">
        <f>IFERROR(VLOOKUP(I299,'Project Records_v2'!F:G, 2, FALSE), "")</f>
        <v/>
      </c>
      <c r="K299" s="143"/>
      <c r="L299" s="390"/>
      <c r="M299" s="419"/>
      <c r="N299" s="370"/>
      <c r="O299" s="370"/>
      <c r="P299" s="371"/>
      <c r="Q299" s="365"/>
    </row>
    <row r="300" ht="22.5" customHeight="1">
      <c r="A300" s="146"/>
      <c r="B300" s="413"/>
      <c r="C300" s="367"/>
      <c r="D300" s="420"/>
      <c r="E300" s="405"/>
      <c r="F300" s="404"/>
      <c r="G300" s="352" t="str">
        <f>IFERROR(VLOOKUP(D300,'Client ID Records_v2'!D:E, 2, FALSE), "")</f>
        <v/>
      </c>
      <c r="H300" s="368" t="str">
        <f>IFERROR(VLOOKUP(G300,'Client ID Records_v2'!E:F, 2, FALSE), "")</f>
        <v/>
      </c>
      <c r="I300" s="352"/>
      <c r="J300" s="358" t="str">
        <f>IFERROR(VLOOKUP(I300,'Project Records_v2'!F:G, 2, FALSE), "")</f>
        <v/>
      </c>
      <c r="K300" s="143"/>
      <c r="L300" s="390"/>
      <c r="M300" s="419"/>
      <c r="N300" s="370"/>
      <c r="O300" s="370"/>
      <c r="P300" s="371"/>
      <c r="Q300" s="365"/>
    </row>
    <row r="301" ht="22.5" customHeight="1">
      <c r="A301" s="146"/>
      <c r="B301" s="413"/>
      <c r="C301" s="367"/>
      <c r="D301" s="420"/>
      <c r="E301" s="405"/>
      <c r="F301" s="404"/>
      <c r="G301" s="352" t="str">
        <f>IFERROR(VLOOKUP(D301,'Client ID Records_v2'!D:E, 2, FALSE), "")</f>
        <v/>
      </c>
      <c r="H301" s="368" t="str">
        <f>IFERROR(VLOOKUP(G301,'Client ID Records_v2'!E:F, 2, FALSE), "")</f>
        <v/>
      </c>
      <c r="I301" s="352"/>
      <c r="J301" s="358" t="str">
        <f>IFERROR(VLOOKUP(I301,'Project Records_v2'!F:G, 2, FALSE), "")</f>
        <v/>
      </c>
      <c r="K301" s="143"/>
      <c r="L301" s="390"/>
      <c r="M301" s="419"/>
      <c r="N301" s="370"/>
      <c r="O301" s="370"/>
      <c r="P301" s="371"/>
      <c r="Q301" s="365"/>
    </row>
    <row r="302" ht="22.5" customHeight="1">
      <c r="A302" s="146"/>
      <c r="B302" s="413"/>
      <c r="C302" s="367"/>
      <c r="D302" s="420"/>
      <c r="E302" s="405"/>
      <c r="F302" s="404"/>
      <c r="G302" s="352" t="str">
        <f>IFERROR(VLOOKUP(D302,'Client ID Records_v2'!D:E, 2, FALSE), "")</f>
        <v/>
      </c>
      <c r="H302" s="368" t="str">
        <f>IFERROR(VLOOKUP(G302,'Client ID Records_v2'!E:F, 2, FALSE), "")</f>
        <v/>
      </c>
      <c r="I302" s="352"/>
      <c r="J302" s="358" t="str">
        <f>IFERROR(VLOOKUP(I302,'Project Records_v2'!F:G, 2, FALSE), "")</f>
        <v/>
      </c>
      <c r="K302" s="143"/>
      <c r="L302" s="390"/>
      <c r="M302" s="419"/>
      <c r="N302" s="370"/>
      <c r="O302" s="370"/>
      <c r="P302" s="371"/>
      <c r="Q302" s="365"/>
    </row>
    <row r="303" ht="22.5" customHeight="1">
      <c r="A303" s="146"/>
      <c r="B303" s="413"/>
      <c r="C303" s="367"/>
      <c r="D303" s="420"/>
      <c r="E303" s="405"/>
      <c r="F303" s="404"/>
      <c r="G303" s="352" t="str">
        <f>IFERROR(VLOOKUP(D303,'Client ID Records_v2'!D:E, 2, FALSE), "")</f>
        <v/>
      </c>
      <c r="H303" s="368" t="str">
        <f>IFERROR(VLOOKUP(G303,'Client ID Records_v2'!E:F, 2, FALSE), "")</f>
        <v/>
      </c>
      <c r="I303" s="352"/>
      <c r="J303" s="358" t="str">
        <f>IFERROR(VLOOKUP(I303,'Project Records_v2'!F:G, 2, FALSE), "")</f>
        <v/>
      </c>
      <c r="K303" s="143"/>
      <c r="L303" s="390"/>
      <c r="M303" s="419"/>
      <c r="N303" s="370"/>
      <c r="O303" s="370"/>
      <c r="P303" s="371"/>
      <c r="Q303" s="365"/>
    </row>
    <row r="304" ht="22.5" customHeight="1">
      <c r="A304" s="146"/>
      <c r="B304" s="413"/>
      <c r="C304" s="367"/>
      <c r="D304" s="420"/>
      <c r="E304" s="405"/>
      <c r="F304" s="404"/>
      <c r="G304" s="352" t="str">
        <f>IFERROR(VLOOKUP(D304,'Client ID Records_v2'!D:E, 2, FALSE), "")</f>
        <v/>
      </c>
      <c r="H304" s="368" t="str">
        <f>IFERROR(VLOOKUP(G304,'Client ID Records_v2'!E:F, 2, FALSE), "")</f>
        <v/>
      </c>
      <c r="I304" s="352"/>
      <c r="J304" s="358" t="str">
        <f>IFERROR(VLOOKUP(I304,'Project Records_v2'!F:G, 2, FALSE), "")</f>
        <v/>
      </c>
      <c r="K304" s="143"/>
      <c r="L304" s="390"/>
      <c r="M304" s="419"/>
      <c r="N304" s="370"/>
      <c r="O304" s="370"/>
      <c r="P304" s="371"/>
      <c r="Q304" s="365"/>
    </row>
    <row r="305" ht="22.5" customHeight="1">
      <c r="A305" s="146"/>
      <c r="B305" s="413"/>
      <c r="C305" s="367"/>
      <c r="D305" s="420"/>
      <c r="E305" s="405"/>
      <c r="F305" s="404"/>
      <c r="G305" s="352" t="str">
        <f>IFERROR(VLOOKUP(D305,'Client ID Records_v2'!D:E, 2, FALSE), "")</f>
        <v/>
      </c>
      <c r="H305" s="368" t="str">
        <f>IFERROR(VLOOKUP(G305,'Client ID Records_v2'!E:F, 2, FALSE), "")</f>
        <v/>
      </c>
      <c r="I305" s="352"/>
      <c r="J305" s="358" t="str">
        <f>IFERROR(VLOOKUP(I305,'Project Records_v2'!F:G, 2, FALSE), "")</f>
        <v/>
      </c>
      <c r="K305" s="143"/>
      <c r="L305" s="390"/>
      <c r="M305" s="419"/>
      <c r="N305" s="370"/>
      <c r="O305" s="370"/>
      <c r="P305" s="371"/>
      <c r="Q305" s="365"/>
    </row>
    <row r="306" ht="22.5" customHeight="1">
      <c r="A306" s="146"/>
      <c r="B306" s="413"/>
      <c r="C306" s="367"/>
      <c r="D306" s="420"/>
      <c r="E306" s="405"/>
      <c r="F306" s="404"/>
      <c r="G306" s="352" t="str">
        <f>IFERROR(VLOOKUP(D306,'Client ID Records_v2'!D:E, 2, FALSE), "")</f>
        <v/>
      </c>
      <c r="H306" s="368" t="str">
        <f>IFERROR(VLOOKUP(G306,'Client ID Records_v2'!E:F, 2, FALSE), "")</f>
        <v/>
      </c>
      <c r="I306" s="352"/>
      <c r="J306" s="358" t="str">
        <f>IFERROR(VLOOKUP(I306,'Project Records_v2'!F:G, 2, FALSE), "")</f>
        <v/>
      </c>
      <c r="K306" s="143"/>
      <c r="L306" s="390"/>
      <c r="M306" s="419"/>
      <c r="N306" s="370"/>
      <c r="O306" s="370"/>
      <c r="P306" s="371"/>
      <c r="Q306" s="365"/>
    </row>
    <row r="307" ht="22.5" customHeight="1">
      <c r="A307" s="146"/>
      <c r="B307" s="413"/>
      <c r="C307" s="367"/>
      <c r="D307" s="420"/>
      <c r="E307" s="405"/>
      <c r="F307" s="404"/>
      <c r="G307" s="352" t="str">
        <f>IFERROR(VLOOKUP(D307,'Client ID Records_v2'!D:E, 2, FALSE), "")</f>
        <v/>
      </c>
      <c r="H307" s="368" t="str">
        <f>IFERROR(VLOOKUP(G307,'Client ID Records_v2'!E:F, 2, FALSE), "")</f>
        <v/>
      </c>
      <c r="I307" s="352"/>
      <c r="J307" s="358" t="str">
        <f>IFERROR(VLOOKUP(I307,'Project Records_v2'!F:G, 2, FALSE), "")</f>
        <v/>
      </c>
      <c r="K307" s="143"/>
      <c r="L307" s="390"/>
      <c r="M307" s="419"/>
      <c r="N307" s="370"/>
      <c r="O307" s="370"/>
      <c r="P307" s="371"/>
      <c r="Q307" s="365"/>
    </row>
    <row r="308" ht="22.5" customHeight="1">
      <c r="A308" s="146"/>
      <c r="B308" s="413"/>
      <c r="C308" s="367"/>
      <c r="D308" s="420"/>
      <c r="E308" s="405"/>
      <c r="F308" s="404"/>
      <c r="G308" s="352" t="str">
        <f>IFERROR(VLOOKUP(D308,'Client ID Records_v2'!D:E, 2, FALSE), "")</f>
        <v/>
      </c>
      <c r="H308" s="368" t="str">
        <f>IFERROR(VLOOKUP(G308,'Client ID Records_v2'!E:F, 2, FALSE), "")</f>
        <v/>
      </c>
      <c r="I308" s="352"/>
      <c r="J308" s="358" t="str">
        <f>IFERROR(VLOOKUP(I308,'Project Records_v2'!F:G, 2, FALSE), "")</f>
        <v/>
      </c>
      <c r="K308" s="143"/>
      <c r="L308" s="390"/>
      <c r="M308" s="419"/>
      <c r="N308" s="370"/>
      <c r="O308" s="370"/>
      <c r="P308" s="371"/>
      <c r="Q308" s="365"/>
    </row>
    <row r="309" ht="22.5" customHeight="1">
      <c r="A309" s="146"/>
      <c r="B309" s="413"/>
      <c r="C309" s="367"/>
      <c r="D309" s="420"/>
      <c r="E309" s="405"/>
      <c r="F309" s="404"/>
      <c r="G309" s="352" t="str">
        <f>IFERROR(VLOOKUP(D309,'Client ID Records_v2'!D:E, 2, FALSE), "")</f>
        <v/>
      </c>
      <c r="H309" s="368" t="str">
        <f>IFERROR(VLOOKUP(G309,'Client ID Records_v2'!E:F, 2, FALSE), "")</f>
        <v/>
      </c>
      <c r="I309" s="352"/>
      <c r="J309" s="358" t="str">
        <f>IFERROR(VLOOKUP(I309,'Project Records_v2'!F:G, 2, FALSE), "")</f>
        <v/>
      </c>
      <c r="K309" s="143"/>
      <c r="L309" s="390"/>
      <c r="M309" s="419"/>
      <c r="N309" s="370"/>
      <c r="O309" s="370"/>
      <c r="P309" s="371"/>
      <c r="Q309" s="365"/>
    </row>
    <row r="310" ht="22.5" customHeight="1">
      <c r="A310" s="146"/>
      <c r="B310" s="413"/>
      <c r="C310" s="367"/>
      <c r="D310" s="420"/>
      <c r="E310" s="405"/>
      <c r="F310" s="404"/>
      <c r="G310" s="352" t="str">
        <f>IFERROR(VLOOKUP(D310,'Client ID Records_v2'!D:E, 2, FALSE), "")</f>
        <v/>
      </c>
      <c r="H310" s="368" t="str">
        <f>IFERROR(VLOOKUP(G310,'Client ID Records_v2'!E:F, 2, FALSE), "")</f>
        <v/>
      </c>
      <c r="I310" s="352"/>
      <c r="J310" s="358" t="str">
        <f>IFERROR(VLOOKUP(I310,'Project Records_v2'!F:G, 2, FALSE), "")</f>
        <v/>
      </c>
      <c r="K310" s="143"/>
      <c r="L310" s="390"/>
      <c r="M310" s="419"/>
      <c r="N310" s="370"/>
      <c r="O310" s="370"/>
      <c r="P310" s="371"/>
      <c r="Q310" s="365"/>
    </row>
    <row r="311" ht="22.5" customHeight="1">
      <c r="A311" s="146"/>
      <c r="B311" s="413"/>
      <c r="C311" s="367"/>
      <c r="D311" s="420"/>
      <c r="E311" s="405"/>
      <c r="F311" s="404"/>
      <c r="G311" s="352" t="str">
        <f>IFERROR(VLOOKUP(D311,'Client ID Records_v2'!D:E, 2, FALSE), "")</f>
        <v/>
      </c>
      <c r="H311" s="368" t="str">
        <f>IFERROR(VLOOKUP(G311,'Client ID Records_v2'!E:F, 2, FALSE), "")</f>
        <v/>
      </c>
      <c r="I311" s="352"/>
      <c r="J311" s="358" t="str">
        <f>IFERROR(VLOOKUP(I311,'Project Records_v2'!F:G, 2, FALSE), "")</f>
        <v/>
      </c>
      <c r="K311" s="143"/>
      <c r="L311" s="390"/>
      <c r="M311" s="419"/>
      <c r="N311" s="370"/>
      <c r="O311" s="370"/>
      <c r="P311" s="371"/>
      <c r="Q311" s="365"/>
    </row>
    <row r="312" ht="22.5" customHeight="1">
      <c r="A312" s="146"/>
      <c r="B312" s="413"/>
      <c r="C312" s="367"/>
      <c r="D312" s="420"/>
      <c r="E312" s="405"/>
      <c r="F312" s="404"/>
      <c r="G312" s="352" t="str">
        <f>IFERROR(VLOOKUP(D312,'Client ID Records_v2'!D:E, 2, FALSE), "")</f>
        <v/>
      </c>
      <c r="H312" s="368" t="str">
        <f>IFERROR(VLOOKUP(G312,'Client ID Records_v2'!E:F, 2, FALSE), "")</f>
        <v/>
      </c>
      <c r="I312" s="352"/>
      <c r="J312" s="358" t="str">
        <f>IFERROR(VLOOKUP(I312,'Project Records_v2'!F:G, 2, FALSE), "")</f>
        <v/>
      </c>
      <c r="K312" s="143"/>
      <c r="L312" s="390"/>
      <c r="M312" s="419"/>
      <c r="N312" s="370"/>
      <c r="O312" s="370"/>
      <c r="P312" s="371"/>
      <c r="Q312" s="365"/>
    </row>
    <row r="313" ht="22.5" customHeight="1">
      <c r="A313" s="146"/>
      <c r="B313" s="413"/>
      <c r="C313" s="367"/>
      <c r="D313" s="420"/>
      <c r="E313" s="405"/>
      <c r="F313" s="404"/>
      <c r="G313" s="352" t="str">
        <f>IFERROR(VLOOKUP(D313,'Client ID Records_v2'!D:E, 2, FALSE), "")</f>
        <v/>
      </c>
      <c r="H313" s="368" t="str">
        <f>IFERROR(VLOOKUP(G313,'Client ID Records_v2'!E:F, 2, FALSE), "")</f>
        <v/>
      </c>
      <c r="I313" s="352"/>
      <c r="J313" s="358" t="str">
        <f>IFERROR(VLOOKUP(I313,'Project Records_v2'!F:G, 2, FALSE), "")</f>
        <v/>
      </c>
      <c r="K313" s="143"/>
      <c r="L313" s="390"/>
      <c r="M313" s="419"/>
      <c r="N313" s="370"/>
      <c r="O313" s="370"/>
      <c r="P313" s="371"/>
      <c r="Q313" s="365"/>
    </row>
    <row r="314" ht="22.5" customHeight="1">
      <c r="A314" s="146"/>
      <c r="B314" s="413"/>
      <c r="C314" s="367"/>
      <c r="D314" s="420"/>
      <c r="E314" s="405"/>
      <c r="F314" s="404"/>
      <c r="G314" s="352" t="str">
        <f>IFERROR(VLOOKUP(D314,'Client ID Records_v2'!D:E, 2, FALSE), "")</f>
        <v/>
      </c>
      <c r="H314" s="368" t="str">
        <f>IFERROR(VLOOKUP(G314,'Client ID Records_v2'!E:F, 2, FALSE), "")</f>
        <v/>
      </c>
      <c r="I314" s="352"/>
      <c r="J314" s="358" t="str">
        <f>IFERROR(VLOOKUP(I314,'Project Records_v2'!F:G, 2, FALSE), "")</f>
        <v/>
      </c>
      <c r="K314" s="143"/>
      <c r="L314" s="390"/>
      <c r="M314" s="419"/>
      <c r="N314" s="370"/>
      <c r="O314" s="370"/>
      <c r="P314" s="371"/>
      <c r="Q314" s="365"/>
    </row>
    <row r="315" ht="22.5" customHeight="1">
      <c r="A315" s="146"/>
      <c r="B315" s="413"/>
      <c r="C315" s="367"/>
      <c r="D315" s="420"/>
      <c r="E315" s="405"/>
      <c r="F315" s="404"/>
      <c r="G315" s="352" t="str">
        <f>IFERROR(VLOOKUP(D315,'Client ID Records_v2'!D:E, 2, FALSE), "")</f>
        <v/>
      </c>
      <c r="H315" s="368" t="str">
        <f>IFERROR(VLOOKUP(G315,'Client ID Records_v2'!E:F, 2, FALSE), "")</f>
        <v/>
      </c>
      <c r="I315" s="352"/>
      <c r="J315" s="358" t="str">
        <f>IFERROR(VLOOKUP(I315,'Project Records_v2'!F:G, 2, FALSE), "")</f>
        <v/>
      </c>
      <c r="K315" s="143"/>
      <c r="L315" s="390"/>
      <c r="M315" s="419"/>
      <c r="N315" s="370"/>
      <c r="O315" s="370"/>
      <c r="P315" s="371"/>
      <c r="Q315" s="365"/>
    </row>
    <row r="316" ht="22.5" customHeight="1">
      <c r="A316" s="146"/>
      <c r="B316" s="413"/>
      <c r="C316" s="367"/>
      <c r="D316" s="420"/>
      <c r="E316" s="405"/>
      <c r="F316" s="404"/>
      <c r="G316" s="352" t="str">
        <f>IFERROR(VLOOKUP(D316,'Client ID Records_v2'!D:E, 2, FALSE), "")</f>
        <v/>
      </c>
      <c r="H316" s="368" t="str">
        <f>IFERROR(VLOOKUP(G316,'Client ID Records_v2'!E:F, 2, FALSE), "")</f>
        <v/>
      </c>
      <c r="I316" s="352"/>
      <c r="J316" s="358" t="str">
        <f>IFERROR(VLOOKUP(I316,'Project Records_v2'!F:G, 2, FALSE), "")</f>
        <v/>
      </c>
      <c r="K316" s="143"/>
      <c r="L316" s="390"/>
      <c r="M316" s="419"/>
      <c r="N316" s="370"/>
      <c r="O316" s="370"/>
      <c r="P316" s="371"/>
      <c r="Q316" s="365"/>
    </row>
    <row r="317" ht="22.5" customHeight="1">
      <c r="A317" s="146"/>
      <c r="B317" s="413"/>
      <c r="C317" s="367"/>
      <c r="D317" s="420"/>
      <c r="E317" s="405"/>
      <c r="F317" s="404"/>
      <c r="G317" s="352" t="str">
        <f>IFERROR(VLOOKUP(D317,'Client ID Records_v2'!D:E, 2, FALSE), "")</f>
        <v/>
      </c>
      <c r="H317" s="368" t="str">
        <f>IFERROR(VLOOKUP(G317,'Client ID Records_v2'!E:F, 2, FALSE), "")</f>
        <v/>
      </c>
      <c r="I317" s="352"/>
      <c r="J317" s="358" t="str">
        <f>IFERROR(VLOOKUP(I317,'Project Records_v2'!F:G, 2, FALSE), "")</f>
        <v/>
      </c>
      <c r="K317" s="143"/>
      <c r="L317" s="390"/>
      <c r="M317" s="419"/>
      <c r="N317" s="370"/>
      <c r="O317" s="370"/>
      <c r="P317" s="371"/>
      <c r="Q317" s="365"/>
    </row>
    <row r="318" ht="22.5" customHeight="1">
      <c r="A318" s="146"/>
      <c r="B318" s="413"/>
      <c r="C318" s="367"/>
      <c r="D318" s="420"/>
      <c r="E318" s="405"/>
      <c r="F318" s="404"/>
      <c r="G318" s="352" t="str">
        <f>IFERROR(VLOOKUP(D318,'Client ID Records_v2'!D:E, 2, FALSE), "")</f>
        <v/>
      </c>
      <c r="H318" s="368" t="str">
        <f>IFERROR(VLOOKUP(G318,'Client ID Records_v2'!E:F, 2, FALSE), "")</f>
        <v/>
      </c>
      <c r="I318" s="352"/>
      <c r="J318" s="358" t="str">
        <f>IFERROR(VLOOKUP(I318,'Project Records_v2'!F:G, 2, FALSE), "")</f>
        <v/>
      </c>
      <c r="K318" s="143"/>
      <c r="L318" s="390"/>
      <c r="M318" s="419"/>
      <c r="N318" s="370"/>
      <c r="O318" s="370"/>
      <c r="P318" s="371"/>
      <c r="Q318" s="365"/>
    </row>
    <row r="319" ht="22.5" customHeight="1">
      <c r="A319" s="146"/>
      <c r="B319" s="413"/>
      <c r="C319" s="367"/>
      <c r="D319" s="420"/>
      <c r="E319" s="405"/>
      <c r="F319" s="404"/>
      <c r="G319" s="352" t="str">
        <f>IFERROR(VLOOKUP(D319,'Client ID Records_v2'!D:E, 2, FALSE), "")</f>
        <v/>
      </c>
      <c r="H319" s="368" t="str">
        <f>IFERROR(VLOOKUP(G319,'Client ID Records_v2'!E:F, 2, FALSE), "")</f>
        <v/>
      </c>
      <c r="I319" s="352"/>
      <c r="J319" s="358" t="str">
        <f>IFERROR(VLOOKUP(I319,'Project Records_v2'!F:G, 2, FALSE), "")</f>
        <v/>
      </c>
      <c r="K319" s="143"/>
      <c r="L319" s="390"/>
      <c r="M319" s="419"/>
      <c r="N319" s="370"/>
      <c r="O319" s="370"/>
      <c r="P319" s="371"/>
      <c r="Q319" s="365"/>
    </row>
    <row r="320" ht="22.5" customHeight="1">
      <c r="A320" s="146"/>
      <c r="B320" s="413"/>
      <c r="C320" s="367"/>
      <c r="D320" s="420"/>
      <c r="E320" s="405"/>
      <c r="F320" s="404"/>
      <c r="G320" s="352" t="str">
        <f>IFERROR(VLOOKUP(D320,'Client ID Records_v2'!D:E, 2, FALSE), "")</f>
        <v/>
      </c>
      <c r="H320" s="368" t="str">
        <f>IFERROR(VLOOKUP(G320,'Client ID Records_v2'!E:F, 2, FALSE), "")</f>
        <v/>
      </c>
      <c r="I320" s="352"/>
      <c r="J320" s="358" t="str">
        <f>IFERROR(VLOOKUP(I320,'Project Records_v2'!F:G, 2, FALSE), "")</f>
        <v/>
      </c>
      <c r="K320" s="143"/>
      <c r="L320" s="390"/>
      <c r="M320" s="419"/>
      <c r="N320" s="370"/>
      <c r="O320" s="370"/>
      <c r="P320" s="371"/>
      <c r="Q320" s="365"/>
    </row>
    <row r="321" ht="22.5" customHeight="1">
      <c r="A321" s="146"/>
      <c r="B321" s="413"/>
      <c r="C321" s="367"/>
      <c r="D321" s="420"/>
      <c r="E321" s="405"/>
      <c r="F321" s="404"/>
      <c r="G321" s="352" t="str">
        <f>IFERROR(VLOOKUP(D321,'Client ID Records_v2'!D:E, 2, FALSE), "")</f>
        <v/>
      </c>
      <c r="H321" s="368" t="str">
        <f>IFERROR(VLOOKUP(G321,'Client ID Records_v2'!E:F, 2, FALSE), "")</f>
        <v/>
      </c>
      <c r="I321" s="352"/>
      <c r="J321" s="358" t="str">
        <f>IFERROR(VLOOKUP(I321,'Project Records_v2'!F:G, 2, FALSE), "")</f>
        <v/>
      </c>
      <c r="K321" s="143"/>
      <c r="L321" s="390"/>
      <c r="M321" s="419"/>
      <c r="N321" s="370"/>
      <c r="O321" s="370"/>
      <c r="P321" s="371"/>
      <c r="Q321" s="365"/>
    </row>
    <row r="322" ht="22.5" customHeight="1">
      <c r="A322" s="146"/>
      <c r="B322" s="413"/>
      <c r="C322" s="367"/>
      <c r="D322" s="420"/>
      <c r="E322" s="405"/>
      <c r="F322" s="404"/>
      <c r="G322" s="352" t="str">
        <f>IFERROR(VLOOKUP(D322,'Client ID Records_v2'!D:E, 2, FALSE), "")</f>
        <v/>
      </c>
      <c r="H322" s="368" t="str">
        <f>IFERROR(VLOOKUP(G322,'Client ID Records_v2'!E:F, 2, FALSE), "")</f>
        <v/>
      </c>
      <c r="I322" s="352"/>
      <c r="J322" s="358" t="str">
        <f>IFERROR(VLOOKUP(I322,'Project Records_v2'!F:G, 2, FALSE), "")</f>
        <v/>
      </c>
      <c r="K322" s="143"/>
      <c r="L322" s="390"/>
      <c r="M322" s="419"/>
      <c r="N322" s="370"/>
      <c r="O322" s="370"/>
      <c r="P322" s="371"/>
      <c r="Q322" s="365"/>
    </row>
    <row r="323" ht="22.5" customHeight="1">
      <c r="A323" s="146"/>
      <c r="B323" s="413"/>
      <c r="C323" s="367"/>
      <c r="D323" s="420"/>
      <c r="E323" s="405"/>
      <c r="F323" s="404"/>
      <c r="G323" s="352" t="str">
        <f>IFERROR(VLOOKUP(D323,'Client ID Records_v2'!D:E, 2, FALSE), "")</f>
        <v/>
      </c>
      <c r="H323" s="368" t="str">
        <f>IFERROR(VLOOKUP(G323,'Client ID Records_v2'!E:F, 2, FALSE), "")</f>
        <v/>
      </c>
      <c r="I323" s="352"/>
      <c r="J323" s="358" t="str">
        <f>IFERROR(VLOOKUP(I323,'Project Records_v2'!F:G, 2, FALSE), "")</f>
        <v/>
      </c>
      <c r="K323" s="143"/>
      <c r="L323" s="390"/>
      <c r="M323" s="419"/>
      <c r="N323" s="370"/>
      <c r="O323" s="370"/>
      <c r="P323" s="371"/>
      <c r="Q323" s="365"/>
    </row>
    <row r="324" ht="22.5" customHeight="1">
      <c r="A324" s="146"/>
      <c r="B324" s="413"/>
      <c r="C324" s="367"/>
      <c r="D324" s="420"/>
      <c r="E324" s="405"/>
      <c r="F324" s="404"/>
      <c r="G324" s="352" t="str">
        <f>IFERROR(VLOOKUP(D324,'Client ID Records_v2'!D:E, 2, FALSE), "")</f>
        <v/>
      </c>
      <c r="H324" s="368" t="str">
        <f>IFERROR(VLOOKUP(G324,'Client ID Records_v2'!E:F, 2, FALSE), "")</f>
        <v/>
      </c>
      <c r="I324" s="352"/>
      <c r="J324" s="358" t="str">
        <f>IFERROR(VLOOKUP(I324,'Project Records_v2'!F:G, 2, FALSE), "")</f>
        <v/>
      </c>
      <c r="K324" s="143"/>
      <c r="L324" s="390"/>
      <c r="M324" s="419"/>
      <c r="N324" s="370"/>
      <c r="O324" s="370"/>
      <c r="P324" s="371"/>
      <c r="Q324" s="365"/>
    </row>
    <row r="325" ht="22.5" customHeight="1">
      <c r="A325" s="146"/>
      <c r="B325" s="413"/>
      <c r="C325" s="367"/>
      <c r="D325" s="420"/>
      <c r="E325" s="405"/>
      <c r="F325" s="404"/>
      <c r="G325" s="352" t="str">
        <f>IFERROR(VLOOKUP(D325,'Client ID Records_v2'!D:E, 2, FALSE), "")</f>
        <v/>
      </c>
      <c r="H325" s="368" t="str">
        <f>IFERROR(VLOOKUP(G325,'Client ID Records_v2'!E:F, 2, FALSE), "")</f>
        <v/>
      </c>
      <c r="I325" s="352"/>
      <c r="J325" s="358" t="str">
        <f>IFERROR(VLOOKUP(I325,'Project Records_v2'!F:G, 2, FALSE), "")</f>
        <v/>
      </c>
      <c r="K325" s="143"/>
      <c r="L325" s="390"/>
      <c r="M325" s="419"/>
      <c r="N325" s="370"/>
      <c r="O325" s="370"/>
      <c r="P325" s="371"/>
      <c r="Q325" s="365"/>
    </row>
    <row r="326" ht="22.5" customHeight="1">
      <c r="A326" s="146"/>
      <c r="B326" s="413"/>
      <c r="C326" s="367"/>
      <c r="D326" s="420"/>
      <c r="E326" s="405"/>
      <c r="F326" s="404"/>
      <c r="G326" s="352" t="str">
        <f>IFERROR(VLOOKUP(D326,'Client ID Records_v2'!D:E, 2, FALSE), "")</f>
        <v/>
      </c>
      <c r="H326" s="368" t="str">
        <f>IFERROR(VLOOKUP(G326,'Client ID Records_v2'!E:F, 2, FALSE), "")</f>
        <v/>
      </c>
      <c r="I326" s="352"/>
      <c r="J326" s="358" t="str">
        <f>IFERROR(VLOOKUP(I326,'Project Records_v2'!F:G, 2, FALSE), "")</f>
        <v/>
      </c>
      <c r="K326" s="143"/>
      <c r="L326" s="390"/>
      <c r="M326" s="419"/>
      <c r="N326" s="370"/>
      <c r="O326" s="370"/>
      <c r="P326" s="371"/>
      <c r="Q326" s="365"/>
    </row>
    <row r="327" ht="22.5" customHeight="1">
      <c r="A327" s="146"/>
      <c r="B327" s="413"/>
      <c r="C327" s="367"/>
      <c r="D327" s="420"/>
      <c r="E327" s="405"/>
      <c r="F327" s="404"/>
      <c r="G327" s="352" t="str">
        <f>IFERROR(VLOOKUP(D327,'Client ID Records_v2'!D:E, 2, FALSE), "")</f>
        <v/>
      </c>
      <c r="H327" s="368" t="str">
        <f>IFERROR(VLOOKUP(G327,'Client ID Records_v2'!E:F, 2, FALSE), "")</f>
        <v/>
      </c>
      <c r="I327" s="352"/>
      <c r="J327" s="358" t="str">
        <f>IFERROR(VLOOKUP(I327,'Project Records_v2'!F:G, 2, FALSE), "")</f>
        <v/>
      </c>
      <c r="K327" s="143"/>
      <c r="L327" s="390"/>
      <c r="M327" s="419"/>
      <c r="N327" s="370"/>
      <c r="O327" s="370"/>
      <c r="P327" s="371"/>
      <c r="Q327" s="365"/>
    </row>
    <row r="328" ht="22.5" customHeight="1">
      <c r="A328" s="146"/>
      <c r="B328" s="413"/>
      <c r="C328" s="367"/>
      <c r="D328" s="420"/>
      <c r="E328" s="405"/>
      <c r="F328" s="404"/>
      <c r="G328" s="352" t="str">
        <f>IFERROR(VLOOKUP(D328,'Client ID Records_v2'!D:E, 2, FALSE), "")</f>
        <v/>
      </c>
      <c r="H328" s="368" t="str">
        <f>IFERROR(VLOOKUP(G328,'Client ID Records_v2'!E:F, 2, FALSE), "")</f>
        <v/>
      </c>
      <c r="I328" s="352"/>
      <c r="J328" s="358" t="str">
        <f>IFERROR(VLOOKUP(I328,'Project Records_v2'!F:G, 2, FALSE), "")</f>
        <v/>
      </c>
      <c r="K328" s="143"/>
      <c r="L328" s="390"/>
      <c r="M328" s="419"/>
      <c r="N328" s="370"/>
      <c r="O328" s="370"/>
      <c r="P328" s="371"/>
      <c r="Q328" s="365"/>
    </row>
    <row r="329" ht="22.5" customHeight="1">
      <c r="A329" s="146"/>
      <c r="B329" s="413"/>
      <c r="C329" s="367"/>
      <c r="D329" s="420"/>
      <c r="E329" s="405"/>
      <c r="F329" s="404"/>
      <c r="G329" s="352" t="str">
        <f>IFERROR(VLOOKUP(D329,'Client ID Records_v2'!D:E, 2, FALSE), "")</f>
        <v/>
      </c>
      <c r="H329" s="368" t="str">
        <f>IFERROR(VLOOKUP(G329,'Client ID Records_v2'!E:F, 2, FALSE), "")</f>
        <v/>
      </c>
      <c r="I329" s="352"/>
      <c r="J329" s="358" t="str">
        <f>IFERROR(VLOOKUP(I329,'Project Records_v2'!F:G, 2, FALSE), "")</f>
        <v/>
      </c>
      <c r="K329" s="143"/>
      <c r="L329" s="390"/>
      <c r="M329" s="419"/>
      <c r="N329" s="370"/>
      <c r="O329" s="370"/>
      <c r="P329" s="371"/>
      <c r="Q329" s="365"/>
    </row>
    <row r="330" ht="22.5" customHeight="1">
      <c r="A330" s="146"/>
      <c r="B330" s="413"/>
      <c r="C330" s="367"/>
      <c r="D330" s="420"/>
      <c r="E330" s="405"/>
      <c r="F330" s="404"/>
      <c r="G330" s="352" t="str">
        <f>IFERROR(VLOOKUP(D330,'Client ID Records_v2'!D:E, 2, FALSE), "")</f>
        <v/>
      </c>
      <c r="H330" s="368" t="str">
        <f>IFERROR(VLOOKUP(G330,'Client ID Records_v2'!E:F, 2, FALSE), "")</f>
        <v/>
      </c>
      <c r="I330" s="352"/>
      <c r="J330" s="358" t="str">
        <f>IFERROR(VLOOKUP(I330,'Project Records_v2'!F:G, 2, FALSE), "")</f>
        <v/>
      </c>
      <c r="K330" s="143"/>
      <c r="L330" s="390"/>
      <c r="M330" s="419"/>
      <c r="N330" s="370"/>
      <c r="O330" s="370"/>
      <c r="P330" s="371"/>
      <c r="Q330" s="365"/>
    </row>
    <row r="331" ht="22.5" customHeight="1">
      <c r="A331" s="146"/>
      <c r="B331" s="413"/>
      <c r="C331" s="367"/>
      <c r="D331" s="420"/>
      <c r="E331" s="405"/>
      <c r="F331" s="404"/>
      <c r="G331" s="352" t="str">
        <f>IFERROR(VLOOKUP(D331,'Client ID Records_v2'!D:E, 2, FALSE), "")</f>
        <v/>
      </c>
      <c r="H331" s="368" t="str">
        <f>IFERROR(VLOOKUP(G331,'Client ID Records_v2'!E:F, 2, FALSE), "")</f>
        <v/>
      </c>
      <c r="I331" s="352"/>
      <c r="J331" s="358" t="str">
        <f>IFERROR(VLOOKUP(I331,'Project Records_v2'!F:G, 2, FALSE), "")</f>
        <v/>
      </c>
      <c r="K331" s="143"/>
      <c r="L331" s="390"/>
      <c r="M331" s="419"/>
      <c r="N331" s="370"/>
      <c r="O331" s="370"/>
      <c r="P331" s="371"/>
      <c r="Q331" s="365"/>
    </row>
    <row r="332" ht="22.5" customHeight="1">
      <c r="A332" s="146"/>
      <c r="B332" s="413"/>
      <c r="C332" s="367"/>
      <c r="D332" s="420"/>
      <c r="E332" s="405"/>
      <c r="F332" s="404"/>
      <c r="G332" s="352" t="str">
        <f>IFERROR(VLOOKUP(D332,'Client ID Records_v2'!D:E, 2, FALSE), "")</f>
        <v/>
      </c>
      <c r="H332" s="368" t="str">
        <f>IFERROR(VLOOKUP(G332,'Client ID Records_v2'!E:F, 2, FALSE), "")</f>
        <v/>
      </c>
      <c r="I332" s="352"/>
      <c r="J332" s="358" t="str">
        <f>IFERROR(VLOOKUP(I332,'Project Records_v2'!F:G, 2, FALSE), "")</f>
        <v/>
      </c>
      <c r="K332" s="143"/>
      <c r="L332" s="390"/>
      <c r="M332" s="419"/>
      <c r="N332" s="370"/>
      <c r="O332" s="370"/>
      <c r="P332" s="371"/>
      <c r="Q332" s="365"/>
    </row>
    <row r="333" ht="22.5" customHeight="1">
      <c r="A333" s="146"/>
      <c r="B333" s="413"/>
      <c r="C333" s="367"/>
      <c r="D333" s="420"/>
      <c r="E333" s="405"/>
      <c r="F333" s="404"/>
      <c r="G333" s="352" t="str">
        <f>IFERROR(VLOOKUP(D333,'Client ID Records_v2'!D:E, 2, FALSE), "")</f>
        <v/>
      </c>
      <c r="H333" s="368" t="str">
        <f>IFERROR(VLOOKUP(G333,'Client ID Records_v2'!E:F, 2, FALSE), "")</f>
        <v/>
      </c>
      <c r="I333" s="352"/>
      <c r="J333" s="358" t="str">
        <f>IFERROR(VLOOKUP(I333,'Project Records_v2'!F:G, 2, FALSE), "")</f>
        <v/>
      </c>
      <c r="K333" s="143"/>
      <c r="L333" s="390"/>
      <c r="M333" s="419"/>
      <c r="N333" s="370"/>
      <c r="O333" s="370"/>
      <c r="P333" s="371"/>
      <c r="Q333" s="365"/>
    </row>
    <row r="334" ht="22.5" customHeight="1">
      <c r="A334" s="146"/>
      <c r="B334" s="413"/>
      <c r="C334" s="367"/>
      <c r="D334" s="420"/>
      <c r="E334" s="405"/>
      <c r="F334" s="404"/>
      <c r="G334" s="352" t="str">
        <f>IFERROR(VLOOKUP(D334,'Client ID Records_v2'!D:E, 2, FALSE), "")</f>
        <v/>
      </c>
      <c r="H334" s="368" t="str">
        <f>IFERROR(VLOOKUP(G334,'Client ID Records_v2'!E:F, 2, FALSE), "")</f>
        <v/>
      </c>
      <c r="I334" s="352"/>
      <c r="J334" s="358" t="str">
        <f>IFERROR(VLOOKUP(I334,'Project Records_v2'!F:G, 2, FALSE), "")</f>
        <v/>
      </c>
      <c r="K334" s="143"/>
      <c r="L334" s="390"/>
      <c r="M334" s="419"/>
      <c r="N334" s="370"/>
      <c r="O334" s="370"/>
      <c r="P334" s="371"/>
      <c r="Q334" s="365"/>
    </row>
    <row r="335" ht="22.5" customHeight="1">
      <c r="A335" s="146"/>
      <c r="B335" s="413"/>
      <c r="C335" s="367"/>
      <c r="D335" s="420"/>
      <c r="E335" s="405"/>
      <c r="F335" s="404"/>
      <c r="G335" s="352" t="str">
        <f>IFERROR(VLOOKUP(D335,'Client ID Records_v2'!D:E, 2, FALSE), "")</f>
        <v/>
      </c>
      <c r="H335" s="368" t="str">
        <f>IFERROR(VLOOKUP(G335,'Client ID Records_v2'!E:F, 2, FALSE), "")</f>
        <v/>
      </c>
      <c r="I335" s="352"/>
      <c r="J335" s="358" t="str">
        <f>IFERROR(VLOOKUP(I335,'Project Records_v2'!F:G, 2, FALSE), "")</f>
        <v/>
      </c>
      <c r="K335" s="143"/>
      <c r="L335" s="390"/>
      <c r="M335" s="419"/>
      <c r="N335" s="370"/>
      <c r="O335" s="370"/>
      <c r="P335" s="371"/>
      <c r="Q335" s="365"/>
    </row>
    <row r="336" ht="22.5" customHeight="1">
      <c r="A336" s="146"/>
      <c r="B336" s="413"/>
      <c r="C336" s="367"/>
      <c r="D336" s="420"/>
      <c r="E336" s="405"/>
      <c r="F336" s="404"/>
      <c r="G336" s="352" t="str">
        <f>IFERROR(VLOOKUP(D336,'Client ID Records_v2'!D:E, 2, FALSE), "")</f>
        <v/>
      </c>
      <c r="H336" s="368" t="str">
        <f>IFERROR(VLOOKUP(G336,'Client ID Records_v2'!E:F, 2, FALSE), "")</f>
        <v/>
      </c>
      <c r="I336" s="352"/>
      <c r="J336" s="358" t="str">
        <f>IFERROR(VLOOKUP(I336,'Project Records_v2'!F:G, 2, FALSE), "")</f>
        <v/>
      </c>
      <c r="K336" s="143"/>
      <c r="L336" s="390"/>
      <c r="M336" s="419"/>
      <c r="N336" s="370"/>
      <c r="O336" s="370"/>
      <c r="P336" s="371"/>
      <c r="Q336" s="365"/>
    </row>
    <row r="337" ht="22.5" customHeight="1">
      <c r="A337" s="146"/>
      <c r="B337" s="413"/>
      <c r="C337" s="367"/>
      <c r="D337" s="420"/>
      <c r="E337" s="405"/>
      <c r="F337" s="404"/>
      <c r="G337" s="352" t="str">
        <f>IFERROR(VLOOKUP(D337,'Client ID Records_v2'!D:E, 2, FALSE), "")</f>
        <v/>
      </c>
      <c r="H337" s="368" t="str">
        <f>IFERROR(VLOOKUP(G337,'Client ID Records_v2'!E:F, 2, FALSE), "")</f>
        <v/>
      </c>
      <c r="I337" s="352"/>
      <c r="J337" s="358" t="str">
        <f>IFERROR(VLOOKUP(I337,'Project Records_v2'!F:G, 2, FALSE), "")</f>
        <v/>
      </c>
      <c r="K337" s="143"/>
      <c r="L337" s="390"/>
      <c r="M337" s="419"/>
      <c r="N337" s="370"/>
      <c r="O337" s="370"/>
      <c r="P337" s="371"/>
      <c r="Q337" s="365"/>
    </row>
    <row r="338" ht="22.5" customHeight="1">
      <c r="A338" s="146"/>
      <c r="B338" s="413"/>
      <c r="C338" s="367"/>
      <c r="D338" s="420"/>
      <c r="E338" s="405"/>
      <c r="F338" s="404"/>
      <c r="G338" s="352" t="str">
        <f>IFERROR(VLOOKUP(D338,'Client ID Records_v2'!D:E, 2, FALSE), "")</f>
        <v/>
      </c>
      <c r="H338" s="368" t="str">
        <f>IFERROR(VLOOKUP(G338,'Client ID Records_v2'!E:F, 2, FALSE), "")</f>
        <v/>
      </c>
      <c r="I338" s="352"/>
      <c r="J338" s="358" t="str">
        <f>IFERROR(VLOOKUP(I338,'Project Records_v2'!F:G, 2, FALSE), "")</f>
        <v/>
      </c>
      <c r="K338" s="143"/>
      <c r="L338" s="390"/>
      <c r="M338" s="419"/>
      <c r="N338" s="370"/>
      <c r="O338" s="370"/>
      <c r="P338" s="371"/>
      <c r="Q338" s="365"/>
    </row>
    <row r="339" ht="22.5" customHeight="1">
      <c r="A339" s="146"/>
      <c r="B339" s="413"/>
      <c r="C339" s="367"/>
      <c r="D339" s="420"/>
      <c r="E339" s="405"/>
      <c r="F339" s="404"/>
      <c r="G339" s="352" t="str">
        <f>IFERROR(VLOOKUP(D339,'Client ID Records_v2'!D:E, 2, FALSE), "")</f>
        <v/>
      </c>
      <c r="H339" s="368" t="str">
        <f>IFERROR(VLOOKUP(G339,'Client ID Records_v2'!E:F, 2, FALSE), "")</f>
        <v/>
      </c>
      <c r="I339" s="352"/>
      <c r="J339" s="358" t="str">
        <f>IFERROR(VLOOKUP(I339,'Project Records_v2'!F:G, 2, FALSE), "")</f>
        <v/>
      </c>
      <c r="K339" s="143"/>
      <c r="L339" s="390"/>
      <c r="M339" s="419"/>
      <c r="N339" s="370"/>
      <c r="O339" s="370"/>
      <c r="P339" s="371"/>
      <c r="Q339" s="365"/>
    </row>
    <row r="340" ht="22.5" customHeight="1">
      <c r="A340" s="146"/>
      <c r="B340" s="413"/>
      <c r="C340" s="367"/>
      <c r="D340" s="420"/>
      <c r="E340" s="405"/>
      <c r="F340" s="404"/>
      <c r="G340" s="352" t="str">
        <f>IFERROR(VLOOKUP(D340,'Client ID Records_v2'!D:E, 2, FALSE), "")</f>
        <v/>
      </c>
      <c r="H340" s="368" t="str">
        <f>IFERROR(VLOOKUP(G340,'Client ID Records_v2'!E:F, 2, FALSE), "")</f>
        <v/>
      </c>
      <c r="I340" s="352"/>
      <c r="J340" s="358" t="str">
        <f>IFERROR(VLOOKUP(I340,'Project Records_v2'!F:G, 2, FALSE), "")</f>
        <v/>
      </c>
      <c r="K340" s="143"/>
      <c r="L340" s="390"/>
      <c r="M340" s="419"/>
      <c r="N340" s="370"/>
      <c r="O340" s="370"/>
      <c r="P340" s="371"/>
      <c r="Q340" s="365"/>
    </row>
    <row r="341" ht="22.5" customHeight="1">
      <c r="A341" s="146"/>
      <c r="B341" s="413"/>
      <c r="C341" s="367"/>
      <c r="D341" s="420"/>
      <c r="E341" s="405"/>
      <c r="F341" s="404"/>
      <c r="G341" s="352" t="str">
        <f>IFERROR(VLOOKUP(D341,'Client ID Records_v2'!D:E, 2, FALSE), "")</f>
        <v/>
      </c>
      <c r="H341" s="368" t="str">
        <f>IFERROR(VLOOKUP(G341,'Client ID Records_v2'!E:F, 2, FALSE), "")</f>
        <v/>
      </c>
      <c r="I341" s="352"/>
      <c r="J341" s="358" t="str">
        <f>IFERROR(VLOOKUP(I341,'Project Records_v2'!F:G, 2, FALSE), "")</f>
        <v/>
      </c>
      <c r="K341" s="143"/>
      <c r="L341" s="390"/>
      <c r="M341" s="419"/>
      <c r="N341" s="370"/>
      <c r="O341" s="370"/>
      <c r="P341" s="371"/>
      <c r="Q341" s="365"/>
    </row>
    <row r="342" ht="22.5" customHeight="1">
      <c r="A342" s="146"/>
      <c r="B342" s="413"/>
      <c r="C342" s="367"/>
      <c r="D342" s="420"/>
      <c r="E342" s="405"/>
      <c r="F342" s="404"/>
      <c r="G342" s="352" t="str">
        <f>IFERROR(VLOOKUP(D342,'Client ID Records_v2'!D:E, 2, FALSE), "")</f>
        <v/>
      </c>
      <c r="H342" s="368" t="str">
        <f>IFERROR(VLOOKUP(G342,'Client ID Records_v2'!E:F, 2, FALSE), "")</f>
        <v/>
      </c>
      <c r="I342" s="352"/>
      <c r="J342" s="358" t="str">
        <f>IFERROR(VLOOKUP(I342,'Project Records_v2'!F:G, 2, FALSE), "")</f>
        <v/>
      </c>
      <c r="K342" s="143"/>
      <c r="L342" s="390"/>
      <c r="M342" s="419"/>
      <c r="N342" s="370"/>
      <c r="O342" s="370"/>
      <c r="P342" s="371"/>
      <c r="Q342" s="365"/>
    </row>
    <row r="343" ht="22.5" customHeight="1">
      <c r="A343" s="146"/>
      <c r="B343" s="413"/>
      <c r="C343" s="367"/>
      <c r="D343" s="420"/>
      <c r="E343" s="405"/>
      <c r="F343" s="404"/>
      <c r="G343" s="352" t="str">
        <f>IFERROR(VLOOKUP(D343,'Client ID Records_v2'!D:E, 2, FALSE), "")</f>
        <v/>
      </c>
      <c r="H343" s="368" t="str">
        <f>IFERROR(VLOOKUP(G343,'Client ID Records_v2'!E:F, 2, FALSE), "")</f>
        <v/>
      </c>
      <c r="I343" s="352"/>
      <c r="J343" s="358" t="str">
        <f>IFERROR(VLOOKUP(I343,'Project Records_v2'!F:G, 2, FALSE), "")</f>
        <v/>
      </c>
      <c r="K343" s="143"/>
      <c r="L343" s="390"/>
      <c r="M343" s="419"/>
      <c r="N343" s="370"/>
      <c r="O343" s="370"/>
      <c r="P343" s="371"/>
      <c r="Q343" s="365"/>
    </row>
    <row r="344" ht="22.5" customHeight="1">
      <c r="A344" s="146"/>
      <c r="B344" s="413"/>
      <c r="C344" s="367"/>
      <c r="D344" s="420"/>
      <c r="E344" s="405"/>
      <c r="F344" s="404"/>
      <c r="G344" s="352" t="str">
        <f>IFERROR(VLOOKUP(D344,'Client ID Records_v2'!D:E, 2, FALSE), "")</f>
        <v/>
      </c>
      <c r="H344" s="368" t="str">
        <f>IFERROR(VLOOKUP(G344,'Client ID Records_v2'!E:F, 2, FALSE), "")</f>
        <v/>
      </c>
      <c r="I344" s="352"/>
      <c r="J344" s="358" t="str">
        <f>IFERROR(VLOOKUP(I344,'Project Records_v2'!F:G, 2, FALSE), "")</f>
        <v/>
      </c>
      <c r="K344" s="143"/>
      <c r="L344" s="390"/>
      <c r="M344" s="419"/>
      <c r="N344" s="370"/>
      <c r="O344" s="370"/>
      <c r="P344" s="371"/>
      <c r="Q344" s="365"/>
    </row>
    <row r="345" ht="22.5" customHeight="1">
      <c r="A345" s="146"/>
      <c r="B345" s="413"/>
      <c r="C345" s="367"/>
      <c r="D345" s="420"/>
      <c r="E345" s="405"/>
      <c r="F345" s="404"/>
      <c r="G345" s="352" t="str">
        <f>IFERROR(VLOOKUP(D345,'Client ID Records_v2'!D:E, 2, FALSE), "")</f>
        <v/>
      </c>
      <c r="H345" s="368" t="str">
        <f>IFERROR(VLOOKUP(G345,'Client ID Records_v2'!E:F, 2, FALSE), "")</f>
        <v/>
      </c>
      <c r="I345" s="352"/>
      <c r="J345" s="358" t="str">
        <f>IFERROR(VLOOKUP(I345,'Project Records_v2'!F:G, 2, FALSE), "")</f>
        <v/>
      </c>
      <c r="K345" s="143"/>
      <c r="L345" s="390"/>
      <c r="M345" s="419"/>
      <c r="N345" s="370"/>
      <c r="O345" s="370"/>
      <c r="P345" s="371"/>
      <c r="Q345" s="365"/>
    </row>
    <row r="346" ht="22.5" customHeight="1">
      <c r="A346" s="146"/>
      <c r="B346" s="413"/>
      <c r="C346" s="367"/>
      <c r="D346" s="420"/>
      <c r="E346" s="405"/>
      <c r="F346" s="404"/>
      <c r="G346" s="352" t="str">
        <f>IFERROR(VLOOKUP(D346,'Client ID Records_v2'!D:E, 2, FALSE), "")</f>
        <v/>
      </c>
      <c r="H346" s="368" t="str">
        <f>IFERROR(VLOOKUP(G346,'Client ID Records_v2'!E:F, 2, FALSE), "")</f>
        <v/>
      </c>
      <c r="I346" s="352"/>
      <c r="J346" s="358" t="str">
        <f>IFERROR(VLOOKUP(I346,'Project Records_v2'!F:G, 2, FALSE), "")</f>
        <v/>
      </c>
      <c r="K346" s="143"/>
      <c r="L346" s="390"/>
      <c r="M346" s="419"/>
      <c r="N346" s="370"/>
      <c r="O346" s="370"/>
      <c r="P346" s="371"/>
      <c r="Q346" s="365"/>
    </row>
    <row r="347" ht="22.5" customHeight="1">
      <c r="A347" s="146"/>
      <c r="B347" s="413"/>
      <c r="C347" s="367"/>
      <c r="D347" s="420"/>
      <c r="E347" s="405"/>
      <c r="F347" s="404"/>
      <c r="G347" s="352" t="str">
        <f>IFERROR(VLOOKUP(D347,'Client ID Records_v2'!D:E, 2, FALSE), "")</f>
        <v/>
      </c>
      <c r="H347" s="368" t="str">
        <f>IFERROR(VLOOKUP(G347,'Client ID Records_v2'!E:F, 2, FALSE), "")</f>
        <v/>
      </c>
      <c r="I347" s="352"/>
      <c r="J347" s="358" t="str">
        <f>IFERROR(VLOOKUP(I347,'Project Records_v2'!F:G, 2, FALSE), "")</f>
        <v/>
      </c>
      <c r="K347" s="143"/>
      <c r="L347" s="390"/>
      <c r="M347" s="419"/>
      <c r="N347" s="370"/>
      <c r="O347" s="370"/>
      <c r="P347" s="371"/>
      <c r="Q347" s="365"/>
    </row>
    <row r="348" ht="22.5" customHeight="1">
      <c r="A348" s="146"/>
      <c r="B348" s="413"/>
      <c r="C348" s="367"/>
      <c r="D348" s="420"/>
      <c r="E348" s="405"/>
      <c r="F348" s="404"/>
      <c r="G348" s="352" t="str">
        <f>IFERROR(VLOOKUP(D348,'Client ID Records_v2'!D:E, 2, FALSE), "")</f>
        <v/>
      </c>
      <c r="H348" s="368" t="str">
        <f>IFERROR(VLOOKUP(G348,'Client ID Records_v2'!E:F, 2, FALSE), "")</f>
        <v/>
      </c>
      <c r="I348" s="352"/>
      <c r="J348" s="358" t="str">
        <f>IFERROR(VLOOKUP(I348,'Project Records_v2'!F:G, 2, FALSE), "")</f>
        <v/>
      </c>
      <c r="K348" s="143"/>
      <c r="L348" s="390"/>
      <c r="M348" s="419"/>
      <c r="N348" s="370"/>
      <c r="O348" s="370"/>
      <c r="P348" s="371"/>
      <c r="Q348" s="365"/>
    </row>
    <row r="349" ht="22.5" customHeight="1">
      <c r="A349" s="146"/>
      <c r="B349" s="413"/>
      <c r="C349" s="367"/>
      <c r="D349" s="420"/>
      <c r="E349" s="405"/>
      <c r="F349" s="404"/>
      <c r="G349" s="352" t="str">
        <f>IFERROR(VLOOKUP(D349,'Client ID Records_v2'!D:E, 2, FALSE), "")</f>
        <v/>
      </c>
      <c r="H349" s="368" t="str">
        <f>IFERROR(VLOOKUP(G349,'Client ID Records_v2'!E:F, 2, FALSE), "")</f>
        <v/>
      </c>
      <c r="I349" s="352"/>
      <c r="J349" s="358" t="str">
        <f>IFERROR(VLOOKUP(I349,'Project Records_v2'!F:G, 2, FALSE), "")</f>
        <v/>
      </c>
      <c r="K349" s="143"/>
      <c r="L349" s="390"/>
      <c r="M349" s="419"/>
      <c r="N349" s="370"/>
      <c r="O349" s="370"/>
      <c r="P349" s="371"/>
      <c r="Q349" s="365"/>
    </row>
    <row r="350" ht="22.5" customHeight="1">
      <c r="A350" s="146"/>
      <c r="B350" s="413"/>
      <c r="C350" s="367"/>
      <c r="D350" s="420"/>
      <c r="E350" s="405"/>
      <c r="F350" s="404"/>
      <c r="G350" s="352" t="str">
        <f>IFERROR(VLOOKUP(D350,'Client ID Records_v2'!D:E, 2, FALSE), "")</f>
        <v/>
      </c>
      <c r="H350" s="368" t="str">
        <f>IFERROR(VLOOKUP(G350,'Client ID Records_v2'!E:F, 2, FALSE), "")</f>
        <v/>
      </c>
      <c r="I350" s="352"/>
      <c r="J350" s="358" t="str">
        <f>IFERROR(VLOOKUP(I350,'Project Records_v2'!F:G, 2, FALSE), "")</f>
        <v/>
      </c>
      <c r="K350" s="143"/>
      <c r="L350" s="390"/>
      <c r="M350" s="419"/>
      <c r="N350" s="370"/>
      <c r="O350" s="370"/>
      <c r="P350" s="371"/>
      <c r="Q350" s="365"/>
    </row>
    <row r="351" ht="22.5" customHeight="1">
      <c r="A351" s="146"/>
      <c r="B351" s="413"/>
      <c r="C351" s="367"/>
      <c r="D351" s="420"/>
      <c r="E351" s="405"/>
      <c r="F351" s="404"/>
      <c r="G351" s="352" t="str">
        <f>IFERROR(VLOOKUP(D351,'Client ID Records_v2'!D:E, 2, FALSE), "")</f>
        <v/>
      </c>
      <c r="H351" s="368" t="str">
        <f>IFERROR(VLOOKUP(G351,'Client ID Records_v2'!E:F, 2, FALSE), "")</f>
        <v/>
      </c>
      <c r="I351" s="352"/>
      <c r="J351" s="358" t="str">
        <f>IFERROR(VLOOKUP(I351,'Project Records_v2'!F:G, 2, FALSE), "")</f>
        <v/>
      </c>
      <c r="K351" s="143"/>
      <c r="L351" s="390"/>
      <c r="M351" s="419"/>
      <c r="N351" s="370"/>
      <c r="O351" s="370"/>
      <c r="P351" s="371"/>
      <c r="Q351" s="365"/>
    </row>
    <row r="352" ht="22.5" customHeight="1">
      <c r="A352" s="146"/>
      <c r="B352" s="413"/>
      <c r="C352" s="367"/>
      <c r="D352" s="420"/>
      <c r="E352" s="405"/>
      <c r="F352" s="404"/>
      <c r="G352" s="352" t="str">
        <f>IFERROR(VLOOKUP(D352,'Client ID Records_v2'!D:E, 2, FALSE), "")</f>
        <v/>
      </c>
      <c r="H352" s="368" t="str">
        <f>IFERROR(VLOOKUP(G352,'Client ID Records_v2'!E:F, 2, FALSE), "")</f>
        <v/>
      </c>
      <c r="I352" s="352"/>
      <c r="J352" s="358" t="str">
        <f>IFERROR(VLOOKUP(I352,'Project Records_v2'!F:G, 2, FALSE), "")</f>
        <v/>
      </c>
      <c r="K352" s="143"/>
      <c r="L352" s="390"/>
      <c r="M352" s="419"/>
      <c r="N352" s="370"/>
      <c r="O352" s="370"/>
      <c r="P352" s="371"/>
      <c r="Q352" s="365"/>
    </row>
    <row r="353" ht="22.5" customHeight="1">
      <c r="A353" s="146"/>
      <c r="B353" s="413"/>
      <c r="C353" s="367"/>
      <c r="D353" s="420"/>
      <c r="E353" s="405"/>
      <c r="F353" s="404"/>
      <c r="G353" s="352" t="str">
        <f>IFERROR(VLOOKUP(D353,'Client ID Records_v2'!D:E, 2, FALSE), "")</f>
        <v/>
      </c>
      <c r="H353" s="368" t="str">
        <f>IFERROR(VLOOKUP(G353,'Client ID Records_v2'!E:F, 2, FALSE), "")</f>
        <v/>
      </c>
      <c r="I353" s="352"/>
      <c r="J353" s="358" t="str">
        <f>IFERROR(VLOOKUP(I353,'Project Records_v2'!F:G, 2, FALSE), "")</f>
        <v/>
      </c>
      <c r="K353" s="143"/>
      <c r="L353" s="390"/>
      <c r="M353" s="419"/>
      <c r="N353" s="370"/>
      <c r="O353" s="370"/>
      <c r="P353" s="371"/>
      <c r="Q353" s="365"/>
    </row>
    <row r="354" ht="22.5" customHeight="1">
      <c r="A354" s="146"/>
      <c r="B354" s="413"/>
      <c r="C354" s="367"/>
      <c r="D354" s="420"/>
      <c r="E354" s="405"/>
      <c r="F354" s="404"/>
      <c r="G354" s="352" t="str">
        <f>IFERROR(VLOOKUP(D354,'Client ID Records_v2'!D:E, 2, FALSE), "")</f>
        <v/>
      </c>
      <c r="H354" s="368" t="str">
        <f>IFERROR(VLOOKUP(G354,'Client ID Records_v2'!E:F, 2, FALSE), "")</f>
        <v/>
      </c>
      <c r="I354" s="352"/>
      <c r="J354" s="358" t="str">
        <f>IFERROR(VLOOKUP(I354,'Project Records_v2'!F:G, 2, FALSE), "")</f>
        <v/>
      </c>
      <c r="K354" s="143"/>
      <c r="L354" s="390"/>
      <c r="M354" s="419"/>
      <c r="N354" s="370"/>
      <c r="O354" s="370"/>
      <c r="P354" s="371"/>
      <c r="Q354" s="365"/>
    </row>
    <row r="355" ht="22.5" customHeight="1">
      <c r="A355" s="146"/>
      <c r="B355" s="413"/>
      <c r="C355" s="367"/>
      <c r="D355" s="420"/>
      <c r="E355" s="405"/>
      <c r="F355" s="404"/>
      <c r="G355" s="352" t="str">
        <f>IFERROR(VLOOKUP(D355,'Client ID Records_v2'!D:E, 2, FALSE), "")</f>
        <v/>
      </c>
      <c r="H355" s="368" t="str">
        <f>IFERROR(VLOOKUP(G355,'Client ID Records_v2'!E:F, 2, FALSE), "")</f>
        <v/>
      </c>
      <c r="I355" s="352"/>
      <c r="J355" s="358" t="str">
        <f>IFERROR(VLOOKUP(I355,'Project Records_v2'!F:G, 2, FALSE), "")</f>
        <v/>
      </c>
      <c r="K355" s="143"/>
      <c r="L355" s="390"/>
      <c r="M355" s="419"/>
      <c r="N355" s="370"/>
      <c r="O355" s="370"/>
      <c r="P355" s="371"/>
      <c r="Q355" s="365"/>
    </row>
    <row r="356" ht="22.5" customHeight="1">
      <c r="A356" s="146"/>
      <c r="B356" s="413"/>
      <c r="C356" s="367"/>
      <c r="D356" s="420"/>
      <c r="E356" s="405"/>
      <c r="F356" s="404"/>
      <c r="G356" s="352" t="str">
        <f>IFERROR(VLOOKUP(D356,'Client ID Records_v2'!D:E, 2, FALSE), "")</f>
        <v/>
      </c>
      <c r="H356" s="368" t="str">
        <f>IFERROR(VLOOKUP(G356,'Client ID Records_v2'!E:F, 2, FALSE), "")</f>
        <v/>
      </c>
      <c r="I356" s="352"/>
      <c r="J356" s="358" t="str">
        <f>IFERROR(VLOOKUP(I356,'Project Records_v2'!F:G, 2, FALSE), "")</f>
        <v/>
      </c>
      <c r="K356" s="143"/>
      <c r="L356" s="390"/>
      <c r="M356" s="419"/>
      <c r="N356" s="370"/>
      <c r="O356" s="370"/>
      <c r="P356" s="371"/>
      <c r="Q356" s="365"/>
    </row>
    <row r="357" ht="22.5" customHeight="1">
      <c r="A357" s="146"/>
      <c r="B357" s="413"/>
      <c r="C357" s="367"/>
      <c r="D357" s="420"/>
      <c r="E357" s="405"/>
      <c r="F357" s="404"/>
      <c r="G357" s="352" t="str">
        <f>IFERROR(VLOOKUP(D357,'Client ID Records_v2'!D:E, 2, FALSE), "")</f>
        <v/>
      </c>
      <c r="H357" s="368" t="str">
        <f>IFERROR(VLOOKUP(G357,'Client ID Records_v2'!E:F, 2, FALSE), "")</f>
        <v/>
      </c>
      <c r="I357" s="352"/>
      <c r="J357" s="358" t="str">
        <f>IFERROR(VLOOKUP(I357,'Project Records_v2'!F:G, 2, FALSE), "")</f>
        <v/>
      </c>
      <c r="K357" s="143"/>
      <c r="L357" s="390"/>
      <c r="M357" s="419"/>
      <c r="N357" s="370"/>
      <c r="O357" s="370"/>
      <c r="P357" s="371"/>
      <c r="Q357" s="365"/>
    </row>
    <row r="358" ht="22.5" customHeight="1">
      <c r="A358" s="146"/>
      <c r="B358" s="413"/>
      <c r="C358" s="367"/>
      <c r="D358" s="420"/>
      <c r="E358" s="405"/>
      <c r="F358" s="404"/>
      <c r="G358" s="352" t="str">
        <f>IFERROR(VLOOKUP(D358,'Client ID Records_v2'!D:E, 2, FALSE), "")</f>
        <v/>
      </c>
      <c r="H358" s="368" t="str">
        <f>IFERROR(VLOOKUP(G358,'Client ID Records_v2'!E:F, 2, FALSE), "")</f>
        <v/>
      </c>
      <c r="I358" s="352"/>
      <c r="J358" s="358" t="str">
        <f>IFERROR(VLOOKUP(I358,'Project Records_v2'!F:G, 2, FALSE), "")</f>
        <v/>
      </c>
      <c r="K358" s="143"/>
      <c r="L358" s="390"/>
      <c r="M358" s="419"/>
      <c r="N358" s="370"/>
      <c r="O358" s="370"/>
      <c r="P358" s="371"/>
      <c r="Q358" s="365"/>
    </row>
    <row r="359" ht="22.5" customHeight="1">
      <c r="A359" s="146"/>
      <c r="B359" s="413"/>
      <c r="C359" s="367"/>
      <c r="D359" s="420"/>
      <c r="E359" s="405"/>
      <c r="F359" s="404"/>
      <c r="G359" s="352" t="str">
        <f>IFERROR(VLOOKUP(D359,'Client ID Records_v2'!D:E, 2, FALSE), "")</f>
        <v/>
      </c>
      <c r="H359" s="368" t="str">
        <f>IFERROR(VLOOKUP(G359,'Client ID Records_v2'!E:F, 2, FALSE), "")</f>
        <v/>
      </c>
      <c r="I359" s="352"/>
      <c r="J359" s="358" t="str">
        <f>IFERROR(VLOOKUP(I359,'Project Records_v2'!F:G, 2, FALSE), "")</f>
        <v/>
      </c>
      <c r="K359" s="143"/>
      <c r="L359" s="390"/>
      <c r="M359" s="419"/>
      <c r="N359" s="370"/>
      <c r="O359" s="370"/>
      <c r="P359" s="371"/>
      <c r="Q359" s="365"/>
    </row>
    <row r="360" ht="22.5" customHeight="1">
      <c r="A360" s="146"/>
      <c r="B360" s="413"/>
      <c r="C360" s="367"/>
      <c r="D360" s="420"/>
      <c r="E360" s="405"/>
      <c r="F360" s="404"/>
      <c r="G360" s="352" t="str">
        <f>IFERROR(VLOOKUP(D360,'Client ID Records_v2'!D:E, 2, FALSE), "")</f>
        <v/>
      </c>
      <c r="H360" s="368" t="str">
        <f>IFERROR(VLOOKUP(G360,'Client ID Records_v2'!E:F, 2, FALSE), "")</f>
        <v/>
      </c>
      <c r="I360" s="352"/>
      <c r="J360" s="358" t="str">
        <f>IFERROR(VLOOKUP(I360,'Project Records_v2'!F:G, 2, FALSE), "")</f>
        <v/>
      </c>
      <c r="K360" s="143"/>
      <c r="L360" s="390"/>
      <c r="M360" s="419"/>
      <c r="N360" s="370"/>
      <c r="O360" s="370"/>
      <c r="P360" s="371"/>
      <c r="Q360" s="365"/>
    </row>
    <row r="361" ht="22.5" customHeight="1">
      <c r="A361" s="146"/>
      <c r="B361" s="413"/>
      <c r="C361" s="367"/>
      <c r="D361" s="420"/>
      <c r="E361" s="405"/>
      <c r="F361" s="404"/>
      <c r="G361" s="352" t="str">
        <f>IFERROR(VLOOKUP(D361,'Client ID Records_v2'!D:E, 2, FALSE), "")</f>
        <v/>
      </c>
      <c r="H361" s="368" t="str">
        <f>IFERROR(VLOOKUP(G361,'Client ID Records_v2'!E:F, 2, FALSE), "")</f>
        <v/>
      </c>
      <c r="I361" s="352"/>
      <c r="J361" s="358" t="str">
        <f>IFERROR(VLOOKUP(I361,'Project Records_v2'!F:G, 2, FALSE), "")</f>
        <v/>
      </c>
      <c r="K361" s="143"/>
      <c r="L361" s="390"/>
      <c r="M361" s="419"/>
      <c r="N361" s="370"/>
      <c r="O361" s="370"/>
      <c r="P361" s="371"/>
      <c r="Q361" s="365"/>
    </row>
    <row r="362" ht="22.5" customHeight="1">
      <c r="A362" s="146"/>
      <c r="B362" s="413"/>
      <c r="C362" s="367"/>
      <c r="D362" s="420"/>
      <c r="E362" s="405"/>
      <c r="F362" s="404"/>
      <c r="G362" s="352" t="str">
        <f>IFERROR(VLOOKUP(D362,'Client ID Records_v2'!D:E, 2, FALSE), "")</f>
        <v/>
      </c>
      <c r="H362" s="368" t="str">
        <f>IFERROR(VLOOKUP(G362,'Client ID Records_v2'!E:F, 2, FALSE), "")</f>
        <v/>
      </c>
      <c r="I362" s="352"/>
      <c r="J362" s="358" t="str">
        <f>IFERROR(VLOOKUP(I362,'Project Records_v2'!F:G, 2, FALSE), "")</f>
        <v/>
      </c>
      <c r="K362" s="143"/>
      <c r="L362" s="390"/>
      <c r="M362" s="419"/>
      <c r="N362" s="370"/>
      <c r="O362" s="370"/>
      <c r="P362" s="371"/>
      <c r="Q362" s="365"/>
    </row>
    <row r="363" ht="22.5" customHeight="1">
      <c r="A363" s="146"/>
      <c r="B363" s="413"/>
      <c r="C363" s="367"/>
      <c r="D363" s="420"/>
      <c r="E363" s="405"/>
      <c r="F363" s="404"/>
      <c r="G363" s="352" t="str">
        <f>IFERROR(VLOOKUP(D363,'Client ID Records_v2'!D:E, 2, FALSE), "")</f>
        <v/>
      </c>
      <c r="H363" s="368" t="str">
        <f>IFERROR(VLOOKUP(G363,'Client ID Records_v2'!E:F, 2, FALSE), "")</f>
        <v/>
      </c>
      <c r="I363" s="352"/>
      <c r="J363" s="358" t="str">
        <f>IFERROR(VLOOKUP(I363,'Project Records_v2'!F:G, 2, FALSE), "")</f>
        <v/>
      </c>
      <c r="K363" s="143"/>
      <c r="L363" s="390"/>
      <c r="M363" s="419"/>
      <c r="N363" s="370"/>
      <c r="O363" s="370"/>
      <c r="P363" s="371"/>
      <c r="Q363" s="365"/>
    </row>
    <row r="364" ht="22.5" customHeight="1">
      <c r="A364" s="146"/>
      <c r="B364" s="413"/>
      <c r="C364" s="367"/>
      <c r="D364" s="420"/>
      <c r="E364" s="405"/>
      <c r="F364" s="404"/>
      <c r="G364" s="352" t="str">
        <f>IFERROR(VLOOKUP(D364,'Client ID Records_v2'!D:E, 2, FALSE), "")</f>
        <v/>
      </c>
      <c r="H364" s="368" t="str">
        <f>IFERROR(VLOOKUP(G364,'Client ID Records_v2'!E:F, 2, FALSE), "")</f>
        <v/>
      </c>
      <c r="I364" s="352"/>
      <c r="J364" s="358" t="str">
        <f>IFERROR(VLOOKUP(I364,'Project Records_v2'!F:G, 2, FALSE), "")</f>
        <v/>
      </c>
      <c r="K364" s="143"/>
      <c r="L364" s="390"/>
      <c r="M364" s="419"/>
      <c r="N364" s="370"/>
      <c r="O364" s="370"/>
      <c r="P364" s="371"/>
      <c r="Q364" s="365"/>
    </row>
    <row r="365" ht="22.5" customHeight="1">
      <c r="A365" s="146"/>
      <c r="B365" s="413"/>
      <c r="C365" s="367"/>
      <c r="D365" s="420"/>
      <c r="E365" s="405"/>
      <c r="F365" s="404"/>
      <c r="G365" s="352" t="str">
        <f>IFERROR(VLOOKUP(D365,'Client ID Records_v2'!D:E, 2, FALSE), "")</f>
        <v/>
      </c>
      <c r="H365" s="368" t="str">
        <f>IFERROR(VLOOKUP(G365,'Client ID Records_v2'!E:F, 2, FALSE), "")</f>
        <v/>
      </c>
      <c r="I365" s="352"/>
      <c r="J365" s="358" t="str">
        <f>IFERROR(VLOOKUP(I365,'Project Records_v2'!F:G, 2, FALSE), "")</f>
        <v/>
      </c>
      <c r="K365" s="143"/>
      <c r="L365" s="390"/>
      <c r="M365" s="419"/>
      <c r="N365" s="370"/>
      <c r="O365" s="370"/>
      <c r="P365" s="371"/>
      <c r="Q365" s="365"/>
    </row>
    <row r="366" ht="22.5" customHeight="1">
      <c r="A366" s="146"/>
      <c r="B366" s="413"/>
      <c r="C366" s="367"/>
      <c r="D366" s="420"/>
      <c r="E366" s="405"/>
      <c r="F366" s="404"/>
      <c r="G366" s="352" t="str">
        <f>IFERROR(VLOOKUP(D366,'Client ID Records_v2'!D:E, 2, FALSE), "")</f>
        <v/>
      </c>
      <c r="H366" s="368" t="str">
        <f>IFERROR(VLOOKUP(G366,'Client ID Records_v2'!E:F, 2, FALSE), "")</f>
        <v/>
      </c>
      <c r="I366" s="352"/>
      <c r="J366" s="358" t="str">
        <f>IFERROR(VLOOKUP(I366,'Project Records_v2'!F:G, 2, FALSE), "")</f>
        <v/>
      </c>
      <c r="K366" s="143"/>
      <c r="L366" s="390"/>
      <c r="M366" s="419"/>
      <c r="N366" s="370"/>
      <c r="O366" s="370"/>
      <c r="P366" s="371"/>
      <c r="Q366" s="365"/>
    </row>
    <row r="367" ht="22.5" customHeight="1">
      <c r="A367" s="146"/>
      <c r="B367" s="413"/>
      <c r="C367" s="367"/>
      <c r="D367" s="420"/>
      <c r="E367" s="405"/>
      <c r="F367" s="404"/>
      <c r="G367" s="352" t="str">
        <f>IFERROR(VLOOKUP(D367,'Client ID Records_v2'!D:E, 2, FALSE), "")</f>
        <v/>
      </c>
      <c r="H367" s="368" t="str">
        <f>IFERROR(VLOOKUP(G367,'Client ID Records_v2'!E:F, 2, FALSE), "")</f>
        <v/>
      </c>
      <c r="I367" s="352"/>
      <c r="J367" s="358" t="str">
        <f>IFERROR(VLOOKUP(I367,'Project Records_v2'!F:G, 2, FALSE), "")</f>
        <v/>
      </c>
      <c r="K367" s="143"/>
      <c r="L367" s="390"/>
      <c r="M367" s="419"/>
      <c r="N367" s="370"/>
      <c r="O367" s="370"/>
      <c r="P367" s="371"/>
      <c r="Q367" s="365"/>
    </row>
    <row r="368" ht="22.5" customHeight="1">
      <c r="A368" s="146"/>
      <c r="B368" s="413"/>
      <c r="C368" s="367"/>
      <c r="D368" s="420"/>
      <c r="E368" s="405"/>
      <c r="F368" s="404"/>
      <c r="G368" s="352" t="str">
        <f>IFERROR(VLOOKUP(D368,'Client ID Records_v2'!D:E, 2, FALSE), "")</f>
        <v/>
      </c>
      <c r="H368" s="368" t="str">
        <f>IFERROR(VLOOKUP(G368,'Client ID Records_v2'!E:F, 2, FALSE), "")</f>
        <v/>
      </c>
      <c r="I368" s="352"/>
      <c r="J368" s="358" t="str">
        <f>IFERROR(VLOOKUP(I368,'Project Records_v2'!F:G, 2, FALSE), "")</f>
        <v/>
      </c>
      <c r="K368" s="143"/>
      <c r="L368" s="390"/>
      <c r="M368" s="419"/>
      <c r="N368" s="370"/>
      <c r="O368" s="370"/>
      <c r="P368" s="371"/>
      <c r="Q368" s="365"/>
    </row>
    <row r="369" ht="22.5" customHeight="1">
      <c r="A369" s="146"/>
      <c r="B369" s="413"/>
      <c r="C369" s="367"/>
      <c r="D369" s="420"/>
      <c r="E369" s="405"/>
      <c r="F369" s="404"/>
      <c r="G369" s="352" t="str">
        <f>IFERROR(VLOOKUP(D369,'Client ID Records_v2'!D:E, 2, FALSE), "")</f>
        <v/>
      </c>
      <c r="H369" s="368" t="str">
        <f>IFERROR(VLOOKUP(G369,'Client ID Records_v2'!E:F, 2, FALSE), "")</f>
        <v/>
      </c>
      <c r="I369" s="352"/>
      <c r="J369" s="358" t="str">
        <f>IFERROR(VLOOKUP(I369,'Project Records_v2'!F:G, 2, FALSE), "")</f>
        <v/>
      </c>
      <c r="K369" s="143"/>
      <c r="L369" s="390"/>
      <c r="M369" s="419"/>
      <c r="N369" s="370"/>
      <c r="O369" s="370"/>
      <c r="P369" s="371"/>
      <c r="Q369" s="365"/>
    </row>
    <row r="370" ht="22.5" customHeight="1">
      <c r="A370" s="146"/>
      <c r="B370" s="413"/>
      <c r="C370" s="367"/>
      <c r="D370" s="420"/>
      <c r="E370" s="405"/>
      <c r="F370" s="404"/>
      <c r="G370" s="352" t="str">
        <f>IFERROR(VLOOKUP(D370,'Client ID Records_v2'!D:E, 2, FALSE), "")</f>
        <v/>
      </c>
      <c r="H370" s="368" t="str">
        <f>IFERROR(VLOOKUP(G370,'Client ID Records_v2'!E:F, 2, FALSE), "")</f>
        <v/>
      </c>
      <c r="I370" s="352"/>
      <c r="J370" s="358" t="str">
        <f>IFERROR(VLOOKUP(I370,'Project Records_v2'!F:G, 2, FALSE), "")</f>
        <v/>
      </c>
      <c r="K370" s="143"/>
      <c r="L370" s="390"/>
      <c r="M370" s="419"/>
      <c r="N370" s="370"/>
      <c r="O370" s="370"/>
      <c r="P370" s="371"/>
      <c r="Q370" s="365"/>
    </row>
    <row r="371" ht="22.5" customHeight="1">
      <c r="A371" s="146"/>
      <c r="B371" s="413"/>
      <c r="C371" s="367"/>
      <c r="D371" s="420"/>
      <c r="E371" s="405"/>
      <c r="F371" s="404"/>
      <c r="G371" s="352" t="str">
        <f>IFERROR(VLOOKUP(D371,'Client ID Records_v2'!D:E, 2, FALSE), "")</f>
        <v/>
      </c>
      <c r="H371" s="368" t="str">
        <f>IFERROR(VLOOKUP(G371,'Client ID Records_v2'!E:F, 2, FALSE), "")</f>
        <v/>
      </c>
      <c r="I371" s="352"/>
      <c r="J371" s="358" t="str">
        <f>IFERROR(VLOOKUP(I371,'Project Records_v2'!F:G, 2, FALSE), "")</f>
        <v/>
      </c>
      <c r="K371" s="143"/>
      <c r="L371" s="390"/>
      <c r="M371" s="419"/>
      <c r="N371" s="370"/>
      <c r="O371" s="370"/>
      <c r="P371" s="371"/>
      <c r="Q371" s="365"/>
    </row>
    <row r="372" ht="22.5" customHeight="1">
      <c r="A372" s="146"/>
      <c r="B372" s="413"/>
      <c r="C372" s="367"/>
      <c r="D372" s="420"/>
      <c r="E372" s="405"/>
      <c r="F372" s="404"/>
      <c r="G372" s="352" t="str">
        <f>IFERROR(VLOOKUP(D372,'Client ID Records_v2'!D:E, 2, FALSE), "")</f>
        <v/>
      </c>
      <c r="H372" s="368" t="str">
        <f>IFERROR(VLOOKUP(G372,'Client ID Records_v2'!E:F, 2, FALSE), "")</f>
        <v/>
      </c>
      <c r="I372" s="352"/>
      <c r="J372" s="358" t="str">
        <f>IFERROR(VLOOKUP(I372,'Project Records_v2'!F:G, 2, FALSE), "")</f>
        <v/>
      </c>
      <c r="K372" s="143"/>
      <c r="L372" s="390"/>
      <c r="M372" s="419"/>
      <c r="N372" s="370"/>
      <c r="O372" s="370"/>
      <c r="P372" s="371"/>
      <c r="Q372" s="365"/>
    </row>
    <row r="373" ht="22.5" customHeight="1">
      <c r="A373" s="146"/>
      <c r="B373" s="413"/>
      <c r="C373" s="367"/>
      <c r="D373" s="420"/>
      <c r="E373" s="405"/>
      <c r="F373" s="404"/>
      <c r="G373" s="352" t="str">
        <f>IFERROR(VLOOKUP(D373,'Client ID Records_v2'!D:E, 2, FALSE), "")</f>
        <v/>
      </c>
      <c r="H373" s="368" t="str">
        <f>IFERROR(VLOOKUP(G373,'Client ID Records_v2'!E:F, 2, FALSE), "")</f>
        <v/>
      </c>
      <c r="I373" s="352"/>
      <c r="J373" s="358" t="str">
        <f>IFERROR(VLOOKUP(I373,'Project Records_v2'!F:G, 2, FALSE), "")</f>
        <v/>
      </c>
      <c r="K373" s="143"/>
      <c r="L373" s="390"/>
      <c r="M373" s="419"/>
      <c r="N373" s="370"/>
      <c r="O373" s="370"/>
      <c r="P373" s="371"/>
      <c r="Q373" s="365"/>
    </row>
    <row r="374" ht="22.5" customHeight="1">
      <c r="A374" s="146"/>
      <c r="B374" s="413"/>
      <c r="C374" s="367"/>
      <c r="D374" s="420"/>
      <c r="E374" s="405"/>
      <c r="F374" s="404"/>
      <c r="G374" s="352" t="str">
        <f>IFERROR(VLOOKUP(D374,'Client ID Records_v2'!D:E, 2, FALSE), "")</f>
        <v/>
      </c>
      <c r="H374" s="368" t="str">
        <f>IFERROR(VLOOKUP(G374,'Client ID Records_v2'!E:F, 2, FALSE), "")</f>
        <v/>
      </c>
      <c r="I374" s="352"/>
      <c r="J374" s="358" t="str">
        <f>IFERROR(VLOOKUP(I374,'Project Records_v2'!F:G, 2, FALSE), "")</f>
        <v/>
      </c>
      <c r="K374" s="143"/>
      <c r="L374" s="390"/>
      <c r="M374" s="419"/>
      <c r="N374" s="370"/>
      <c r="O374" s="370"/>
      <c r="P374" s="371"/>
      <c r="Q374" s="365"/>
    </row>
    <row r="375" ht="22.5" customHeight="1">
      <c r="A375" s="146"/>
      <c r="B375" s="413"/>
      <c r="C375" s="367"/>
      <c r="D375" s="420"/>
      <c r="E375" s="405"/>
      <c r="F375" s="404"/>
      <c r="G375" s="352" t="str">
        <f>IFERROR(VLOOKUP(D375,'Client ID Records_v2'!D:E, 2, FALSE), "")</f>
        <v/>
      </c>
      <c r="H375" s="368" t="str">
        <f>IFERROR(VLOOKUP(G375,'Client ID Records_v2'!E:F, 2, FALSE), "")</f>
        <v/>
      </c>
      <c r="I375" s="352"/>
      <c r="J375" s="358" t="str">
        <f>IFERROR(VLOOKUP(I375,'Project Records_v2'!F:G, 2, FALSE), "")</f>
        <v/>
      </c>
      <c r="K375" s="143"/>
      <c r="L375" s="390"/>
      <c r="M375" s="419"/>
      <c r="N375" s="370"/>
      <c r="O375" s="370"/>
      <c r="P375" s="371"/>
      <c r="Q375" s="365"/>
    </row>
    <row r="376" ht="22.5" customHeight="1">
      <c r="A376" s="146"/>
      <c r="B376" s="413"/>
      <c r="C376" s="367"/>
      <c r="D376" s="420"/>
      <c r="E376" s="405"/>
      <c r="F376" s="404"/>
      <c r="G376" s="352" t="str">
        <f>IFERROR(VLOOKUP(D376,'Client ID Records_v2'!D:E, 2, FALSE), "")</f>
        <v/>
      </c>
      <c r="H376" s="368" t="str">
        <f>IFERROR(VLOOKUP(G376,'Client ID Records_v2'!E:F, 2, FALSE), "")</f>
        <v/>
      </c>
      <c r="I376" s="352"/>
      <c r="J376" s="358" t="str">
        <f>IFERROR(VLOOKUP(I376,'Project Records_v2'!F:G, 2, FALSE), "")</f>
        <v/>
      </c>
      <c r="K376" s="143"/>
      <c r="L376" s="390"/>
      <c r="M376" s="419"/>
      <c r="N376" s="370"/>
      <c r="O376" s="370"/>
      <c r="P376" s="371"/>
      <c r="Q376" s="365"/>
    </row>
    <row r="377" ht="22.5" customHeight="1">
      <c r="A377" s="146"/>
      <c r="B377" s="413"/>
      <c r="C377" s="367"/>
      <c r="D377" s="420"/>
      <c r="E377" s="405"/>
      <c r="F377" s="404"/>
      <c r="G377" s="352" t="str">
        <f>IFERROR(VLOOKUP(D377,'Client ID Records_v2'!D:E, 2, FALSE), "")</f>
        <v/>
      </c>
      <c r="H377" s="368" t="str">
        <f>IFERROR(VLOOKUP(G377,'Client ID Records_v2'!E:F, 2, FALSE), "")</f>
        <v/>
      </c>
      <c r="I377" s="352"/>
      <c r="J377" s="358" t="str">
        <f>IFERROR(VLOOKUP(I377,'Project Records_v2'!F:G, 2, FALSE), "")</f>
        <v/>
      </c>
      <c r="K377" s="143"/>
      <c r="L377" s="390"/>
      <c r="M377" s="419"/>
      <c r="N377" s="370"/>
      <c r="O377" s="370"/>
      <c r="P377" s="371"/>
      <c r="Q377" s="365"/>
    </row>
    <row r="378" ht="22.5" customHeight="1">
      <c r="A378" s="146"/>
      <c r="B378" s="413"/>
      <c r="C378" s="367"/>
      <c r="D378" s="420"/>
      <c r="E378" s="405"/>
      <c r="F378" s="404"/>
      <c r="G378" s="352" t="str">
        <f>IFERROR(VLOOKUP(D378,'Client ID Records_v2'!D:E, 2, FALSE), "")</f>
        <v/>
      </c>
      <c r="H378" s="368" t="str">
        <f>IFERROR(VLOOKUP(G378,'Client ID Records_v2'!E:F, 2, FALSE), "")</f>
        <v/>
      </c>
      <c r="I378" s="352"/>
      <c r="J378" s="358" t="str">
        <f>IFERROR(VLOOKUP(I378,'Project Records_v2'!F:G, 2, FALSE), "")</f>
        <v/>
      </c>
      <c r="K378" s="143"/>
      <c r="L378" s="390"/>
      <c r="M378" s="419"/>
      <c r="N378" s="370"/>
      <c r="O378" s="370"/>
      <c r="P378" s="371"/>
      <c r="Q378" s="365"/>
    </row>
    <row r="379" ht="22.5" customHeight="1">
      <c r="A379" s="146"/>
      <c r="B379" s="413"/>
      <c r="C379" s="367"/>
      <c r="D379" s="420"/>
      <c r="E379" s="405"/>
      <c r="F379" s="404"/>
      <c r="G379" s="352" t="str">
        <f>IFERROR(VLOOKUP(D379,'Client ID Records_v2'!D:E, 2, FALSE), "")</f>
        <v/>
      </c>
      <c r="H379" s="368" t="str">
        <f>IFERROR(VLOOKUP(G379,'Client ID Records_v2'!E:F, 2, FALSE), "")</f>
        <v/>
      </c>
      <c r="I379" s="352"/>
      <c r="J379" s="358" t="str">
        <f>IFERROR(VLOOKUP(I379,'Project Records_v2'!F:G, 2, FALSE), "")</f>
        <v/>
      </c>
      <c r="K379" s="143"/>
      <c r="L379" s="390"/>
      <c r="M379" s="419"/>
      <c r="N379" s="370"/>
      <c r="O379" s="370"/>
      <c r="P379" s="371"/>
      <c r="Q379" s="365"/>
    </row>
    <row r="380" ht="22.5" customHeight="1">
      <c r="A380" s="146"/>
      <c r="B380" s="413"/>
      <c r="C380" s="367"/>
      <c r="D380" s="420"/>
      <c r="E380" s="405"/>
      <c r="F380" s="404"/>
      <c r="G380" s="352" t="str">
        <f>IFERROR(VLOOKUP(D380,'Client ID Records_v2'!D:E, 2, FALSE), "")</f>
        <v/>
      </c>
      <c r="H380" s="368" t="str">
        <f>IFERROR(VLOOKUP(G380,'Client ID Records_v2'!E:F, 2, FALSE), "")</f>
        <v/>
      </c>
      <c r="I380" s="352"/>
      <c r="J380" s="358" t="str">
        <f>IFERROR(VLOOKUP(I380,'Project Records_v2'!F:G, 2, FALSE), "")</f>
        <v/>
      </c>
      <c r="K380" s="143"/>
      <c r="L380" s="390"/>
      <c r="M380" s="419"/>
      <c r="N380" s="370"/>
      <c r="O380" s="370"/>
      <c r="P380" s="371"/>
      <c r="Q380" s="365"/>
    </row>
    <row r="381" ht="22.5" customHeight="1">
      <c r="A381" s="146"/>
      <c r="B381" s="413"/>
      <c r="C381" s="367"/>
      <c r="D381" s="420"/>
      <c r="E381" s="405"/>
      <c r="F381" s="404"/>
      <c r="G381" s="352" t="str">
        <f>IFERROR(VLOOKUP(D381,'Client ID Records_v2'!D:E, 2, FALSE), "")</f>
        <v/>
      </c>
      <c r="H381" s="368" t="str">
        <f>IFERROR(VLOOKUP(G381,'Client ID Records_v2'!E:F, 2, FALSE), "")</f>
        <v/>
      </c>
      <c r="I381" s="352"/>
      <c r="J381" s="358" t="str">
        <f>IFERROR(VLOOKUP(I381,'Project Records_v2'!F:G, 2, FALSE), "")</f>
        <v/>
      </c>
      <c r="K381" s="143"/>
      <c r="L381" s="390"/>
      <c r="M381" s="419"/>
      <c r="N381" s="370"/>
      <c r="O381" s="370"/>
      <c r="P381" s="371"/>
      <c r="Q381" s="365"/>
    </row>
    <row r="382" ht="22.5" customHeight="1">
      <c r="A382" s="146"/>
      <c r="B382" s="413"/>
      <c r="C382" s="367"/>
      <c r="D382" s="420"/>
      <c r="E382" s="405"/>
      <c r="F382" s="404"/>
      <c r="G382" s="352" t="str">
        <f>IFERROR(VLOOKUP(D382,'Client ID Records_v2'!D:E, 2, FALSE), "")</f>
        <v/>
      </c>
      <c r="H382" s="368" t="str">
        <f>IFERROR(VLOOKUP(G382,'Client ID Records_v2'!E:F, 2, FALSE), "")</f>
        <v/>
      </c>
      <c r="I382" s="352"/>
      <c r="J382" s="358" t="str">
        <f>IFERROR(VLOOKUP(I382,'Project Records_v2'!F:G, 2, FALSE), "")</f>
        <v/>
      </c>
      <c r="K382" s="143"/>
      <c r="L382" s="390"/>
      <c r="M382" s="419"/>
      <c r="N382" s="370"/>
      <c r="O382" s="370"/>
      <c r="P382" s="371"/>
      <c r="Q382" s="365"/>
    </row>
    <row r="383" ht="22.5" customHeight="1">
      <c r="A383" s="146"/>
      <c r="B383" s="413"/>
      <c r="C383" s="367"/>
      <c r="D383" s="420"/>
      <c r="E383" s="405"/>
      <c r="F383" s="404"/>
      <c r="G383" s="352" t="str">
        <f>IFERROR(VLOOKUP(D383,'Client ID Records_v2'!D:E, 2, FALSE), "")</f>
        <v/>
      </c>
      <c r="H383" s="368" t="str">
        <f>IFERROR(VLOOKUP(G383,'Client ID Records_v2'!E:F, 2, FALSE), "")</f>
        <v/>
      </c>
      <c r="I383" s="352"/>
      <c r="J383" s="358" t="str">
        <f>IFERROR(VLOOKUP(I383,'Project Records_v2'!F:G, 2, FALSE), "")</f>
        <v/>
      </c>
      <c r="K383" s="143"/>
      <c r="L383" s="390"/>
      <c r="M383" s="419"/>
      <c r="N383" s="370"/>
      <c r="O383" s="370"/>
      <c r="P383" s="371"/>
      <c r="Q383" s="365"/>
    </row>
    <row r="384" ht="22.5" customHeight="1">
      <c r="A384" s="146"/>
      <c r="B384" s="413"/>
      <c r="C384" s="367"/>
      <c r="D384" s="420"/>
      <c r="E384" s="405"/>
      <c r="F384" s="404"/>
      <c r="G384" s="352" t="str">
        <f>IFERROR(VLOOKUP(D384,'Client ID Records_v2'!D:E, 2, FALSE), "")</f>
        <v/>
      </c>
      <c r="H384" s="368" t="str">
        <f>IFERROR(VLOOKUP(G384,'Client ID Records_v2'!E:F, 2, FALSE), "")</f>
        <v/>
      </c>
      <c r="I384" s="352"/>
      <c r="J384" s="358" t="str">
        <f>IFERROR(VLOOKUP(I384,'Project Records_v2'!F:G, 2, FALSE), "")</f>
        <v/>
      </c>
      <c r="K384" s="143"/>
      <c r="L384" s="390"/>
      <c r="M384" s="419"/>
      <c r="N384" s="370"/>
      <c r="O384" s="370"/>
      <c r="P384" s="371"/>
      <c r="Q384" s="365"/>
    </row>
    <row r="385" ht="22.5" customHeight="1">
      <c r="A385" s="146"/>
      <c r="B385" s="413"/>
      <c r="C385" s="367"/>
      <c r="D385" s="420"/>
      <c r="E385" s="405"/>
      <c r="F385" s="404"/>
      <c r="G385" s="352" t="str">
        <f>IFERROR(VLOOKUP(D385,'Client ID Records_v2'!D:E, 2, FALSE), "")</f>
        <v/>
      </c>
      <c r="H385" s="368" t="str">
        <f>IFERROR(VLOOKUP(G385,'Client ID Records_v2'!E:F, 2, FALSE), "")</f>
        <v/>
      </c>
      <c r="I385" s="352"/>
      <c r="J385" s="358" t="str">
        <f>IFERROR(VLOOKUP(I385,'Project Records_v2'!F:G, 2, FALSE), "")</f>
        <v/>
      </c>
      <c r="K385" s="143"/>
      <c r="L385" s="390"/>
      <c r="M385" s="419"/>
      <c r="N385" s="370"/>
      <c r="O385" s="370"/>
      <c r="P385" s="371"/>
      <c r="Q385" s="365"/>
    </row>
    <row r="386" ht="22.5" customHeight="1">
      <c r="A386" s="146"/>
      <c r="B386" s="413"/>
      <c r="C386" s="367"/>
      <c r="D386" s="420"/>
      <c r="E386" s="405"/>
      <c r="F386" s="404"/>
      <c r="G386" s="352" t="str">
        <f>IFERROR(VLOOKUP(D386,'Client ID Records_v2'!D:E, 2, FALSE), "")</f>
        <v/>
      </c>
      <c r="H386" s="368" t="str">
        <f>IFERROR(VLOOKUP(G386,'Client ID Records_v2'!E:F, 2, FALSE), "")</f>
        <v/>
      </c>
      <c r="I386" s="352"/>
      <c r="J386" s="358" t="str">
        <f>IFERROR(VLOOKUP(I386,'Project Records_v2'!F:G, 2, FALSE), "")</f>
        <v/>
      </c>
      <c r="K386" s="143"/>
      <c r="L386" s="390"/>
      <c r="M386" s="419"/>
      <c r="N386" s="370"/>
      <c r="O386" s="370"/>
      <c r="P386" s="371"/>
      <c r="Q386" s="365"/>
    </row>
    <row r="387" ht="22.5" customHeight="1">
      <c r="A387" s="146"/>
      <c r="B387" s="413"/>
      <c r="C387" s="367"/>
      <c r="D387" s="420"/>
      <c r="E387" s="405"/>
      <c r="F387" s="404"/>
      <c r="G387" s="352" t="str">
        <f>IFERROR(VLOOKUP(D387,'Client ID Records_v2'!D:E, 2, FALSE), "")</f>
        <v/>
      </c>
      <c r="H387" s="368" t="str">
        <f>IFERROR(VLOOKUP(G387,'Client ID Records_v2'!E:F, 2, FALSE), "")</f>
        <v/>
      </c>
      <c r="I387" s="352"/>
      <c r="J387" s="358" t="str">
        <f>IFERROR(VLOOKUP(I387,'Project Records_v2'!F:G, 2, FALSE), "")</f>
        <v/>
      </c>
      <c r="K387" s="143"/>
      <c r="L387" s="390"/>
      <c r="M387" s="419"/>
      <c r="N387" s="370"/>
      <c r="O387" s="370"/>
      <c r="P387" s="371"/>
      <c r="Q387" s="365"/>
    </row>
    <row r="388" ht="22.5" customHeight="1">
      <c r="A388" s="146"/>
      <c r="B388" s="413"/>
      <c r="C388" s="367"/>
      <c r="D388" s="420"/>
      <c r="E388" s="405"/>
      <c r="F388" s="404"/>
      <c r="G388" s="352" t="str">
        <f>IFERROR(VLOOKUP(D388,'Client ID Records_v2'!D:E, 2, FALSE), "")</f>
        <v/>
      </c>
      <c r="H388" s="368" t="str">
        <f>IFERROR(VLOOKUP(G388,'Client ID Records_v2'!E:F, 2, FALSE), "")</f>
        <v/>
      </c>
      <c r="I388" s="352"/>
      <c r="J388" s="358" t="str">
        <f>IFERROR(VLOOKUP(I388,'Project Records_v2'!F:G, 2, FALSE), "")</f>
        <v/>
      </c>
      <c r="K388" s="143"/>
      <c r="L388" s="390"/>
      <c r="M388" s="419"/>
      <c r="N388" s="370"/>
      <c r="O388" s="370"/>
      <c r="P388" s="371"/>
      <c r="Q388" s="365"/>
    </row>
    <row r="389" ht="22.5" customHeight="1">
      <c r="A389" s="146"/>
      <c r="B389" s="413"/>
      <c r="C389" s="367"/>
      <c r="D389" s="420"/>
      <c r="E389" s="405"/>
      <c r="F389" s="404"/>
      <c r="G389" s="352" t="str">
        <f>IFERROR(VLOOKUP(D389,'Client ID Records_v2'!D:E, 2, FALSE), "")</f>
        <v/>
      </c>
      <c r="H389" s="368" t="str">
        <f>IFERROR(VLOOKUP(G389,'Client ID Records_v2'!E:F, 2, FALSE), "")</f>
        <v/>
      </c>
      <c r="I389" s="352"/>
      <c r="J389" s="358" t="str">
        <f>IFERROR(VLOOKUP(I389,'Project Records_v2'!F:G, 2, FALSE), "")</f>
        <v/>
      </c>
      <c r="K389" s="143"/>
      <c r="L389" s="390"/>
      <c r="M389" s="419"/>
      <c r="N389" s="370"/>
      <c r="O389" s="370"/>
      <c r="P389" s="371"/>
      <c r="Q389" s="365"/>
    </row>
    <row r="390" ht="22.5" customHeight="1">
      <c r="A390" s="146"/>
      <c r="B390" s="413"/>
      <c r="C390" s="367"/>
      <c r="D390" s="420"/>
      <c r="E390" s="405"/>
      <c r="F390" s="404"/>
      <c r="G390" s="352" t="str">
        <f>IFERROR(VLOOKUP(D390,'Client ID Records_v2'!D:E, 2, FALSE), "")</f>
        <v/>
      </c>
      <c r="H390" s="368" t="str">
        <f>IFERROR(VLOOKUP(G390,'Client ID Records_v2'!E:F, 2, FALSE), "")</f>
        <v/>
      </c>
      <c r="I390" s="352"/>
      <c r="J390" s="358" t="str">
        <f>IFERROR(VLOOKUP(I390,'Project Records_v2'!F:G, 2, FALSE), "")</f>
        <v/>
      </c>
      <c r="K390" s="143"/>
      <c r="L390" s="390"/>
      <c r="M390" s="419"/>
      <c r="N390" s="370"/>
      <c r="O390" s="370"/>
      <c r="P390" s="371"/>
      <c r="Q390" s="365"/>
    </row>
    <row r="391" ht="22.5" customHeight="1">
      <c r="A391" s="146"/>
      <c r="B391" s="413"/>
      <c r="C391" s="367"/>
      <c r="D391" s="420"/>
      <c r="E391" s="405"/>
      <c r="F391" s="404"/>
      <c r="G391" s="352" t="str">
        <f>IFERROR(VLOOKUP(D391,'Client ID Records_v2'!D:E, 2, FALSE), "")</f>
        <v/>
      </c>
      <c r="H391" s="368" t="str">
        <f>IFERROR(VLOOKUP(G391,'Client ID Records_v2'!E:F, 2, FALSE), "")</f>
        <v/>
      </c>
      <c r="I391" s="352"/>
      <c r="J391" s="358" t="str">
        <f>IFERROR(VLOOKUP(I391,'Project Records_v2'!F:G, 2, FALSE), "")</f>
        <v/>
      </c>
      <c r="K391" s="143"/>
      <c r="L391" s="390"/>
      <c r="M391" s="419"/>
      <c r="N391" s="370"/>
      <c r="O391" s="370"/>
      <c r="P391" s="371"/>
      <c r="Q391" s="365"/>
    </row>
    <row r="392" ht="22.5" customHeight="1">
      <c r="A392" s="146"/>
      <c r="B392" s="413"/>
      <c r="C392" s="367"/>
      <c r="D392" s="420"/>
      <c r="E392" s="405"/>
      <c r="F392" s="404"/>
      <c r="G392" s="352" t="str">
        <f>IFERROR(VLOOKUP(D392,'Client ID Records_v2'!D:E, 2, FALSE), "")</f>
        <v/>
      </c>
      <c r="H392" s="368" t="str">
        <f>IFERROR(VLOOKUP(G392,'Client ID Records_v2'!E:F, 2, FALSE), "")</f>
        <v/>
      </c>
      <c r="I392" s="352"/>
      <c r="J392" s="358" t="str">
        <f>IFERROR(VLOOKUP(I392,'Project Records_v2'!F:G, 2, FALSE), "")</f>
        <v/>
      </c>
      <c r="K392" s="143"/>
      <c r="L392" s="390"/>
      <c r="M392" s="419"/>
      <c r="N392" s="370"/>
      <c r="O392" s="370"/>
      <c r="P392" s="371"/>
      <c r="Q392" s="365"/>
    </row>
    <row r="393" ht="22.5" customHeight="1">
      <c r="A393" s="146"/>
      <c r="B393" s="413"/>
      <c r="C393" s="367"/>
      <c r="D393" s="420"/>
      <c r="E393" s="405"/>
      <c r="F393" s="404"/>
      <c r="G393" s="352" t="str">
        <f>IFERROR(VLOOKUP(D393,'Client ID Records_v2'!D:E, 2, FALSE), "")</f>
        <v/>
      </c>
      <c r="H393" s="368" t="str">
        <f>IFERROR(VLOOKUP(G393,'Client ID Records_v2'!E:F, 2, FALSE), "")</f>
        <v/>
      </c>
      <c r="I393" s="352"/>
      <c r="J393" s="358" t="str">
        <f>IFERROR(VLOOKUP(I393,'Project Records_v2'!F:G, 2, FALSE), "")</f>
        <v/>
      </c>
      <c r="K393" s="143"/>
      <c r="L393" s="390"/>
      <c r="M393" s="419"/>
      <c r="N393" s="370"/>
      <c r="O393" s="370"/>
      <c r="P393" s="371"/>
      <c r="Q393" s="365"/>
    </row>
    <row r="394" ht="22.5" customHeight="1">
      <c r="A394" s="146"/>
      <c r="B394" s="413"/>
      <c r="C394" s="367"/>
      <c r="D394" s="420"/>
      <c r="E394" s="405"/>
      <c r="F394" s="404"/>
      <c r="G394" s="352" t="str">
        <f>IFERROR(VLOOKUP(D394,'Client ID Records_v2'!D:E, 2, FALSE), "")</f>
        <v/>
      </c>
      <c r="H394" s="368" t="str">
        <f>IFERROR(VLOOKUP(G394,'Client ID Records_v2'!E:F, 2, FALSE), "")</f>
        <v/>
      </c>
      <c r="I394" s="352"/>
      <c r="J394" s="358" t="str">
        <f>IFERROR(VLOOKUP(I394,'Project Records_v2'!F:G, 2, FALSE), "")</f>
        <v/>
      </c>
      <c r="K394" s="143"/>
      <c r="L394" s="390"/>
      <c r="M394" s="419"/>
      <c r="N394" s="370"/>
      <c r="O394" s="370"/>
      <c r="P394" s="371"/>
      <c r="Q394" s="365"/>
    </row>
    <row r="395" ht="22.5" customHeight="1">
      <c r="A395" s="146"/>
      <c r="B395" s="413"/>
      <c r="C395" s="367"/>
      <c r="D395" s="420"/>
      <c r="E395" s="405"/>
      <c r="F395" s="404"/>
      <c r="G395" s="352" t="str">
        <f>IFERROR(VLOOKUP(D395,'Client ID Records_v2'!D:E, 2, FALSE), "")</f>
        <v/>
      </c>
      <c r="H395" s="368" t="str">
        <f>IFERROR(VLOOKUP(G395,'Client ID Records_v2'!E:F, 2, FALSE), "")</f>
        <v/>
      </c>
      <c r="I395" s="352"/>
      <c r="J395" s="358" t="str">
        <f>IFERROR(VLOOKUP(I395,'Project Records_v2'!F:G, 2, FALSE), "")</f>
        <v/>
      </c>
      <c r="K395" s="143"/>
      <c r="L395" s="390"/>
      <c r="M395" s="419"/>
      <c r="N395" s="370"/>
      <c r="O395" s="370"/>
      <c r="P395" s="371"/>
      <c r="Q395" s="365"/>
    </row>
    <row r="396" ht="22.5" customHeight="1">
      <c r="A396" s="146"/>
      <c r="B396" s="413"/>
      <c r="C396" s="367"/>
      <c r="D396" s="420"/>
      <c r="E396" s="405"/>
      <c r="F396" s="404"/>
      <c r="G396" s="352" t="str">
        <f>IFERROR(VLOOKUP(D396,'Client ID Records_v2'!D:E, 2, FALSE), "")</f>
        <v/>
      </c>
      <c r="H396" s="368" t="str">
        <f>IFERROR(VLOOKUP(G396,'Client ID Records_v2'!E:F, 2, FALSE), "")</f>
        <v/>
      </c>
      <c r="I396" s="352"/>
      <c r="J396" s="358" t="str">
        <f>IFERROR(VLOOKUP(I396,'Project Records_v2'!F:G, 2, FALSE), "")</f>
        <v/>
      </c>
      <c r="K396" s="143"/>
      <c r="L396" s="390"/>
      <c r="M396" s="419"/>
      <c r="N396" s="370"/>
      <c r="O396" s="370"/>
      <c r="P396" s="371"/>
      <c r="Q396" s="365"/>
    </row>
    <row r="397" ht="22.5" customHeight="1">
      <c r="A397" s="146"/>
      <c r="B397" s="413"/>
      <c r="C397" s="367"/>
      <c r="D397" s="420"/>
      <c r="E397" s="405"/>
      <c r="F397" s="404"/>
      <c r="G397" s="352" t="str">
        <f>IFERROR(VLOOKUP(D397,'Client ID Records_v2'!D:E, 2, FALSE), "")</f>
        <v/>
      </c>
      <c r="H397" s="368" t="str">
        <f>IFERROR(VLOOKUP(G397,'Client ID Records_v2'!E:F, 2, FALSE), "")</f>
        <v/>
      </c>
      <c r="I397" s="352"/>
      <c r="J397" s="358" t="str">
        <f>IFERROR(VLOOKUP(I397,'Project Records_v2'!F:G, 2, FALSE), "")</f>
        <v/>
      </c>
      <c r="K397" s="143"/>
      <c r="L397" s="390"/>
      <c r="M397" s="419"/>
      <c r="N397" s="370"/>
      <c r="O397" s="370"/>
      <c r="P397" s="371"/>
      <c r="Q397" s="365"/>
    </row>
    <row r="398" ht="22.5" customHeight="1">
      <c r="A398" s="146"/>
      <c r="B398" s="413"/>
      <c r="C398" s="367"/>
      <c r="D398" s="420"/>
      <c r="E398" s="405"/>
      <c r="F398" s="404"/>
      <c r="G398" s="352" t="str">
        <f>IFERROR(VLOOKUP(D398,'Client ID Records_v2'!D:E, 2, FALSE), "")</f>
        <v/>
      </c>
      <c r="H398" s="368" t="str">
        <f>IFERROR(VLOOKUP(G398,'Client ID Records_v2'!E:F, 2, FALSE), "")</f>
        <v/>
      </c>
      <c r="I398" s="352"/>
      <c r="J398" s="358" t="str">
        <f>IFERROR(VLOOKUP(I398,'Project Records_v2'!F:G, 2, FALSE), "")</f>
        <v/>
      </c>
      <c r="K398" s="143"/>
      <c r="L398" s="390"/>
      <c r="M398" s="419"/>
      <c r="N398" s="370"/>
      <c r="O398" s="370"/>
      <c r="P398" s="371"/>
      <c r="Q398" s="365"/>
    </row>
    <row r="399" ht="22.5" customHeight="1">
      <c r="A399" s="146"/>
      <c r="B399" s="413"/>
      <c r="C399" s="367"/>
      <c r="D399" s="420"/>
      <c r="E399" s="405"/>
      <c r="F399" s="404"/>
      <c r="G399" s="352" t="str">
        <f>IFERROR(VLOOKUP(D399,'Client ID Records_v2'!D:E, 2, FALSE), "")</f>
        <v/>
      </c>
      <c r="H399" s="368" t="str">
        <f>IFERROR(VLOOKUP(G399,'Client ID Records_v2'!E:F, 2, FALSE), "")</f>
        <v/>
      </c>
      <c r="I399" s="352"/>
      <c r="J399" s="358" t="str">
        <f>IFERROR(VLOOKUP(I399,'Project Records_v2'!F:G, 2, FALSE), "")</f>
        <v/>
      </c>
      <c r="K399" s="143"/>
      <c r="L399" s="390"/>
      <c r="M399" s="419"/>
      <c r="N399" s="370"/>
      <c r="O399" s="370"/>
      <c r="P399" s="371"/>
      <c r="Q399" s="365"/>
    </row>
    <row r="400" ht="22.5" customHeight="1">
      <c r="A400" s="146"/>
      <c r="B400" s="413"/>
      <c r="C400" s="367"/>
      <c r="D400" s="420"/>
      <c r="E400" s="405"/>
      <c r="F400" s="404"/>
      <c r="G400" s="352" t="str">
        <f>IFERROR(VLOOKUP(D400,'Client ID Records_v2'!D:E, 2, FALSE), "")</f>
        <v/>
      </c>
      <c r="H400" s="368" t="str">
        <f>IFERROR(VLOOKUP(G400,'Client ID Records_v2'!E:F, 2, FALSE), "")</f>
        <v/>
      </c>
      <c r="I400" s="352"/>
      <c r="J400" s="358" t="str">
        <f>IFERROR(VLOOKUP(I400,'Project Records_v2'!F:G, 2, FALSE), "")</f>
        <v/>
      </c>
      <c r="K400" s="143"/>
      <c r="L400" s="390"/>
      <c r="M400" s="419"/>
      <c r="N400" s="370"/>
      <c r="O400" s="370"/>
      <c r="P400" s="371"/>
      <c r="Q400" s="365"/>
    </row>
    <row r="401" ht="22.5" customHeight="1">
      <c r="A401" s="146"/>
      <c r="B401" s="413"/>
      <c r="C401" s="367"/>
      <c r="D401" s="420"/>
      <c r="E401" s="405"/>
      <c r="F401" s="404"/>
      <c r="G401" s="352" t="str">
        <f>IFERROR(VLOOKUP(D401,'Client ID Records_v2'!D:E, 2, FALSE), "")</f>
        <v/>
      </c>
      <c r="H401" s="368" t="str">
        <f>IFERROR(VLOOKUP(G401,'Client ID Records_v2'!E:F, 2, FALSE), "")</f>
        <v/>
      </c>
      <c r="I401" s="352"/>
      <c r="J401" s="358" t="str">
        <f>IFERROR(VLOOKUP(I401,'Project Records_v2'!F:G, 2, FALSE), "")</f>
        <v/>
      </c>
      <c r="K401" s="143"/>
      <c r="L401" s="390"/>
      <c r="M401" s="419"/>
      <c r="N401" s="370"/>
      <c r="O401" s="370"/>
      <c r="P401" s="371"/>
      <c r="Q401" s="365"/>
    </row>
    <row r="402" ht="22.5" customHeight="1">
      <c r="A402" s="146"/>
      <c r="B402" s="413"/>
      <c r="C402" s="367"/>
      <c r="D402" s="420"/>
      <c r="E402" s="405"/>
      <c r="F402" s="404"/>
      <c r="G402" s="352" t="str">
        <f>IFERROR(VLOOKUP(D402,'Client ID Records_v2'!D:E, 2, FALSE), "")</f>
        <v/>
      </c>
      <c r="H402" s="368" t="str">
        <f>IFERROR(VLOOKUP(G402,'Client ID Records_v2'!E:F, 2, FALSE), "")</f>
        <v/>
      </c>
      <c r="I402" s="352"/>
      <c r="J402" s="358" t="str">
        <f>IFERROR(VLOOKUP(I402,'Project Records_v2'!F:G, 2, FALSE), "")</f>
        <v/>
      </c>
      <c r="K402" s="143"/>
      <c r="L402" s="390"/>
      <c r="M402" s="419"/>
      <c r="N402" s="370"/>
      <c r="O402" s="370"/>
      <c r="P402" s="371"/>
      <c r="Q402" s="365"/>
    </row>
    <row r="403" ht="22.5" customHeight="1">
      <c r="A403" s="146"/>
      <c r="B403" s="413"/>
      <c r="C403" s="367"/>
      <c r="D403" s="420"/>
      <c r="E403" s="405"/>
      <c r="F403" s="404"/>
      <c r="G403" s="352" t="str">
        <f>IFERROR(VLOOKUP(D403,'Client ID Records_v2'!D:E, 2, FALSE), "")</f>
        <v/>
      </c>
      <c r="H403" s="368" t="str">
        <f>IFERROR(VLOOKUP(G403,'Client ID Records_v2'!E:F, 2, FALSE), "")</f>
        <v/>
      </c>
      <c r="I403" s="352"/>
      <c r="J403" s="358" t="str">
        <f>IFERROR(VLOOKUP(I403,'Project Records_v2'!F:G, 2, FALSE), "")</f>
        <v/>
      </c>
      <c r="K403" s="143"/>
      <c r="L403" s="390"/>
      <c r="M403" s="419"/>
      <c r="N403" s="370"/>
      <c r="O403" s="370"/>
      <c r="P403" s="371"/>
      <c r="Q403" s="365"/>
    </row>
    <row r="404" ht="22.5" customHeight="1">
      <c r="A404" s="146"/>
      <c r="B404" s="413"/>
      <c r="C404" s="367"/>
      <c r="D404" s="420"/>
      <c r="E404" s="405"/>
      <c r="F404" s="404"/>
      <c r="G404" s="352" t="str">
        <f>IFERROR(VLOOKUP(D404,'Client ID Records_v2'!D:E, 2, FALSE), "")</f>
        <v/>
      </c>
      <c r="H404" s="368" t="str">
        <f>IFERROR(VLOOKUP(G404,'Client ID Records_v2'!E:F, 2, FALSE), "")</f>
        <v/>
      </c>
      <c r="I404" s="352"/>
      <c r="J404" s="358" t="str">
        <f>IFERROR(VLOOKUP(I404,'Project Records_v2'!F:G, 2, FALSE), "")</f>
        <v/>
      </c>
      <c r="K404" s="143"/>
      <c r="L404" s="390"/>
      <c r="M404" s="419"/>
      <c r="N404" s="370"/>
      <c r="O404" s="370"/>
      <c r="P404" s="371"/>
      <c r="Q404" s="365"/>
    </row>
    <row r="405" ht="22.5" customHeight="1">
      <c r="A405" s="146"/>
      <c r="B405" s="413"/>
      <c r="C405" s="367"/>
      <c r="D405" s="420"/>
      <c r="E405" s="405"/>
      <c r="F405" s="404"/>
      <c r="G405" s="352" t="str">
        <f>IFERROR(VLOOKUP(D405,'Client ID Records_v2'!D:E, 2, FALSE), "")</f>
        <v/>
      </c>
      <c r="H405" s="368" t="str">
        <f>IFERROR(VLOOKUP(G405,'Client ID Records_v2'!E:F, 2, FALSE), "")</f>
        <v/>
      </c>
      <c r="I405" s="352"/>
      <c r="J405" s="358" t="str">
        <f>IFERROR(VLOOKUP(I405,'Project Records_v2'!F:G, 2, FALSE), "")</f>
        <v/>
      </c>
      <c r="K405" s="143"/>
      <c r="L405" s="390"/>
      <c r="M405" s="419"/>
      <c r="N405" s="370"/>
      <c r="O405" s="370"/>
      <c r="P405" s="371"/>
      <c r="Q405" s="365"/>
    </row>
    <row r="406" ht="22.5" customHeight="1">
      <c r="A406" s="146"/>
      <c r="B406" s="413"/>
      <c r="C406" s="367"/>
      <c r="D406" s="420"/>
      <c r="E406" s="405"/>
      <c r="F406" s="404"/>
      <c r="G406" s="352" t="str">
        <f>IFERROR(VLOOKUP(D406,'Client ID Records_v2'!D:E, 2, FALSE), "")</f>
        <v/>
      </c>
      <c r="H406" s="368" t="str">
        <f>IFERROR(VLOOKUP(G406,'Client ID Records_v2'!E:F, 2, FALSE), "")</f>
        <v/>
      </c>
      <c r="I406" s="352"/>
      <c r="J406" s="358" t="str">
        <f>IFERROR(VLOOKUP(I406,'Project Records_v2'!F:G, 2, FALSE), "")</f>
        <v/>
      </c>
      <c r="K406" s="143"/>
      <c r="L406" s="390"/>
      <c r="M406" s="419"/>
      <c r="N406" s="370"/>
      <c r="O406" s="370"/>
      <c r="P406" s="371"/>
      <c r="Q406" s="365"/>
    </row>
    <row r="407" ht="22.5" customHeight="1">
      <c r="A407" s="146"/>
      <c r="B407" s="413"/>
      <c r="C407" s="367"/>
      <c r="D407" s="420"/>
      <c r="E407" s="405"/>
      <c r="F407" s="404"/>
      <c r="G407" s="352" t="str">
        <f>IFERROR(VLOOKUP(D407,'Client ID Records_v2'!D:E, 2, FALSE), "")</f>
        <v/>
      </c>
      <c r="H407" s="368" t="str">
        <f>IFERROR(VLOOKUP(G407,'Client ID Records_v2'!E:F, 2, FALSE), "")</f>
        <v/>
      </c>
      <c r="I407" s="352"/>
      <c r="J407" s="358" t="str">
        <f>IFERROR(VLOOKUP(I407,'Project Records_v2'!F:G, 2, FALSE), "")</f>
        <v/>
      </c>
      <c r="K407" s="143"/>
      <c r="L407" s="390"/>
      <c r="M407" s="419"/>
      <c r="N407" s="370"/>
      <c r="O407" s="370"/>
      <c r="P407" s="371"/>
      <c r="Q407" s="365"/>
    </row>
    <row r="408" ht="22.5" customHeight="1">
      <c r="A408" s="146"/>
      <c r="B408" s="413"/>
      <c r="C408" s="367"/>
      <c r="D408" s="420"/>
      <c r="E408" s="405"/>
      <c r="F408" s="404"/>
      <c r="G408" s="352" t="str">
        <f>IFERROR(VLOOKUP(D408,'Client ID Records_v2'!D:E, 2, FALSE), "")</f>
        <v/>
      </c>
      <c r="H408" s="368" t="str">
        <f>IFERROR(VLOOKUP(G408,'Client ID Records_v2'!E:F, 2, FALSE), "")</f>
        <v/>
      </c>
      <c r="I408" s="352"/>
      <c r="J408" s="358" t="str">
        <f>IFERROR(VLOOKUP(I408,'Project Records_v2'!F:G, 2, FALSE), "")</f>
        <v/>
      </c>
      <c r="K408" s="143"/>
      <c r="L408" s="390"/>
      <c r="M408" s="419"/>
      <c r="N408" s="370"/>
      <c r="O408" s="370"/>
      <c r="P408" s="371"/>
      <c r="Q408" s="365"/>
    </row>
    <row r="409" ht="22.5" customHeight="1">
      <c r="A409" s="146"/>
      <c r="B409" s="413"/>
      <c r="C409" s="367"/>
      <c r="D409" s="420"/>
      <c r="E409" s="405"/>
      <c r="F409" s="404"/>
      <c r="G409" s="352" t="str">
        <f>IFERROR(VLOOKUP(D409,'Client ID Records_v2'!D:E, 2, FALSE), "")</f>
        <v/>
      </c>
      <c r="H409" s="368" t="str">
        <f>IFERROR(VLOOKUP(G409,'Client ID Records_v2'!E:F, 2, FALSE), "")</f>
        <v/>
      </c>
      <c r="I409" s="352"/>
      <c r="J409" s="358" t="str">
        <f>IFERROR(VLOOKUP(I409,'Project Records_v2'!F:G, 2, FALSE), "")</f>
        <v/>
      </c>
      <c r="K409" s="143"/>
      <c r="L409" s="390"/>
      <c r="M409" s="419"/>
      <c r="N409" s="370"/>
      <c r="O409" s="370"/>
      <c r="P409" s="371"/>
      <c r="Q409" s="365"/>
    </row>
    <row r="410" ht="22.5" customHeight="1">
      <c r="A410" s="146"/>
      <c r="B410" s="413"/>
      <c r="C410" s="367"/>
      <c r="D410" s="420"/>
      <c r="E410" s="405"/>
      <c r="F410" s="404"/>
      <c r="G410" s="352" t="str">
        <f>IFERROR(VLOOKUP(D410,'Client ID Records_v2'!D:E, 2, FALSE), "")</f>
        <v/>
      </c>
      <c r="H410" s="368" t="str">
        <f>IFERROR(VLOOKUP(G410,'Client ID Records_v2'!E:F, 2, FALSE), "")</f>
        <v/>
      </c>
      <c r="I410" s="352"/>
      <c r="J410" s="358" t="str">
        <f>IFERROR(VLOOKUP(I410,'Project Records_v2'!F:G, 2, FALSE), "")</f>
        <v/>
      </c>
      <c r="K410" s="143"/>
      <c r="L410" s="390"/>
      <c r="M410" s="419"/>
      <c r="N410" s="370"/>
      <c r="O410" s="370"/>
      <c r="P410" s="371"/>
      <c r="Q410" s="365"/>
    </row>
    <row r="411" ht="22.5" customHeight="1">
      <c r="A411" s="146"/>
      <c r="B411" s="413"/>
      <c r="C411" s="367"/>
      <c r="D411" s="420"/>
      <c r="E411" s="405"/>
      <c r="F411" s="404"/>
      <c r="G411" s="352" t="str">
        <f>IFERROR(VLOOKUP(D411,'Client ID Records_v2'!D:E, 2, FALSE), "")</f>
        <v/>
      </c>
      <c r="H411" s="368" t="str">
        <f>IFERROR(VLOOKUP(G411,'Client ID Records_v2'!E:F, 2, FALSE), "")</f>
        <v/>
      </c>
      <c r="I411" s="352"/>
      <c r="J411" s="358" t="str">
        <f>IFERROR(VLOOKUP(I411,'Project Records_v2'!F:G, 2, FALSE), "")</f>
        <v/>
      </c>
      <c r="K411" s="143"/>
      <c r="L411" s="390"/>
      <c r="M411" s="419"/>
      <c r="N411" s="370"/>
      <c r="O411" s="370"/>
      <c r="P411" s="371"/>
      <c r="Q411" s="365"/>
    </row>
    <row r="412" ht="22.5" customHeight="1">
      <c r="A412" s="146"/>
      <c r="B412" s="413"/>
      <c r="C412" s="367"/>
      <c r="D412" s="420"/>
      <c r="E412" s="405"/>
      <c r="F412" s="404"/>
      <c r="G412" s="352" t="str">
        <f>IFERROR(VLOOKUP(D412,'Client ID Records_v2'!D:E, 2, FALSE), "")</f>
        <v/>
      </c>
      <c r="H412" s="368" t="str">
        <f>IFERROR(VLOOKUP(G412,'Client ID Records_v2'!E:F, 2, FALSE), "")</f>
        <v/>
      </c>
      <c r="I412" s="352"/>
      <c r="J412" s="358" t="str">
        <f>IFERROR(VLOOKUP(I412,'Project Records_v2'!F:G, 2, FALSE), "")</f>
        <v/>
      </c>
      <c r="K412" s="143"/>
      <c r="L412" s="390"/>
      <c r="M412" s="419"/>
      <c r="N412" s="370"/>
      <c r="O412" s="370"/>
      <c r="P412" s="371"/>
      <c r="Q412" s="365"/>
    </row>
    <row r="413" ht="22.5" customHeight="1">
      <c r="A413" s="146"/>
      <c r="B413" s="413"/>
      <c r="C413" s="367"/>
      <c r="D413" s="420"/>
      <c r="E413" s="405"/>
      <c r="F413" s="404"/>
      <c r="G413" s="352" t="str">
        <f>IFERROR(VLOOKUP(D413,'Client ID Records_v2'!D:E, 2, FALSE), "")</f>
        <v/>
      </c>
      <c r="H413" s="368" t="str">
        <f>IFERROR(VLOOKUP(G413,'Client ID Records_v2'!E:F, 2, FALSE), "")</f>
        <v/>
      </c>
      <c r="I413" s="352"/>
      <c r="J413" s="358" t="str">
        <f>IFERROR(VLOOKUP(I413,'Project Records_v2'!F:G, 2, FALSE), "")</f>
        <v/>
      </c>
      <c r="K413" s="143"/>
      <c r="L413" s="390"/>
      <c r="M413" s="419"/>
      <c r="N413" s="370"/>
      <c r="O413" s="370"/>
      <c r="P413" s="371"/>
      <c r="Q413" s="365"/>
    </row>
    <row r="414" ht="22.5" customHeight="1">
      <c r="A414" s="146"/>
      <c r="B414" s="413"/>
      <c r="C414" s="367"/>
      <c r="D414" s="420"/>
      <c r="E414" s="405"/>
      <c r="F414" s="404"/>
      <c r="G414" s="352" t="str">
        <f>IFERROR(VLOOKUP(D414,'Client ID Records_v2'!D:E, 2, FALSE), "")</f>
        <v/>
      </c>
      <c r="H414" s="368" t="str">
        <f>IFERROR(VLOOKUP(G414,'Client ID Records_v2'!E:F, 2, FALSE), "")</f>
        <v/>
      </c>
      <c r="I414" s="352"/>
      <c r="J414" s="358" t="str">
        <f>IFERROR(VLOOKUP(I414,'Project Records_v2'!F:G, 2, FALSE), "")</f>
        <v/>
      </c>
      <c r="K414" s="143"/>
      <c r="L414" s="390"/>
      <c r="M414" s="419"/>
      <c r="N414" s="370"/>
      <c r="O414" s="370"/>
      <c r="P414" s="371"/>
      <c r="Q414" s="365"/>
    </row>
    <row r="415" ht="22.5" customHeight="1">
      <c r="A415" s="146"/>
      <c r="B415" s="413"/>
      <c r="C415" s="367"/>
      <c r="D415" s="420"/>
      <c r="E415" s="405"/>
      <c r="F415" s="404"/>
      <c r="G415" s="352" t="str">
        <f>IFERROR(VLOOKUP(D415,'Client ID Records_v2'!D:E, 2, FALSE), "")</f>
        <v/>
      </c>
      <c r="H415" s="368" t="str">
        <f>IFERROR(VLOOKUP(G415,'Client ID Records_v2'!E:F, 2, FALSE), "")</f>
        <v/>
      </c>
      <c r="I415" s="352"/>
      <c r="J415" s="358" t="str">
        <f>IFERROR(VLOOKUP(I415,'Project Records_v2'!F:G, 2, FALSE), "")</f>
        <v/>
      </c>
      <c r="K415" s="143"/>
      <c r="L415" s="390"/>
      <c r="M415" s="419"/>
      <c r="N415" s="370"/>
      <c r="O415" s="370"/>
      <c r="P415" s="371"/>
      <c r="Q415" s="365"/>
    </row>
    <row r="416" ht="22.5" customHeight="1">
      <c r="A416" s="146"/>
      <c r="B416" s="413"/>
      <c r="C416" s="367"/>
      <c r="D416" s="420"/>
      <c r="E416" s="405"/>
      <c r="F416" s="404"/>
      <c r="G416" s="352" t="str">
        <f>IFERROR(VLOOKUP(D416,'Client ID Records_v2'!D:E, 2, FALSE), "")</f>
        <v/>
      </c>
      <c r="H416" s="368" t="str">
        <f>IFERROR(VLOOKUP(G416,'Client ID Records_v2'!E:F, 2, FALSE), "")</f>
        <v/>
      </c>
      <c r="I416" s="352"/>
      <c r="J416" s="358" t="str">
        <f>IFERROR(VLOOKUP(I416,'Project Records_v2'!F:G, 2, FALSE), "")</f>
        <v/>
      </c>
      <c r="K416" s="143"/>
      <c r="L416" s="390"/>
      <c r="M416" s="419"/>
      <c r="N416" s="370"/>
      <c r="O416" s="370"/>
      <c r="P416" s="371"/>
      <c r="Q416" s="365"/>
    </row>
    <row r="417" ht="22.5" customHeight="1">
      <c r="A417" s="146"/>
      <c r="B417" s="413"/>
      <c r="C417" s="367"/>
      <c r="D417" s="420"/>
      <c r="E417" s="405"/>
      <c r="F417" s="404"/>
      <c r="G417" s="352" t="str">
        <f>IFERROR(VLOOKUP(D417,'Client ID Records_v2'!D:E, 2, FALSE), "")</f>
        <v/>
      </c>
      <c r="H417" s="368" t="str">
        <f>IFERROR(VLOOKUP(G417,'Client ID Records_v2'!E:F, 2, FALSE), "")</f>
        <v/>
      </c>
      <c r="I417" s="352"/>
      <c r="J417" s="358" t="str">
        <f>IFERROR(VLOOKUP(I417,'Project Records_v2'!F:G, 2, FALSE), "")</f>
        <v/>
      </c>
      <c r="K417" s="143"/>
      <c r="L417" s="390"/>
      <c r="M417" s="419"/>
      <c r="N417" s="370"/>
      <c r="O417" s="370"/>
      <c r="P417" s="371"/>
      <c r="Q417" s="365"/>
    </row>
    <row r="418" ht="22.5" customHeight="1">
      <c r="A418" s="146"/>
      <c r="B418" s="413"/>
      <c r="C418" s="367"/>
      <c r="D418" s="420"/>
      <c r="E418" s="405"/>
      <c r="F418" s="404"/>
      <c r="G418" s="352" t="str">
        <f>IFERROR(VLOOKUP(D418,'Client ID Records_v2'!D:E, 2, FALSE), "")</f>
        <v/>
      </c>
      <c r="H418" s="368" t="str">
        <f>IFERROR(VLOOKUP(G418,'Client ID Records_v2'!E:F, 2, FALSE), "")</f>
        <v/>
      </c>
      <c r="I418" s="352"/>
      <c r="J418" s="358" t="str">
        <f>IFERROR(VLOOKUP(I418,'Project Records_v2'!F:G, 2, FALSE), "")</f>
        <v/>
      </c>
      <c r="K418" s="143"/>
      <c r="L418" s="390"/>
      <c r="M418" s="419"/>
      <c r="N418" s="370"/>
      <c r="O418" s="370"/>
      <c r="P418" s="371"/>
      <c r="Q418" s="365"/>
    </row>
    <row r="419" ht="22.5" customHeight="1">
      <c r="A419" s="146"/>
      <c r="B419" s="413"/>
      <c r="C419" s="367"/>
      <c r="D419" s="420"/>
      <c r="E419" s="405"/>
      <c r="F419" s="404"/>
      <c r="G419" s="352" t="str">
        <f>IFERROR(VLOOKUP(D419,'Client ID Records_v2'!D:E, 2, FALSE), "")</f>
        <v/>
      </c>
      <c r="H419" s="368" t="str">
        <f>IFERROR(VLOOKUP(G419,'Client ID Records_v2'!E:F, 2, FALSE), "")</f>
        <v/>
      </c>
      <c r="I419" s="352"/>
      <c r="J419" s="358" t="str">
        <f>IFERROR(VLOOKUP(I419,'Project Records_v2'!F:G, 2, FALSE), "")</f>
        <v/>
      </c>
      <c r="K419" s="143"/>
      <c r="L419" s="390"/>
      <c r="M419" s="419"/>
      <c r="N419" s="370"/>
      <c r="O419" s="370"/>
      <c r="P419" s="371"/>
      <c r="Q419" s="365"/>
    </row>
    <row r="420" ht="22.5" customHeight="1">
      <c r="A420" s="146"/>
      <c r="B420" s="413"/>
      <c r="C420" s="367"/>
      <c r="D420" s="420"/>
      <c r="E420" s="405"/>
      <c r="F420" s="404"/>
      <c r="G420" s="352" t="str">
        <f>IFERROR(VLOOKUP(D420,'Client ID Records_v2'!D:E, 2, FALSE), "")</f>
        <v/>
      </c>
      <c r="H420" s="368" t="str">
        <f>IFERROR(VLOOKUP(G420,'Client ID Records_v2'!E:F, 2, FALSE), "")</f>
        <v/>
      </c>
      <c r="I420" s="352"/>
      <c r="J420" s="358" t="str">
        <f>IFERROR(VLOOKUP(I420,'Project Records_v2'!F:G, 2, FALSE), "")</f>
        <v/>
      </c>
      <c r="K420" s="143"/>
      <c r="L420" s="390"/>
      <c r="M420" s="419"/>
      <c r="N420" s="370"/>
      <c r="O420" s="370"/>
      <c r="P420" s="371"/>
      <c r="Q420" s="365"/>
    </row>
    <row r="421" ht="22.5" customHeight="1">
      <c r="A421" s="146"/>
      <c r="B421" s="413"/>
      <c r="C421" s="367"/>
      <c r="D421" s="420"/>
      <c r="E421" s="405"/>
      <c r="F421" s="404"/>
      <c r="G421" s="352" t="str">
        <f>IFERROR(VLOOKUP(D421,'Client ID Records_v2'!D:E, 2, FALSE), "")</f>
        <v/>
      </c>
      <c r="H421" s="368" t="str">
        <f>IFERROR(VLOOKUP(G421,'Client ID Records_v2'!E:F, 2, FALSE), "")</f>
        <v/>
      </c>
      <c r="I421" s="352"/>
      <c r="J421" s="358" t="str">
        <f>IFERROR(VLOOKUP(I421,'Project Records_v2'!F:G, 2, FALSE), "")</f>
        <v/>
      </c>
      <c r="K421" s="143"/>
      <c r="L421" s="390"/>
      <c r="M421" s="419"/>
      <c r="N421" s="370"/>
      <c r="O421" s="370"/>
      <c r="P421" s="371"/>
      <c r="Q421" s="365"/>
    </row>
    <row r="422" ht="22.5" customHeight="1">
      <c r="A422" s="146"/>
      <c r="B422" s="413"/>
      <c r="C422" s="367"/>
      <c r="D422" s="420"/>
      <c r="E422" s="405"/>
      <c r="F422" s="404"/>
      <c r="G422" s="352" t="str">
        <f>IFERROR(VLOOKUP(D422,'Client ID Records_v2'!D:E, 2, FALSE), "")</f>
        <v/>
      </c>
      <c r="H422" s="368" t="str">
        <f>IFERROR(VLOOKUP(G422,'Client ID Records_v2'!E:F, 2, FALSE), "")</f>
        <v/>
      </c>
      <c r="I422" s="352"/>
      <c r="J422" s="358" t="str">
        <f>IFERROR(VLOOKUP(I422,'Project Records_v2'!F:G, 2, FALSE), "")</f>
        <v/>
      </c>
      <c r="K422" s="143"/>
      <c r="L422" s="390"/>
      <c r="M422" s="419"/>
      <c r="N422" s="370"/>
      <c r="O422" s="370"/>
      <c r="P422" s="371"/>
      <c r="Q422" s="365"/>
    </row>
    <row r="423" ht="22.5" customHeight="1">
      <c r="A423" s="146"/>
      <c r="B423" s="413"/>
      <c r="C423" s="367"/>
      <c r="D423" s="420"/>
      <c r="E423" s="405"/>
      <c r="F423" s="404"/>
      <c r="G423" s="352" t="str">
        <f>IFERROR(VLOOKUP(D423,'Client ID Records_v2'!D:E, 2, FALSE), "")</f>
        <v/>
      </c>
      <c r="H423" s="368" t="str">
        <f>IFERROR(VLOOKUP(G423,'Client ID Records_v2'!E:F, 2, FALSE), "")</f>
        <v/>
      </c>
      <c r="I423" s="352"/>
      <c r="J423" s="358" t="str">
        <f>IFERROR(VLOOKUP(I423,'Project Records_v2'!F:G, 2, FALSE), "")</f>
        <v/>
      </c>
      <c r="K423" s="143"/>
      <c r="L423" s="390"/>
      <c r="M423" s="419"/>
      <c r="N423" s="370"/>
      <c r="O423" s="370"/>
      <c r="P423" s="371"/>
      <c r="Q423" s="365"/>
    </row>
    <row r="424" ht="22.5" customHeight="1">
      <c r="A424" s="146"/>
      <c r="B424" s="413"/>
      <c r="C424" s="367"/>
      <c r="D424" s="420"/>
      <c r="E424" s="405"/>
      <c r="F424" s="404"/>
      <c r="G424" s="352" t="str">
        <f>IFERROR(VLOOKUP(D424,'Client ID Records_v2'!D:E, 2, FALSE), "")</f>
        <v/>
      </c>
      <c r="H424" s="368" t="str">
        <f>IFERROR(VLOOKUP(G424,'Client ID Records_v2'!E:F, 2, FALSE), "")</f>
        <v/>
      </c>
      <c r="I424" s="352"/>
      <c r="J424" s="358" t="str">
        <f>IFERROR(VLOOKUP(I424,'Project Records_v2'!F:G, 2, FALSE), "")</f>
        <v/>
      </c>
      <c r="K424" s="143"/>
      <c r="L424" s="390"/>
      <c r="M424" s="419"/>
      <c r="N424" s="370"/>
      <c r="O424" s="370"/>
      <c r="P424" s="371"/>
      <c r="Q424" s="365"/>
    </row>
    <row r="425" ht="22.5" customHeight="1">
      <c r="A425" s="146"/>
      <c r="B425" s="413"/>
      <c r="C425" s="367"/>
      <c r="D425" s="420"/>
      <c r="E425" s="405"/>
      <c r="F425" s="404"/>
      <c r="G425" s="352" t="str">
        <f>IFERROR(VLOOKUP(D425,'Client ID Records_v2'!D:E, 2, FALSE), "")</f>
        <v/>
      </c>
      <c r="H425" s="368" t="str">
        <f>IFERROR(VLOOKUP(G425,'Client ID Records_v2'!E:F, 2, FALSE), "")</f>
        <v/>
      </c>
      <c r="I425" s="352"/>
      <c r="J425" s="358" t="str">
        <f>IFERROR(VLOOKUP(I425,'Project Records_v2'!F:G, 2, FALSE), "")</f>
        <v/>
      </c>
      <c r="K425" s="143"/>
      <c r="L425" s="390"/>
      <c r="M425" s="419"/>
      <c r="N425" s="370"/>
      <c r="O425" s="370"/>
      <c r="P425" s="371"/>
      <c r="Q425" s="365"/>
    </row>
    <row r="426" ht="22.5" customHeight="1">
      <c r="A426" s="146"/>
      <c r="B426" s="413"/>
      <c r="C426" s="367"/>
      <c r="D426" s="420"/>
      <c r="E426" s="405"/>
      <c r="F426" s="404"/>
      <c r="G426" s="352" t="str">
        <f>IFERROR(VLOOKUP(D426,'Client ID Records_v2'!D:E, 2, FALSE), "")</f>
        <v/>
      </c>
      <c r="H426" s="368" t="str">
        <f>IFERROR(VLOOKUP(G426,'Client ID Records_v2'!E:F, 2, FALSE), "")</f>
        <v/>
      </c>
      <c r="I426" s="352"/>
      <c r="J426" s="358" t="str">
        <f>IFERROR(VLOOKUP(I426,'Project Records_v2'!F:G, 2, FALSE), "")</f>
        <v/>
      </c>
      <c r="K426" s="143"/>
      <c r="L426" s="390"/>
      <c r="M426" s="419"/>
      <c r="N426" s="370"/>
      <c r="O426" s="370"/>
      <c r="P426" s="371"/>
      <c r="Q426" s="365"/>
    </row>
    <row r="427" ht="22.5" customHeight="1">
      <c r="A427" s="146"/>
      <c r="B427" s="413"/>
      <c r="C427" s="367"/>
      <c r="D427" s="420"/>
      <c r="E427" s="405"/>
      <c r="F427" s="404"/>
      <c r="G427" s="352" t="str">
        <f>IFERROR(VLOOKUP(D427,'Client ID Records_v2'!D:E, 2, FALSE), "")</f>
        <v/>
      </c>
      <c r="H427" s="368" t="str">
        <f>IFERROR(VLOOKUP(G427,'Client ID Records_v2'!E:F, 2, FALSE), "")</f>
        <v/>
      </c>
      <c r="I427" s="352"/>
      <c r="J427" s="358" t="str">
        <f>IFERROR(VLOOKUP(I427,'Project Records_v2'!F:G, 2, FALSE), "")</f>
        <v/>
      </c>
      <c r="K427" s="143"/>
      <c r="L427" s="390"/>
      <c r="M427" s="419"/>
      <c r="N427" s="370"/>
      <c r="O427" s="370"/>
      <c r="P427" s="371"/>
      <c r="Q427" s="365"/>
    </row>
    <row r="428" ht="22.5" customHeight="1">
      <c r="A428" s="146"/>
      <c r="B428" s="413"/>
      <c r="C428" s="367"/>
      <c r="D428" s="420"/>
      <c r="E428" s="405"/>
      <c r="F428" s="404"/>
      <c r="G428" s="352" t="str">
        <f>IFERROR(VLOOKUP(D428,'Client ID Records_v2'!D:E, 2, FALSE), "")</f>
        <v/>
      </c>
      <c r="H428" s="368" t="str">
        <f>IFERROR(VLOOKUP(G428,'Client ID Records_v2'!E:F, 2, FALSE), "")</f>
        <v/>
      </c>
      <c r="I428" s="352"/>
      <c r="J428" s="358" t="str">
        <f>IFERROR(VLOOKUP(I428,'Project Records_v2'!F:G, 2, FALSE), "")</f>
        <v/>
      </c>
      <c r="K428" s="143"/>
      <c r="L428" s="390"/>
      <c r="M428" s="419"/>
      <c r="N428" s="370"/>
      <c r="O428" s="370"/>
      <c r="P428" s="371"/>
      <c r="Q428" s="365"/>
    </row>
    <row r="429" ht="22.5" customHeight="1">
      <c r="A429" s="146"/>
      <c r="B429" s="413"/>
      <c r="C429" s="367"/>
      <c r="D429" s="420"/>
      <c r="E429" s="405"/>
      <c r="F429" s="404"/>
      <c r="G429" s="352" t="str">
        <f>IFERROR(VLOOKUP(D429,'Client ID Records_v2'!D:E, 2, FALSE), "")</f>
        <v/>
      </c>
      <c r="H429" s="368" t="str">
        <f>IFERROR(VLOOKUP(G429,'Client ID Records_v2'!E:F, 2, FALSE), "")</f>
        <v/>
      </c>
      <c r="I429" s="352"/>
      <c r="J429" s="358" t="str">
        <f>IFERROR(VLOOKUP(I429,'Project Records_v2'!F:G, 2, FALSE), "")</f>
        <v/>
      </c>
      <c r="K429" s="143"/>
      <c r="L429" s="390"/>
      <c r="M429" s="419"/>
      <c r="N429" s="370"/>
      <c r="O429" s="370"/>
      <c r="P429" s="371"/>
      <c r="Q429" s="365"/>
    </row>
    <row r="430" ht="22.5" customHeight="1">
      <c r="A430" s="146"/>
      <c r="B430" s="413"/>
      <c r="C430" s="367"/>
      <c r="D430" s="420"/>
      <c r="E430" s="405"/>
      <c r="F430" s="404"/>
      <c r="G430" s="352" t="str">
        <f>IFERROR(VLOOKUP(D430,'Client ID Records_v2'!D:E, 2, FALSE), "")</f>
        <v/>
      </c>
      <c r="H430" s="368" t="str">
        <f>IFERROR(VLOOKUP(G430,'Client ID Records_v2'!E:F, 2, FALSE), "")</f>
        <v/>
      </c>
      <c r="I430" s="352"/>
      <c r="J430" s="358" t="str">
        <f>IFERROR(VLOOKUP(I430,'Project Records_v2'!F:G, 2, FALSE), "")</f>
        <v/>
      </c>
      <c r="K430" s="143"/>
      <c r="L430" s="390"/>
      <c r="M430" s="419"/>
      <c r="N430" s="370"/>
      <c r="O430" s="370"/>
      <c r="P430" s="371"/>
      <c r="Q430" s="365"/>
    </row>
    <row r="431" ht="22.5" customHeight="1">
      <c r="A431" s="146"/>
      <c r="B431" s="413"/>
      <c r="C431" s="367"/>
      <c r="D431" s="420"/>
      <c r="E431" s="405"/>
      <c r="F431" s="404"/>
      <c r="G431" s="352" t="str">
        <f>IFERROR(VLOOKUP(D431,'Client ID Records_v2'!D:E, 2, FALSE), "")</f>
        <v/>
      </c>
      <c r="H431" s="368" t="str">
        <f>IFERROR(VLOOKUP(G431,'Client ID Records_v2'!E:F, 2, FALSE), "")</f>
        <v/>
      </c>
      <c r="I431" s="352"/>
      <c r="J431" s="358" t="str">
        <f>IFERROR(VLOOKUP(I431,'Project Records_v2'!F:G, 2, FALSE), "")</f>
        <v/>
      </c>
      <c r="K431" s="143"/>
      <c r="L431" s="390"/>
      <c r="M431" s="419"/>
      <c r="N431" s="370"/>
      <c r="O431" s="370"/>
      <c r="P431" s="371"/>
      <c r="Q431" s="365"/>
    </row>
    <row r="432" ht="22.5" customHeight="1">
      <c r="A432" s="146"/>
      <c r="B432" s="413"/>
      <c r="C432" s="367"/>
      <c r="D432" s="420"/>
      <c r="E432" s="405"/>
      <c r="F432" s="404"/>
      <c r="G432" s="352" t="str">
        <f>IFERROR(VLOOKUP(D432,'Client ID Records_v2'!D:E, 2, FALSE), "")</f>
        <v/>
      </c>
      <c r="H432" s="368" t="str">
        <f>IFERROR(VLOOKUP(G432,'Client ID Records_v2'!E:F, 2, FALSE), "")</f>
        <v/>
      </c>
      <c r="I432" s="352"/>
      <c r="J432" s="358" t="str">
        <f>IFERROR(VLOOKUP(I432,'Project Records_v2'!F:G, 2, FALSE), "")</f>
        <v/>
      </c>
      <c r="K432" s="143"/>
      <c r="L432" s="390"/>
      <c r="M432" s="419"/>
      <c r="N432" s="370"/>
      <c r="O432" s="370"/>
      <c r="P432" s="371"/>
      <c r="Q432" s="365"/>
    </row>
    <row r="433" ht="22.5" customHeight="1">
      <c r="A433" s="146"/>
      <c r="B433" s="413"/>
      <c r="C433" s="367"/>
      <c r="D433" s="420"/>
      <c r="E433" s="405"/>
      <c r="F433" s="404"/>
      <c r="G433" s="352" t="str">
        <f>IFERROR(VLOOKUP(D433,'Client ID Records_v2'!D:E, 2, FALSE), "")</f>
        <v/>
      </c>
      <c r="H433" s="368" t="str">
        <f>IFERROR(VLOOKUP(G433,'Client ID Records_v2'!E:F, 2, FALSE), "")</f>
        <v/>
      </c>
      <c r="I433" s="352"/>
      <c r="J433" s="358" t="str">
        <f>IFERROR(VLOOKUP(I433,'Project Records_v2'!F:G, 2, FALSE), "")</f>
        <v/>
      </c>
      <c r="K433" s="143"/>
      <c r="L433" s="390"/>
      <c r="M433" s="419"/>
      <c r="N433" s="370"/>
      <c r="O433" s="370"/>
      <c r="P433" s="371"/>
      <c r="Q433" s="365"/>
    </row>
    <row r="434" ht="22.5" customHeight="1">
      <c r="A434" s="146"/>
      <c r="B434" s="413"/>
      <c r="C434" s="367"/>
      <c r="D434" s="420"/>
      <c r="E434" s="405"/>
      <c r="F434" s="404"/>
      <c r="G434" s="352" t="str">
        <f>IFERROR(VLOOKUP(D434,'Client ID Records_v2'!D:E, 2, FALSE), "")</f>
        <v/>
      </c>
      <c r="H434" s="368" t="str">
        <f>IFERROR(VLOOKUP(G434,'Client ID Records_v2'!E:F, 2, FALSE), "")</f>
        <v/>
      </c>
      <c r="I434" s="352"/>
      <c r="J434" s="358" t="str">
        <f>IFERROR(VLOOKUP(I434,'Project Records_v2'!F:G, 2, FALSE), "")</f>
        <v/>
      </c>
      <c r="K434" s="143"/>
      <c r="L434" s="390"/>
      <c r="M434" s="419"/>
      <c r="N434" s="370"/>
      <c r="O434" s="370"/>
      <c r="P434" s="371"/>
      <c r="Q434" s="365"/>
    </row>
    <row r="435" ht="22.5" customHeight="1">
      <c r="A435" s="146"/>
      <c r="B435" s="413"/>
      <c r="C435" s="367"/>
      <c r="D435" s="420"/>
      <c r="E435" s="405"/>
      <c r="F435" s="404"/>
      <c r="G435" s="352" t="str">
        <f>IFERROR(VLOOKUP(D435,'Client ID Records_v2'!D:E, 2, FALSE), "")</f>
        <v/>
      </c>
      <c r="H435" s="368" t="str">
        <f>IFERROR(VLOOKUP(G435,'Client ID Records_v2'!E:F, 2, FALSE), "")</f>
        <v/>
      </c>
      <c r="I435" s="352"/>
      <c r="J435" s="358" t="str">
        <f>IFERROR(VLOOKUP(I435,'Project Records_v2'!F:G, 2, FALSE), "")</f>
        <v/>
      </c>
      <c r="K435" s="143"/>
      <c r="L435" s="390"/>
      <c r="M435" s="419"/>
      <c r="N435" s="370"/>
      <c r="O435" s="370"/>
      <c r="P435" s="371"/>
      <c r="Q435" s="365"/>
    </row>
    <row r="436" ht="22.5" customHeight="1">
      <c r="A436" s="146"/>
      <c r="B436" s="413"/>
      <c r="C436" s="367"/>
      <c r="D436" s="420"/>
      <c r="E436" s="405"/>
      <c r="F436" s="404"/>
      <c r="G436" s="352" t="str">
        <f>IFERROR(VLOOKUP(D436,'Client ID Records_v2'!D:E, 2, FALSE), "")</f>
        <v/>
      </c>
      <c r="H436" s="368" t="str">
        <f>IFERROR(VLOOKUP(G436,'Client ID Records_v2'!E:F, 2, FALSE), "")</f>
        <v/>
      </c>
      <c r="I436" s="352"/>
      <c r="J436" s="358" t="str">
        <f>IFERROR(VLOOKUP(I436,'Project Records_v2'!F:G, 2, FALSE), "")</f>
        <v/>
      </c>
      <c r="K436" s="143"/>
      <c r="L436" s="390"/>
      <c r="M436" s="419"/>
      <c r="N436" s="370"/>
      <c r="O436" s="370"/>
      <c r="P436" s="371"/>
      <c r="Q436" s="365"/>
    </row>
    <row r="437" ht="22.5" customHeight="1">
      <c r="A437" s="146"/>
      <c r="B437" s="413"/>
      <c r="C437" s="367"/>
      <c r="D437" s="420"/>
      <c r="E437" s="405"/>
      <c r="F437" s="404"/>
      <c r="G437" s="352" t="str">
        <f>IFERROR(VLOOKUP(D437,'Client ID Records_v2'!D:E, 2, FALSE), "")</f>
        <v/>
      </c>
      <c r="H437" s="368" t="str">
        <f>IFERROR(VLOOKUP(G437,'Client ID Records_v2'!E:F, 2, FALSE), "")</f>
        <v/>
      </c>
      <c r="I437" s="352"/>
      <c r="J437" s="358" t="str">
        <f>IFERROR(VLOOKUP(I437,'Project Records_v2'!F:G, 2, FALSE), "")</f>
        <v/>
      </c>
      <c r="K437" s="143"/>
      <c r="L437" s="390"/>
      <c r="M437" s="419"/>
      <c r="N437" s="370"/>
      <c r="O437" s="370"/>
      <c r="P437" s="371"/>
      <c r="Q437" s="365"/>
    </row>
    <row r="438" ht="22.5" customHeight="1">
      <c r="A438" s="146"/>
      <c r="B438" s="413"/>
      <c r="C438" s="367"/>
      <c r="D438" s="420"/>
      <c r="E438" s="405"/>
      <c r="F438" s="404"/>
      <c r="G438" s="352" t="str">
        <f>IFERROR(VLOOKUP(D438,'Client ID Records_v2'!D:E, 2, FALSE), "")</f>
        <v/>
      </c>
      <c r="H438" s="368" t="str">
        <f>IFERROR(VLOOKUP(G438,'Client ID Records_v2'!E:F, 2, FALSE), "")</f>
        <v/>
      </c>
      <c r="I438" s="352"/>
      <c r="J438" s="358" t="str">
        <f>IFERROR(VLOOKUP(I438,'Project Records_v2'!F:G, 2, FALSE), "")</f>
        <v/>
      </c>
      <c r="K438" s="143"/>
      <c r="L438" s="390"/>
      <c r="M438" s="419"/>
      <c r="N438" s="370"/>
      <c r="O438" s="370"/>
      <c r="P438" s="371"/>
      <c r="Q438" s="365"/>
    </row>
    <row r="439" ht="22.5" customHeight="1">
      <c r="A439" s="146"/>
      <c r="B439" s="413"/>
      <c r="C439" s="367"/>
      <c r="D439" s="420"/>
      <c r="E439" s="405"/>
      <c r="F439" s="404"/>
      <c r="G439" s="352" t="str">
        <f>IFERROR(VLOOKUP(D439,'Client ID Records_v2'!D:E, 2, FALSE), "")</f>
        <v/>
      </c>
      <c r="H439" s="368" t="str">
        <f>IFERROR(VLOOKUP(G439,'Client ID Records_v2'!E:F, 2, FALSE), "")</f>
        <v/>
      </c>
      <c r="I439" s="352"/>
      <c r="J439" s="358" t="str">
        <f>IFERROR(VLOOKUP(I439,'Project Records_v2'!F:G, 2, FALSE), "")</f>
        <v/>
      </c>
      <c r="K439" s="143"/>
      <c r="L439" s="390"/>
      <c r="M439" s="419"/>
      <c r="N439" s="370"/>
      <c r="O439" s="370"/>
      <c r="P439" s="371"/>
      <c r="Q439" s="365"/>
    </row>
    <row r="440" ht="22.5" customHeight="1">
      <c r="A440" s="146"/>
      <c r="B440" s="413"/>
      <c r="C440" s="367"/>
      <c r="D440" s="420"/>
      <c r="E440" s="405"/>
      <c r="F440" s="404"/>
      <c r="G440" s="352" t="str">
        <f>IFERROR(VLOOKUP(D440,'Client ID Records_v2'!D:E, 2, FALSE), "")</f>
        <v/>
      </c>
      <c r="H440" s="368" t="str">
        <f>IFERROR(VLOOKUP(G440,'Client ID Records_v2'!E:F, 2, FALSE), "")</f>
        <v/>
      </c>
      <c r="I440" s="352"/>
      <c r="J440" s="358" t="str">
        <f>IFERROR(VLOOKUP(I440,'Project Records_v2'!F:G, 2, FALSE), "")</f>
        <v/>
      </c>
      <c r="K440" s="143"/>
      <c r="L440" s="390"/>
      <c r="M440" s="419"/>
      <c r="N440" s="370"/>
      <c r="O440" s="370"/>
      <c r="P440" s="371"/>
      <c r="Q440" s="365"/>
    </row>
    <row r="441" ht="22.5" customHeight="1">
      <c r="A441" s="146"/>
      <c r="B441" s="413"/>
      <c r="C441" s="367"/>
      <c r="D441" s="420"/>
      <c r="E441" s="405"/>
      <c r="F441" s="404"/>
      <c r="G441" s="352" t="str">
        <f>IFERROR(VLOOKUP(D441,'Client ID Records_v2'!D:E, 2, FALSE), "")</f>
        <v/>
      </c>
      <c r="H441" s="368" t="str">
        <f>IFERROR(VLOOKUP(G441,'Client ID Records_v2'!E:F, 2, FALSE), "")</f>
        <v/>
      </c>
      <c r="I441" s="352"/>
      <c r="J441" s="358" t="str">
        <f>IFERROR(VLOOKUP(I441,'Project Records_v2'!F:G, 2, FALSE), "")</f>
        <v/>
      </c>
      <c r="K441" s="143"/>
      <c r="L441" s="390"/>
      <c r="M441" s="419"/>
      <c r="N441" s="370"/>
      <c r="O441" s="370"/>
      <c r="P441" s="371"/>
      <c r="Q441" s="365"/>
    </row>
    <row r="442" ht="22.5" customHeight="1">
      <c r="A442" s="146"/>
      <c r="B442" s="413"/>
      <c r="C442" s="367"/>
      <c r="D442" s="420"/>
      <c r="E442" s="405"/>
      <c r="F442" s="404"/>
      <c r="G442" s="352" t="str">
        <f>IFERROR(VLOOKUP(D442,'Client ID Records_v2'!D:E, 2, FALSE), "")</f>
        <v/>
      </c>
      <c r="H442" s="368" t="str">
        <f>IFERROR(VLOOKUP(G442,'Client ID Records_v2'!E:F, 2, FALSE), "")</f>
        <v/>
      </c>
      <c r="I442" s="352"/>
      <c r="J442" s="358" t="str">
        <f>IFERROR(VLOOKUP(I442,'Project Records_v2'!F:G, 2, FALSE), "")</f>
        <v/>
      </c>
      <c r="K442" s="143"/>
      <c r="L442" s="390"/>
      <c r="M442" s="419"/>
      <c r="N442" s="370"/>
      <c r="O442" s="370"/>
      <c r="P442" s="371"/>
      <c r="Q442" s="365"/>
    </row>
    <row r="443" ht="22.5" customHeight="1">
      <c r="A443" s="146"/>
      <c r="B443" s="413"/>
      <c r="C443" s="367"/>
      <c r="D443" s="420"/>
      <c r="E443" s="405"/>
      <c r="F443" s="404"/>
      <c r="G443" s="352" t="str">
        <f>IFERROR(VLOOKUP(D443,'Client ID Records_v2'!D:E, 2, FALSE), "")</f>
        <v/>
      </c>
      <c r="H443" s="368" t="str">
        <f>IFERROR(VLOOKUP(G443,'Client ID Records_v2'!E:F, 2, FALSE), "")</f>
        <v/>
      </c>
      <c r="I443" s="352"/>
      <c r="J443" s="358" t="str">
        <f>IFERROR(VLOOKUP(I443,'Project Records_v2'!F:G, 2, FALSE), "")</f>
        <v/>
      </c>
      <c r="K443" s="143"/>
      <c r="L443" s="390"/>
      <c r="M443" s="419"/>
      <c r="N443" s="370"/>
      <c r="O443" s="370"/>
      <c r="P443" s="371"/>
      <c r="Q443" s="365"/>
    </row>
    <row r="444" ht="22.5" customHeight="1">
      <c r="A444" s="146"/>
      <c r="B444" s="413"/>
      <c r="C444" s="367"/>
      <c r="D444" s="420"/>
      <c r="E444" s="405"/>
      <c r="F444" s="404"/>
      <c r="G444" s="352" t="str">
        <f>IFERROR(VLOOKUP(D444,'Client ID Records_v2'!D:E, 2, FALSE), "")</f>
        <v/>
      </c>
      <c r="H444" s="368" t="str">
        <f>IFERROR(VLOOKUP(G444,'Client ID Records_v2'!E:F, 2, FALSE), "")</f>
        <v/>
      </c>
      <c r="I444" s="352"/>
      <c r="J444" s="358" t="str">
        <f>IFERROR(VLOOKUP(I444,'Project Records_v2'!F:G, 2, FALSE), "")</f>
        <v/>
      </c>
      <c r="K444" s="143"/>
      <c r="L444" s="390"/>
      <c r="M444" s="419"/>
      <c r="N444" s="370"/>
      <c r="O444" s="370"/>
      <c r="P444" s="371"/>
      <c r="Q444" s="365"/>
    </row>
    <row r="445" ht="22.5" customHeight="1">
      <c r="A445" s="146"/>
      <c r="B445" s="413"/>
      <c r="C445" s="367"/>
      <c r="D445" s="420"/>
      <c r="E445" s="405"/>
      <c r="F445" s="404"/>
      <c r="G445" s="352" t="str">
        <f>IFERROR(VLOOKUP(D445,'Client ID Records_v2'!D:E, 2, FALSE), "")</f>
        <v/>
      </c>
      <c r="H445" s="368" t="str">
        <f>IFERROR(VLOOKUP(G445,'Client ID Records_v2'!E:F, 2, FALSE), "")</f>
        <v/>
      </c>
      <c r="I445" s="352"/>
      <c r="J445" s="358" t="str">
        <f>IFERROR(VLOOKUP(I445,'Project Records_v2'!F:G, 2, FALSE), "")</f>
        <v/>
      </c>
      <c r="K445" s="143"/>
      <c r="L445" s="390"/>
      <c r="M445" s="419"/>
      <c r="N445" s="370"/>
      <c r="O445" s="370"/>
      <c r="P445" s="371"/>
      <c r="Q445" s="365"/>
    </row>
    <row r="446" ht="22.5" customHeight="1">
      <c r="A446" s="146"/>
      <c r="B446" s="413"/>
      <c r="C446" s="367"/>
      <c r="D446" s="420"/>
      <c r="E446" s="405"/>
      <c r="F446" s="404"/>
      <c r="G446" s="352" t="str">
        <f>IFERROR(VLOOKUP(D446,'Client ID Records_v2'!D:E, 2, FALSE), "")</f>
        <v/>
      </c>
      <c r="H446" s="368" t="str">
        <f>IFERROR(VLOOKUP(G446,'Client ID Records_v2'!E:F, 2, FALSE), "")</f>
        <v/>
      </c>
      <c r="I446" s="352"/>
      <c r="J446" s="358" t="str">
        <f>IFERROR(VLOOKUP(I446,'Project Records_v2'!F:G, 2, FALSE), "")</f>
        <v/>
      </c>
      <c r="K446" s="143"/>
      <c r="L446" s="390"/>
      <c r="M446" s="419"/>
      <c r="N446" s="370"/>
      <c r="O446" s="370"/>
      <c r="P446" s="371"/>
      <c r="Q446" s="365"/>
    </row>
    <row r="447" ht="22.5" customHeight="1">
      <c r="A447" s="146"/>
      <c r="B447" s="413"/>
      <c r="C447" s="367"/>
      <c r="D447" s="420"/>
      <c r="E447" s="405"/>
      <c r="F447" s="404"/>
      <c r="G447" s="352" t="str">
        <f>IFERROR(VLOOKUP(D447,'Client ID Records_v2'!D:E, 2, FALSE), "")</f>
        <v/>
      </c>
      <c r="H447" s="368" t="str">
        <f>IFERROR(VLOOKUP(G447,'Client ID Records_v2'!E:F, 2, FALSE), "")</f>
        <v/>
      </c>
      <c r="I447" s="352"/>
      <c r="J447" s="358" t="str">
        <f>IFERROR(VLOOKUP(I447,'Project Records_v2'!F:G, 2, FALSE), "")</f>
        <v/>
      </c>
      <c r="K447" s="143"/>
      <c r="L447" s="390"/>
      <c r="M447" s="419"/>
      <c r="N447" s="370"/>
      <c r="O447" s="370"/>
      <c r="P447" s="371"/>
      <c r="Q447" s="365"/>
    </row>
    <row r="448" ht="22.5" customHeight="1">
      <c r="A448" s="146"/>
      <c r="B448" s="413"/>
      <c r="C448" s="367"/>
      <c r="D448" s="420"/>
      <c r="E448" s="405"/>
      <c r="F448" s="404"/>
      <c r="G448" s="352" t="str">
        <f>IFERROR(VLOOKUP(D448,'Client ID Records_v2'!D:E, 2, FALSE), "")</f>
        <v/>
      </c>
      <c r="H448" s="368" t="str">
        <f>IFERROR(VLOOKUP(G448,'Client ID Records_v2'!E:F, 2, FALSE), "")</f>
        <v/>
      </c>
      <c r="I448" s="352"/>
      <c r="J448" s="358" t="str">
        <f>IFERROR(VLOOKUP(I448,'Project Records_v2'!F:G, 2, FALSE), "")</f>
        <v/>
      </c>
      <c r="K448" s="143"/>
      <c r="L448" s="390"/>
      <c r="M448" s="419"/>
      <c r="N448" s="370"/>
      <c r="O448" s="370"/>
      <c r="P448" s="371"/>
      <c r="Q448" s="365"/>
    </row>
    <row r="449" ht="22.5" customHeight="1">
      <c r="A449" s="146"/>
      <c r="B449" s="413"/>
      <c r="C449" s="367"/>
      <c r="D449" s="420"/>
      <c r="E449" s="405"/>
      <c r="F449" s="404"/>
      <c r="G449" s="352" t="str">
        <f>IFERROR(VLOOKUP(D449,'Client ID Records_v2'!D:E, 2, FALSE), "")</f>
        <v/>
      </c>
      <c r="H449" s="368" t="str">
        <f>IFERROR(VLOOKUP(G449,'Client ID Records_v2'!E:F, 2, FALSE), "")</f>
        <v/>
      </c>
      <c r="I449" s="352"/>
      <c r="J449" s="358" t="str">
        <f>IFERROR(VLOOKUP(I449,'Project Records_v2'!F:G, 2, FALSE), "")</f>
        <v/>
      </c>
      <c r="K449" s="143"/>
      <c r="L449" s="390"/>
      <c r="M449" s="419"/>
      <c r="N449" s="370"/>
      <c r="O449" s="370"/>
      <c r="P449" s="371"/>
      <c r="Q449" s="365"/>
    </row>
    <row r="450" ht="22.5" customHeight="1">
      <c r="A450" s="146"/>
      <c r="B450" s="413"/>
      <c r="C450" s="367"/>
      <c r="D450" s="420"/>
      <c r="E450" s="405"/>
      <c r="F450" s="404"/>
      <c r="G450" s="352" t="str">
        <f>IFERROR(VLOOKUP(D450,'Client ID Records_v2'!D:E, 2, FALSE), "")</f>
        <v/>
      </c>
      <c r="H450" s="368" t="str">
        <f>IFERROR(VLOOKUP(G450,'Client ID Records_v2'!E:F, 2, FALSE), "")</f>
        <v/>
      </c>
      <c r="I450" s="352"/>
      <c r="J450" s="358" t="str">
        <f>IFERROR(VLOOKUP(I450,'Project Records_v2'!F:G, 2, FALSE), "")</f>
        <v/>
      </c>
      <c r="K450" s="143"/>
      <c r="L450" s="390"/>
      <c r="M450" s="419"/>
      <c r="N450" s="370"/>
      <c r="O450" s="370"/>
      <c r="P450" s="371"/>
      <c r="Q450" s="365"/>
    </row>
    <row r="451" ht="22.5" customHeight="1">
      <c r="A451" s="146"/>
      <c r="B451" s="413"/>
      <c r="C451" s="367"/>
      <c r="D451" s="420"/>
      <c r="E451" s="405"/>
      <c r="F451" s="404"/>
      <c r="G451" s="352" t="str">
        <f>IFERROR(VLOOKUP(D451,'Client ID Records_v2'!D:E, 2, FALSE), "")</f>
        <v/>
      </c>
      <c r="H451" s="368" t="str">
        <f>IFERROR(VLOOKUP(G451,'Client ID Records_v2'!E:F, 2, FALSE), "")</f>
        <v/>
      </c>
      <c r="I451" s="352"/>
      <c r="J451" s="358" t="str">
        <f>IFERROR(VLOOKUP(I451,'Project Records_v2'!F:G, 2, FALSE), "")</f>
        <v/>
      </c>
      <c r="K451" s="143"/>
      <c r="L451" s="390"/>
      <c r="M451" s="419"/>
      <c r="N451" s="370"/>
      <c r="O451" s="370"/>
      <c r="P451" s="371"/>
      <c r="Q451" s="365"/>
    </row>
    <row r="452" ht="22.5" customHeight="1">
      <c r="A452" s="146"/>
      <c r="B452" s="413"/>
      <c r="C452" s="367"/>
      <c r="D452" s="420"/>
      <c r="E452" s="405"/>
      <c r="F452" s="404"/>
      <c r="G452" s="352" t="str">
        <f>IFERROR(VLOOKUP(D452,'Client ID Records_v2'!D:E, 2, FALSE), "")</f>
        <v/>
      </c>
      <c r="H452" s="368" t="str">
        <f>IFERROR(VLOOKUP(G452,'Client ID Records_v2'!E:F, 2, FALSE), "")</f>
        <v/>
      </c>
      <c r="I452" s="352"/>
      <c r="J452" s="358" t="str">
        <f>IFERROR(VLOOKUP(I452,'Project Records_v2'!F:G, 2, FALSE), "")</f>
        <v/>
      </c>
      <c r="K452" s="143"/>
      <c r="L452" s="390"/>
      <c r="M452" s="419"/>
      <c r="N452" s="370"/>
      <c r="O452" s="370"/>
      <c r="P452" s="371"/>
      <c r="Q452" s="365"/>
    </row>
    <row r="453" ht="22.5" customHeight="1">
      <c r="A453" s="146"/>
      <c r="B453" s="413"/>
      <c r="C453" s="367"/>
      <c r="D453" s="420"/>
      <c r="E453" s="405"/>
      <c r="F453" s="404"/>
      <c r="G453" s="352" t="str">
        <f>IFERROR(VLOOKUP(D453,'Client ID Records_v2'!D:E, 2, FALSE), "")</f>
        <v/>
      </c>
      <c r="H453" s="368" t="str">
        <f>IFERROR(VLOOKUP(G453,'Client ID Records_v2'!E:F, 2, FALSE), "")</f>
        <v/>
      </c>
      <c r="I453" s="352"/>
      <c r="J453" s="358" t="str">
        <f>IFERROR(VLOOKUP(I453,'Project Records_v2'!F:G, 2, FALSE), "")</f>
        <v/>
      </c>
      <c r="K453" s="143"/>
      <c r="L453" s="390"/>
      <c r="M453" s="419"/>
      <c r="N453" s="370"/>
      <c r="O453" s="370"/>
      <c r="P453" s="371"/>
      <c r="Q453" s="365"/>
    </row>
    <row r="454" ht="22.5" customHeight="1">
      <c r="A454" s="146"/>
      <c r="B454" s="413"/>
      <c r="C454" s="367"/>
      <c r="D454" s="420"/>
      <c r="E454" s="405"/>
      <c r="F454" s="404"/>
      <c r="G454" s="352" t="str">
        <f>IFERROR(VLOOKUP(D454,'Client ID Records_v2'!D:E, 2, FALSE), "")</f>
        <v/>
      </c>
      <c r="H454" s="368" t="str">
        <f>IFERROR(VLOOKUP(G454,'Client ID Records_v2'!E:F, 2, FALSE), "")</f>
        <v/>
      </c>
      <c r="I454" s="352"/>
      <c r="J454" s="358" t="str">
        <f>IFERROR(VLOOKUP(I454,'Project Records_v2'!F:G, 2, FALSE), "")</f>
        <v/>
      </c>
      <c r="K454" s="143"/>
      <c r="L454" s="390"/>
      <c r="M454" s="419"/>
      <c r="N454" s="370"/>
      <c r="O454" s="370"/>
      <c r="P454" s="371"/>
      <c r="Q454" s="365"/>
    </row>
    <row r="455" ht="22.5" customHeight="1">
      <c r="A455" s="146"/>
      <c r="B455" s="413"/>
      <c r="C455" s="367"/>
      <c r="D455" s="420"/>
      <c r="E455" s="405"/>
      <c r="F455" s="404"/>
      <c r="G455" s="352" t="str">
        <f>IFERROR(VLOOKUP(D455,'Client ID Records_v2'!D:E, 2, FALSE), "")</f>
        <v/>
      </c>
      <c r="H455" s="368" t="str">
        <f>IFERROR(VLOOKUP(G455,'Client ID Records_v2'!E:F, 2, FALSE), "")</f>
        <v/>
      </c>
      <c r="I455" s="352"/>
      <c r="J455" s="358" t="str">
        <f>IFERROR(VLOOKUP(I455,'Project Records_v2'!F:G, 2, FALSE), "")</f>
        <v/>
      </c>
      <c r="K455" s="143"/>
      <c r="L455" s="390"/>
      <c r="M455" s="419"/>
      <c r="N455" s="370"/>
      <c r="O455" s="370"/>
      <c r="P455" s="371"/>
      <c r="Q455" s="365"/>
    </row>
    <row r="456" ht="22.5" customHeight="1">
      <c r="A456" s="146"/>
      <c r="B456" s="413"/>
      <c r="C456" s="367"/>
      <c r="D456" s="420"/>
      <c r="E456" s="405"/>
      <c r="F456" s="404"/>
      <c r="G456" s="352" t="str">
        <f>IFERROR(VLOOKUP(D456,'Client ID Records_v2'!D:E, 2, FALSE), "")</f>
        <v/>
      </c>
      <c r="H456" s="368" t="str">
        <f>IFERROR(VLOOKUP(G456,'Client ID Records_v2'!E:F, 2, FALSE), "")</f>
        <v/>
      </c>
      <c r="I456" s="352"/>
      <c r="J456" s="358" t="str">
        <f>IFERROR(VLOOKUP(I456,'Project Records_v2'!F:G, 2, FALSE), "")</f>
        <v/>
      </c>
      <c r="K456" s="143"/>
      <c r="L456" s="390"/>
      <c r="M456" s="419"/>
      <c r="N456" s="370"/>
      <c r="O456" s="370"/>
      <c r="P456" s="371"/>
      <c r="Q456" s="365"/>
    </row>
    <row r="457" ht="22.5" customHeight="1">
      <c r="A457" s="146"/>
      <c r="B457" s="413"/>
      <c r="C457" s="367"/>
      <c r="D457" s="420"/>
      <c r="E457" s="405"/>
      <c r="F457" s="404"/>
      <c r="G457" s="352" t="str">
        <f>IFERROR(VLOOKUP(D457,'Client ID Records_v2'!D:E, 2, FALSE), "")</f>
        <v/>
      </c>
      <c r="H457" s="368" t="str">
        <f>IFERROR(VLOOKUP(G457,'Client ID Records_v2'!E:F, 2, FALSE), "")</f>
        <v/>
      </c>
      <c r="I457" s="352"/>
      <c r="J457" s="358" t="str">
        <f>IFERROR(VLOOKUP(I457,'Project Records_v2'!F:G, 2, FALSE), "")</f>
        <v/>
      </c>
      <c r="K457" s="143"/>
      <c r="L457" s="390"/>
      <c r="M457" s="419"/>
      <c r="N457" s="370"/>
      <c r="O457" s="370"/>
      <c r="P457" s="371"/>
      <c r="Q457" s="365"/>
    </row>
    <row r="458" ht="22.5" customHeight="1">
      <c r="A458" s="146"/>
      <c r="B458" s="413"/>
      <c r="C458" s="367"/>
      <c r="D458" s="420"/>
      <c r="E458" s="405"/>
      <c r="F458" s="404"/>
      <c r="G458" s="352" t="str">
        <f>IFERROR(VLOOKUP(D458,'Client ID Records_v2'!D:E, 2, FALSE), "")</f>
        <v/>
      </c>
      <c r="H458" s="368" t="str">
        <f>IFERROR(VLOOKUP(G458,'Client ID Records_v2'!E:F, 2, FALSE), "")</f>
        <v/>
      </c>
      <c r="I458" s="352"/>
      <c r="J458" s="358" t="str">
        <f>IFERROR(VLOOKUP(I458,'Project Records_v2'!F:G, 2, FALSE), "")</f>
        <v/>
      </c>
      <c r="K458" s="143"/>
      <c r="L458" s="390"/>
      <c r="M458" s="419"/>
      <c r="N458" s="370"/>
      <c r="O458" s="370"/>
      <c r="P458" s="371"/>
      <c r="Q458" s="365"/>
    </row>
    <row r="459" ht="22.5" customHeight="1">
      <c r="A459" s="146"/>
      <c r="B459" s="413"/>
      <c r="C459" s="367"/>
      <c r="D459" s="420"/>
      <c r="E459" s="405"/>
      <c r="F459" s="404"/>
      <c r="G459" s="352" t="str">
        <f>IFERROR(VLOOKUP(D459,'Client ID Records_v2'!D:E, 2, FALSE), "")</f>
        <v/>
      </c>
      <c r="H459" s="368" t="str">
        <f>IFERROR(VLOOKUP(G459,'Client ID Records_v2'!E:F, 2, FALSE), "")</f>
        <v/>
      </c>
      <c r="I459" s="352"/>
      <c r="J459" s="358" t="str">
        <f>IFERROR(VLOOKUP(I459,'Project Records_v2'!F:G, 2, FALSE), "")</f>
        <v/>
      </c>
      <c r="K459" s="143"/>
      <c r="L459" s="390"/>
      <c r="M459" s="419"/>
      <c r="N459" s="370"/>
      <c r="O459" s="370"/>
      <c r="P459" s="371"/>
      <c r="Q459" s="365"/>
    </row>
    <row r="460" ht="22.5" customHeight="1">
      <c r="A460" s="146"/>
      <c r="B460" s="413"/>
      <c r="C460" s="367"/>
      <c r="D460" s="420"/>
      <c r="E460" s="405"/>
      <c r="F460" s="404"/>
      <c r="G460" s="352" t="str">
        <f>IFERROR(VLOOKUP(D460,'Client ID Records_v2'!D:E, 2, FALSE), "")</f>
        <v/>
      </c>
      <c r="H460" s="368" t="str">
        <f>IFERROR(VLOOKUP(G460,'Client ID Records_v2'!E:F, 2, FALSE), "")</f>
        <v/>
      </c>
      <c r="I460" s="352"/>
      <c r="J460" s="358" t="str">
        <f>IFERROR(VLOOKUP(I460,'Project Records_v2'!F:G, 2, FALSE), "")</f>
        <v/>
      </c>
      <c r="K460" s="143"/>
      <c r="L460" s="390"/>
      <c r="M460" s="419"/>
      <c r="N460" s="370"/>
      <c r="O460" s="370"/>
      <c r="P460" s="371"/>
      <c r="Q460" s="365"/>
    </row>
    <row r="461" ht="22.5" customHeight="1">
      <c r="A461" s="146"/>
      <c r="B461" s="413"/>
      <c r="C461" s="367"/>
      <c r="D461" s="420"/>
      <c r="E461" s="405"/>
      <c r="F461" s="404"/>
      <c r="G461" s="352" t="str">
        <f>IFERROR(VLOOKUP(D461,'Client ID Records_v2'!D:E, 2, FALSE), "")</f>
        <v/>
      </c>
      <c r="H461" s="368" t="str">
        <f>IFERROR(VLOOKUP(G461,'Client ID Records_v2'!E:F, 2, FALSE), "")</f>
        <v/>
      </c>
      <c r="I461" s="352"/>
      <c r="J461" s="358" t="str">
        <f>IFERROR(VLOOKUP(I461,'Project Records_v2'!F:G, 2, FALSE), "")</f>
        <v/>
      </c>
      <c r="K461" s="143"/>
      <c r="L461" s="390"/>
      <c r="M461" s="419"/>
      <c r="N461" s="370"/>
      <c r="O461" s="370"/>
      <c r="P461" s="371"/>
      <c r="Q461" s="365"/>
    </row>
    <row r="462" ht="22.5" customHeight="1">
      <c r="A462" s="146"/>
      <c r="B462" s="413"/>
      <c r="C462" s="367"/>
      <c r="D462" s="420"/>
      <c r="E462" s="405"/>
      <c r="F462" s="404"/>
      <c r="G462" s="352" t="str">
        <f>IFERROR(VLOOKUP(D462,'Client ID Records_v2'!D:E, 2, FALSE), "")</f>
        <v/>
      </c>
      <c r="H462" s="368" t="str">
        <f>IFERROR(VLOOKUP(G462,'Client ID Records_v2'!E:F, 2, FALSE), "")</f>
        <v/>
      </c>
      <c r="I462" s="352"/>
      <c r="J462" s="358" t="str">
        <f>IFERROR(VLOOKUP(I462,'Project Records_v2'!F:G, 2, FALSE), "")</f>
        <v/>
      </c>
      <c r="K462" s="143"/>
      <c r="L462" s="390"/>
      <c r="M462" s="419"/>
      <c r="N462" s="370"/>
      <c r="O462" s="370"/>
      <c r="P462" s="371"/>
      <c r="Q462" s="365"/>
    </row>
    <row r="463" ht="22.5" customHeight="1">
      <c r="A463" s="146"/>
      <c r="B463" s="413"/>
      <c r="C463" s="367"/>
      <c r="D463" s="420"/>
      <c r="E463" s="405"/>
      <c r="F463" s="404"/>
      <c r="G463" s="352" t="str">
        <f>IFERROR(VLOOKUP(D463,'Client ID Records_v2'!D:E, 2, FALSE), "")</f>
        <v/>
      </c>
      <c r="H463" s="368" t="str">
        <f>IFERROR(VLOOKUP(G463,'Client ID Records_v2'!E:F, 2, FALSE), "")</f>
        <v/>
      </c>
      <c r="I463" s="352"/>
      <c r="J463" s="358" t="str">
        <f>IFERROR(VLOOKUP(I463,'Project Records_v2'!F:G, 2, FALSE), "")</f>
        <v/>
      </c>
      <c r="K463" s="143"/>
      <c r="L463" s="390"/>
      <c r="M463" s="419"/>
      <c r="N463" s="370"/>
      <c r="O463" s="370"/>
      <c r="P463" s="371"/>
      <c r="Q463" s="365"/>
    </row>
    <row r="464" ht="22.5" customHeight="1">
      <c r="A464" s="146"/>
      <c r="B464" s="413"/>
      <c r="C464" s="367"/>
      <c r="D464" s="420"/>
      <c r="E464" s="405"/>
      <c r="F464" s="404"/>
      <c r="G464" s="352" t="str">
        <f>IFERROR(VLOOKUP(D464,'Client ID Records_v2'!D:E, 2, FALSE), "")</f>
        <v/>
      </c>
      <c r="H464" s="368" t="str">
        <f>IFERROR(VLOOKUP(G464,'Client ID Records_v2'!E:F, 2, FALSE), "")</f>
        <v/>
      </c>
      <c r="I464" s="352"/>
      <c r="J464" s="358" t="str">
        <f>IFERROR(VLOOKUP(I464,'Project Records_v2'!F:G, 2, FALSE), "")</f>
        <v/>
      </c>
      <c r="K464" s="143"/>
      <c r="L464" s="390"/>
      <c r="M464" s="419"/>
      <c r="N464" s="370"/>
      <c r="O464" s="370"/>
      <c r="P464" s="371"/>
      <c r="Q464" s="365"/>
    </row>
    <row r="465" ht="22.5" customHeight="1">
      <c r="A465" s="146"/>
      <c r="B465" s="413"/>
      <c r="C465" s="367"/>
      <c r="D465" s="420"/>
      <c r="E465" s="405"/>
      <c r="F465" s="404"/>
      <c r="G465" s="352" t="str">
        <f>IFERROR(VLOOKUP(D465,'Client ID Records_v2'!D:E, 2, FALSE), "")</f>
        <v/>
      </c>
      <c r="H465" s="368" t="str">
        <f>IFERROR(VLOOKUP(G465,'Client ID Records_v2'!E:F, 2, FALSE), "")</f>
        <v/>
      </c>
      <c r="I465" s="352"/>
      <c r="J465" s="358" t="str">
        <f>IFERROR(VLOOKUP(I465,'Project Records_v2'!F:G, 2, FALSE), "")</f>
        <v/>
      </c>
      <c r="K465" s="143"/>
      <c r="L465" s="390"/>
      <c r="M465" s="419"/>
      <c r="N465" s="370"/>
      <c r="O465" s="370"/>
      <c r="P465" s="371"/>
      <c r="Q465" s="365"/>
    </row>
    <row r="466" ht="22.5" customHeight="1">
      <c r="A466" s="146"/>
      <c r="B466" s="413"/>
      <c r="C466" s="367"/>
      <c r="D466" s="420"/>
      <c r="E466" s="405"/>
      <c r="F466" s="404"/>
      <c r="G466" s="352" t="str">
        <f>IFERROR(VLOOKUP(D466,'Client ID Records_v2'!D:E, 2, FALSE), "")</f>
        <v/>
      </c>
      <c r="H466" s="368" t="str">
        <f>IFERROR(VLOOKUP(G466,'Client ID Records_v2'!E:F, 2, FALSE), "")</f>
        <v/>
      </c>
      <c r="I466" s="352"/>
      <c r="J466" s="358" t="str">
        <f>IFERROR(VLOOKUP(I466,'Project Records_v2'!F:G, 2, FALSE), "")</f>
        <v/>
      </c>
      <c r="K466" s="143"/>
      <c r="L466" s="390"/>
      <c r="M466" s="419"/>
      <c r="N466" s="370"/>
      <c r="O466" s="370"/>
      <c r="P466" s="371"/>
      <c r="Q466" s="365"/>
    </row>
    <row r="467" ht="22.5" customHeight="1">
      <c r="A467" s="146"/>
      <c r="B467" s="413"/>
      <c r="C467" s="367"/>
      <c r="D467" s="420"/>
      <c r="E467" s="405"/>
      <c r="F467" s="404"/>
      <c r="G467" s="352" t="str">
        <f>IFERROR(VLOOKUP(D467,'Client ID Records_v2'!D:E, 2, FALSE), "")</f>
        <v/>
      </c>
      <c r="H467" s="368" t="str">
        <f>IFERROR(VLOOKUP(G467,'Client ID Records_v2'!E:F, 2, FALSE), "")</f>
        <v/>
      </c>
      <c r="I467" s="352"/>
      <c r="J467" s="358" t="str">
        <f>IFERROR(VLOOKUP(I467,'Project Records_v2'!F:G, 2, FALSE), "")</f>
        <v/>
      </c>
      <c r="K467" s="143"/>
      <c r="L467" s="390"/>
      <c r="M467" s="419"/>
      <c r="N467" s="370"/>
      <c r="O467" s="370"/>
      <c r="P467" s="371"/>
      <c r="Q467" s="365"/>
    </row>
    <row r="468" ht="22.5" customHeight="1">
      <c r="A468" s="146"/>
      <c r="B468" s="413"/>
      <c r="C468" s="367"/>
      <c r="D468" s="420"/>
      <c r="E468" s="405"/>
      <c r="F468" s="404"/>
      <c r="G468" s="352" t="str">
        <f>IFERROR(VLOOKUP(D468,'Client ID Records_v2'!D:E, 2, FALSE), "")</f>
        <v/>
      </c>
      <c r="H468" s="368" t="str">
        <f>IFERROR(VLOOKUP(G468,'Client ID Records_v2'!E:F, 2, FALSE), "")</f>
        <v/>
      </c>
      <c r="I468" s="352"/>
      <c r="J468" s="358" t="str">
        <f>IFERROR(VLOOKUP(I468,'Project Records_v2'!F:G, 2, FALSE), "")</f>
        <v/>
      </c>
      <c r="K468" s="143"/>
      <c r="L468" s="390"/>
      <c r="M468" s="419"/>
      <c r="N468" s="370"/>
      <c r="O468" s="370"/>
      <c r="P468" s="371"/>
      <c r="Q468" s="365"/>
    </row>
    <row r="469" ht="22.5" customHeight="1">
      <c r="A469" s="146"/>
      <c r="B469" s="413"/>
      <c r="C469" s="367"/>
      <c r="D469" s="420"/>
      <c r="E469" s="405"/>
      <c r="F469" s="404"/>
      <c r="G469" s="352" t="str">
        <f>IFERROR(VLOOKUP(D469,'Client ID Records_v2'!D:E, 2, FALSE), "")</f>
        <v/>
      </c>
      <c r="H469" s="368" t="str">
        <f>IFERROR(VLOOKUP(G469,'Client ID Records_v2'!E:F, 2, FALSE), "")</f>
        <v/>
      </c>
      <c r="I469" s="352"/>
      <c r="J469" s="358" t="str">
        <f>IFERROR(VLOOKUP(I469,'Project Records_v2'!F:G, 2, FALSE), "")</f>
        <v/>
      </c>
      <c r="K469" s="143"/>
      <c r="L469" s="390"/>
      <c r="M469" s="419"/>
      <c r="N469" s="370"/>
      <c r="O469" s="370"/>
      <c r="P469" s="371"/>
      <c r="Q469" s="365"/>
    </row>
    <row r="470" ht="22.5" customHeight="1">
      <c r="A470" s="146"/>
      <c r="B470" s="413"/>
      <c r="C470" s="367"/>
      <c r="D470" s="420"/>
      <c r="E470" s="405"/>
      <c r="F470" s="404"/>
      <c r="G470" s="352" t="str">
        <f>IFERROR(VLOOKUP(D470,'Client ID Records_v2'!D:E, 2, FALSE), "")</f>
        <v/>
      </c>
      <c r="H470" s="368" t="str">
        <f>IFERROR(VLOOKUP(G470,'Client ID Records_v2'!E:F, 2, FALSE), "")</f>
        <v/>
      </c>
      <c r="I470" s="352"/>
      <c r="J470" s="358" t="str">
        <f>IFERROR(VLOOKUP(I470,'Project Records_v2'!F:G, 2, FALSE), "")</f>
        <v/>
      </c>
      <c r="K470" s="143"/>
      <c r="L470" s="390"/>
      <c r="M470" s="419"/>
      <c r="N470" s="370"/>
      <c r="O470" s="370"/>
      <c r="P470" s="371"/>
      <c r="Q470" s="365"/>
    </row>
    <row r="471" ht="22.5" customHeight="1">
      <c r="A471" s="146"/>
      <c r="B471" s="413"/>
      <c r="C471" s="367"/>
      <c r="D471" s="420"/>
      <c r="E471" s="405"/>
      <c r="F471" s="404"/>
      <c r="G471" s="352" t="str">
        <f>IFERROR(VLOOKUP(D471,'Client ID Records_v2'!D:E, 2, FALSE), "")</f>
        <v/>
      </c>
      <c r="H471" s="368" t="str">
        <f>IFERROR(VLOOKUP(G471,'Client ID Records_v2'!E:F, 2, FALSE), "")</f>
        <v/>
      </c>
      <c r="I471" s="352"/>
      <c r="J471" s="358" t="str">
        <f>IFERROR(VLOOKUP(I471,'Project Records_v2'!F:G, 2, FALSE), "")</f>
        <v/>
      </c>
      <c r="K471" s="143"/>
      <c r="L471" s="390"/>
      <c r="M471" s="419"/>
      <c r="N471" s="370"/>
      <c r="O471" s="370"/>
      <c r="P471" s="371"/>
      <c r="Q471" s="365"/>
    </row>
    <row r="472" ht="22.5" customHeight="1">
      <c r="A472" s="146"/>
      <c r="B472" s="413"/>
      <c r="C472" s="367"/>
      <c r="D472" s="420"/>
      <c r="E472" s="405"/>
      <c r="F472" s="404"/>
      <c r="G472" s="352" t="str">
        <f>IFERROR(VLOOKUP(D472,'Client ID Records_v2'!D:E, 2, FALSE), "")</f>
        <v/>
      </c>
      <c r="H472" s="368" t="str">
        <f>IFERROR(VLOOKUP(G472,'Client ID Records_v2'!E:F, 2, FALSE), "")</f>
        <v/>
      </c>
      <c r="I472" s="352"/>
      <c r="J472" s="358" t="str">
        <f>IFERROR(VLOOKUP(I472,'Project Records_v2'!F:G, 2, FALSE), "")</f>
        <v/>
      </c>
      <c r="K472" s="143"/>
      <c r="L472" s="390"/>
      <c r="M472" s="419"/>
      <c r="N472" s="370"/>
      <c r="O472" s="370"/>
      <c r="P472" s="371"/>
      <c r="Q472" s="365"/>
    </row>
    <row r="473" ht="22.5" customHeight="1">
      <c r="A473" s="146"/>
      <c r="B473" s="413"/>
      <c r="C473" s="367"/>
      <c r="D473" s="420"/>
      <c r="E473" s="405"/>
      <c r="F473" s="404"/>
      <c r="G473" s="352" t="str">
        <f>IFERROR(VLOOKUP(D473,'Client ID Records_v2'!D:E, 2, FALSE), "")</f>
        <v/>
      </c>
      <c r="H473" s="368" t="str">
        <f>IFERROR(VLOOKUP(G473,'Client ID Records_v2'!E:F, 2, FALSE), "")</f>
        <v/>
      </c>
      <c r="I473" s="352"/>
      <c r="J473" s="358" t="str">
        <f>IFERROR(VLOOKUP(I473,'Project Records_v2'!F:G, 2, FALSE), "")</f>
        <v/>
      </c>
      <c r="K473" s="143"/>
      <c r="L473" s="390"/>
      <c r="M473" s="419"/>
      <c r="N473" s="370"/>
      <c r="O473" s="370"/>
      <c r="P473" s="371"/>
      <c r="Q473" s="365"/>
    </row>
    <row r="474" ht="22.5" customHeight="1">
      <c r="A474" s="146"/>
      <c r="B474" s="413"/>
      <c r="C474" s="367"/>
      <c r="D474" s="420"/>
      <c r="E474" s="405"/>
      <c r="F474" s="404"/>
      <c r="G474" s="352" t="str">
        <f>IFERROR(VLOOKUP(D474,'Client ID Records_v2'!D:E, 2, FALSE), "")</f>
        <v/>
      </c>
      <c r="H474" s="368" t="str">
        <f>IFERROR(VLOOKUP(G474,'Client ID Records_v2'!E:F, 2, FALSE), "")</f>
        <v/>
      </c>
      <c r="I474" s="352"/>
      <c r="J474" s="358" t="str">
        <f>IFERROR(VLOOKUP(I474,'Project Records_v2'!F:G, 2, FALSE), "")</f>
        <v/>
      </c>
      <c r="K474" s="143"/>
      <c r="L474" s="390"/>
      <c r="M474" s="419"/>
      <c r="N474" s="370"/>
      <c r="O474" s="370"/>
      <c r="P474" s="371"/>
      <c r="Q474" s="365"/>
    </row>
    <row r="475" ht="22.5" customHeight="1">
      <c r="A475" s="146"/>
      <c r="B475" s="413"/>
      <c r="C475" s="367"/>
      <c r="D475" s="420"/>
      <c r="E475" s="405"/>
      <c r="F475" s="404"/>
      <c r="G475" s="352" t="str">
        <f>IFERROR(VLOOKUP(D475,'Client ID Records_v2'!D:E, 2, FALSE), "")</f>
        <v/>
      </c>
      <c r="H475" s="368" t="str">
        <f>IFERROR(VLOOKUP(G475,'Client ID Records_v2'!E:F, 2, FALSE), "")</f>
        <v/>
      </c>
      <c r="I475" s="352"/>
      <c r="J475" s="358" t="str">
        <f>IFERROR(VLOOKUP(I475,'Project Records_v2'!F:G, 2, FALSE), "")</f>
        <v/>
      </c>
      <c r="K475" s="143"/>
      <c r="L475" s="390"/>
      <c r="M475" s="419"/>
      <c r="N475" s="370"/>
      <c r="O475" s="370"/>
      <c r="P475" s="371"/>
      <c r="Q475" s="365"/>
    </row>
    <row r="476" ht="22.5" customHeight="1">
      <c r="A476" s="146"/>
      <c r="B476" s="413"/>
      <c r="C476" s="367"/>
      <c r="D476" s="420"/>
      <c r="E476" s="405"/>
      <c r="F476" s="404"/>
      <c r="G476" s="352" t="str">
        <f>IFERROR(VLOOKUP(D476,'Client ID Records_v2'!D:E, 2, FALSE), "")</f>
        <v/>
      </c>
      <c r="H476" s="368" t="str">
        <f>IFERROR(VLOOKUP(G476,'Client ID Records_v2'!E:F, 2, FALSE), "")</f>
        <v/>
      </c>
      <c r="I476" s="352"/>
      <c r="J476" s="358" t="str">
        <f>IFERROR(VLOOKUP(I476,'Project Records_v2'!F:G, 2, FALSE), "")</f>
        <v/>
      </c>
      <c r="K476" s="143"/>
      <c r="L476" s="390"/>
      <c r="M476" s="419"/>
      <c r="N476" s="370"/>
      <c r="O476" s="370"/>
      <c r="P476" s="371"/>
      <c r="Q476" s="365"/>
    </row>
    <row r="477" ht="22.5" customHeight="1">
      <c r="A477" s="146"/>
      <c r="B477" s="413"/>
      <c r="C477" s="367"/>
      <c r="D477" s="420"/>
      <c r="E477" s="405"/>
      <c r="F477" s="404"/>
      <c r="G477" s="352" t="str">
        <f>IFERROR(VLOOKUP(D477,'Client ID Records_v2'!D:E, 2, FALSE), "")</f>
        <v/>
      </c>
      <c r="H477" s="368" t="str">
        <f>IFERROR(VLOOKUP(G477,'Client ID Records_v2'!E:F, 2, FALSE), "")</f>
        <v/>
      </c>
      <c r="I477" s="352"/>
      <c r="J477" s="358" t="str">
        <f>IFERROR(VLOOKUP(I477,'Project Records_v2'!F:G, 2, FALSE), "")</f>
        <v/>
      </c>
      <c r="K477" s="143"/>
      <c r="L477" s="390"/>
      <c r="M477" s="419"/>
      <c r="N477" s="370"/>
      <c r="O477" s="370"/>
      <c r="P477" s="371"/>
      <c r="Q477" s="365"/>
    </row>
    <row r="478" ht="22.5" customHeight="1">
      <c r="A478" s="146"/>
      <c r="B478" s="413"/>
      <c r="C478" s="367"/>
      <c r="D478" s="420"/>
      <c r="E478" s="405"/>
      <c r="F478" s="404"/>
      <c r="G478" s="352" t="str">
        <f>IFERROR(VLOOKUP(D478,'Client ID Records_v2'!D:E, 2, FALSE), "")</f>
        <v/>
      </c>
      <c r="H478" s="368" t="str">
        <f>IFERROR(VLOOKUP(G478,'Client ID Records_v2'!E:F, 2, FALSE), "")</f>
        <v/>
      </c>
      <c r="I478" s="352"/>
      <c r="J478" s="358" t="str">
        <f>IFERROR(VLOOKUP(I478,'Project Records_v2'!F:G, 2, FALSE), "")</f>
        <v/>
      </c>
      <c r="K478" s="143"/>
      <c r="L478" s="390"/>
      <c r="M478" s="419"/>
      <c r="N478" s="370"/>
      <c r="O478" s="370"/>
      <c r="P478" s="371"/>
      <c r="Q478" s="365"/>
    </row>
    <row r="479" ht="22.5" customHeight="1">
      <c r="A479" s="146"/>
      <c r="B479" s="413"/>
      <c r="C479" s="367"/>
      <c r="D479" s="420"/>
      <c r="E479" s="405"/>
      <c r="F479" s="404"/>
      <c r="G479" s="352" t="str">
        <f>IFERROR(VLOOKUP(D479,'Client ID Records_v2'!D:E, 2, FALSE), "")</f>
        <v/>
      </c>
      <c r="H479" s="368" t="str">
        <f>IFERROR(VLOOKUP(G479,'Client ID Records_v2'!E:F, 2, FALSE), "")</f>
        <v/>
      </c>
      <c r="I479" s="352"/>
      <c r="J479" s="358" t="str">
        <f>IFERROR(VLOOKUP(I479,'Project Records_v2'!F:G, 2, FALSE), "")</f>
        <v/>
      </c>
      <c r="K479" s="143"/>
      <c r="L479" s="390"/>
      <c r="M479" s="419"/>
      <c r="N479" s="370"/>
      <c r="O479" s="370"/>
      <c r="P479" s="371"/>
      <c r="Q479" s="365"/>
    </row>
    <row r="480" ht="22.5" customHeight="1">
      <c r="A480" s="146"/>
      <c r="B480" s="413"/>
      <c r="C480" s="367"/>
      <c r="D480" s="420"/>
      <c r="E480" s="405"/>
      <c r="F480" s="404"/>
      <c r="G480" s="352" t="str">
        <f>IFERROR(VLOOKUP(D480,'Client ID Records_v2'!D:E, 2, FALSE), "")</f>
        <v/>
      </c>
      <c r="H480" s="368" t="str">
        <f>IFERROR(VLOOKUP(G480,'Client ID Records_v2'!E:F, 2, FALSE), "")</f>
        <v/>
      </c>
      <c r="I480" s="352"/>
      <c r="J480" s="358" t="str">
        <f>IFERROR(VLOOKUP(I480,'Project Records_v2'!F:G, 2, FALSE), "")</f>
        <v/>
      </c>
      <c r="K480" s="143"/>
      <c r="L480" s="390"/>
      <c r="M480" s="419"/>
      <c r="N480" s="370"/>
      <c r="O480" s="370"/>
      <c r="P480" s="371"/>
      <c r="Q480" s="365"/>
    </row>
    <row r="481" ht="22.5" customHeight="1">
      <c r="A481" s="146"/>
      <c r="B481" s="413"/>
      <c r="C481" s="367"/>
      <c r="D481" s="420"/>
      <c r="E481" s="405"/>
      <c r="F481" s="404"/>
      <c r="G481" s="352" t="str">
        <f>IFERROR(VLOOKUP(D481,'Client ID Records_v2'!D:E, 2, FALSE), "")</f>
        <v/>
      </c>
      <c r="H481" s="368" t="str">
        <f>IFERROR(VLOOKUP(G481,'Client ID Records_v2'!E:F, 2, FALSE), "")</f>
        <v/>
      </c>
      <c r="I481" s="352"/>
      <c r="J481" s="358" t="str">
        <f>IFERROR(VLOOKUP(I481,'Project Records_v2'!F:G, 2, FALSE), "")</f>
        <v/>
      </c>
      <c r="K481" s="143"/>
      <c r="L481" s="390"/>
      <c r="M481" s="419"/>
      <c r="N481" s="370"/>
      <c r="O481" s="370"/>
      <c r="P481" s="371"/>
      <c r="Q481" s="365"/>
    </row>
    <row r="482" ht="22.5" customHeight="1">
      <c r="A482" s="146"/>
      <c r="B482" s="413"/>
      <c r="C482" s="367"/>
      <c r="D482" s="420"/>
      <c r="E482" s="405"/>
      <c r="F482" s="404"/>
      <c r="G482" s="352" t="str">
        <f>IFERROR(VLOOKUP(D482,'Client ID Records_v2'!D:E, 2, FALSE), "")</f>
        <v/>
      </c>
      <c r="H482" s="368" t="str">
        <f>IFERROR(VLOOKUP(G482,'Client ID Records_v2'!E:F, 2, FALSE), "")</f>
        <v/>
      </c>
      <c r="I482" s="352"/>
      <c r="J482" s="358" t="str">
        <f>IFERROR(VLOOKUP(I482,'Project Records_v2'!F:G, 2, FALSE), "")</f>
        <v/>
      </c>
      <c r="K482" s="143"/>
      <c r="L482" s="390"/>
      <c r="M482" s="419"/>
      <c r="N482" s="370"/>
      <c r="O482" s="370"/>
      <c r="P482" s="371"/>
      <c r="Q482" s="365"/>
    </row>
    <row r="483" ht="22.5" customHeight="1">
      <c r="A483" s="146"/>
      <c r="B483" s="413"/>
      <c r="C483" s="367"/>
      <c r="D483" s="420"/>
      <c r="E483" s="405"/>
      <c r="F483" s="404"/>
      <c r="G483" s="352" t="str">
        <f>IFERROR(VLOOKUP(D483,'Client ID Records_v2'!D:E, 2, FALSE), "")</f>
        <v/>
      </c>
      <c r="H483" s="368" t="str">
        <f>IFERROR(VLOOKUP(G483,'Client ID Records_v2'!E:F, 2, FALSE), "")</f>
        <v/>
      </c>
      <c r="I483" s="352"/>
      <c r="J483" s="358" t="str">
        <f>IFERROR(VLOOKUP(I483,'Project Records_v2'!F:G, 2, FALSE), "")</f>
        <v/>
      </c>
      <c r="K483" s="143"/>
      <c r="L483" s="390"/>
      <c r="M483" s="419"/>
      <c r="N483" s="370"/>
      <c r="O483" s="370"/>
      <c r="P483" s="371"/>
      <c r="Q483" s="365"/>
    </row>
    <row r="484" ht="22.5" customHeight="1">
      <c r="A484" s="146"/>
      <c r="B484" s="413"/>
      <c r="C484" s="367"/>
      <c r="D484" s="420"/>
      <c r="E484" s="405"/>
      <c r="F484" s="404"/>
      <c r="G484" s="352" t="str">
        <f>IFERROR(VLOOKUP(D484,'Client ID Records_v2'!D:E, 2, FALSE), "")</f>
        <v/>
      </c>
      <c r="H484" s="368" t="str">
        <f>IFERROR(VLOOKUP(G484,'Client ID Records_v2'!E:F, 2, FALSE), "")</f>
        <v/>
      </c>
      <c r="I484" s="352"/>
      <c r="J484" s="358" t="str">
        <f>IFERROR(VLOOKUP(I484,'Project Records_v2'!F:G, 2, FALSE), "")</f>
        <v/>
      </c>
      <c r="K484" s="143"/>
      <c r="L484" s="390"/>
      <c r="M484" s="419"/>
      <c r="N484" s="370"/>
      <c r="O484" s="370"/>
      <c r="P484" s="371"/>
      <c r="Q484" s="365"/>
    </row>
    <row r="485" ht="22.5" customHeight="1">
      <c r="A485" s="146"/>
      <c r="B485" s="413"/>
      <c r="C485" s="367"/>
      <c r="D485" s="420"/>
      <c r="E485" s="405"/>
      <c r="F485" s="404"/>
      <c r="G485" s="352" t="str">
        <f>IFERROR(VLOOKUP(D485,'Client ID Records_v2'!D:E, 2, FALSE), "")</f>
        <v/>
      </c>
      <c r="H485" s="368" t="str">
        <f>IFERROR(VLOOKUP(G485,'Client ID Records_v2'!E:F, 2, FALSE), "")</f>
        <v/>
      </c>
      <c r="I485" s="352"/>
      <c r="J485" s="358" t="str">
        <f>IFERROR(VLOOKUP(I485,'Project Records_v2'!F:G, 2, FALSE), "")</f>
        <v/>
      </c>
      <c r="K485" s="143"/>
      <c r="L485" s="390"/>
      <c r="M485" s="419"/>
      <c r="N485" s="370"/>
      <c r="O485" s="370"/>
      <c r="P485" s="371"/>
      <c r="Q485" s="365"/>
    </row>
    <row r="486" ht="22.5" customHeight="1">
      <c r="A486" s="146"/>
      <c r="B486" s="413"/>
      <c r="C486" s="367"/>
      <c r="D486" s="420"/>
      <c r="E486" s="405"/>
      <c r="F486" s="404"/>
      <c r="G486" s="352" t="str">
        <f>IFERROR(VLOOKUP(D486,'Client ID Records_v2'!D:E, 2, FALSE), "")</f>
        <v/>
      </c>
      <c r="H486" s="368" t="str">
        <f>IFERROR(VLOOKUP(G486,'Client ID Records_v2'!E:F, 2, FALSE), "")</f>
        <v/>
      </c>
      <c r="I486" s="352"/>
      <c r="J486" s="358" t="str">
        <f>IFERROR(VLOOKUP(I486,'Project Records_v2'!F:G, 2, FALSE), "")</f>
        <v/>
      </c>
      <c r="K486" s="143"/>
      <c r="L486" s="390"/>
      <c r="M486" s="419"/>
      <c r="N486" s="370"/>
      <c r="O486" s="370"/>
      <c r="P486" s="371"/>
      <c r="Q486" s="365"/>
    </row>
    <row r="487" ht="22.5" customHeight="1">
      <c r="A487" s="146"/>
      <c r="B487" s="413"/>
      <c r="C487" s="367"/>
      <c r="D487" s="420"/>
      <c r="E487" s="405"/>
      <c r="F487" s="404"/>
      <c r="G487" s="352" t="str">
        <f>IFERROR(VLOOKUP(D487,'Client ID Records_v2'!D:E, 2, FALSE), "")</f>
        <v/>
      </c>
      <c r="H487" s="368" t="str">
        <f>IFERROR(VLOOKUP(G487,'Client ID Records_v2'!E:F, 2, FALSE), "")</f>
        <v/>
      </c>
      <c r="I487" s="352"/>
      <c r="J487" s="358" t="str">
        <f>IFERROR(VLOOKUP(I487,'Project Records_v2'!F:G, 2, FALSE), "")</f>
        <v/>
      </c>
      <c r="K487" s="143"/>
      <c r="L487" s="390"/>
      <c r="M487" s="419"/>
      <c r="N487" s="370"/>
      <c r="O487" s="370"/>
      <c r="P487" s="371"/>
      <c r="Q487" s="365"/>
    </row>
    <row r="488" ht="22.5" customHeight="1">
      <c r="A488" s="146"/>
      <c r="B488" s="413"/>
      <c r="C488" s="367"/>
      <c r="D488" s="420"/>
      <c r="E488" s="405"/>
      <c r="F488" s="404"/>
      <c r="G488" s="352" t="str">
        <f>IFERROR(VLOOKUP(D488,'Client ID Records_v2'!D:E, 2, FALSE), "")</f>
        <v/>
      </c>
      <c r="H488" s="368" t="str">
        <f>IFERROR(VLOOKUP(G488,'Client ID Records_v2'!E:F, 2, FALSE), "")</f>
        <v/>
      </c>
      <c r="I488" s="352"/>
      <c r="J488" s="358" t="str">
        <f>IFERROR(VLOOKUP(I488,'Project Records_v2'!F:G, 2, FALSE), "")</f>
        <v/>
      </c>
      <c r="K488" s="143"/>
      <c r="L488" s="390"/>
      <c r="M488" s="419"/>
      <c r="N488" s="370"/>
      <c r="O488" s="370"/>
      <c r="P488" s="371"/>
      <c r="Q488" s="365"/>
    </row>
    <row r="489" ht="22.5" customHeight="1">
      <c r="A489" s="146"/>
      <c r="B489" s="413"/>
      <c r="C489" s="367"/>
      <c r="D489" s="420"/>
      <c r="E489" s="405"/>
      <c r="F489" s="404"/>
      <c r="G489" s="352" t="str">
        <f>IFERROR(VLOOKUP(D489,'Client ID Records_v2'!D:E, 2, FALSE), "")</f>
        <v/>
      </c>
      <c r="H489" s="368" t="str">
        <f>IFERROR(VLOOKUP(G489,'Client ID Records_v2'!E:F, 2, FALSE), "")</f>
        <v/>
      </c>
      <c r="I489" s="352"/>
      <c r="J489" s="358" t="str">
        <f>IFERROR(VLOOKUP(I489,'Project Records_v2'!F:G, 2, FALSE), "")</f>
        <v/>
      </c>
      <c r="K489" s="143"/>
      <c r="L489" s="390"/>
      <c r="M489" s="419"/>
      <c r="N489" s="370"/>
      <c r="O489" s="370"/>
      <c r="P489" s="371"/>
      <c r="Q489" s="365"/>
    </row>
    <row r="490" ht="22.5" customHeight="1">
      <c r="A490" s="146"/>
      <c r="B490" s="413"/>
      <c r="C490" s="367"/>
      <c r="D490" s="420"/>
      <c r="E490" s="405"/>
      <c r="F490" s="404"/>
      <c r="G490" s="352" t="str">
        <f>IFERROR(VLOOKUP(D490,'Client ID Records_v2'!D:E, 2, FALSE), "")</f>
        <v/>
      </c>
      <c r="H490" s="368" t="str">
        <f>IFERROR(VLOOKUP(G490,'Client ID Records_v2'!E:F, 2, FALSE), "")</f>
        <v/>
      </c>
      <c r="I490" s="352"/>
      <c r="J490" s="358" t="str">
        <f>IFERROR(VLOOKUP(I490,'Project Records_v2'!F:G, 2, FALSE), "")</f>
        <v/>
      </c>
      <c r="K490" s="143"/>
      <c r="L490" s="390"/>
      <c r="M490" s="419"/>
      <c r="N490" s="370"/>
      <c r="O490" s="370"/>
      <c r="P490" s="371"/>
      <c r="Q490" s="365"/>
    </row>
    <row r="491" ht="22.5" customHeight="1">
      <c r="A491" s="146"/>
      <c r="B491" s="413"/>
      <c r="C491" s="367"/>
      <c r="D491" s="420"/>
      <c r="E491" s="405"/>
      <c r="F491" s="404"/>
      <c r="G491" s="352" t="str">
        <f>IFERROR(VLOOKUP(D491,'Client ID Records_v2'!D:E, 2, FALSE), "")</f>
        <v/>
      </c>
      <c r="H491" s="368" t="str">
        <f>IFERROR(VLOOKUP(G491,'Client ID Records_v2'!E:F, 2, FALSE), "")</f>
        <v/>
      </c>
      <c r="I491" s="352"/>
      <c r="J491" s="358" t="str">
        <f>IFERROR(VLOOKUP(I491,'Project Records_v2'!F:G, 2, FALSE), "")</f>
        <v/>
      </c>
      <c r="K491" s="143"/>
      <c r="L491" s="390"/>
      <c r="M491" s="419"/>
      <c r="N491" s="370"/>
      <c r="O491" s="370"/>
      <c r="P491" s="371"/>
      <c r="Q491" s="365"/>
    </row>
    <row r="492" ht="22.5" customHeight="1">
      <c r="A492" s="146"/>
      <c r="B492" s="413"/>
      <c r="C492" s="367"/>
      <c r="D492" s="420"/>
      <c r="E492" s="405"/>
      <c r="F492" s="404"/>
      <c r="G492" s="352" t="str">
        <f>IFERROR(VLOOKUP(D492,'Client ID Records_v2'!D:E, 2, FALSE), "")</f>
        <v/>
      </c>
      <c r="H492" s="368" t="str">
        <f>IFERROR(VLOOKUP(G492,'Client ID Records_v2'!E:F, 2, FALSE), "")</f>
        <v/>
      </c>
      <c r="I492" s="352"/>
      <c r="J492" s="358" t="str">
        <f>IFERROR(VLOOKUP(I492,'Project Records_v2'!F:G, 2, FALSE), "")</f>
        <v/>
      </c>
      <c r="K492" s="143"/>
      <c r="L492" s="390"/>
      <c r="M492" s="419"/>
      <c r="N492" s="370"/>
      <c r="O492" s="370"/>
      <c r="P492" s="371"/>
      <c r="Q492" s="365"/>
    </row>
    <row r="493" ht="22.5" customHeight="1">
      <c r="A493" s="146"/>
      <c r="B493" s="413"/>
      <c r="C493" s="367"/>
      <c r="D493" s="420"/>
      <c r="E493" s="405"/>
      <c r="F493" s="404"/>
      <c r="G493" s="352" t="str">
        <f>IFERROR(VLOOKUP(D493,'Client ID Records_v2'!D:E, 2, FALSE), "")</f>
        <v/>
      </c>
      <c r="H493" s="368" t="str">
        <f>IFERROR(VLOOKUP(G493,'Client ID Records_v2'!E:F, 2, FALSE), "")</f>
        <v/>
      </c>
      <c r="I493" s="352"/>
      <c r="J493" s="358" t="str">
        <f>IFERROR(VLOOKUP(I493,'Project Records_v2'!F:G, 2, FALSE), "")</f>
        <v/>
      </c>
      <c r="K493" s="143"/>
      <c r="L493" s="390"/>
      <c r="M493" s="419"/>
      <c r="N493" s="370"/>
      <c r="O493" s="370"/>
      <c r="P493" s="371"/>
      <c r="Q493" s="365"/>
    </row>
    <row r="494" ht="22.5" customHeight="1">
      <c r="A494" s="146"/>
      <c r="B494" s="413"/>
      <c r="C494" s="367"/>
      <c r="D494" s="420"/>
      <c r="E494" s="405"/>
      <c r="F494" s="404"/>
      <c r="G494" s="352" t="str">
        <f>IFERROR(VLOOKUP(D494,'Client ID Records_v2'!D:E, 2, FALSE), "")</f>
        <v/>
      </c>
      <c r="H494" s="368" t="str">
        <f>IFERROR(VLOOKUP(G494,'Client ID Records_v2'!E:F, 2, FALSE), "")</f>
        <v/>
      </c>
      <c r="I494" s="352"/>
      <c r="J494" s="358" t="str">
        <f>IFERROR(VLOOKUP(I494,'Project Records_v2'!F:G, 2, FALSE), "")</f>
        <v/>
      </c>
      <c r="K494" s="143"/>
      <c r="L494" s="390"/>
      <c r="M494" s="419"/>
      <c r="N494" s="370"/>
      <c r="O494" s="370"/>
      <c r="P494" s="371"/>
      <c r="Q494" s="365"/>
    </row>
    <row r="495" ht="22.5" customHeight="1">
      <c r="A495" s="146"/>
      <c r="B495" s="413"/>
      <c r="C495" s="367"/>
      <c r="D495" s="420"/>
      <c r="E495" s="405"/>
      <c r="F495" s="404"/>
      <c r="G495" s="352" t="str">
        <f>IFERROR(VLOOKUP(D495,'Client ID Records_v2'!D:E, 2, FALSE), "")</f>
        <v/>
      </c>
      <c r="H495" s="368" t="str">
        <f>IFERROR(VLOOKUP(G495,'Client ID Records_v2'!E:F, 2, FALSE), "")</f>
        <v/>
      </c>
      <c r="I495" s="352"/>
      <c r="J495" s="358" t="str">
        <f>IFERROR(VLOOKUP(I495,'Project Records_v2'!F:G, 2, FALSE), "")</f>
        <v/>
      </c>
      <c r="K495" s="143"/>
      <c r="L495" s="390"/>
      <c r="M495" s="419"/>
      <c r="N495" s="370"/>
      <c r="O495" s="370"/>
      <c r="P495" s="371"/>
      <c r="Q495" s="365"/>
    </row>
    <row r="496" ht="22.5" customHeight="1">
      <c r="A496" s="146"/>
      <c r="B496" s="413"/>
      <c r="C496" s="367"/>
      <c r="D496" s="420"/>
      <c r="E496" s="405"/>
      <c r="F496" s="404"/>
      <c r="G496" s="352" t="str">
        <f>IFERROR(VLOOKUP(D496,'Client ID Records_v2'!D:E, 2, FALSE), "")</f>
        <v/>
      </c>
      <c r="H496" s="368" t="str">
        <f>IFERROR(VLOOKUP(G496,'Client ID Records_v2'!E:F, 2, FALSE), "")</f>
        <v/>
      </c>
      <c r="I496" s="352"/>
      <c r="J496" s="358" t="str">
        <f>IFERROR(VLOOKUP(I496,'Project Records_v2'!F:G, 2, FALSE), "")</f>
        <v/>
      </c>
      <c r="K496" s="143"/>
      <c r="L496" s="390"/>
      <c r="M496" s="419"/>
      <c r="N496" s="370"/>
      <c r="O496" s="370"/>
      <c r="P496" s="371"/>
      <c r="Q496" s="365"/>
    </row>
    <row r="497" ht="22.5" customHeight="1">
      <c r="A497" s="146"/>
      <c r="B497" s="413"/>
      <c r="C497" s="367"/>
      <c r="D497" s="420"/>
      <c r="E497" s="405"/>
      <c r="F497" s="404"/>
      <c r="G497" s="352" t="str">
        <f>IFERROR(VLOOKUP(D497,'Client ID Records_v2'!D:E, 2, FALSE), "")</f>
        <v/>
      </c>
      <c r="H497" s="368" t="str">
        <f>IFERROR(VLOOKUP(G497,'Client ID Records_v2'!E:F, 2, FALSE), "")</f>
        <v/>
      </c>
      <c r="I497" s="352"/>
      <c r="J497" s="358" t="str">
        <f>IFERROR(VLOOKUP(I497,'Project Records_v2'!F:G, 2, FALSE), "")</f>
        <v/>
      </c>
      <c r="K497" s="143"/>
      <c r="L497" s="390"/>
      <c r="M497" s="419"/>
      <c r="N497" s="370"/>
      <c r="O497" s="370"/>
      <c r="P497" s="371"/>
      <c r="Q497" s="365"/>
    </row>
    <row r="498" ht="22.5" customHeight="1">
      <c r="A498" s="146"/>
      <c r="B498" s="413"/>
      <c r="C498" s="367"/>
      <c r="D498" s="420"/>
      <c r="E498" s="405"/>
      <c r="F498" s="404"/>
      <c r="G498" s="352" t="str">
        <f>IFERROR(VLOOKUP(D498,'Client ID Records_v2'!D:E, 2, FALSE), "")</f>
        <v/>
      </c>
      <c r="H498" s="368" t="str">
        <f>IFERROR(VLOOKUP(G498,'Client ID Records_v2'!E:F, 2, FALSE), "")</f>
        <v/>
      </c>
      <c r="I498" s="352"/>
      <c r="J498" s="358" t="str">
        <f>IFERROR(VLOOKUP(I498,'Project Records_v2'!F:G, 2, FALSE), "")</f>
        <v/>
      </c>
      <c r="K498" s="143"/>
      <c r="L498" s="390"/>
      <c r="M498" s="419"/>
      <c r="N498" s="370"/>
      <c r="O498" s="370"/>
      <c r="P498" s="371"/>
      <c r="Q498" s="365"/>
    </row>
    <row r="499" ht="22.5" customHeight="1">
      <c r="A499" s="146"/>
      <c r="B499" s="413"/>
      <c r="C499" s="367"/>
      <c r="D499" s="420"/>
      <c r="E499" s="405"/>
      <c r="F499" s="404"/>
      <c r="G499" s="352" t="str">
        <f>IFERROR(VLOOKUP(D499,'Client ID Records_v2'!D:E, 2, FALSE), "")</f>
        <v/>
      </c>
      <c r="H499" s="368" t="str">
        <f>IFERROR(VLOOKUP(G499,'Client ID Records_v2'!E:F, 2, FALSE), "")</f>
        <v/>
      </c>
      <c r="I499" s="352"/>
      <c r="J499" s="358" t="str">
        <f>IFERROR(VLOOKUP(I499,'Project Records_v2'!F:G, 2, FALSE), "")</f>
        <v/>
      </c>
      <c r="K499" s="143"/>
      <c r="L499" s="390"/>
      <c r="M499" s="419"/>
      <c r="N499" s="370"/>
      <c r="O499" s="370"/>
      <c r="P499" s="371"/>
      <c r="Q499" s="365"/>
    </row>
    <row r="500" ht="22.5" customHeight="1">
      <c r="A500" s="146"/>
      <c r="B500" s="413"/>
      <c r="C500" s="367"/>
      <c r="D500" s="420"/>
      <c r="E500" s="405"/>
      <c r="F500" s="404"/>
      <c r="G500" s="352" t="str">
        <f>IFERROR(VLOOKUP(D500,'Client ID Records_v2'!D:E, 2, FALSE), "")</f>
        <v/>
      </c>
      <c r="H500" s="368" t="str">
        <f>IFERROR(VLOOKUP(G500,'Client ID Records_v2'!E:F, 2, FALSE), "")</f>
        <v/>
      </c>
      <c r="I500" s="352"/>
      <c r="J500" s="358" t="str">
        <f>IFERROR(VLOOKUP(I500,'Project Records_v2'!F:G, 2, FALSE), "")</f>
        <v/>
      </c>
      <c r="K500" s="143"/>
      <c r="L500" s="390"/>
      <c r="M500" s="419"/>
      <c r="N500" s="370"/>
      <c r="O500" s="370"/>
      <c r="P500" s="371"/>
      <c r="Q500" s="365"/>
    </row>
    <row r="501" ht="22.5" customHeight="1">
      <c r="A501" s="146"/>
      <c r="B501" s="413"/>
      <c r="C501" s="367"/>
      <c r="D501" s="420"/>
      <c r="E501" s="405"/>
      <c r="F501" s="404"/>
      <c r="G501" s="352" t="str">
        <f>IFERROR(VLOOKUP(D501,'Client ID Records_v2'!D:E, 2, FALSE), "")</f>
        <v/>
      </c>
      <c r="H501" s="368" t="str">
        <f>IFERROR(VLOOKUP(G501,'Client ID Records_v2'!E:F, 2, FALSE), "")</f>
        <v/>
      </c>
      <c r="I501" s="352"/>
      <c r="J501" s="358" t="str">
        <f>IFERROR(VLOOKUP(I501,'Project Records_v2'!F:G, 2, FALSE), "")</f>
        <v/>
      </c>
      <c r="K501" s="143"/>
      <c r="L501" s="390"/>
      <c r="M501" s="419"/>
      <c r="N501" s="370"/>
      <c r="O501" s="370"/>
      <c r="P501" s="371"/>
      <c r="Q501" s="365"/>
    </row>
    <row r="502" ht="22.5" customHeight="1">
      <c r="A502" s="146"/>
      <c r="B502" s="413"/>
      <c r="C502" s="367"/>
      <c r="D502" s="420"/>
      <c r="E502" s="405"/>
      <c r="F502" s="404"/>
      <c r="G502" s="352" t="str">
        <f>IFERROR(VLOOKUP(D502,'Client ID Records_v2'!D:E, 2, FALSE), "")</f>
        <v/>
      </c>
      <c r="H502" s="368" t="str">
        <f>IFERROR(VLOOKUP(G502,'Client ID Records_v2'!E:F, 2, FALSE), "")</f>
        <v/>
      </c>
      <c r="I502" s="352"/>
      <c r="J502" s="358" t="str">
        <f>IFERROR(VLOOKUP(I502,'Project Records_v2'!F:G, 2, FALSE), "")</f>
        <v/>
      </c>
      <c r="K502" s="143"/>
      <c r="L502" s="390"/>
      <c r="M502" s="419"/>
      <c r="N502" s="370"/>
      <c r="O502" s="370"/>
      <c r="P502" s="371"/>
      <c r="Q502" s="365"/>
    </row>
    <row r="503" ht="22.5" customHeight="1">
      <c r="A503" s="146"/>
      <c r="B503" s="413"/>
      <c r="C503" s="367"/>
      <c r="D503" s="420"/>
      <c r="E503" s="405"/>
      <c r="F503" s="404"/>
      <c r="G503" s="352" t="str">
        <f>IFERROR(VLOOKUP(D503,'Client ID Records_v2'!D:E, 2, FALSE), "")</f>
        <v/>
      </c>
      <c r="H503" s="368" t="str">
        <f>IFERROR(VLOOKUP(G503,'Client ID Records_v2'!E:F, 2, FALSE), "")</f>
        <v/>
      </c>
      <c r="I503" s="352"/>
      <c r="J503" s="358" t="str">
        <f>IFERROR(VLOOKUP(I503,'Project Records_v2'!F:G, 2, FALSE), "")</f>
        <v/>
      </c>
      <c r="K503" s="143"/>
      <c r="L503" s="390"/>
      <c r="M503" s="419"/>
      <c r="N503" s="370"/>
      <c r="O503" s="370"/>
      <c r="P503" s="371"/>
      <c r="Q503" s="365"/>
    </row>
    <row r="504" ht="22.5" customHeight="1">
      <c r="A504" s="146"/>
      <c r="B504" s="413"/>
      <c r="C504" s="367"/>
      <c r="D504" s="420"/>
      <c r="E504" s="405"/>
      <c r="F504" s="404"/>
      <c r="G504" s="352" t="str">
        <f>IFERROR(VLOOKUP(D504,'Client ID Records_v2'!D:E, 2, FALSE), "")</f>
        <v/>
      </c>
      <c r="H504" s="368" t="str">
        <f>IFERROR(VLOOKUP(G504,'Client ID Records_v2'!E:F, 2, FALSE), "")</f>
        <v/>
      </c>
      <c r="I504" s="352"/>
      <c r="J504" s="358" t="str">
        <f>IFERROR(VLOOKUP(I504,'Project Records_v2'!F:G, 2, FALSE), "")</f>
        <v/>
      </c>
      <c r="K504" s="143"/>
      <c r="L504" s="390"/>
      <c r="M504" s="419"/>
      <c r="N504" s="370"/>
      <c r="O504" s="370"/>
      <c r="P504" s="371"/>
      <c r="Q504" s="365"/>
    </row>
    <row r="505" ht="22.5" customHeight="1">
      <c r="A505" s="146"/>
      <c r="B505" s="413"/>
      <c r="C505" s="367"/>
      <c r="D505" s="420"/>
      <c r="E505" s="405"/>
      <c r="F505" s="404"/>
      <c r="G505" s="352" t="str">
        <f>IFERROR(VLOOKUP(D505,'Client ID Records_v2'!D:E, 2, FALSE), "")</f>
        <v/>
      </c>
      <c r="H505" s="368" t="str">
        <f>IFERROR(VLOOKUP(G505,'Client ID Records_v2'!E:F, 2, FALSE), "")</f>
        <v/>
      </c>
      <c r="I505" s="352"/>
      <c r="J505" s="358" t="str">
        <f>IFERROR(VLOOKUP(I505,'Project Records_v2'!F:G, 2, FALSE), "")</f>
        <v/>
      </c>
      <c r="K505" s="143"/>
      <c r="L505" s="390"/>
      <c r="M505" s="419"/>
      <c r="N505" s="370"/>
      <c r="O505" s="370"/>
      <c r="P505" s="371"/>
      <c r="Q505" s="365"/>
    </row>
    <row r="506" ht="22.5" customHeight="1">
      <c r="A506" s="146"/>
      <c r="B506" s="413"/>
      <c r="C506" s="367"/>
      <c r="D506" s="420"/>
      <c r="E506" s="405"/>
      <c r="F506" s="404"/>
      <c r="G506" s="352" t="str">
        <f>IFERROR(VLOOKUP(D506,'Client ID Records_v2'!D:E, 2, FALSE), "")</f>
        <v/>
      </c>
      <c r="H506" s="368" t="str">
        <f>IFERROR(VLOOKUP(G506,'Client ID Records_v2'!E:F, 2, FALSE), "")</f>
        <v/>
      </c>
      <c r="I506" s="352"/>
      <c r="J506" s="358" t="str">
        <f>IFERROR(VLOOKUP(I506,'Project Records_v2'!F:G, 2, FALSE), "")</f>
        <v/>
      </c>
      <c r="K506" s="143"/>
      <c r="L506" s="390"/>
      <c r="M506" s="419"/>
      <c r="N506" s="370"/>
      <c r="O506" s="370"/>
      <c r="P506" s="371"/>
      <c r="Q506" s="365"/>
    </row>
    <row r="507" ht="22.5" customHeight="1">
      <c r="A507" s="146"/>
      <c r="B507" s="413"/>
      <c r="C507" s="367"/>
      <c r="D507" s="420"/>
      <c r="E507" s="405"/>
      <c r="F507" s="404"/>
      <c r="G507" s="352" t="str">
        <f>IFERROR(VLOOKUP(D507,'Client ID Records_v2'!D:E, 2, FALSE), "")</f>
        <v/>
      </c>
      <c r="H507" s="368" t="str">
        <f>IFERROR(VLOOKUP(G507,'Client ID Records_v2'!E:F, 2, FALSE), "")</f>
        <v/>
      </c>
      <c r="I507" s="352"/>
      <c r="J507" s="358" t="str">
        <f>IFERROR(VLOOKUP(I507,'Project Records_v2'!F:G, 2, FALSE), "")</f>
        <v/>
      </c>
      <c r="K507" s="143"/>
      <c r="L507" s="390"/>
      <c r="M507" s="419"/>
      <c r="N507" s="370"/>
      <c r="O507" s="370"/>
      <c r="P507" s="371"/>
      <c r="Q507" s="365"/>
    </row>
    <row r="508" ht="22.5" customHeight="1">
      <c r="A508" s="146"/>
      <c r="B508" s="413"/>
      <c r="C508" s="367"/>
      <c r="D508" s="420"/>
      <c r="E508" s="405"/>
      <c r="F508" s="404"/>
      <c r="G508" s="352" t="str">
        <f>IFERROR(VLOOKUP(D508,'Client ID Records_v2'!D:E, 2, FALSE), "")</f>
        <v/>
      </c>
      <c r="H508" s="368" t="str">
        <f>IFERROR(VLOOKUP(G508,'Client ID Records_v2'!E:F, 2, FALSE), "")</f>
        <v/>
      </c>
      <c r="I508" s="352"/>
      <c r="J508" s="358" t="str">
        <f>IFERROR(VLOOKUP(I508,'Project Records_v2'!F:G, 2, FALSE), "")</f>
        <v/>
      </c>
      <c r="K508" s="143"/>
      <c r="L508" s="390"/>
      <c r="M508" s="419"/>
      <c r="N508" s="370"/>
      <c r="O508" s="370"/>
      <c r="P508" s="371"/>
      <c r="Q508" s="365"/>
    </row>
    <row r="509" ht="22.5" customHeight="1">
      <c r="A509" s="146"/>
      <c r="B509" s="413"/>
      <c r="C509" s="367"/>
      <c r="D509" s="420"/>
      <c r="E509" s="405"/>
      <c r="F509" s="404"/>
      <c r="G509" s="352" t="str">
        <f>IFERROR(VLOOKUP(D509,'Client ID Records_v2'!D:E, 2, FALSE), "")</f>
        <v/>
      </c>
      <c r="H509" s="368" t="str">
        <f>IFERROR(VLOOKUP(G509,'Client ID Records_v2'!E:F, 2, FALSE), "")</f>
        <v/>
      </c>
      <c r="I509" s="352"/>
      <c r="J509" s="358" t="str">
        <f>IFERROR(VLOOKUP(I509,'Project Records_v2'!F:G, 2, FALSE), "")</f>
        <v/>
      </c>
      <c r="K509" s="143"/>
      <c r="L509" s="390"/>
      <c r="M509" s="419"/>
      <c r="N509" s="370"/>
      <c r="O509" s="370"/>
      <c r="P509" s="371"/>
      <c r="Q509" s="365"/>
    </row>
    <row r="510" ht="22.5" customHeight="1">
      <c r="A510" s="146"/>
      <c r="B510" s="413"/>
      <c r="C510" s="367"/>
      <c r="D510" s="420"/>
      <c r="E510" s="405"/>
      <c r="F510" s="404"/>
      <c r="G510" s="352" t="str">
        <f>IFERROR(VLOOKUP(D510,'Client ID Records_v2'!D:E, 2, FALSE), "")</f>
        <v/>
      </c>
      <c r="H510" s="368" t="str">
        <f>IFERROR(VLOOKUP(G510,'Client ID Records_v2'!E:F, 2, FALSE), "")</f>
        <v/>
      </c>
      <c r="I510" s="352"/>
      <c r="J510" s="358" t="str">
        <f>IFERROR(VLOOKUP(I510,'Project Records_v2'!F:G, 2, FALSE), "")</f>
        <v/>
      </c>
      <c r="K510" s="143"/>
      <c r="L510" s="390"/>
      <c r="M510" s="419"/>
      <c r="N510" s="370"/>
      <c r="O510" s="370"/>
      <c r="P510" s="371"/>
      <c r="Q510" s="365"/>
    </row>
    <row r="511" ht="22.5" customHeight="1">
      <c r="A511" s="146"/>
      <c r="B511" s="413"/>
      <c r="C511" s="367"/>
      <c r="D511" s="420"/>
      <c r="E511" s="405"/>
      <c r="F511" s="404"/>
      <c r="G511" s="352" t="str">
        <f>IFERROR(VLOOKUP(D511,'Client ID Records_v2'!D:E, 2, FALSE), "")</f>
        <v/>
      </c>
      <c r="H511" s="368" t="str">
        <f>IFERROR(VLOOKUP(G511,'Client ID Records_v2'!E:F, 2, FALSE), "")</f>
        <v/>
      </c>
      <c r="I511" s="352"/>
      <c r="J511" s="358" t="str">
        <f>IFERROR(VLOOKUP(I511,'Project Records_v2'!F:G, 2, FALSE), "")</f>
        <v/>
      </c>
      <c r="K511" s="143"/>
      <c r="L511" s="390"/>
      <c r="M511" s="419"/>
      <c r="N511" s="370"/>
      <c r="O511" s="370"/>
      <c r="P511" s="371"/>
      <c r="Q511" s="365"/>
    </row>
    <row r="512" ht="22.5" customHeight="1">
      <c r="A512" s="146"/>
      <c r="B512" s="413"/>
      <c r="C512" s="367"/>
      <c r="D512" s="420"/>
      <c r="E512" s="405"/>
      <c r="F512" s="404"/>
      <c r="G512" s="352" t="str">
        <f>IFERROR(VLOOKUP(D512,'Client ID Records_v2'!D:E, 2, FALSE), "")</f>
        <v/>
      </c>
      <c r="H512" s="368" t="str">
        <f>IFERROR(VLOOKUP(G512,'Client ID Records_v2'!E:F, 2, FALSE), "")</f>
        <v/>
      </c>
      <c r="I512" s="352"/>
      <c r="J512" s="358" t="str">
        <f>IFERROR(VLOOKUP(I512,'Project Records_v2'!F:G, 2, FALSE), "")</f>
        <v/>
      </c>
      <c r="K512" s="143"/>
      <c r="L512" s="390"/>
      <c r="M512" s="419"/>
      <c r="N512" s="370"/>
      <c r="O512" s="370"/>
      <c r="P512" s="371"/>
      <c r="Q512" s="365"/>
    </row>
    <row r="513" ht="22.5" customHeight="1">
      <c r="A513" s="146"/>
      <c r="B513" s="413"/>
      <c r="C513" s="367"/>
      <c r="D513" s="420"/>
      <c r="E513" s="405"/>
      <c r="F513" s="404"/>
      <c r="G513" s="352" t="str">
        <f>IFERROR(VLOOKUP(D513,'Client ID Records_v2'!D:E, 2, FALSE), "")</f>
        <v/>
      </c>
      <c r="H513" s="368" t="str">
        <f>IFERROR(VLOOKUP(G513,'Client ID Records_v2'!E:F, 2, FALSE), "")</f>
        <v/>
      </c>
      <c r="I513" s="352"/>
      <c r="J513" s="358" t="str">
        <f>IFERROR(VLOOKUP(I513,'Project Records_v2'!F:G, 2, FALSE), "")</f>
        <v/>
      </c>
      <c r="K513" s="143"/>
      <c r="L513" s="390"/>
      <c r="M513" s="419"/>
      <c r="N513" s="370"/>
      <c r="O513" s="370"/>
      <c r="P513" s="371"/>
      <c r="Q513" s="365"/>
    </row>
    <row r="514" ht="22.5" customHeight="1">
      <c r="A514" s="146"/>
      <c r="B514" s="413"/>
      <c r="C514" s="367"/>
      <c r="D514" s="420"/>
      <c r="E514" s="405"/>
      <c r="F514" s="404"/>
      <c r="G514" s="352" t="str">
        <f>IFERROR(VLOOKUP(D514,'Client ID Records_v2'!D:E, 2, FALSE), "")</f>
        <v/>
      </c>
      <c r="H514" s="368" t="str">
        <f>IFERROR(VLOOKUP(G514,'Client ID Records_v2'!E:F, 2, FALSE), "")</f>
        <v/>
      </c>
      <c r="I514" s="352"/>
      <c r="J514" s="358" t="str">
        <f>IFERROR(VLOOKUP(I514,'Project Records_v2'!F:G, 2, FALSE), "")</f>
        <v/>
      </c>
      <c r="K514" s="143"/>
      <c r="L514" s="390"/>
      <c r="M514" s="419"/>
      <c r="N514" s="370"/>
      <c r="O514" s="370"/>
      <c r="P514" s="371"/>
      <c r="Q514" s="365"/>
    </row>
    <row r="515" ht="22.5" customHeight="1">
      <c r="A515" s="146"/>
      <c r="B515" s="413"/>
      <c r="C515" s="367"/>
      <c r="D515" s="420"/>
      <c r="E515" s="405"/>
      <c r="F515" s="404"/>
      <c r="G515" s="352" t="str">
        <f>IFERROR(VLOOKUP(D515,'Client ID Records_v2'!D:E, 2, FALSE), "")</f>
        <v/>
      </c>
      <c r="H515" s="368" t="str">
        <f>IFERROR(VLOOKUP(G515,'Client ID Records_v2'!E:F, 2, FALSE), "")</f>
        <v/>
      </c>
      <c r="I515" s="352"/>
      <c r="J515" s="358" t="str">
        <f>IFERROR(VLOOKUP(I515,'Project Records_v2'!F:G, 2, FALSE), "")</f>
        <v/>
      </c>
      <c r="K515" s="143"/>
      <c r="L515" s="390"/>
      <c r="M515" s="419"/>
      <c r="N515" s="370"/>
      <c r="O515" s="370"/>
      <c r="P515" s="371"/>
      <c r="Q515" s="365"/>
    </row>
    <row r="516" ht="22.5" customHeight="1">
      <c r="A516" s="146"/>
      <c r="B516" s="413"/>
      <c r="C516" s="367"/>
      <c r="D516" s="420"/>
      <c r="E516" s="405"/>
      <c r="F516" s="404"/>
      <c r="G516" s="352" t="str">
        <f>IFERROR(VLOOKUP(D516,'Client ID Records_v2'!D:E, 2, FALSE), "")</f>
        <v/>
      </c>
      <c r="H516" s="368" t="str">
        <f>IFERROR(VLOOKUP(G516,'Client ID Records_v2'!E:F, 2, FALSE), "")</f>
        <v/>
      </c>
      <c r="I516" s="352"/>
      <c r="J516" s="358" t="str">
        <f>IFERROR(VLOOKUP(I516,'Project Records_v2'!F:G, 2, FALSE), "")</f>
        <v/>
      </c>
      <c r="K516" s="143"/>
      <c r="L516" s="390"/>
      <c r="M516" s="419"/>
      <c r="N516" s="370"/>
      <c r="O516" s="370"/>
      <c r="P516" s="371"/>
      <c r="Q516" s="365"/>
    </row>
    <row r="517" ht="22.5" customHeight="1">
      <c r="A517" s="146"/>
      <c r="B517" s="413"/>
      <c r="C517" s="367"/>
      <c r="D517" s="420"/>
      <c r="E517" s="405"/>
      <c r="F517" s="404"/>
      <c r="G517" s="352" t="str">
        <f>IFERROR(VLOOKUP(D517,'Client ID Records_v2'!D:E, 2, FALSE), "")</f>
        <v/>
      </c>
      <c r="H517" s="368" t="str">
        <f>IFERROR(VLOOKUP(G517,'Client ID Records_v2'!E:F, 2, FALSE), "")</f>
        <v/>
      </c>
      <c r="I517" s="352"/>
      <c r="J517" s="358" t="str">
        <f>IFERROR(VLOOKUP(I517,'Project Records_v2'!F:G, 2, FALSE), "")</f>
        <v/>
      </c>
      <c r="K517" s="143"/>
      <c r="L517" s="390"/>
      <c r="M517" s="419"/>
      <c r="N517" s="370"/>
      <c r="O517" s="370"/>
      <c r="P517" s="371"/>
      <c r="Q517" s="365"/>
    </row>
    <row r="518" ht="22.5" customHeight="1">
      <c r="A518" s="146"/>
      <c r="B518" s="413"/>
      <c r="C518" s="367"/>
      <c r="D518" s="420"/>
      <c r="E518" s="405"/>
      <c r="F518" s="404"/>
      <c r="G518" s="352" t="str">
        <f>IFERROR(VLOOKUP(D518,'Client ID Records_v2'!D:E, 2, FALSE), "")</f>
        <v/>
      </c>
      <c r="H518" s="368" t="str">
        <f>IFERROR(VLOOKUP(G518,'Client ID Records_v2'!E:F, 2, FALSE), "")</f>
        <v/>
      </c>
      <c r="I518" s="352"/>
      <c r="J518" s="358" t="str">
        <f>IFERROR(VLOOKUP(I518,'Project Records_v2'!F:G, 2, FALSE), "")</f>
        <v/>
      </c>
      <c r="K518" s="143"/>
      <c r="L518" s="390"/>
      <c r="M518" s="419"/>
      <c r="N518" s="370"/>
      <c r="O518" s="370"/>
      <c r="P518" s="371"/>
      <c r="Q518" s="365"/>
    </row>
    <row r="519" ht="22.5" customHeight="1">
      <c r="A519" s="146"/>
      <c r="B519" s="413"/>
      <c r="C519" s="367"/>
      <c r="D519" s="420"/>
      <c r="E519" s="405"/>
      <c r="F519" s="404"/>
      <c r="G519" s="352" t="str">
        <f>IFERROR(VLOOKUP(D519,'Client ID Records_v2'!D:E, 2, FALSE), "")</f>
        <v/>
      </c>
      <c r="H519" s="368" t="str">
        <f>IFERROR(VLOOKUP(G519,'Client ID Records_v2'!E:F, 2, FALSE), "")</f>
        <v/>
      </c>
      <c r="I519" s="352"/>
      <c r="J519" s="358" t="str">
        <f>IFERROR(VLOOKUP(I519,'Project Records_v2'!F:G, 2, FALSE), "")</f>
        <v/>
      </c>
      <c r="K519" s="143"/>
      <c r="L519" s="390"/>
      <c r="M519" s="419"/>
      <c r="N519" s="370"/>
      <c r="O519" s="370"/>
      <c r="P519" s="371"/>
      <c r="Q519" s="365"/>
    </row>
    <row r="520" ht="22.5" customHeight="1">
      <c r="A520" s="146"/>
      <c r="B520" s="413"/>
      <c r="C520" s="367"/>
      <c r="D520" s="420"/>
      <c r="E520" s="405"/>
      <c r="F520" s="404"/>
      <c r="G520" s="352" t="str">
        <f>IFERROR(VLOOKUP(D520,'Client ID Records_v2'!D:E, 2, FALSE), "")</f>
        <v/>
      </c>
      <c r="H520" s="368" t="str">
        <f>IFERROR(VLOOKUP(G520,'Client ID Records_v2'!E:F, 2, FALSE), "")</f>
        <v/>
      </c>
      <c r="I520" s="352"/>
      <c r="J520" s="358" t="str">
        <f>IFERROR(VLOOKUP(I520,'Project Records_v2'!F:G, 2, FALSE), "")</f>
        <v/>
      </c>
      <c r="K520" s="143"/>
      <c r="L520" s="390"/>
      <c r="M520" s="419"/>
      <c r="N520" s="370"/>
      <c r="O520" s="370"/>
      <c r="P520" s="371"/>
      <c r="Q520" s="365"/>
    </row>
    <row r="521" ht="22.5" customHeight="1">
      <c r="A521" s="146"/>
      <c r="B521" s="413"/>
      <c r="C521" s="367"/>
      <c r="D521" s="420"/>
      <c r="E521" s="405"/>
      <c r="F521" s="404"/>
      <c r="G521" s="352" t="str">
        <f>IFERROR(VLOOKUP(D521,'Client ID Records_v2'!D:E, 2, FALSE), "")</f>
        <v/>
      </c>
      <c r="H521" s="368" t="str">
        <f>IFERROR(VLOOKUP(G521,'Client ID Records_v2'!E:F, 2, FALSE), "")</f>
        <v/>
      </c>
      <c r="I521" s="352"/>
      <c r="J521" s="358" t="str">
        <f>IFERROR(VLOOKUP(I521,'Project Records_v2'!F:G, 2, FALSE), "")</f>
        <v/>
      </c>
      <c r="K521" s="143"/>
      <c r="L521" s="390"/>
      <c r="M521" s="419"/>
      <c r="N521" s="370"/>
      <c r="O521" s="370"/>
      <c r="P521" s="371"/>
      <c r="Q521" s="365"/>
    </row>
    <row r="522" ht="22.5" customHeight="1">
      <c r="A522" s="146"/>
      <c r="B522" s="413"/>
      <c r="C522" s="367"/>
      <c r="D522" s="420"/>
      <c r="E522" s="405"/>
      <c r="F522" s="404"/>
      <c r="G522" s="352" t="str">
        <f>IFERROR(VLOOKUP(D522,'Client ID Records_v2'!D:E, 2, FALSE), "")</f>
        <v/>
      </c>
      <c r="H522" s="368" t="str">
        <f>IFERROR(VLOOKUP(G522,'Client ID Records_v2'!E:F, 2, FALSE), "")</f>
        <v/>
      </c>
      <c r="I522" s="352"/>
      <c r="J522" s="358" t="str">
        <f>IFERROR(VLOOKUP(I522,'Project Records_v2'!F:G, 2, FALSE), "")</f>
        <v/>
      </c>
      <c r="K522" s="143"/>
      <c r="L522" s="390"/>
      <c r="M522" s="419"/>
      <c r="N522" s="370"/>
      <c r="O522" s="370"/>
      <c r="P522" s="371"/>
      <c r="Q522" s="365"/>
    </row>
    <row r="523" ht="22.5" customHeight="1">
      <c r="A523" s="146"/>
      <c r="B523" s="413"/>
      <c r="C523" s="367"/>
      <c r="D523" s="420"/>
      <c r="E523" s="405"/>
      <c r="F523" s="404"/>
      <c r="G523" s="352" t="str">
        <f>IFERROR(VLOOKUP(D523,'Client ID Records_v2'!D:E, 2, FALSE), "")</f>
        <v/>
      </c>
      <c r="H523" s="368" t="str">
        <f>IFERROR(VLOOKUP(G523,'Client ID Records_v2'!E:F, 2, FALSE), "")</f>
        <v/>
      </c>
      <c r="I523" s="352"/>
      <c r="J523" s="358" t="str">
        <f>IFERROR(VLOOKUP(I523,'Project Records_v2'!F:G, 2, FALSE), "")</f>
        <v/>
      </c>
      <c r="K523" s="143"/>
      <c r="L523" s="390"/>
      <c r="M523" s="419"/>
      <c r="N523" s="370"/>
      <c r="O523" s="370"/>
      <c r="P523" s="371"/>
      <c r="Q523" s="365"/>
    </row>
    <row r="524" ht="22.5" customHeight="1">
      <c r="A524" s="146"/>
      <c r="B524" s="413"/>
      <c r="C524" s="367"/>
      <c r="D524" s="420"/>
      <c r="E524" s="405"/>
      <c r="F524" s="404"/>
      <c r="G524" s="352" t="str">
        <f>IFERROR(VLOOKUP(D524,'Client ID Records_v2'!D:E, 2, FALSE), "")</f>
        <v/>
      </c>
      <c r="H524" s="368" t="str">
        <f>IFERROR(VLOOKUP(G524,'Client ID Records_v2'!E:F, 2, FALSE), "")</f>
        <v/>
      </c>
      <c r="I524" s="352"/>
      <c r="J524" s="358" t="str">
        <f>IFERROR(VLOOKUP(I524,'Project Records_v2'!F:G, 2, FALSE), "")</f>
        <v/>
      </c>
      <c r="K524" s="143"/>
      <c r="L524" s="390"/>
      <c r="M524" s="419"/>
      <c r="N524" s="370"/>
      <c r="O524" s="370"/>
      <c r="P524" s="371"/>
      <c r="Q524" s="365"/>
    </row>
    <row r="525" ht="22.5" customHeight="1">
      <c r="A525" s="146"/>
      <c r="B525" s="413"/>
      <c r="C525" s="367"/>
      <c r="D525" s="420"/>
      <c r="E525" s="405"/>
      <c r="F525" s="404"/>
      <c r="G525" s="352" t="str">
        <f>IFERROR(VLOOKUP(D525,'Client ID Records_v2'!D:E, 2, FALSE), "")</f>
        <v/>
      </c>
      <c r="H525" s="368" t="str">
        <f>IFERROR(VLOOKUP(G525,'Client ID Records_v2'!E:F, 2, FALSE), "")</f>
        <v/>
      </c>
      <c r="I525" s="352"/>
      <c r="J525" s="358" t="str">
        <f>IFERROR(VLOOKUP(I525,'Project Records_v2'!F:G, 2, FALSE), "")</f>
        <v/>
      </c>
      <c r="K525" s="143"/>
      <c r="L525" s="390"/>
      <c r="M525" s="419"/>
      <c r="N525" s="370"/>
      <c r="O525" s="370"/>
      <c r="P525" s="371"/>
      <c r="Q525" s="365"/>
    </row>
    <row r="526" ht="22.5" customHeight="1">
      <c r="A526" s="146"/>
      <c r="B526" s="413"/>
      <c r="C526" s="367"/>
      <c r="D526" s="420"/>
      <c r="E526" s="405"/>
      <c r="F526" s="404"/>
      <c r="G526" s="352" t="str">
        <f>IFERROR(VLOOKUP(D526,'Client ID Records_v2'!D:E, 2, FALSE), "")</f>
        <v/>
      </c>
      <c r="H526" s="368" t="str">
        <f>IFERROR(VLOOKUP(G526,'Client ID Records_v2'!E:F, 2, FALSE), "")</f>
        <v/>
      </c>
      <c r="I526" s="352"/>
      <c r="J526" s="358" t="str">
        <f>IFERROR(VLOOKUP(I526,'Project Records_v2'!F:G, 2, FALSE), "")</f>
        <v/>
      </c>
      <c r="K526" s="143"/>
      <c r="L526" s="390"/>
      <c r="M526" s="419"/>
      <c r="N526" s="370"/>
      <c r="O526" s="370"/>
      <c r="P526" s="371"/>
      <c r="Q526" s="365"/>
    </row>
    <row r="527" ht="22.5" customHeight="1">
      <c r="A527" s="146"/>
      <c r="B527" s="413"/>
      <c r="C527" s="367"/>
      <c r="D527" s="420"/>
      <c r="E527" s="405"/>
      <c r="F527" s="404"/>
      <c r="G527" s="352" t="str">
        <f>IFERROR(VLOOKUP(D527,'Client ID Records_v2'!D:E, 2, FALSE), "")</f>
        <v/>
      </c>
      <c r="H527" s="368" t="str">
        <f>IFERROR(VLOOKUP(G527,'Client ID Records_v2'!E:F, 2, FALSE), "")</f>
        <v/>
      </c>
      <c r="I527" s="352"/>
      <c r="J527" s="358" t="str">
        <f>IFERROR(VLOOKUP(I527,'Project Records_v2'!F:G, 2, FALSE), "")</f>
        <v/>
      </c>
      <c r="K527" s="143"/>
      <c r="L527" s="390"/>
      <c r="M527" s="419"/>
      <c r="N527" s="370"/>
      <c r="O527" s="370"/>
      <c r="P527" s="371"/>
      <c r="Q527" s="365"/>
    </row>
    <row r="528" ht="22.5" customHeight="1">
      <c r="A528" s="146"/>
      <c r="B528" s="413"/>
      <c r="C528" s="367"/>
      <c r="D528" s="420"/>
      <c r="E528" s="405"/>
      <c r="F528" s="404"/>
      <c r="G528" s="352" t="str">
        <f>IFERROR(VLOOKUP(D528,'Client ID Records_v2'!D:E, 2, FALSE), "")</f>
        <v/>
      </c>
      <c r="H528" s="368" t="str">
        <f>IFERROR(VLOOKUP(G528,'Client ID Records_v2'!E:F, 2, FALSE), "")</f>
        <v/>
      </c>
      <c r="I528" s="352"/>
      <c r="J528" s="358" t="str">
        <f>IFERROR(VLOOKUP(I528,'Project Records_v2'!F:G, 2, FALSE), "")</f>
        <v/>
      </c>
      <c r="K528" s="143"/>
      <c r="L528" s="390"/>
      <c r="M528" s="419"/>
      <c r="N528" s="370"/>
      <c r="O528" s="370"/>
      <c r="P528" s="371"/>
      <c r="Q528" s="365"/>
    </row>
    <row r="529" ht="22.5" customHeight="1">
      <c r="A529" s="146"/>
      <c r="B529" s="413"/>
      <c r="C529" s="367"/>
      <c r="D529" s="420"/>
      <c r="E529" s="405"/>
      <c r="F529" s="404"/>
      <c r="G529" s="352" t="str">
        <f>IFERROR(VLOOKUP(D529,'Client ID Records_v2'!D:E, 2, FALSE), "")</f>
        <v/>
      </c>
      <c r="H529" s="368" t="str">
        <f>IFERROR(VLOOKUP(G529,'Client ID Records_v2'!E:F, 2, FALSE), "")</f>
        <v/>
      </c>
      <c r="I529" s="352"/>
      <c r="J529" s="358" t="str">
        <f>IFERROR(VLOOKUP(I529,'Project Records_v2'!F:G, 2, FALSE), "")</f>
        <v/>
      </c>
      <c r="K529" s="143"/>
      <c r="L529" s="390"/>
      <c r="M529" s="419"/>
      <c r="N529" s="370"/>
      <c r="O529" s="370"/>
      <c r="P529" s="371"/>
      <c r="Q529" s="365"/>
    </row>
    <row r="530" ht="22.5" customHeight="1">
      <c r="A530" s="146"/>
      <c r="B530" s="413"/>
      <c r="C530" s="367"/>
      <c r="D530" s="420"/>
      <c r="E530" s="405"/>
      <c r="F530" s="404"/>
      <c r="G530" s="352" t="str">
        <f>IFERROR(VLOOKUP(D530,'Client ID Records_v2'!D:E, 2, FALSE), "")</f>
        <v/>
      </c>
      <c r="H530" s="368" t="str">
        <f>IFERROR(VLOOKUP(G530,'Client ID Records_v2'!E:F, 2, FALSE), "")</f>
        <v/>
      </c>
      <c r="I530" s="352"/>
      <c r="J530" s="358" t="str">
        <f>IFERROR(VLOOKUP(I530,'Project Records_v2'!F:G, 2, FALSE), "")</f>
        <v/>
      </c>
      <c r="K530" s="143"/>
      <c r="L530" s="390"/>
      <c r="M530" s="419"/>
      <c r="N530" s="370"/>
      <c r="O530" s="370"/>
      <c r="P530" s="371"/>
      <c r="Q530" s="365"/>
    </row>
    <row r="531" ht="22.5" customHeight="1">
      <c r="A531" s="146"/>
      <c r="B531" s="413"/>
      <c r="C531" s="367"/>
      <c r="D531" s="420"/>
      <c r="E531" s="405"/>
      <c r="F531" s="404"/>
      <c r="G531" s="352" t="str">
        <f>IFERROR(VLOOKUP(D531,'Client ID Records_v2'!D:E, 2, FALSE), "")</f>
        <v/>
      </c>
      <c r="H531" s="368" t="str">
        <f>IFERROR(VLOOKUP(G531,'Client ID Records_v2'!E:F, 2, FALSE), "")</f>
        <v/>
      </c>
      <c r="I531" s="352"/>
      <c r="J531" s="358" t="str">
        <f>IFERROR(VLOOKUP(I531,'Project Records_v2'!F:G, 2, FALSE), "")</f>
        <v/>
      </c>
      <c r="K531" s="143"/>
      <c r="L531" s="390"/>
      <c r="M531" s="419"/>
      <c r="N531" s="370"/>
      <c r="O531" s="370"/>
      <c r="P531" s="371"/>
      <c r="Q531" s="365"/>
    </row>
    <row r="532" ht="22.5" customHeight="1">
      <c r="A532" s="146"/>
      <c r="B532" s="413"/>
      <c r="C532" s="367"/>
      <c r="D532" s="420"/>
      <c r="E532" s="405"/>
      <c r="F532" s="404"/>
      <c r="G532" s="352" t="str">
        <f>IFERROR(VLOOKUP(D532,'Client ID Records_v2'!D:E, 2, FALSE), "")</f>
        <v/>
      </c>
      <c r="H532" s="368" t="str">
        <f>IFERROR(VLOOKUP(G532,'Client ID Records_v2'!E:F, 2, FALSE), "")</f>
        <v/>
      </c>
      <c r="I532" s="352"/>
      <c r="J532" s="358" t="str">
        <f>IFERROR(VLOOKUP(I532,'Project Records_v2'!F:G, 2, FALSE), "")</f>
        <v/>
      </c>
      <c r="K532" s="143"/>
      <c r="L532" s="390"/>
      <c r="M532" s="419"/>
      <c r="N532" s="370"/>
      <c r="O532" s="370"/>
      <c r="P532" s="371"/>
      <c r="Q532" s="365"/>
    </row>
    <row r="533" ht="22.5" customHeight="1">
      <c r="A533" s="146"/>
      <c r="B533" s="413"/>
      <c r="C533" s="367"/>
      <c r="D533" s="420"/>
      <c r="E533" s="405"/>
      <c r="F533" s="404"/>
      <c r="G533" s="352" t="str">
        <f>IFERROR(VLOOKUP(D533,'Client ID Records_v2'!D:E, 2, FALSE), "")</f>
        <v/>
      </c>
      <c r="H533" s="368" t="str">
        <f>IFERROR(VLOOKUP(G533,'Client ID Records_v2'!E:F, 2, FALSE), "")</f>
        <v/>
      </c>
      <c r="I533" s="352"/>
      <c r="J533" s="358" t="str">
        <f>IFERROR(VLOOKUP(I533,'Project Records_v2'!F:G, 2, FALSE), "")</f>
        <v/>
      </c>
      <c r="K533" s="143"/>
      <c r="L533" s="390"/>
      <c r="M533" s="419"/>
      <c r="N533" s="370"/>
      <c r="O533" s="370"/>
      <c r="P533" s="371"/>
      <c r="Q533" s="365"/>
    </row>
    <row r="534" ht="22.5" customHeight="1">
      <c r="A534" s="146"/>
      <c r="B534" s="413"/>
      <c r="C534" s="367"/>
      <c r="D534" s="420"/>
      <c r="E534" s="405"/>
      <c r="F534" s="404"/>
      <c r="G534" s="352" t="str">
        <f>IFERROR(VLOOKUP(D534,'Client ID Records_v2'!D:E, 2, FALSE), "")</f>
        <v/>
      </c>
      <c r="H534" s="368" t="str">
        <f>IFERROR(VLOOKUP(G534,'Client ID Records_v2'!E:F, 2, FALSE), "")</f>
        <v/>
      </c>
      <c r="I534" s="352"/>
      <c r="J534" s="358" t="str">
        <f>IFERROR(VLOOKUP(I534,'Project Records_v2'!F:G, 2, FALSE), "")</f>
        <v/>
      </c>
      <c r="K534" s="143"/>
      <c r="L534" s="390"/>
      <c r="M534" s="419"/>
      <c r="N534" s="370"/>
      <c r="O534" s="370"/>
      <c r="P534" s="371"/>
      <c r="Q534" s="365"/>
    </row>
    <row r="535" ht="22.5" customHeight="1">
      <c r="A535" s="146"/>
      <c r="B535" s="413"/>
      <c r="C535" s="367"/>
      <c r="D535" s="420"/>
      <c r="E535" s="405"/>
      <c r="F535" s="404"/>
      <c r="G535" s="352" t="str">
        <f>IFERROR(VLOOKUP(D535,'Client ID Records_v2'!D:E, 2, FALSE), "")</f>
        <v/>
      </c>
      <c r="H535" s="368" t="str">
        <f>IFERROR(VLOOKUP(G535,'Client ID Records_v2'!E:F, 2, FALSE), "")</f>
        <v/>
      </c>
      <c r="I535" s="352"/>
      <c r="J535" s="358" t="str">
        <f>IFERROR(VLOOKUP(I535,'Project Records_v2'!F:G, 2, FALSE), "")</f>
        <v/>
      </c>
      <c r="K535" s="143"/>
      <c r="L535" s="390"/>
      <c r="M535" s="419"/>
      <c r="N535" s="370"/>
      <c r="O535" s="370"/>
      <c r="P535" s="371"/>
      <c r="Q535" s="365"/>
    </row>
    <row r="536" ht="22.5" customHeight="1">
      <c r="A536" s="146"/>
      <c r="B536" s="413"/>
      <c r="C536" s="367"/>
      <c r="D536" s="420"/>
      <c r="E536" s="405"/>
      <c r="F536" s="404"/>
      <c r="G536" s="352" t="str">
        <f>IFERROR(VLOOKUP(D536,'Client ID Records_v2'!D:E, 2, FALSE), "")</f>
        <v/>
      </c>
      <c r="H536" s="368" t="str">
        <f>IFERROR(VLOOKUP(G536,'Client ID Records_v2'!E:F, 2, FALSE), "")</f>
        <v/>
      </c>
      <c r="I536" s="352"/>
      <c r="J536" s="358" t="str">
        <f>IFERROR(VLOOKUP(I536,'Project Records_v2'!F:G, 2, FALSE), "")</f>
        <v/>
      </c>
      <c r="K536" s="143"/>
      <c r="L536" s="390"/>
      <c r="M536" s="419"/>
      <c r="N536" s="370"/>
      <c r="O536" s="370"/>
      <c r="P536" s="371"/>
      <c r="Q536" s="365"/>
    </row>
    <row r="537" ht="22.5" customHeight="1">
      <c r="A537" s="146"/>
      <c r="B537" s="413"/>
      <c r="C537" s="367"/>
      <c r="D537" s="420"/>
      <c r="E537" s="405"/>
      <c r="F537" s="404"/>
      <c r="G537" s="352" t="str">
        <f>IFERROR(VLOOKUP(D537,'Client ID Records_v2'!D:E, 2, FALSE), "")</f>
        <v/>
      </c>
      <c r="H537" s="368" t="str">
        <f>IFERROR(VLOOKUP(G537,'Client ID Records_v2'!E:F, 2, FALSE), "")</f>
        <v/>
      </c>
      <c r="I537" s="352"/>
      <c r="J537" s="358" t="str">
        <f>IFERROR(VLOOKUP(I537,'Project Records_v2'!F:G, 2, FALSE), "")</f>
        <v/>
      </c>
      <c r="K537" s="143"/>
      <c r="L537" s="390"/>
      <c r="M537" s="419"/>
      <c r="N537" s="370"/>
      <c r="O537" s="370"/>
      <c r="P537" s="371"/>
      <c r="Q537" s="365"/>
    </row>
    <row r="538" ht="22.5" customHeight="1">
      <c r="A538" s="146"/>
      <c r="B538" s="413"/>
      <c r="C538" s="367"/>
      <c r="D538" s="420"/>
      <c r="E538" s="405"/>
      <c r="F538" s="404"/>
      <c r="G538" s="352" t="str">
        <f>IFERROR(VLOOKUP(D538,'Client ID Records_v2'!D:E, 2, FALSE), "")</f>
        <v/>
      </c>
      <c r="H538" s="368" t="str">
        <f>IFERROR(VLOOKUP(G538,'Client ID Records_v2'!E:F, 2, FALSE), "")</f>
        <v/>
      </c>
      <c r="I538" s="352"/>
      <c r="J538" s="358" t="str">
        <f>IFERROR(VLOOKUP(I538,'Project Records_v2'!F:G, 2, FALSE), "")</f>
        <v/>
      </c>
      <c r="K538" s="143"/>
      <c r="L538" s="390"/>
      <c r="M538" s="419"/>
      <c r="N538" s="370"/>
      <c r="O538" s="370"/>
      <c r="P538" s="371"/>
      <c r="Q538" s="365"/>
    </row>
    <row r="539" ht="22.5" customHeight="1">
      <c r="A539" s="146"/>
      <c r="B539" s="413"/>
      <c r="C539" s="367"/>
      <c r="D539" s="420"/>
      <c r="E539" s="405"/>
      <c r="F539" s="404"/>
      <c r="G539" s="352" t="str">
        <f>IFERROR(VLOOKUP(D539,'Client ID Records_v2'!D:E, 2, FALSE), "")</f>
        <v/>
      </c>
      <c r="H539" s="368" t="str">
        <f>IFERROR(VLOOKUP(G539,'Client ID Records_v2'!E:F, 2, FALSE), "")</f>
        <v/>
      </c>
      <c r="I539" s="352"/>
      <c r="J539" s="358" t="str">
        <f>IFERROR(VLOOKUP(I539,'Project Records_v2'!F:G, 2, FALSE), "")</f>
        <v/>
      </c>
      <c r="K539" s="143"/>
      <c r="L539" s="390"/>
      <c r="M539" s="419"/>
      <c r="N539" s="370"/>
      <c r="O539" s="370"/>
      <c r="P539" s="371"/>
      <c r="Q539" s="365"/>
    </row>
    <row r="540" ht="22.5" customHeight="1">
      <c r="A540" s="146"/>
      <c r="B540" s="413"/>
      <c r="C540" s="367"/>
      <c r="D540" s="420"/>
      <c r="E540" s="405"/>
      <c r="F540" s="404"/>
      <c r="G540" s="352" t="str">
        <f>IFERROR(VLOOKUP(D540,'Client ID Records_v2'!D:E, 2, FALSE), "")</f>
        <v/>
      </c>
      <c r="H540" s="368" t="str">
        <f>IFERROR(VLOOKUP(G540,'Client ID Records_v2'!E:F, 2, FALSE), "")</f>
        <v/>
      </c>
      <c r="I540" s="352"/>
      <c r="J540" s="358" t="str">
        <f>IFERROR(VLOOKUP(I540,'Project Records_v2'!F:G, 2, FALSE), "")</f>
        <v/>
      </c>
      <c r="K540" s="143"/>
      <c r="L540" s="390"/>
      <c r="M540" s="419"/>
      <c r="N540" s="370"/>
      <c r="O540" s="370"/>
      <c r="P540" s="371"/>
      <c r="Q540" s="365"/>
    </row>
    <row r="541" ht="22.5" customHeight="1">
      <c r="A541" s="146"/>
      <c r="B541" s="413"/>
      <c r="C541" s="367"/>
      <c r="D541" s="420"/>
      <c r="E541" s="405"/>
      <c r="F541" s="404"/>
      <c r="G541" s="352" t="str">
        <f>IFERROR(VLOOKUP(D541,'Client ID Records_v2'!D:E, 2, FALSE), "")</f>
        <v/>
      </c>
      <c r="H541" s="368" t="str">
        <f>IFERROR(VLOOKUP(G541,'Client ID Records_v2'!E:F, 2, FALSE), "")</f>
        <v/>
      </c>
      <c r="I541" s="352"/>
      <c r="J541" s="358" t="str">
        <f>IFERROR(VLOOKUP(I541,'Project Records_v2'!F:G, 2, FALSE), "")</f>
        <v/>
      </c>
      <c r="K541" s="143"/>
      <c r="L541" s="390"/>
      <c r="M541" s="419"/>
      <c r="N541" s="370"/>
      <c r="O541" s="370"/>
      <c r="P541" s="371"/>
      <c r="Q541" s="365"/>
    </row>
    <row r="542" ht="22.5" customHeight="1">
      <c r="A542" s="146"/>
      <c r="B542" s="413"/>
      <c r="C542" s="367"/>
      <c r="D542" s="420"/>
      <c r="E542" s="405"/>
      <c r="F542" s="404"/>
      <c r="G542" s="352" t="str">
        <f>IFERROR(VLOOKUP(D542,'Client ID Records_v2'!D:E, 2, FALSE), "")</f>
        <v/>
      </c>
      <c r="H542" s="368" t="str">
        <f>IFERROR(VLOOKUP(G542,'Client ID Records_v2'!E:F, 2, FALSE), "")</f>
        <v/>
      </c>
      <c r="I542" s="352"/>
      <c r="J542" s="358" t="str">
        <f>IFERROR(VLOOKUP(I542,'Project Records_v2'!F:G, 2, FALSE), "")</f>
        <v/>
      </c>
      <c r="K542" s="143"/>
      <c r="L542" s="390"/>
      <c r="M542" s="419"/>
      <c r="N542" s="370"/>
      <c r="O542" s="370"/>
      <c r="P542" s="371"/>
      <c r="Q542" s="365"/>
    </row>
    <row r="543" ht="22.5" customHeight="1">
      <c r="A543" s="146"/>
      <c r="B543" s="413"/>
      <c r="C543" s="367"/>
      <c r="D543" s="420"/>
      <c r="E543" s="405"/>
      <c r="F543" s="404"/>
      <c r="G543" s="352" t="str">
        <f>IFERROR(VLOOKUP(D543,'Client ID Records_v2'!D:E, 2, FALSE), "")</f>
        <v/>
      </c>
      <c r="H543" s="368" t="str">
        <f>IFERROR(VLOOKUP(G543,'Client ID Records_v2'!E:F, 2, FALSE), "")</f>
        <v/>
      </c>
      <c r="I543" s="352"/>
      <c r="J543" s="358" t="str">
        <f>IFERROR(VLOOKUP(I543,'Project Records_v2'!F:G, 2, FALSE), "")</f>
        <v/>
      </c>
      <c r="K543" s="143"/>
      <c r="L543" s="390"/>
      <c r="M543" s="419"/>
      <c r="N543" s="370"/>
      <c r="O543" s="370"/>
      <c r="P543" s="371"/>
      <c r="Q543" s="365"/>
    </row>
    <row r="544" ht="22.5" customHeight="1">
      <c r="A544" s="146"/>
      <c r="B544" s="413"/>
      <c r="C544" s="367"/>
      <c r="D544" s="420"/>
      <c r="E544" s="405"/>
      <c r="F544" s="404"/>
      <c r="G544" s="352" t="str">
        <f>IFERROR(VLOOKUP(D544,'Client ID Records_v2'!D:E, 2, FALSE), "")</f>
        <v/>
      </c>
      <c r="H544" s="368" t="str">
        <f>IFERROR(VLOOKUP(G544,'Client ID Records_v2'!E:F, 2, FALSE), "")</f>
        <v/>
      </c>
      <c r="I544" s="352"/>
      <c r="J544" s="358" t="str">
        <f>IFERROR(VLOOKUP(I544,'Project Records_v2'!F:G, 2, FALSE), "")</f>
        <v/>
      </c>
      <c r="K544" s="143"/>
      <c r="L544" s="390"/>
      <c r="M544" s="419"/>
      <c r="N544" s="370"/>
      <c r="O544" s="370"/>
      <c r="P544" s="371"/>
      <c r="Q544" s="365"/>
    </row>
    <row r="545" ht="22.5" customHeight="1">
      <c r="A545" s="146"/>
      <c r="B545" s="413"/>
      <c r="C545" s="367"/>
      <c r="D545" s="420"/>
      <c r="E545" s="405"/>
      <c r="F545" s="404"/>
      <c r="G545" s="352" t="str">
        <f>IFERROR(VLOOKUP(D545,'Client ID Records_v2'!D:E, 2, FALSE), "")</f>
        <v/>
      </c>
      <c r="H545" s="368" t="str">
        <f>IFERROR(VLOOKUP(G545,'Client ID Records_v2'!E:F, 2, FALSE), "")</f>
        <v/>
      </c>
      <c r="I545" s="352"/>
      <c r="J545" s="358" t="str">
        <f>IFERROR(VLOOKUP(I545,'Project Records_v2'!F:G, 2, FALSE), "")</f>
        <v/>
      </c>
      <c r="K545" s="143"/>
      <c r="L545" s="390"/>
      <c r="M545" s="419"/>
      <c r="N545" s="370"/>
      <c r="O545" s="370"/>
      <c r="P545" s="371"/>
      <c r="Q545" s="365"/>
    </row>
    <row r="546" ht="22.5" customHeight="1">
      <c r="A546" s="146"/>
      <c r="B546" s="413"/>
      <c r="C546" s="367"/>
      <c r="D546" s="420"/>
      <c r="E546" s="405"/>
      <c r="F546" s="404"/>
      <c r="G546" s="352" t="str">
        <f>IFERROR(VLOOKUP(D546,'Client ID Records_v2'!D:E, 2, FALSE), "")</f>
        <v/>
      </c>
      <c r="H546" s="368" t="str">
        <f>IFERROR(VLOOKUP(G546,'Client ID Records_v2'!E:F, 2, FALSE), "")</f>
        <v/>
      </c>
      <c r="I546" s="352"/>
      <c r="J546" s="358" t="str">
        <f>IFERROR(VLOOKUP(I546,'Project Records_v2'!F:G, 2, FALSE), "")</f>
        <v/>
      </c>
      <c r="K546" s="143"/>
      <c r="L546" s="390"/>
      <c r="M546" s="419"/>
      <c r="N546" s="370"/>
      <c r="O546" s="370"/>
      <c r="P546" s="371"/>
      <c r="Q546" s="365"/>
    </row>
    <row r="547" ht="22.5" customHeight="1">
      <c r="A547" s="146"/>
      <c r="B547" s="413"/>
      <c r="C547" s="367"/>
      <c r="D547" s="420"/>
      <c r="E547" s="405"/>
      <c r="F547" s="404"/>
      <c r="G547" s="352" t="str">
        <f>IFERROR(VLOOKUP(D547,'Client ID Records_v2'!D:E, 2, FALSE), "")</f>
        <v/>
      </c>
      <c r="H547" s="368" t="str">
        <f>IFERROR(VLOOKUP(G547,'Client ID Records_v2'!E:F, 2, FALSE), "")</f>
        <v/>
      </c>
      <c r="I547" s="352"/>
      <c r="J547" s="358" t="str">
        <f>IFERROR(VLOOKUP(I547,'Project Records_v2'!F:G, 2, FALSE), "")</f>
        <v/>
      </c>
      <c r="K547" s="143"/>
      <c r="L547" s="390"/>
      <c r="M547" s="419"/>
      <c r="N547" s="370"/>
      <c r="O547" s="370"/>
      <c r="P547" s="371"/>
      <c r="Q547" s="365"/>
    </row>
    <row r="548" ht="22.5" customHeight="1">
      <c r="A548" s="146"/>
      <c r="B548" s="413"/>
      <c r="C548" s="367"/>
      <c r="D548" s="420"/>
      <c r="E548" s="405"/>
      <c r="F548" s="404"/>
      <c r="G548" s="352" t="str">
        <f>IFERROR(VLOOKUP(D548,'Client ID Records_v2'!D:E, 2, FALSE), "")</f>
        <v/>
      </c>
      <c r="H548" s="368" t="str">
        <f>IFERROR(VLOOKUP(G548,'Client ID Records_v2'!E:F, 2, FALSE), "")</f>
        <v/>
      </c>
      <c r="I548" s="352"/>
      <c r="J548" s="358" t="str">
        <f>IFERROR(VLOOKUP(I548,'Project Records_v2'!F:G, 2, FALSE), "")</f>
        <v/>
      </c>
      <c r="K548" s="143"/>
      <c r="L548" s="390"/>
      <c r="M548" s="419"/>
      <c r="N548" s="370"/>
      <c r="O548" s="370"/>
      <c r="P548" s="371"/>
      <c r="Q548" s="365"/>
    </row>
    <row r="549" ht="22.5" customHeight="1">
      <c r="A549" s="146"/>
      <c r="B549" s="413"/>
      <c r="C549" s="367"/>
      <c r="D549" s="420"/>
      <c r="E549" s="405"/>
      <c r="F549" s="404"/>
      <c r="G549" s="352" t="str">
        <f>IFERROR(VLOOKUP(D549,'Client ID Records_v2'!D:E, 2, FALSE), "")</f>
        <v/>
      </c>
      <c r="H549" s="368" t="str">
        <f>IFERROR(VLOOKUP(G549,'Client ID Records_v2'!E:F, 2, FALSE), "")</f>
        <v/>
      </c>
      <c r="I549" s="352"/>
      <c r="J549" s="358" t="str">
        <f>IFERROR(VLOOKUP(I549,'Project Records_v2'!F:G, 2, FALSE), "")</f>
        <v/>
      </c>
      <c r="K549" s="143"/>
      <c r="L549" s="390"/>
      <c r="M549" s="419"/>
      <c r="N549" s="370"/>
      <c r="O549" s="370"/>
      <c r="P549" s="371"/>
      <c r="Q549" s="365"/>
    </row>
    <row r="550" ht="22.5" customHeight="1">
      <c r="A550" s="146"/>
      <c r="B550" s="413"/>
      <c r="C550" s="367"/>
      <c r="D550" s="420"/>
      <c r="E550" s="405"/>
      <c r="F550" s="404"/>
      <c r="G550" s="352" t="str">
        <f>IFERROR(VLOOKUP(D550,'Client ID Records_v2'!D:E, 2, FALSE), "")</f>
        <v/>
      </c>
      <c r="H550" s="368" t="str">
        <f>IFERROR(VLOOKUP(G550,'Client ID Records_v2'!E:F, 2, FALSE), "")</f>
        <v/>
      </c>
      <c r="I550" s="352"/>
      <c r="J550" s="358" t="str">
        <f>IFERROR(VLOOKUP(I550,'Project Records_v2'!F:G, 2, FALSE), "")</f>
        <v/>
      </c>
      <c r="K550" s="143"/>
      <c r="L550" s="390"/>
      <c r="M550" s="419"/>
      <c r="N550" s="370"/>
      <c r="O550" s="370"/>
      <c r="P550" s="371"/>
      <c r="Q550" s="365"/>
    </row>
    <row r="551" ht="22.5" customHeight="1">
      <c r="A551" s="146"/>
      <c r="B551" s="413"/>
      <c r="C551" s="367"/>
      <c r="D551" s="420"/>
      <c r="E551" s="405"/>
      <c r="F551" s="404"/>
      <c r="G551" s="352" t="str">
        <f>IFERROR(VLOOKUP(D551,'Client ID Records_v2'!D:E, 2, FALSE), "")</f>
        <v/>
      </c>
      <c r="H551" s="368" t="str">
        <f>IFERROR(VLOOKUP(G551,'Client ID Records_v2'!E:F, 2, FALSE), "")</f>
        <v/>
      </c>
      <c r="I551" s="352"/>
      <c r="J551" s="358" t="str">
        <f>IFERROR(VLOOKUP(I551,'Project Records_v2'!F:G, 2, FALSE), "")</f>
        <v/>
      </c>
      <c r="K551" s="143"/>
      <c r="L551" s="390"/>
      <c r="M551" s="419"/>
      <c r="N551" s="370"/>
      <c r="O551" s="370"/>
      <c r="P551" s="371"/>
      <c r="Q551" s="365"/>
    </row>
    <row r="552" ht="22.5" customHeight="1">
      <c r="A552" s="146"/>
      <c r="B552" s="413"/>
      <c r="C552" s="367"/>
      <c r="D552" s="420"/>
      <c r="E552" s="405"/>
      <c r="F552" s="404"/>
      <c r="G552" s="352" t="str">
        <f>IFERROR(VLOOKUP(D552,'Client ID Records_v2'!D:E, 2, FALSE), "")</f>
        <v/>
      </c>
      <c r="H552" s="368" t="str">
        <f>IFERROR(VLOOKUP(G552,'Client ID Records_v2'!E:F, 2, FALSE), "")</f>
        <v/>
      </c>
      <c r="I552" s="352"/>
      <c r="J552" s="358" t="str">
        <f>IFERROR(VLOOKUP(I552,'Project Records_v2'!F:G, 2, FALSE), "")</f>
        <v/>
      </c>
      <c r="K552" s="143"/>
      <c r="L552" s="390"/>
      <c r="M552" s="419"/>
      <c r="N552" s="370"/>
      <c r="O552" s="370"/>
      <c r="P552" s="371"/>
      <c r="Q552" s="365"/>
    </row>
    <row r="553" ht="22.5" customHeight="1">
      <c r="A553" s="146"/>
      <c r="B553" s="413"/>
      <c r="C553" s="367"/>
      <c r="D553" s="420"/>
      <c r="E553" s="405"/>
      <c r="F553" s="404"/>
      <c r="G553" s="352" t="str">
        <f>IFERROR(VLOOKUP(D553,'Client ID Records_v2'!D:E, 2, FALSE), "")</f>
        <v/>
      </c>
      <c r="H553" s="368" t="str">
        <f>IFERROR(VLOOKUP(G553,'Client ID Records_v2'!E:F, 2, FALSE), "")</f>
        <v/>
      </c>
      <c r="I553" s="352"/>
      <c r="J553" s="358" t="str">
        <f>IFERROR(VLOOKUP(I553,'Project Records_v2'!F:G, 2, FALSE), "")</f>
        <v/>
      </c>
      <c r="K553" s="143"/>
      <c r="L553" s="390"/>
      <c r="M553" s="419"/>
      <c r="N553" s="370"/>
      <c r="O553" s="370"/>
      <c r="P553" s="371"/>
      <c r="Q553" s="365"/>
    </row>
    <row r="554" ht="22.5" customHeight="1">
      <c r="A554" s="146"/>
      <c r="B554" s="413"/>
      <c r="C554" s="367"/>
      <c r="D554" s="420"/>
      <c r="E554" s="405"/>
      <c r="F554" s="404"/>
      <c r="G554" s="352" t="str">
        <f>IFERROR(VLOOKUP(D554,'Client ID Records_v2'!D:E, 2, FALSE), "")</f>
        <v/>
      </c>
      <c r="H554" s="368" t="str">
        <f>IFERROR(VLOOKUP(G554,'Client ID Records_v2'!E:F, 2, FALSE), "")</f>
        <v/>
      </c>
      <c r="I554" s="352"/>
      <c r="J554" s="358" t="str">
        <f>IFERROR(VLOOKUP(I554,'Project Records_v2'!F:G, 2, FALSE), "")</f>
        <v/>
      </c>
      <c r="K554" s="143"/>
      <c r="L554" s="390"/>
      <c r="M554" s="419"/>
      <c r="N554" s="370"/>
      <c r="O554" s="370"/>
      <c r="P554" s="371"/>
      <c r="Q554" s="365"/>
    </row>
    <row r="555" ht="22.5" customHeight="1">
      <c r="A555" s="146"/>
      <c r="B555" s="413"/>
      <c r="C555" s="367"/>
      <c r="D555" s="420"/>
      <c r="E555" s="405"/>
      <c r="F555" s="404"/>
      <c r="G555" s="352" t="str">
        <f>IFERROR(VLOOKUP(D555,'Client ID Records_v2'!D:E, 2, FALSE), "")</f>
        <v/>
      </c>
      <c r="H555" s="368" t="str">
        <f>IFERROR(VLOOKUP(G555,'Client ID Records_v2'!E:F, 2, FALSE), "")</f>
        <v/>
      </c>
      <c r="I555" s="352"/>
      <c r="J555" s="358" t="str">
        <f>IFERROR(VLOOKUP(I555,'Project Records_v2'!F:G, 2, FALSE), "")</f>
        <v/>
      </c>
      <c r="K555" s="143"/>
      <c r="L555" s="390"/>
      <c r="M555" s="419"/>
      <c r="N555" s="370"/>
      <c r="O555" s="370"/>
      <c r="P555" s="371"/>
      <c r="Q555" s="365"/>
    </row>
    <row r="556" ht="22.5" customHeight="1">
      <c r="A556" s="146"/>
      <c r="B556" s="413"/>
      <c r="C556" s="367"/>
      <c r="D556" s="420"/>
      <c r="E556" s="405"/>
      <c r="F556" s="404"/>
      <c r="G556" s="352" t="str">
        <f>IFERROR(VLOOKUP(D556,'Client ID Records_v2'!D:E, 2, FALSE), "")</f>
        <v/>
      </c>
      <c r="H556" s="368" t="str">
        <f>IFERROR(VLOOKUP(G556,'Client ID Records_v2'!E:F, 2, FALSE), "")</f>
        <v/>
      </c>
      <c r="I556" s="352"/>
      <c r="J556" s="358" t="str">
        <f>IFERROR(VLOOKUP(I556,'Project Records_v2'!F:G, 2, FALSE), "")</f>
        <v/>
      </c>
      <c r="K556" s="143"/>
      <c r="L556" s="390"/>
      <c r="M556" s="419"/>
      <c r="N556" s="370"/>
      <c r="O556" s="370"/>
      <c r="P556" s="371"/>
      <c r="Q556" s="365"/>
    </row>
    <row r="557" ht="22.5" customHeight="1">
      <c r="A557" s="146"/>
      <c r="B557" s="413"/>
      <c r="C557" s="367"/>
      <c r="D557" s="420"/>
      <c r="E557" s="405"/>
      <c r="F557" s="404"/>
      <c r="G557" s="352" t="str">
        <f>IFERROR(VLOOKUP(D557,'Client ID Records_v2'!D:E, 2, FALSE), "")</f>
        <v/>
      </c>
      <c r="H557" s="368" t="str">
        <f>IFERROR(VLOOKUP(G557,'Client ID Records_v2'!E:F, 2, FALSE), "")</f>
        <v/>
      </c>
      <c r="I557" s="352"/>
      <c r="J557" s="358" t="str">
        <f>IFERROR(VLOOKUP(I557,'Project Records_v2'!F:G, 2, FALSE), "")</f>
        <v/>
      </c>
      <c r="K557" s="143"/>
      <c r="L557" s="390"/>
      <c r="M557" s="419"/>
      <c r="N557" s="370"/>
      <c r="O557" s="370"/>
      <c r="P557" s="371"/>
      <c r="Q557" s="365"/>
    </row>
    <row r="558" ht="22.5" customHeight="1">
      <c r="A558" s="146"/>
      <c r="B558" s="413"/>
      <c r="C558" s="367"/>
      <c r="D558" s="420"/>
      <c r="E558" s="405"/>
      <c r="F558" s="404"/>
      <c r="G558" s="352" t="str">
        <f>IFERROR(VLOOKUP(D558,'Client ID Records_v2'!D:E, 2, FALSE), "")</f>
        <v/>
      </c>
      <c r="H558" s="368" t="str">
        <f>IFERROR(VLOOKUP(G558,'Client ID Records_v2'!E:F, 2, FALSE), "")</f>
        <v/>
      </c>
      <c r="I558" s="352"/>
      <c r="J558" s="358" t="str">
        <f>IFERROR(VLOOKUP(I558,'Project Records_v2'!F:G, 2, FALSE), "")</f>
        <v/>
      </c>
      <c r="K558" s="143"/>
      <c r="L558" s="390"/>
      <c r="M558" s="419"/>
      <c r="N558" s="370"/>
      <c r="O558" s="370"/>
      <c r="P558" s="371"/>
      <c r="Q558" s="365"/>
    </row>
    <row r="559" ht="22.5" customHeight="1">
      <c r="A559" s="146"/>
      <c r="B559" s="413"/>
      <c r="C559" s="367"/>
      <c r="D559" s="420"/>
      <c r="E559" s="405"/>
      <c r="F559" s="404"/>
      <c r="G559" s="352" t="str">
        <f>IFERROR(VLOOKUP(D559,'Client ID Records_v2'!D:E, 2, FALSE), "")</f>
        <v/>
      </c>
      <c r="H559" s="368" t="str">
        <f>IFERROR(VLOOKUP(G559,'Client ID Records_v2'!E:F, 2, FALSE), "")</f>
        <v/>
      </c>
      <c r="I559" s="352"/>
      <c r="J559" s="358" t="str">
        <f>IFERROR(VLOOKUP(I559,'Project Records_v2'!F:G, 2, FALSE), "")</f>
        <v/>
      </c>
      <c r="K559" s="143"/>
      <c r="L559" s="390"/>
      <c r="M559" s="419"/>
      <c r="N559" s="370"/>
      <c r="O559" s="370"/>
      <c r="P559" s="371"/>
      <c r="Q559" s="365"/>
    </row>
    <row r="560" ht="22.5" customHeight="1">
      <c r="A560" s="146"/>
      <c r="B560" s="413"/>
      <c r="C560" s="367"/>
      <c r="D560" s="420"/>
      <c r="E560" s="405"/>
      <c r="F560" s="404"/>
      <c r="G560" s="352" t="str">
        <f>IFERROR(VLOOKUP(D560,'Client ID Records_v2'!D:E, 2, FALSE), "")</f>
        <v/>
      </c>
      <c r="H560" s="368" t="str">
        <f>IFERROR(VLOOKUP(G560,'Client ID Records_v2'!E:F, 2, FALSE), "")</f>
        <v/>
      </c>
      <c r="I560" s="352"/>
      <c r="J560" s="358" t="str">
        <f>IFERROR(VLOOKUP(I560,'Project Records_v2'!F:G, 2, FALSE), "")</f>
        <v/>
      </c>
      <c r="K560" s="143"/>
      <c r="L560" s="390"/>
      <c r="M560" s="419"/>
      <c r="N560" s="370"/>
      <c r="O560" s="370"/>
      <c r="P560" s="371"/>
      <c r="Q560" s="365"/>
    </row>
    <row r="561" ht="22.5" customHeight="1">
      <c r="A561" s="146"/>
      <c r="B561" s="413"/>
      <c r="C561" s="367"/>
      <c r="D561" s="420"/>
      <c r="E561" s="405"/>
      <c r="F561" s="404"/>
      <c r="G561" s="352" t="str">
        <f>IFERROR(VLOOKUP(D561,'Client ID Records_v2'!D:E, 2, FALSE), "")</f>
        <v/>
      </c>
      <c r="H561" s="368" t="str">
        <f>IFERROR(VLOOKUP(G561,'Client ID Records_v2'!E:F, 2, FALSE), "")</f>
        <v/>
      </c>
      <c r="I561" s="352"/>
      <c r="J561" s="358" t="str">
        <f>IFERROR(VLOOKUP(I561,'Project Records_v2'!F:G, 2, FALSE), "")</f>
        <v/>
      </c>
      <c r="K561" s="143"/>
      <c r="L561" s="390"/>
      <c r="M561" s="419"/>
      <c r="N561" s="370"/>
      <c r="O561" s="370"/>
      <c r="P561" s="371"/>
      <c r="Q561" s="365"/>
    </row>
    <row r="562" ht="22.5" customHeight="1">
      <c r="A562" s="146"/>
      <c r="B562" s="413"/>
      <c r="C562" s="367"/>
      <c r="D562" s="420"/>
      <c r="E562" s="405"/>
      <c r="F562" s="404"/>
      <c r="G562" s="352" t="str">
        <f>IFERROR(VLOOKUP(D562,'Client ID Records_v2'!D:E, 2, FALSE), "")</f>
        <v/>
      </c>
      <c r="H562" s="368" t="str">
        <f>IFERROR(VLOOKUP(G562,'Client ID Records_v2'!E:F, 2, FALSE), "")</f>
        <v/>
      </c>
      <c r="I562" s="352"/>
      <c r="J562" s="358" t="str">
        <f>IFERROR(VLOOKUP(I562,'Project Records_v2'!F:G, 2, FALSE), "")</f>
        <v/>
      </c>
      <c r="K562" s="143"/>
      <c r="L562" s="390"/>
      <c r="M562" s="419"/>
      <c r="N562" s="370"/>
      <c r="O562" s="370"/>
      <c r="P562" s="371"/>
      <c r="Q562" s="365"/>
    </row>
    <row r="563" ht="22.5" customHeight="1">
      <c r="A563" s="146"/>
      <c r="B563" s="413"/>
      <c r="C563" s="367"/>
      <c r="D563" s="420"/>
      <c r="E563" s="405"/>
      <c r="F563" s="404"/>
      <c r="G563" s="352" t="str">
        <f>IFERROR(VLOOKUP(D563,'Client ID Records_v2'!D:E, 2, FALSE), "")</f>
        <v/>
      </c>
      <c r="H563" s="368" t="str">
        <f>IFERROR(VLOOKUP(G563,'Client ID Records_v2'!E:F, 2, FALSE), "")</f>
        <v/>
      </c>
      <c r="I563" s="352"/>
      <c r="J563" s="358" t="str">
        <f>IFERROR(VLOOKUP(I563,'Project Records_v2'!F:G, 2, FALSE), "")</f>
        <v/>
      </c>
      <c r="K563" s="143"/>
      <c r="L563" s="390"/>
      <c r="M563" s="419"/>
      <c r="N563" s="370"/>
      <c r="O563" s="370"/>
      <c r="P563" s="371"/>
      <c r="Q563" s="365"/>
    </row>
    <row r="564" ht="22.5" customHeight="1">
      <c r="A564" s="146"/>
      <c r="B564" s="413"/>
      <c r="C564" s="367"/>
      <c r="D564" s="420"/>
      <c r="E564" s="405"/>
      <c r="F564" s="404"/>
      <c r="G564" s="352" t="str">
        <f>IFERROR(VLOOKUP(D564,'Client ID Records_v2'!D:E, 2, FALSE), "")</f>
        <v/>
      </c>
      <c r="H564" s="368" t="str">
        <f>IFERROR(VLOOKUP(G564,'Client ID Records_v2'!E:F, 2, FALSE), "")</f>
        <v/>
      </c>
      <c r="I564" s="352"/>
      <c r="J564" s="358" t="str">
        <f>IFERROR(VLOOKUP(I564,'Project Records_v2'!F:G, 2, FALSE), "")</f>
        <v/>
      </c>
      <c r="K564" s="143"/>
      <c r="L564" s="390"/>
      <c r="M564" s="419"/>
      <c r="N564" s="370"/>
      <c r="O564" s="370"/>
      <c r="P564" s="371"/>
      <c r="Q564" s="365"/>
    </row>
    <row r="565" ht="22.5" customHeight="1">
      <c r="A565" s="146"/>
      <c r="B565" s="413"/>
      <c r="C565" s="367"/>
      <c r="D565" s="420"/>
      <c r="E565" s="405"/>
      <c r="F565" s="404"/>
      <c r="G565" s="352" t="str">
        <f>IFERROR(VLOOKUP(D565,'Client ID Records_v2'!D:E, 2, FALSE), "")</f>
        <v/>
      </c>
      <c r="H565" s="368" t="str">
        <f>IFERROR(VLOOKUP(G565,'Client ID Records_v2'!E:F, 2, FALSE), "")</f>
        <v/>
      </c>
      <c r="I565" s="352"/>
      <c r="J565" s="358" t="str">
        <f>IFERROR(VLOOKUP(I565,'Project Records_v2'!F:G, 2, FALSE), "")</f>
        <v/>
      </c>
      <c r="K565" s="143"/>
      <c r="L565" s="390"/>
      <c r="M565" s="419"/>
      <c r="N565" s="370"/>
      <c r="O565" s="370"/>
      <c r="P565" s="371"/>
      <c r="Q565" s="365"/>
    </row>
    <row r="566" ht="22.5" customHeight="1">
      <c r="A566" s="146"/>
      <c r="B566" s="413"/>
      <c r="C566" s="367"/>
      <c r="D566" s="420"/>
      <c r="E566" s="405"/>
      <c r="F566" s="404"/>
      <c r="G566" s="352" t="str">
        <f>IFERROR(VLOOKUP(D566,'Client ID Records_v2'!D:E, 2, FALSE), "")</f>
        <v/>
      </c>
      <c r="H566" s="368" t="str">
        <f>IFERROR(VLOOKUP(G566,'Client ID Records_v2'!E:F, 2, FALSE), "")</f>
        <v/>
      </c>
      <c r="I566" s="352"/>
      <c r="J566" s="358" t="str">
        <f>IFERROR(VLOOKUP(I566,'Project Records_v2'!F:G, 2, FALSE), "")</f>
        <v/>
      </c>
      <c r="K566" s="143"/>
      <c r="L566" s="390"/>
      <c r="M566" s="419"/>
      <c r="N566" s="370"/>
      <c r="O566" s="370"/>
      <c r="P566" s="371"/>
      <c r="Q566" s="365"/>
    </row>
    <row r="567" ht="22.5" customHeight="1">
      <c r="A567" s="146"/>
      <c r="B567" s="413"/>
      <c r="C567" s="367"/>
      <c r="D567" s="420"/>
      <c r="E567" s="405"/>
      <c r="F567" s="404"/>
      <c r="G567" s="352" t="str">
        <f>IFERROR(VLOOKUP(D567,'Client ID Records_v2'!D:E, 2, FALSE), "")</f>
        <v/>
      </c>
      <c r="H567" s="368" t="str">
        <f>IFERROR(VLOOKUP(G567,'Client ID Records_v2'!E:F, 2, FALSE), "")</f>
        <v/>
      </c>
      <c r="I567" s="352"/>
      <c r="J567" s="358" t="str">
        <f>IFERROR(VLOOKUP(I567,'Project Records_v2'!F:G, 2, FALSE), "")</f>
        <v/>
      </c>
      <c r="K567" s="143"/>
      <c r="L567" s="390"/>
      <c r="M567" s="419"/>
      <c r="N567" s="370"/>
      <c r="O567" s="370"/>
      <c r="P567" s="371"/>
      <c r="Q567" s="365"/>
    </row>
    <row r="568" ht="22.5" customHeight="1">
      <c r="A568" s="146"/>
      <c r="B568" s="413"/>
      <c r="C568" s="367"/>
      <c r="D568" s="420"/>
      <c r="E568" s="405"/>
      <c r="F568" s="404"/>
      <c r="G568" s="352" t="str">
        <f>IFERROR(VLOOKUP(D568,'Client ID Records_v2'!D:E, 2, FALSE), "")</f>
        <v/>
      </c>
      <c r="H568" s="368" t="str">
        <f>IFERROR(VLOOKUP(G568,'Client ID Records_v2'!E:F, 2, FALSE), "")</f>
        <v/>
      </c>
      <c r="I568" s="352"/>
      <c r="J568" s="358" t="str">
        <f>IFERROR(VLOOKUP(I568,'Project Records_v2'!F:G, 2, FALSE), "")</f>
        <v/>
      </c>
      <c r="K568" s="143"/>
      <c r="L568" s="390"/>
      <c r="M568" s="419"/>
      <c r="N568" s="370"/>
      <c r="O568" s="370"/>
      <c r="P568" s="371"/>
      <c r="Q568" s="365"/>
    </row>
    <row r="569" ht="22.5" customHeight="1">
      <c r="A569" s="146"/>
      <c r="B569" s="413"/>
      <c r="C569" s="367"/>
      <c r="D569" s="420"/>
      <c r="E569" s="405"/>
      <c r="F569" s="404"/>
      <c r="G569" s="352" t="str">
        <f>IFERROR(VLOOKUP(D569,'Client ID Records_v2'!D:E, 2, FALSE), "")</f>
        <v/>
      </c>
      <c r="H569" s="368" t="str">
        <f>IFERROR(VLOOKUP(G569,'Client ID Records_v2'!E:F, 2, FALSE), "")</f>
        <v/>
      </c>
      <c r="I569" s="352"/>
      <c r="J569" s="358" t="str">
        <f>IFERROR(VLOOKUP(I569,'Project Records_v2'!F:G, 2, FALSE), "")</f>
        <v/>
      </c>
      <c r="K569" s="143"/>
      <c r="L569" s="390"/>
      <c r="M569" s="419"/>
      <c r="N569" s="370"/>
      <c r="O569" s="370"/>
      <c r="P569" s="371"/>
      <c r="Q569" s="365"/>
    </row>
    <row r="570" ht="22.5" customHeight="1">
      <c r="A570" s="146"/>
      <c r="B570" s="413"/>
      <c r="C570" s="367"/>
      <c r="D570" s="420"/>
      <c r="E570" s="405"/>
      <c r="F570" s="404"/>
      <c r="G570" s="352" t="str">
        <f>IFERROR(VLOOKUP(D570,'Client ID Records_v2'!D:E, 2, FALSE), "")</f>
        <v/>
      </c>
      <c r="H570" s="368" t="str">
        <f>IFERROR(VLOOKUP(G570,'Client ID Records_v2'!E:F, 2, FALSE), "")</f>
        <v/>
      </c>
      <c r="I570" s="352"/>
      <c r="J570" s="358" t="str">
        <f>IFERROR(VLOOKUP(I570,'Project Records_v2'!F:G, 2, FALSE), "")</f>
        <v/>
      </c>
      <c r="K570" s="143"/>
      <c r="L570" s="390"/>
      <c r="M570" s="419"/>
      <c r="N570" s="370"/>
      <c r="O570" s="370"/>
      <c r="P570" s="371"/>
      <c r="Q570" s="365"/>
    </row>
    <row r="571" ht="22.5" customHeight="1">
      <c r="A571" s="146"/>
      <c r="B571" s="413"/>
      <c r="C571" s="367"/>
      <c r="D571" s="420"/>
      <c r="E571" s="405"/>
      <c r="F571" s="404"/>
      <c r="G571" s="352" t="str">
        <f>IFERROR(VLOOKUP(D571,'Client ID Records_v2'!D:E, 2, FALSE), "")</f>
        <v/>
      </c>
      <c r="H571" s="368" t="str">
        <f>IFERROR(VLOOKUP(G571,'Client ID Records_v2'!E:F, 2, FALSE), "")</f>
        <v/>
      </c>
      <c r="I571" s="352"/>
      <c r="J571" s="358" t="str">
        <f>IFERROR(VLOOKUP(I571,'Project Records_v2'!F:G, 2, FALSE), "")</f>
        <v/>
      </c>
      <c r="K571" s="143"/>
      <c r="L571" s="390"/>
      <c r="M571" s="419"/>
      <c r="N571" s="370"/>
      <c r="O571" s="370"/>
      <c r="P571" s="371"/>
      <c r="Q571" s="365"/>
    </row>
    <row r="572" ht="22.5" customHeight="1">
      <c r="A572" s="146"/>
      <c r="B572" s="413"/>
      <c r="C572" s="367"/>
      <c r="D572" s="420"/>
      <c r="E572" s="405"/>
      <c r="F572" s="404"/>
      <c r="G572" s="352" t="str">
        <f>IFERROR(VLOOKUP(D572,'Client ID Records_v2'!D:E, 2, FALSE), "")</f>
        <v/>
      </c>
      <c r="H572" s="368" t="str">
        <f>IFERROR(VLOOKUP(G572,'Client ID Records_v2'!E:F, 2, FALSE), "")</f>
        <v/>
      </c>
      <c r="I572" s="352"/>
      <c r="J572" s="358" t="str">
        <f>IFERROR(VLOOKUP(I572,'Project Records_v2'!F:G, 2, FALSE), "")</f>
        <v/>
      </c>
      <c r="K572" s="143"/>
      <c r="L572" s="390"/>
      <c r="M572" s="419"/>
      <c r="N572" s="370"/>
      <c r="O572" s="370"/>
      <c r="P572" s="371"/>
      <c r="Q572" s="365"/>
    </row>
    <row r="573" ht="22.5" customHeight="1">
      <c r="A573" s="146"/>
      <c r="B573" s="413"/>
      <c r="C573" s="367"/>
      <c r="D573" s="420"/>
      <c r="E573" s="405"/>
      <c r="F573" s="404"/>
      <c r="G573" s="352" t="str">
        <f>IFERROR(VLOOKUP(D573,'Client ID Records_v2'!D:E, 2, FALSE), "")</f>
        <v/>
      </c>
      <c r="H573" s="368" t="str">
        <f>IFERROR(VLOOKUP(G573,'Client ID Records_v2'!E:F, 2, FALSE), "")</f>
        <v/>
      </c>
      <c r="I573" s="352"/>
      <c r="J573" s="358" t="str">
        <f>IFERROR(VLOOKUP(I573,'Project Records_v2'!F:G, 2, FALSE), "")</f>
        <v/>
      </c>
      <c r="K573" s="143"/>
      <c r="L573" s="390"/>
      <c r="M573" s="419"/>
      <c r="N573" s="370"/>
      <c r="O573" s="370"/>
      <c r="P573" s="371"/>
      <c r="Q573" s="365"/>
    </row>
    <row r="574" ht="22.5" customHeight="1">
      <c r="A574" s="146"/>
      <c r="B574" s="413"/>
      <c r="C574" s="367"/>
      <c r="D574" s="420"/>
      <c r="E574" s="405"/>
      <c r="F574" s="404"/>
      <c r="G574" s="352" t="str">
        <f>IFERROR(VLOOKUP(D574,'Client ID Records_v2'!D:E, 2, FALSE), "")</f>
        <v/>
      </c>
      <c r="H574" s="368" t="str">
        <f>IFERROR(VLOOKUP(G574,'Client ID Records_v2'!E:F, 2, FALSE), "")</f>
        <v/>
      </c>
      <c r="I574" s="352"/>
      <c r="J574" s="358" t="str">
        <f>IFERROR(VLOOKUP(I574,'Project Records_v2'!F:G, 2, FALSE), "")</f>
        <v/>
      </c>
      <c r="K574" s="143"/>
      <c r="L574" s="390"/>
      <c r="M574" s="419"/>
      <c r="N574" s="370"/>
      <c r="O574" s="370"/>
      <c r="P574" s="371"/>
      <c r="Q574" s="365"/>
    </row>
    <row r="575" ht="22.5" customHeight="1">
      <c r="A575" s="146"/>
      <c r="B575" s="413"/>
      <c r="C575" s="367"/>
      <c r="D575" s="420"/>
      <c r="E575" s="405"/>
      <c r="F575" s="404"/>
      <c r="G575" s="352" t="str">
        <f>IFERROR(VLOOKUP(D575,'Client ID Records_v2'!D:E, 2, FALSE), "")</f>
        <v/>
      </c>
      <c r="H575" s="368" t="str">
        <f>IFERROR(VLOOKUP(G575,'Client ID Records_v2'!E:F, 2, FALSE), "")</f>
        <v/>
      </c>
      <c r="I575" s="352"/>
      <c r="J575" s="358" t="str">
        <f>IFERROR(VLOOKUP(I575,'Project Records_v2'!F:G, 2, FALSE), "")</f>
        <v/>
      </c>
      <c r="K575" s="143"/>
      <c r="L575" s="390"/>
      <c r="M575" s="419"/>
      <c r="N575" s="370"/>
      <c r="O575" s="370"/>
      <c r="P575" s="371"/>
      <c r="Q575" s="365"/>
    </row>
    <row r="576" ht="22.5" customHeight="1">
      <c r="A576" s="146"/>
      <c r="B576" s="413"/>
      <c r="C576" s="367"/>
      <c r="D576" s="420"/>
      <c r="E576" s="405"/>
      <c r="F576" s="404"/>
      <c r="G576" s="352" t="str">
        <f>IFERROR(VLOOKUP(D576,'Client ID Records_v2'!D:E, 2, FALSE), "")</f>
        <v/>
      </c>
      <c r="H576" s="368" t="str">
        <f>IFERROR(VLOOKUP(G576,'Client ID Records_v2'!E:F, 2, FALSE), "")</f>
        <v/>
      </c>
      <c r="I576" s="352"/>
      <c r="J576" s="358" t="str">
        <f>IFERROR(VLOOKUP(I576,'Project Records_v2'!F:G, 2, FALSE), "")</f>
        <v/>
      </c>
      <c r="K576" s="143"/>
      <c r="L576" s="390"/>
      <c r="M576" s="419"/>
      <c r="N576" s="370"/>
      <c r="O576" s="370"/>
      <c r="P576" s="371"/>
      <c r="Q576" s="365"/>
    </row>
    <row r="577" ht="22.5" customHeight="1">
      <c r="A577" s="146"/>
      <c r="B577" s="413"/>
      <c r="C577" s="367"/>
      <c r="D577" s="420"/>
      <c r="E577" s="405"/>
      <c r="F577" s="404"/>
      <c r="G577" s="352" t="str">
        <f>IFERROR(VLOOKUP(D577,'Client ID Records_v2'!D:E, 2, FALSE), "")</f>
        <v/>
      </c>
      <c r="H577" s="368" t="str">
        <f>IFERROR(VLOOKUP(G577,'Client ID Records_v2'!E:F, 2, FALSE), "")</f>
        <v/>
      </c>
      <c r="I577" s="352"/>
      <c r="J577" s="358" t="str">
        <f>IFERROR(VLOOKUP(I577,'Project Records_v2'!F:G, 2, FALSE), "")</f>
        <v/>
      </c>
      <c r="K577" s="143"/>
      <c r="L577" s="390"/>
      <c r="M577" s="419"/>
      <c r="N577" s="370"/>
      <c r="O577" s="370"/>
      <c r="P577" s="371"/>
      <c r="Q577" s="365"/>
    </row>
    <row r="578" ht="22.5" customHeight="1">
      <c r="A578" s="146"/>
      <c r="B578" s="413"/>
      <c r="C578" s="367"/>
      <c r="D578" s="420"/>
      <c r="E578" s="405"/>
      <c r="F578" s="404"/>
      <c r="G578" s="352" t="str">
        <f>IFERROR(VLOOKUP(D578,'Client ID Records_v2'!D:E, 2, FALSE), "")</f>
        <v/>
      </c>
      <c r="H578" s="368" t="str">
        <f>IFERROR(VLOOKUP(G578,'Client ID Records_v2'!E:F, 2, FALSE), "")</f>
        <v/>
      </c>
      <c r="I578" s="352"/>
      <c r="J578" s="358" t="str">
        <f>IFERROR(VLOOKUP(I578,'Project Records_v2'!F:G, 2, FALSE), "")</f>
        <v/>
      </c>
      <c r="K578" s="143"/>
      <c r="L578" s="390"/>
      <c r="M578" s="419"/>
      <c r="N578" s="370"/>
      <c r="O578" s="370"/>
      <c r="P578" s="371"/>
      <c r="Q578" s="365"/>
    </row>
    <row r="579" ht="22.5" customHeight="1">
      <c r="A579" s="146"/>
      <c r="B579" s="413"/>
      <c r="C579" s="367"/>
      <c r="D579" s="420"/>
      <c r="E579" s="405"/>
      <c r="F579" s="404"/>
      <c r="G579" s="352" t="str">
        <f>IFERROR(VLOOKUP(D579,'Client ID Records_v2'!D:E, 2, FALSE), "")</f>
        <v/>
      </c>
      <c r="H579" s="368" t="str">
        <f>IFERROR(VLOOKUP(G579,'Client ID Records_v2'!E:F, 2, FALSE), "")</f>
        <v/>
      </c>
      <c r="I579" s="352"/>
      <c r="J579" s="358" t="str">
        <f>IFERROR(VLOOKUP(I579,'Project Records_v2'!F:G, 2, FALSE), "")</f>
        <v/>
      </c>
      <c r="K579" s="143"/>
      <c r="L579" s="390"/>
      <c r="M579" s="419"/>
      <c r="N579" s="370"/>
      <c r="O579" s="370"/>
      <c r="P579" s="371"/>
      <c r="Q579" s="365"/>
    </row>
    <row r="580" ht="22.5" customHeight="1">
      <c r="A580" s="146"/>
      <c r="B580" s="413"/>
      <c r="C580" s="367"/>
      <c r="D580" s="420"/>
      <c r="E580" s="405"/>
      <c r="F580" s="404"/>
      <c r="G580" s="352" t="str">
        <f>IFERROR(VLOOKUP(D580,'Client ID Records_v2'!D:E, 2, FALSE), "")</f>
        <v/>
      </c>
      <c r="H580" s="368" t="str">
        <f>IFERROR(VLOOKUP(G580,'Client ID Records_v2'!E:F, 2, FALSE), "")</f>
        <v/>
      </c>
      <c r="I580" s="352"/>
      <c r="J580" s="358" t="str">
        <f>IFERROR(VLOOKUP(I580,'Project Records_v2'!F:G, 2, FALSE), "")</f>
        <v/>
      </c>
      <c r="K580" s="143"/>
      <c r="L580" s="390"/>
      <c r="M580" s="419"/>
      <c r="N580" s="370"/>
      <c r="O580" s="370"/>
      <c r="P580" s="371"/>
      <c r="Q580" s="365"/>
    </row>
    <row r="581" ht="22.5" customHeight="1">
      <c r="A581" s="146"/>
      <c r="B581" s="413"/>
      <c r="C581" s="367"/>
      <c r="D581" s="420"/>
      <c r="E581" s="405"/>
      <c r="F581" s="404"/>
      <c r="G581" s="352" t="str">
        <f>IFERROR(VLOOKUP(D581,'Client ID Records_v2'!D:E, 2, FALSE), "")</f>
        <v/>
      </c>
      <c r="H581" s="368" t="str">
        <f>IFERROR(VLOOKUP(G581,'Client ID Records_v2'!E:F, 2, FALSE), "")</f>
        <v/>
      </c>
      <c r="I581" s="352"/>
      <c r="J581" s="358" t="str">
        <f>IFERROR(VLOOKUP(I581,'Project Records_v2'!F:G, 2, FALSE), "")</f>
        <v/>
      </c>
      <c r="K581" s="143"/>
      <c r="L581" s="390"/>
      <c r="M581" s="419"/>
      <c r="N581" s="370"/>
      <c r="O581" s="370"/>
      <c r="P581" s="371"/>
      <c r="Q581" s="365"/>
    </row>
    <row r="582" ht="22.5" customHeight="1">
      <c r="A582" s="146"/>
      <c r="B582" s="413"/>
      <c r="C582" s="367"/>
      <c r="D582" s="420"/>
      <c r="E582" s="405"/>
      <c r="F582" s="404"/>
      <c r="G582" s="352" t="str">
        <f>IFERROR(VLOOKUP(D582,'Client ID Records_v2'!D:E, 2, FALSE), "")</f>
        <v/>
      </c>
      <c r="H582" s="368" t="str">
        <f>IFERROR(VLOOKUP(G582,'Client ID Records_v2'!E:F, 2, FALSE), "")</f>
        <v/>
      </c>
      <c r="I582" s="352"/>
      <c r="J582" s="358" t="str">
        <f>IFERROR(VLOOKUP(I582,'Project Records_v2'!F:G, 2, FALSE), "")</f>
        <v/>
      </c>
      <c r="K582" s="143"/>
      <c r="L582" s="390"/>
      <c r="M582" s="419"/>
      <c r="N582" s="370"/>
      <c r="O582" s="370"/>
      <c r="P582" s="371"/>
      <c r="Q582" s="365"/>
    </row>
    <row r="583" ht="22.5" customHeight="1">
      <c r="A583" s="146"/>
      <c r="B583" s="413"/>
      <c r="C583" s="367"/>
      <c r="D583" s="420"/>
      <c r="E583" s="405"/>
      <c r="F583" s="404"/>
      <c r="G583" s="352" t="str">
        <f>IFERROR(VLOOKUP(D583,'Client ID Records_v2'!D:E, 2, FALSE), "")</f>
        <v/>
      </c>
      <c r="H583" s="368" t="str">
        <f>IFERROR(VLOOKUP(G583,'Client ID Records_v2'!E:F, 2, FALSE), "")</f>
        <v/>
      </c>
      <c r="I583" s="352"/>
      <c r="J583" s="358" t="str">
        <f>IFERROR(VLOOKUP(I583,'Project Records_v2'!F:G, 2, FALSE), "")</f>
        <v/>
      </c>
      <c r="K583" s="143"/>
      <c r="L583" s="390"/>
      <c r="M583" s="419"/>
      <c r="N583" s="370"/>
      <c r="O583" s="370"/>
      <c r="P583" s="371"/>
      <c r="Q583" s="365"/>
    </row>
    <row r="584" ht="22.5" customHeight="1">
      <c r="A584" s="146"/>
      <c r="B584" s="413"/>
      <c r="C584" s="367"/>
      <c r="D584" s="420"/>
      <c r="E584" s="405"/>
      <c r="F584" s="404"/>
      <c r="G584" s="352" t="str">
        <f>IFERROR(VLOOKUP(D584,'Client ID Records_v2'!D:E, 2, FALSE), "")</f>
        <v/>
      </c>
      <c r="H584" s="368" t="str">
        <f>IFERROR(VLOOKUP(G584,'Client ID Records_v2'!E:F, 2, FALSE), "")</f>
        <v/>
      </c>
      <c r="I584" s="352"/>
      <c r="J584" s="358" t="str">
        <f>IFERROR(VLOOKUP(I584,'Project Records_v2'!F:G, 2, FALSE), "")</f>
        <v/>
      </c>
      <c r="K584" s="143"/>
      <c r="L584" s="390"/>
      <c r="M584" s="419"/>
      <c r="N584" s="370"/>
      <c r="O584" s="370"/>
      <c r="P584" s="371"/>
      <c r="Q584" s="365"/>
    </row>
    <row r="585" ht="22.5" customHeight="1">
      <c r="A585" s="146"/>
      <c r="B585" s="413"/>
      <c r="C585" s="367"/>
      <c r="D585" s="420"/>
      <c r="E585" s="405"/>
      <c r="F585" s="404"/>
      <c r="G585" s="352" t="str">
        <f>IFERROR(VLOOKUP(D585,'Client ID Records_v2'!D:E, 2, FALSE), "")</f>
        <v/>
      </c>
      <c r="H585" s="368" t="str">
        <f>IFERROR(VLOOKUP(G585,'Client ID Records_v2'!E:F, 2, FALSE), "")</f>
        <v/>
      </c>
      <c r="I585" s="352"/>
      <c r="J585" s="358" t="str">
        <f>IFERROR(VLOOKUP(I585,'Project Records_v2'!F:G, 2, FALSE), "")</f>
        <v/>
      </c>
      <c r="K585" s="143"/>
      <c r="L585" s="390"/>
      <c r="M585" s="419"/>
      <c r="N585" s="370"/>
      <c r="O585" s="370"/>
      <c r="P585" s="371"/>
      <c r="Q585" s="365"/>
    </row>
    <row r="586" ht="22.5" customHeight="1">
      <c r="A586" s="146"/>
      <c r="B586" s="413"/>
      <c r="C586" s="367"/>
      <c r="D586" s="420"/>
      <c r="E586" s="405"/>
      <c r="F586" s="404"/>
      <c r="G586" s="352" t="str">
        <f>IFERROR(VLOOKUP(D586,'Client ID Records_v2'!D:E, 2, FALSE), "")</f>
        <v/>
      </c>
      <c r="H586" s="368" t="str">
        <f>IFERROR(VLOOKUP(G586,'Client ID Records_v2'!E:F, 2, FALSE), "")</f>
        <v/>
      </c>
      <c r="I586" s="352"/>
      <c r="J586" s="358" t="str">
        <f>IFERROR(VLOOKUP(I586,'Project Records_v2'!F:G, 2, FALSE), "")</f>
        <v/>
      </c>
      <c r="K586" s="143"/>
      <c r="L586" s="390"/>
      <c r="M586" s="419"/>
      <c r="N586" s="370"/>
      <c r="O586" s="370"/>
      <c r="P586" s="371"/>
      <c r="Q586" s="365"/>
    </row>
    <row r="587" ht="22.5" customHeight="1">
      <c r="A587" s="146"/>
      <c r="B587" s="413"/>
      <c r="C587" s="367"/>
      <c r="D587" s="420"/>
      <c r="E587" s="405"/>
      <c r="F587" s="404"/>
      <c r="G587" s="352" t="str">
        <f>IFERROR(VLOOKUP(D587,'Client ID Records_v2'!D:E, 2, FALSE), "")</f>
        <v/>
      </c>
      <c r="H587" s="368" t="str">
        <f>IFERROR(VLOOKUP(G587,'Client ID Records_v2'!E:F, 2, FALSE), "")</f>
        <v/>
      </c>
      <c r="I587" s="352"/>
      <c r="J587" s="358" t="str">
        <f>IFERROR(VLOOKUP(I587,'Project Records_v2'!F:G, 2, FALSE), "")</f>
        <v/>
      </c>
      <c r="K587" s="143"/>
      <c r="L587" s="390"/>
      <c r="M587" s="419"/>
      <c r="N587" s="370"/>
      <c r="O587" s="370"/>
      <c r="P587" s="371"/>
      <c r="Q587" s="365"/>
    </row>
    <row r="588" ht="22.5" customHeight="1">
      <c r="A588" s="146"/>
      <c r="B588" s="413"/>
      <c r="C588" s="367"/>
      <c r="D588" s="420"/>
      <c r="E588" s="405"/>
      <c r="F588" s="404"/>
      <c r="G588" s="352" t="str">
        <f>IFERROR(VLOOKUP(D588,'Client ID Records_v2'!D:E, 2, FALSE), "")</f>
        <v/>
      </c>
      <c r="H588" s="368" t="str">
        <f>IFERROR(VLOOKUP(G588,'Client ID Records_v2'!E:F, 2, FALSE), "")</f>
        <v/>
      </c>
      <c r="I588" s="352"/>
      <c r="J588" s="358" t="str">
        <f>IFERROR(VLOOKUP(I588,'Project Records_v2'!F:G, 2, FALSE), "")</f>
        <v/>
      </c>
      <c r="K588" s="143"/>
      <c r="L588" s="390"/>
      <c r="M588" s="419"/>
      <c r="N588" s="370"/>
      <c r="O588" s="370"/>
      <c r="P588" s="371"/>
      <c r="Q588" s="365"/>
    </row>
    <row r="589" ht="22.5" customHeight="1">
      <c r="A589" s="146"/>
      <c r="B589" s="413"/>
      <c r="C589" s="367"/>
      <c r="D589" s="420"/>
      <c r="E589" s="405"/>
      <c r="F589" s="404"/>
      <c r="G589" s="352" t="str">
        <f>IFERROR(VLOOKUP(D589,'Client ID Records_v2'!D:E, 2, FALSE), "")</f>
        <v/>
      </c>
      <c r="H589" s="368" t="str">
        <f>IFERROR(VLOOKUP(G589,'Client ID Records_v2'!E:F, 2, FALSE), "")</f>
        <v/>
      </c>
      <c r="I589" s="352"/>
      <c r="J589" s="358" t="str">
        <f>IFERROR(VLOOKUP(I589,'Project Records_v2'!F:G, 2, FALSE), "")</f>
        <v/>
      </c>
      <c r="K589" s="143"/>
      <c r="L589" s="390"/>
      <c r="M589" s="419"/>
      <c r="N589" s="370"/>
      <c r="O589" s="370"/>
      <c r="P589" s="371"/>
      <c r="Q589" s="365"/>
    </row>
    <row r="590" ht="22.5" customHeight="1">
      <c r="A590" s="146"/>
      <c r="B590" s="413"/>
      <c r="C590" s="367"/>
      <c r="D590" s="420"/>
      <c r="E590" s="405"/>
      <c r="F590" s="404"/>
      <c r="G590" s="352" t="str">
        <f>IFERROR(VLOOKUP(D590,'Client ID Records_v2'!D:E, 2, FALSE), "")</f>
        <v/>
      </c>
      <c r="H590" s="368" t="str">
        <f>IFERROR(VLOOKUP(G590,'Client ID Records_v2'!E:F, 2, FALSE), "")</f>
        <v/>
      </c>
      <c r="I590" s="352"/>
      <c r="J590" s="358" t="str">
        <f>IFERROR(VLOOKUP(I590,'Project Records_v2'!F:G, 2, FALSE), "")</f>
        <v/>
      </c>
      <c r="K590" s="143"/>
      <c r="L590" s="390"/>
      <c r="M590" s="419"/>
      <c r="N590" s="370"/>
      <c r="O590" s="370"/>
      <c r="P590" s="371"/>
      <c r="Q590" s="365"/>
    </row>
    <row r="591" ht="22.5" customHeight="1">
      <c r="A591" s="146"/>
      <c r="B591" s="413"/>
      <c r="C591" s="367"/>
      <c r="D591" s="420"/>
      <c r="E591" s="405"/>
      <c r="F591" s="404"/>
      <c r="G591" s="352" t="str">
        <f>IFERROR(VLOOKUP(D591,'Client ID Records_v2'!D:E, 2, FALSE), "")</f>
        <v/>
      </c>
      <c r="H591" s="368" t="str">
        <f>IFERROR(VLOOKUP(G591,'Client ID Records_v2'!E:F, 2, FALSE), "")</f>
        <v/>
      </c>
      <c r="I591" s="352"/>
      <c r="J591" s="358" t="str">
        <f>IFERROR(VLOOKUP(I591,'Project Records_v2'!F:G, 2, FALSE), "")</f>
        <v/>
      </c>
      <c r="K591" s="143"/>
      <c r="L591" s="390"/>
      <c r="M591" s="419"/>
      <c r="N591" s="370"/>
      <c r="O591" s="370"/>
      <c r="P591" s="371"/>
      <c r="Q591" s="365"/>
    </row>
    <row r="592" ht="22.5" customHeight="1">
      <c r="A592" s="146"/>
      <c r="B592" s="413"/>
      <c r="C592" s="367"/>
      <c r="D592" s="420"/>
      <c r="E592" s="405"/>
      <c r="F592" s="404"/>
      <c r="G592" s="352" t="str">
        <f>IFERROR(VLOOKUP(D592,'Client ID Records_v2'!D:E, 2, FALSE), "")</f>
        <v/>
      </c>
      <c r="H592" s="368" t="str">
        <f>IFERROR(VLOOKUP(G592,'Client ID Records_v2'!E:F, 2, FALSE), "")</f>
        <v/>
      </c>
      <c r="I592" s="352"/>
      <c r="J592" s="358" t="str">
        <f>IFERROR(VLOOKUP(I592,'Project Records_v2'!F:G, 2, FALSE), "")</f>
        <v/>
      </c>
      <c r="K592" s="143"/>
      <c r="L592" s="390"/>
      <c r="M592" s="419"/>
      <c r="N592" s="370"/>
      <c r="O592" s="370"/>
      <c r="P592" s="371"/>
      <c r="Q592" s="365"/>
    </row>
    <row r="593" ht="22.5" customHeight="1">
      <c r="A593" s="146"/>
      <c r="B593" s="413"/>
      <c r="C593" s="367"/>
      <c r="D593" s="420"/>
      <c r="E593" s="405"/>
      <c r="F593" s="404"/>
      <c r="G593" s="352" t="str">
        <f>IFERROR(VLOOKUP(D593,'Client ID Records_v2'!D:E, 2, FALSE), "")</f>
        <v/>
      </c>
      <c r="H593" s="368" t="str">
        <f>IFERROR(VLOOKUP(G593,'Client ID Records_v2'!E:F, 2, FALSE), "")</f>
        <v/>
      </c>
      <c r="I593" s="352"/>
      <c r="J593" s="358" t="str">
        <f>IFERROR(VLOOKUP(I593,'Project Records_v2'!F:G, 2, FALSE), "")</f>
        <v/>
      </c>
      <c r="K593" s="143"/>
      <c r="L593" s="390"/>
      <c r="M593" s="419"/>
      <c r="N593" s="370"/>
      <c r="O593" s="370"/>
      <c r="P593" s="371"/>
      <c r="Q593" s="365"/>
    </row>
    <row r="594" ht="22.5" customHeight="1">
      <c r="A594" s="146"/>
      <c r="B594" s="413"/>
      <c r="C594" s="367"/>
      <c r="D594" s="420"/>
      <c r="E594" s="405"/>
      <c r="F594" s="404"/>
      <c r="G594" s="352" t="str">
        <f>IFERROR(VLOOKUP(D594,'Client ID Records_v2'!D:E, 2, FALSE), "")</f>
        <v/>
      </c>
      <c r="H594" s="368" t="str">
        <f>IFERROR(VLOOKUP(G594,'Client ID Records_v2'!E:F, 2, FALSE), "")</f>
        <v/>
      </c>
      <c r="I594" s="352"/>
      <c r="J594" s="358" t="str">
        <f>IFERROR(VLOOKUP(I594,'Project Records_v2'!F:G, 2, FALSE), "")</f>
        <v/>
      </c>
      <c r="K594" s="143"/>
      <c r="L594" s="390"/>
      <c r="M594" s="419"/>
      <c r="N594" s="370"/>
      <c r="O594" s="370"/>
      <c r="P594" s="371"/>
      <c r="Q594" s="365"/>
    </row>
    <row r="595" ht="22.5" customHeight="1">
      <c r="A595" s="146"/>
      <c r="B595" s="413"/>
      <c r="C595" s="367"/>
      <c r="D595" s="420"/>
      <c r="E595" s="405"/>
      <c r="F595" s="404"/>
      <c r="G595" s="352" t="str">
        <f>IFERROR(VLOOKUP(D595,'Client ID Records_v2'!D:E, 2, FALSE), "")</f>
        <v/>
      </c>
      <c r="H595" s="368" t="str">
        <f>IFERROR(VLOOKUP(G595,'Client ID Records_v2'!E:F, 2, FALSE), "")</f>
        <v/>
      </c>
      <c r="I595" s="352"/>
      <c r="J595" s="358" t="str">
        <f>IFERROR(VLOOKUP(I595,'Project Records_v2'!F:G, 2, FALSE), "")</f>
        <v/>
      </c>
      <c r="K595" s="143"/>
      <c r="L595" s="390"/>
      <c r="M595" s="419"/>
      <c r="N595" s="370"/>
      <c r="O595" s="370"/>
      <c r="P595" s="371"/>
      <c r="Q595" s="365"/>
    </row>
    <row r="596" ht="22.5" customHeight="1">
      <c r="A596" s="146"/>
      <c r="B596" s="413"/>
      <c r="C596" s="367"/>
      <c r="D596" s="420"/>
      <c r="E596" s="405"/>
      <c r="F596" s="404"/>
      <c r="G596" s="352" t="str">
        <f>IFERROR(VLOOKUP(D596,'Client ID Records_v2'!D:E, 2, FALSE), "")</f>
        <v/>
      </c>
      <c r="H596" s="368" t="str">
        <f>IFERROR(VLOOKUP(G596,'Client ID Records_v2'!E:F, 2, FALSE), "")</f>
        <v/>
      </c>
      <c r="I596" s="352"/>
      <c r="J596" s="358" t="str">
        <f>IFERROR(VLOOKUP(I596,'Project Records_v2'!F:G, 2, FALSE), "")</f>
        <v/>
      </c>
      <c r="K596" s="143"/>
      <c r="L596" s="390"/>
      <c r="M596" s="419"/>
      <c r="N596" s="370"/>
      <c r="O596" s="370"/>
      <c r="P596" s="371"/>
      <c r="Q596" s="365"/>
    </row>
    <row r="597" ht="22.5" customHeight="1">
      <c r="A597" s="146"/>
      <c r="B597" s="413"/>
      <c r="C597" s="367"/>
      <c r="D597" s="420"/>
      <c r="E597" s="405"/>
      <c r="F597" s="404"/>
      <c r="G597" s="352" t="str">
        <f>IFERROR(VLOOKUP(D597,'Client ID Records_v2'!D:E, 2, FALSE), "")</f>
        <v/>
      </c>
      <c r="H597" s="368" t="str">
        <f>IFERROR(VLOOKUP(G597,'Client ID Records_v2'!E:F, 2, FALSE), "")</f>
        <v/>
      </c>
      <c r="I597" s="352"/>
      <c r="J597" s="358" t="str">
        <f>IFERROR(VLOOKUP(I597,'Project Records_v2'!F:G, 2, FALSE), "")</f>
        <v/>
      </c>
      <c r="K597" s="143"/>
      <c r="L597" s="390"/>
      <c r="M597" s="419"/>
      <c r="N597" s="370"/>
      <c r="O597" s="370"/>
      <c r="P597" s="371"/>
      <c r="Q597" s="365"/>
    </row>
    <row r="598" ht="22.5" customHeight="1">
      <c r="A598" s="146"/>
      <c r="B598" s="413"/>
      <c r="C598" s="367"/>
      <c r="D598" s="420"/>
      <c r="E598" s="405"/>
      <c r="F598" s="404"/>
      <c r="G598" s="352" t="str">
        <f>IFERROR(VLOOKUP(D598,'Client ID Records_v2'!D:E, 2, FALSE), "")</f>
        <v/>
      </c>
      <c r="H598" s="368" t="str">
        <f>IFERROR(VLOOKUP(G598,'Client ID Records_v2'!E:F, 2, FALSE), "")</f>
        <v/>
      </c>
      <c r="I598" s="352"/>
      <c r="J598" s="358" t="str">
        <f>IFERROR(VLOOKUP(I598,'Project Records_v2'!F:G, 2, FALSE), "")</f>
        <v/>
      </c>
      <c r="K598" s="143"/>
      <c r="L598" s="390"/>
      <c r="M598" s="419"/>
      <c r="N598" s="370"/>
      <c r="O598" s="370"/>
      <c r="P598" s="371"/>
      <c r="Q598" s="365"/>
    </row>
    <row r="599" ht="22.5" customHeight="1">
      <c r="A599" s="146"/>
      <c r="B599" s="413"/>
      <c r="C599" s="367"/>
      <c r="D599" s="420"/>
      <c r="E599" s="405"/>
      <c r="F599" s="404"/>
      <c r="G599" s="352" t="str">
        <f>IFERROR(VLOOKUP(D599,'Client ID Records_v2'!D:E, 2, FALSE), "")</f>
        <v/>
      </c>
      <c r="H599" s="368" t="str">
        <f>IFERROR(VLOOKUP(G599,'Client ID Records_v2'!E:F, 2, FALSE), "")</f>
        <v/>
      </c>
      <c r="I599" s="352"/>
      <c r="J599" s="358" t="str">
        <f>IFERROR(VLOOKUP(I599,'Project Records_v2'!F:G, 2, FALSE), "")</f>
        <v/>
      </c>
      <c r="K599" s="143"/>
      <c r="L599" s="390"/>
      <c r="M599" s="419"/>
      <c r="N599" s="370"/>
      <c r="O599" s="370"/>
      <c r="P599" s="371"/>
      <c r="Q599" s="365"/>
    </row>
    <row r="600" ht="22.5" customHeight="1">
      <c r="A600" s="146"/>
      <c r="B600" s="413"/>
      <c r="C600" s="367"/>
      <c r="D600" s="420"/>
      <c r="E600" s="405"/>
      <c r="F600" s="404"/>
      <c r="G600" s="352" t="str">
        <f>IFERROR(VLOOKUP(D600,'Client ID Records_v2'!D:E, 2, FALSE), "")</f>
        <v/>
      </c>
      <c r="H600" s="368" t="str">
        <f>IFERROR(VLOOKUP(G600,'Client ID Records_v2'!E:F, 2, FALSE), "")</f>
        <v/>
      </c>
      <c r="I600" s="352"/>
      <c r="J600" s="358" t="str">
        <f>IFERROR(VLOOKUP(I600,'Project Records_v2'!F:G, 2, FALSE), "")</f>
        <v/>
      </c>
      <c r="K600" s="143"/>
      <c r="L600" s="390"/>
      <c r="M600" s="419"/>
      <c r="N600" s="370"/>
      <c r="O600" s="370"/>
      <c r="P600" s="371"/>
      <c r="Q600" s="365"/>
    </row>
    <row r="601" ht="22.5" customHeight="1">
      <c r="A601" s="146"/>
      <c r="B601" s="413"/>
      <c r="C601" s="367"/>
      <c r="D601" s="420"/>
      <c r="E601" s="405"/>
      <c r="F601" s="404"/>
      <c r="G601" s="352" t="str">
        <f>IFERROR(VLOOKUP(D601,'Client ID Records_v2'!D:E, 2, FALSE), "")</f>
        <v/>
      </c>
      <c r="H601" s="368" t="str">
        <f>IFERROR(VLOOKUP(G601,'Client ID Records_v2'!E:F, 2, FALSE), "")</f>
        <v/>
      </c>
      <c r="I601" s="352"/>
      <c r="J601" s="358" t="str">
        <f>IFERROR(VLOOKUP(I601,'Project Records_v2'!F:G, 2, FALSE), "")</f>
        <v/>
      </c>
      <c r="K601" s="143"/>
      <c r="L601" s="390"/>
      <c r="M601" s="419"/>
      <c r="N601" s="370"/>
      <c r="O601" s="370"/>
      <c r="P601" s="371"/>
      <c r="Q601" s="365"/>
    </row>
    <row r="602" ht="22.5" customHeight="1">
      <c r="A602" s="146"/>
      <c r="B602" s="413"/>
      <c r="C602" s="367"/>
      <c r="D602" s="420"/>
      <c r="E602" s="405"/>
      <c r="F602" s="404"/>
      <c r="G602" s="352" t="str">
        <f>IFERROR(VLOOKUP(D602,'Client ID Records_v2'!D:E, 2, FALSE), "")</f>
        <v/>
      </c>
      <c r="H602" s="368" t="str">
        <f>IFERROR(VLOOKUP(G602,'Client ID Records_v2'!E:F, 2, FALSE), "")</f>
        <v/>
      </c>
      <c r="I602" s="352"/>
      <c r="J602" s="358" t="str">
        <f>IFERROR(VLOOKUP(I602,'Project Records_v2'!F:G, 2, FALSE), "")</f>
        <v/>
      </c>
      <c r="K602" s="143"/>
      <c r="L602" s="390"/>
      <c r="M602" s="419"/>
      <c r="N602" s="370"/>
      <c r="O602" s="370"/>
      <c r="P602" s="371"/>
      <c r="Q602" s="365"/>
    </row>
    <row r="603" ht="22.5" customHeight="1">
      <c r="A603" s="146"/>
      <c r="B603" s="413"/>
      <c r="C603" s="367"/>
      <c r="D603" s="420"/>
      <c r="E603" s="405"/>
      <c r="F603" s="404"/>
      <c r="G603" s="352" t="str">
        <f>IFERROR(VLOOKUP(D603,'Client ID Records_v2'!D:E, 2, FALSE), "")</f>
        <v/>
      </c>
      <c r="H603" s="368" t="str">
        <f>IFERROR(VLOOKUP(G603,'Client ID Records_v2'!E:F, 2, FALSE), "")</f>
        <v/>
      </c>
      <c r="I603" s="352"/>
      <c r="J603" s="358" t="str">
        <f>IFERROR(VLOOKUP(I603,'Project Records_v2'!F:G, 2, FALSE), "")</f>
        <v/>
      </c>
      <c r="K603" s="143"/>
      <c r="L603" s="390"/>
      <c r="M603" s="419"/>
      <c r="N603" s="370"/>
      <c r="O603" s="370"/>
      <c r="P603" s="371"/>
      <c r="Q603" s="365"/>
    </row>
    <row r="604" ht="22.5" customHeight="1">
      <c r="A604" s="146"/>
      <c r="B604" s="413"/>
      <c r="C604" s="367"/>
      <c r="D604" s="420"/>
      <c r="E604" s="405"/>
      <c r="F604" s="404"/>
      <c r="G604" s="352" t="str">
        <f>IFERROR(VLOOKUP(D604,'Client ID Records_v2'!D:E, 2, FALSE), "")</f>
        <v/>
      </c>
      <c r="H604" s="368" t="str">
        <f>IFERROR(VLOOKUP(G604,'Client ID Records_v2'!E:F, 2, FALSE), "")</f>
        <v/>
      </c>
      <c r="I604" s="352"/>
      <c r="J604" s="358" t="str">
        <f>IFERROR(VLOOKUP(I604,'Project Records_v2'!F:G, 2, FALSE), "")</f>
        <v/>
      </c>
      <c r="K604" s="143"/>
      <c r="L604" s="390"/>
      <c r="M604" s="419"/>
      <c r="N604" s="370"/>
      <c r="O604" s="370"/>
      <c r="P604" s="371"/>
      <c r="Q604" s="365"/>
    </row>
    <row r="605" ht="22.5" customHeight="1">
      <c r="A605" s="146"/>
      <c r="B605" s="413"/>
      <c r="C605" s="367"/>
      <c r="D605" s="420"/>
      <c r="E605" s="405"/>
      <c r="F605" s="404"/>
      <c r="G605" s="352" t="str">
        <f>IFERROR(VLOOKUP(D605,'Client ID Records_v2'!D:E, 2, FALSE), "")</f>
        <v/>
      </c>
      <c r="H605" s="368" t="str">
        <f>IFERROR(VLOOKUP(G605,'Client ID Records_v2'!E:F, 2, FALSE), "")</f>
        <v/>
      </c>
      <c r="I605" s="352"/>
      <c r="J605" s="358" t="str">
        <f>IFERROR(VLOOKUP(I605,'Project Records_v2'!F:G, 2, FALSE), "")</f>
        <v/>
      </c>
      <c r="K605" s="143"/>
      <c r="L605" s="390"/>
      <c r="M605" s="419"/>
      <c r="N605" s="370"/>
      <c r="O605" s="370"/>
      <c r="P605" s="371"/>
      <c r="Q605" s="365"/>
    </row>
    <row r="606" ht="22.5" customHeight="1">
      <c r="A606" s="146"/>
      <c r="B606" s="413"/>
      <c r="C606" s="367"/>
      <c r="D606" s="420"/>
      <c r="E606" s="405"/>
      <c r="F606" s="404"/>
      <c r="G606" s="352" t="str">
        <f>IFERROR(VLOOKUP(D606,'Client ID Records_v2'!D:E, 2, FALSE), "")</f>
        <v/>
      </c>
      <c r="H606" s="368" t="str">
        <f>IFERROR(VLOOKUP(G606,'Client ID Records_v2'!E:F, 2, FALSE), "")</f>
        <v/>
      </c>
      <c r="I606" s="352"/>
      <c r="J606" s="358" t="str">
        <f>IFERROR(VLOOKUP(I606,'Project Records_v2'!F:G, 2, FALSE), "")</f>
        <v/>
      </c>
      <c r="K606" s="143"/>
      <c r="L606" s="390"/>
      <c r="M606" s="419"/>
      <c r="N606" s="370"/>
      <c r="O606" s="370"/>
      <c r="P606" s="371"/>
      <c r="Q606" s="365"/>
    </row>
    <row r="607" ht="22.5" customHeight="1">
      <c r="A607" s="146"/>
      <c r="B607" s="413"/>
      <c r="C607" s="367"/>
      <c r="D607" s="420"/>
      <c r="E607" s="405"/>
      <c r="F607" s="404"/>
      <c r="G607" s="352" t="str">
        <f>IFERROR(VLOOKUP(D607,'Client ID Records_v2'!D:E, 2, FALSE), "")</f>
        <v/>
      </c>
      <c r="H607" s="368" t="str">
        <f>IFERROR(VLOOKUP(G607,'Client ID Records_v2'!E:F, 2, FALSE), "")</f>
        <v/>
      </c>
      <c r="I607" s="352"/>
      <c r="J607" s="358" t="str">
        <f>IFERROR(VLOOKUP(I607,'Project Records_v2'!F:G, 2, FALSE), "")</f>
        <v/>
      </c>
      <c r="K607" s="143"/>
      <c r="L607" s="390"/>
      <c r="M607" s="419"/>
      <c r="N607" s="370"/>
      <c r="O607" s="370"/>
      <c r="P607" s="371"/>
      <c r="Q607" s="365"/>
    </row>
    <row r="608" ht="22.5" customHeight="1">
      <c r="A608" s="146"/>
      <c r="B608" s="413"/>
      <c r="C608" s="367"/>
      <c r="D608" s="420"/>
      <c r="E608" s="405"/>
      <c r="F608" s="404"/>
      <c r="G608" s="352" t="str">
        <f>IFERROR(VLOOKUP(D608,'Client ID Records_v2'!D:E, 2, FALSE), "")</f>
        <v/>
      </c>
      <c r="H608" s="368" t="str">
        <f>IFERROR(VLOOKUP(G608,'Client ID Records_v2'!E:F, 2, FALSE), "")</f>
        <v/>
      </c>
      <c r="I608" s="352"/>
      <c r="J608" s="358" t="str">
        <f>IFERROR(VLOOKUP(I608,'Project Records_v2'!F:G, 2, FALSE), "")</f>
        <v/>
      </c>
      <c r="K608" s="143"/>
      <c r="L608" s="390"/>
      <c r="M608" s="419"/>
      <c r="N608" s="370"/>
      <c r="O608" s="370"/>
      <c r="P608" s="371"/>
      <c r="Q608" s="365"/>
    </row>
    <row r="609" ht="22.5" customHeight="1">
      <c r="A609" s="146"/>
      <c r="B609" s="413"/>
      <c r="C609" s="367"/>
      <c r="D609" s="420"/>
      <c r="E609" s="405"/>
      <c r="F609" s="404"/>
      <c r="G609" s="352" t="str">
        <f>IFERROR(VLOOKUP(D609,'Client ID Records_v2'!D:E, 2, FALSE), "")</f>
        <v/>
      </c>
      <c r="H609" s="368" t="str">
        <f>IFERROR(VLOOKUP(G609,'Client ID Records_v2'!E:F, 2, FALSE), "")</f>
        <v/>
      </c>
      <c r="I609" s="352"/>
      <c r="J609" s="358" t="str">
        <f>IFERROR(VLOOKUP(I609,'Project Records_v2'!F:G, 2, FALSE), "")</f>
        <v/>
      </c>
      <c r="K609" s="143"/>
      <c r="L609" s="390"/>
      <c r="M609" s="419"/>
      <c r="N609" s="370"/>
      <c r="O609" s="370"/>
      <c r="P609" s="371"/>
      <c r="Q609" s="365"/>
    </row>
    <row r="610" ht="22.5" customHeight="1">
      <c r="A610" s="146"/>
      <c r="B610" s="413"/>
      <c r="C610" s="367"/>
      <c r="D610" s="420"/>
      <c r="E610" s="405"/>
      <c r="F610" s="404"/>
      <c r="G610" s="352" t="str">
        <f>IFERROR(VLOOKUP(D610,'Client ID Records_v2'!D:E, 2, FALSE), "")</f>
        <v/>
      </c>
      <c r="H610" s="368" t="str">
        <f>IFERROR(VLOOKUP(G610,'Client ID Records_v2'!E:F, 2, FALSE), "")</f>
        <v/>
      </c>
      <c r="I610" s="352"/>
      <c r="J610" s="358" t="str">
        <f>IFERROR(VLOOKUP(I610,'Project Records_v2'!F:G, 2, FALSE), "")</f>
        <v/>
      </c>
      <c r="K610" s="143"/>
      <c r="L610" s="390"/>
      <c r="M610" s="419"/>
      <c r="N610" s="370"/>
      <c r="O610" s="370"/>
      <c r="P610" s="371"/>
      <c r="Q610" s="365"/>
    </row>
    <row r="611" ht="22.5" customHeight="1">
      <c r="A611" s="146"/>
      <c r="B611" s="413"/>
      <c r="C611" s="367"/>
      <c r="D611" s="420"/>
      <c r="E611" s="405"/>
      <c r="F611" s="404"/>
      <c r="G611" s="352" t="str">
        <f>IFERROR(VLOOKUP(D611,'Client ID Records_v2'!D:E, 2, FALSE), "")</f>
        <v/>
      </c>
      <c r="H611" s="368" t="str">
        <f>IFERROR(VLOOKUP(G611,'Client ID Records_v2'!E:F, 2, FALSE), "")</f>
        <v/>
      </c>
      <c r="I611" s="352"/>
      <c r="J611" s="358" t="str">
        <f>IFERROR(VLOOKUP(I611,'Project Records_v2'!F:G, 2, FALSE), "")</f>
        <v/>
      </c>
      <c r="K611" s="143"/>
      <c r="L611" s="390"/>
      <c r="M611" s="419"/>
      <c r="N611" s="370"/>
      <c r="O611" s="370"/>
      <c r="P611" s="371"/>
      <c r="Q611" s="365"/>
    </row>
    <row r="612" ht="22.5" customHeight="1">
      <c r="A612" s="146"/>
      <c r="B612" s="413"/>
      <c r="C612" s="367"/>
      <c r="D612" s="420"/>
      <c r="E612" s="405"/>
      <c r="F612" s="404"/>
      <c r="G612" s="352" t="str">
        <f>IFERROR(VLOOKUP(D612,'Client ID Records_v2'!D:E, 2, FALSE), "")</f>
        <v/>
      </c>
      <c r="H612" s="368" t="str">
        <f>IFERROR(VLOOKUP(G612,'Client ID Records_v2'!E:F, 2, FALSE), "")</f>
        <v/>
      </c>
      <c r="I612" s="352"/>
      <c r="J612" s="358" t="str">
        <f>IFERROR(VLOOKUP(I612,'Project Records_v2'!F:G, 2, FALSE), "")</f>
        <v/>
      </c>
      <c r="K612" s="143"/>
      <c r="L612" s="390"/>
      <c r="M612" s="419"/>
      <c r="N612" s="370"/>
      <c r="O612" s="370"/>
      <c r="P612" s="371"/>
      <c r="Q612" s="365"/>
    </row>
    <row r="613" ht="22.5" customHeight="1">
      <c r="A613" s="146"/>
      <c r="B613" s="413"/>
      <c r="C613" s="367"/>
      <c r="D613" s="420"/>
      <c r="E613" s="405"/>
      <c r="F613" s="404"/>
      <c r="G613" s="352" t="str">
        <f>IFERROR(VLOOKUP(D613,'Client ID Records_v2'!D:E, 2, FALSE), "")</f>
        <v/>
      </c>
      <c r="H613" s="368" t="str">
        <f>IFERROR(VLOOKUP(G613,'Client ID Records_v2'!E:F, 2, FALSE), "")</f>
        <v/>
      </c>
      <c r="I613" s="352"/>
      <c r="J613" s="358" t="str">
        <f>IFERROR(VLOOKUP(I613,'Project Records_v2'!F:G, 2, FALSE), "")</f>
        <v/>
      </c>
      <c r="K613" s="143"/>
      <c r="L613" s="390"/>
      <c r="M613" s="419"/>
      <c r="N613" s="370"/>
      <c r="O613" s="370"/>
      <c r="P613" s="371"/>
      <c r="Q613" s="365"/>
    </row>
    <row r="614" ht="22.5" customHeight="1">
      <c r="A614" s="146"/>
      <c r="B614" s="413"/>
      <c r="C614" s="367"/>
      <c r="D614" s="420"/>
      <c r="E614" s="405"/>
      <c r="F614" s="404"/>
      <c r="G614" s="352" t="str">
        <f>IFERROR(VLOOKUP(D614,'Client ID Records_v2'!D:E, 2, FALSE), "")</f>
        <v/>
      </c>
      <c r="H614" s="368" t="str">
        <f>IFERROR(VLOOKUP(G614,'Client ID Records_v2'!E:F, 2, FALSE), "")</f>
        <v/>
      </c>
      <c r="I614" s="352"/>
      <c r="J614" s="358" t="str">
        <f>IFERROR(VLOOKUP(I614,'Project Records_v2'!F:G, 2, FALSE), "")</f>
        <v/>
      </c>
      <c r="K614" s="143"/>
      <c r="L614" s="390"/>
      <c r="M614" s="419"/>
      <c r="N614" s="370"/>
      <c r="O614" s="370"/>
      <c r="P614" s="371"/>
      <c r="Q614" s="365"/>
    </row>
    <row r="615" ht="22.5" customHeight="1">
      <c r="A615" s="146"/>
      <c r="B615" s="413"/>
      <c r="C615" s="367"/>
      <c r="D615" s="420"/>
      <c r="E615" s="405"/>
      <c r="F615" s="404"/>
      <c r="G615" s="352" t="str">
        <f>IFERROR(VLOOKUP(D615,'Client ID Records_v2'!D:E, 2, FALSE), "")</f>
        <v/>
      </c>
      <c r="H615" s="368" t="str">
        <f>IFERROR(VLOOKUP(G615,'Client ID Records_v2'!E:F, 2, FALSE), "")</f>
        <v/>
      </c>
      <c r="I615" s="352"/>
      <c r="J615" s="358" t="str">
        <f>IFERROR(VLOOKUP(I615,'Project Records_v2'!F:G, 2, FALSE), "")</f>
        <v/>
      </c>
      <c r="K615" s="143"/>
      <c r="L615" s="390"/>
      <c r="M615" s="419"/>
      <c r="N615" s="370"/>
      <c r="O615" s="370"/>
      <c r="P615" s="371"/>
      <c r="Q615" s="365"/>
    </row>
    <row r="616" ht="22.5" customHeight="1">
      <c r="A616" s="146"/>
      <c r="B616" s="413"/>
      <c r="C616" s="367"/>
      <c r="D616" s="420"/>
      <c r="E616" s="405"/>
      <c r="F616" s="404"/>
      <c r="G616" s="352" t="str">
        <f>IFERROR(VLOOKUP(D616,'Client ID Records_v2'!D:E, 2, FALSE), "")</f>
        <v/>
      </c>
      <c r="H616" s="368" t="str">
        <f>IFERROR(VLOOKUP(G616,'Client ID Records_v2'!E:F, 2, FALSE), "")</f>
        <v/>
      </c>
      <c r="I616" s="352"/>
      <c r="J616" s="358" t="str">
        <f>IFERROR(VLOOKUP(I616,'Project Records_v2'!F:G, 2, FALSE), "")</f>
        <v/>
      </c>
      <c r="K616" s="143"/>
      <c r="L616" s="390"/>
      <c r="M616" s="419"/>
      <c r="N616" s="370"/>
      <c r="O616" s="370"/>
      <c r="P616" s="371"/>
      <c r="Q616" s="365"/>
    </row>
    <row r="617" ht="22.5" customHeight="1">
      <c r="A617" s="146"/>
      <c r="B617" s="413"/>
      <c r="C617" s="367"/>
      <c r="D617" s="420"/>
      <c r="E617" s="405"/>
      <c r="F617" s="404"/>
      <c r="G617" s="352" t="str">
        <f>IFERROR(VLOOKUP(D617,'Client ID Records_v2'!D:E, 2, FALSE), "")</f>
        <v/>
      </c>
      <c r="H617" s="368" t="str">
        <f>IFERROR(VLOOKUP(G617,'Client ID Records_v2'!E:F, 2, FALSE), "")</f>
        <v/>
      </c>
      <c r="I617" s="352"/>
      <c r="J617" s="358" t="str">
        <f>IFERROR(VLOOKUP(I617,'Project Records_v2'!F:G, 2, FALSE), "")</f>
        <v/>
      </c>
      <c r="K617" s="143"/>
      <c r="L617" s="390"/>
      <c r="M617" s="419"/>
      <c r="N617" s="370"/>
      <c r="O617" s="370"/>
      <c r="P617" s="371"/>
      <c r="Q617" s="365"/>
    </row>
    <row r="618" ht="22.5" customHeight="1">
      <c r="A618" s="146"/>
      <c r="B618" s="413"/>
      <c r="C618" s="367"/>
      <c r="D618" s="420"/>
      <c r="E618" s="405"/>
      <c r="F618" s="404"/>
      <c r="G618" s="352" t="str">
        <f>IFERROR(VLOOKUP(D618,'Client ID Records_v2'!D:E, 2, FALSE), "")</f>
        <v/>
      </c>
      <c r="H618" s="368" t="str">
        <f>IFERROR(VLOOKUP(G618,'Client ID Records_v2'!E:F, 2, FALSE), "")</f>
        <v/>
      </c>
      <c r="I618" s="352"/>
      <c r="J618" s="358" t="str">
        <f>IFERROR(VLOOKUP(I618,'Project Records_v2'!F:G, 2, FALSE), "")</f>
        <v/>
      </c>
      <c r="K618" s="143"/>
      <c r="L618" s="390"/>
      <c r="M618" s="419"/>
      <c r="N618" s="370"/>
      <c r="O618" s="370"/>
      <c r="P618" s="371"/>
      <c r="Q618" s="365"/>
    </row>
    <row r="619" ht="22.5" customHeight="1">
      <c r="A619" s="146"/>
      <c r="B619" s="413"/>
      <c r="C619" s="367"/>
      <c r="D619" s="420"/>
      <c r="E619" s="405"/>
      <c r="F619" s="404"/>
      <c r="G619" s="352" t="str">
        <f>IFERROR(VLOOKUP(D619,'Client ID Records_v2'!D:E, 2, FALSE), "")</f>
        <v/>
      </c>
      <c r="H619" s="368" t="str">
        <f>IFERROR(VLOOKUP(G619,'Client ID Records_v2'!E:F, 2, FALSE), "")</f>
        <v/>
      </c>
      <c r="I619" s="352"/>
      <c r="J619" s="358" t="str">
        <f>IFERROR(VLOOKUP(I619,'Project Records_v2'!F:G, 2, FALSE), "")</f>
        <v/>
      </c>
      <c r="K619" s="143"/>
      <c r="L619" s="390"/>
      <c r="M619" s="419"/>
      <c r="N619" s="370"/>
      <c r="O619" s="370"/>
      <c r="P619" s="371"/>
      <c r="Q619" s="365"/>
    </row>
    <row r="620" ht="22.5" customHeight="1">
      <c r="A620" s="146"/>
      <c r="B620" s="413"/>
      <c r="C620" s="367"/>
      <c r="D620" s="420"/>
      <c r="E620" s="405"/>
      <c r="F620" s="404"/>
      <c r="G620" s="352" t="str">
        <f>IFERROR(VLOOKUP(D620,'Client ID Records_v2'!D:E, 2, FALSE), "")</f>
        <v/>
      </c>
      <c r="H620" s="368" t="str">
        <f>IFERROR(VLOOKUP(G620,'Client ID Records_v2'!E:F, 2, FALSE), "")</f>
        <v/>
      </c>
      <c r="I620" s="352"/>
      <c r="J620" s="358" t="str">
        <f>IFERROR(VLOOKUP(I620,'Project Records_v2'!F:G, 2, FALSE), "")</f>
        <v/>
      </c>
      <c r="K620" s="143"/>
      <c r="L620" s="390"/>
      <c r="M620" s="419"/>
      <c r="N620" s="370"/>
      <c r="O620" s="370"/>
      <c r="P620" s="371"/>
      <c r="Q620" s="365"/>
    </row>
    <row r="621" ht="22.5" customHeight="1">
      <c r="A621" s="146"/>
      <c r="B621" s="413"/>
      <c r="C621" s="367"/>
      <c r="D621" s="420"/>
      <c r="E621" s="405"/>
      <c r="F621" s="404"/>
      <c r="G621" s="352" t="str">
        <f>IFERROR(VLOOKUP(D621,'Client ID Records_v2'!D:E, 2, FALSE), "")</f>
        <v/>
      </c>
      <c r="H621" s="368" t="str">
        <f>IFERROR(VLOOKUP(G621,'Client ID Records_v2'!E:F, 2, FALSE), "")</f>
        <v/>
      </c>
      <c r="I621" s="352"/>
      <c r="J621" s="358" t="str">
        <f>IFERROR(VLOOKUP(I621,'Project Records_v2'!F:G, 2, FALSE), "")</f>
        <v/>
      </c>
      <c r="K621" s="143"/>
      <c r="L621" s="390"/>
      <c r="M621" s="419"/>
      <c r="N621" s="370"/>
      <c r="O621" s="370"/>
      <c r="P621" s="371"/>
      <c r="Q621" s="365"/>
    </row>
    <row r="622" ht="22.5" customHeight="1">
      <c r="A622" s="146"/>
      <c r="B622" s="413"/>
      <c r="C622" s="367"/>
      <c r="D622" s="420"/>
      <c r="E622" s="405"/>
      <c r="F622" s="404"/>
      <c r="G622" s="352" t="str">
        <f>IFERROR(VLOOKUP(D622,'Client ID Records_v2'!D:E, 2, FALSE), "")</f>
        <v/>
      </c>
      <c r="H622" s="368" t="str">
        <f>IFERROR(VLOOKUP(G622,'Client ID Records_v2'!E:F, 2, FALSE), "")</f>
        <v/>
      </c>
      <c r="I622" s="352"/>
      <c r="J622" s="358" t="str">
        <f>IFERROR(VLOOKUP(I622,'Project Records_v2'!F:G, 2, FALSE), "")</f>
        <v/>
      </c>
      <c r="K622" s="143"/>
      <c r="L622" s="390"/>
      <c r="M622" s="419"/>
      <c r="N622" s="370"/>
      <c r="O622" s="370"/>
      <c r="P622" s="371"/>
      <c r="Q622" s="365"/>
    </row>
    <row r="623" ht="22.5" customHeight="1">
      <c r="A623" s="146"/>
      <c r="B623" s="413"/>
      <c r="C623" s="367"/>
      <c r="D623" s="420"/>
      <c r="E623" s="405"/>
      <c r="F623" s="404"/>
      <c r="G623" s="352" t="str">
        <f>IFERROR(VLOOKUP(D623,'Client ID Records_v2'!D:E, 2, FALSE), "")</f>
        <v/>
      </c>
      <c r="H623" s="368" t="str">
        <f>IFERROR(VLOOKUP(G623,'Client ID Records_v2'!E:F, 2, FALSE), "")</f>
        <v/>
      </c>
      <c r="I623" s="352"/>
      <c r="J623" s="358" t="str">
        <f>IFERROR(VLOOKUP(I623,'Project Records_v2'!F:G, 2, FALSE), "")</f>
        <v/>
      </c>
      <c r="K623" s="143"/>
      <c r="L623" s="390"/>
      <c r="M623" s="419"/>
      <c r="N623" s="370"/>
      <c r="O623" s="370"/>
      <c r="P623" s="371"/>
      <c r="Q623" s="365"/>
    </row>
    <row r="624" ht="22.5" customHeight="1">
      <c r="A624" s="146"/>
      <c r="B624" s="413"/>
      <c r="C624" s="367"/>
      <c r="D624" s="420"/>
      <c r="E624" s="405"/>
      <c r="F624" s="404"/>
      <c r="G624" s="352" t="str">
        <f>IFERROR(VLOOKUP(D624,'Client ID Records_v2'!D:E, 2, FALSE), "")</f>
        <v/>
      </c>
      <c r="H624" s="368" t="str">
        <f>IFERROR(VLOOKUP(G624,'Client ID Records_v2'!E:F, 2, FALSE), "")</f>
        <v/>
      </c>
      <c r="I624" s="352"/>
      <c r="J624" s="358" t="str">
        <f>IFERROR(VLOOKUP(I624,'Project Records_v2'!F:G, 2, FALSE), "")</f>
        <v/>
      </c>
      <c r="K624" s="143"/>
      <c r="L624" s="390"/>
      <c r="M624" s="419"/>
      <c r="N624" s="370"/>
      <c r="O624" s="370"/>
      <c r="P624" s="371"/>
      <c r="Q624" s="365"/>
    </row>
    <row r="625" ht="22.5" customHeight="1">
      <c r="A625" s="146"/>
      <c r="B625" s="413"/>
      <c r="C625" s="367"/>
      <c r="D625" s="420"/>
      <c r="E625" s="405"/>
      <c r="F625" s="404"/>
      <c r="G625" s="352" t="str">
        <f>IFERROR(VLOOKUP(D625,'Client ID Records_v2'!D:E, 2, FALSE), "")</f>
        <v/>
      </c>
      <c r="H625" s="368" t="str">
        <f>IFERROR(VLOOKUP(G625,'Client ID Records_v2'!E:F, 2, FALSE), "")</f>
        <v/>
      </c>
      <c r="I625" s="352"/>
      <c r="J625" s="358" t="str">
        <f>IFERROR(VLOOKUP(I625,'Project Records_v2'!F:G, 2, FALSE), "")</f>
        <v/>
      </c>
      <c r="K625" s="143"/>
      <c r="L625" s="390"/>
      <c r="M625" s="419"/>
      <c r="N625" s="370"/>
      <c r="O625" s="370"/>
      <c r="P625" s="371"/>
      <c r="Q625" s="365"/>
    </row>
    <row r="626" ht="22.5" customHeight="1">
      <c r="A626" s="146"/>
      <c r="B626" s="413"/>
      <c r="C626" s="367"/>
      <c r="D626" s="420"/>
      <c r="E626" s="405"/>
      <c r="F626" s="404"/>
      <c r="G626" s="352" t="str">
        <f>IFERROR(VLOOKUP(D626,'Client ID Records_v2'!D:E, 2, FALSE), "")</f>
        <v/>
      </c>
      <c r="H626" s="368" t="str">
        <f>IFERROR(VLOOKUP(G626,'Client ID Records_v2'!E:F, 2, FALSE), "")</f>
        <v/>
      </c>
      <c r="I626" s="352"/>
      <c r="J626" s="358" t="str">
        <f>IFERROR(VLOOKUP(I626,'Project Records_v2'!F:G, 2, FALSE), "")</f>
        <v/>
      </c>
      <c r="K626" s="143"/>
      <c r="L626" s="390"/>
      <c r="M626" s="419"/>
      <c r="N626" s="370"/>
      <c r="O626" s="370"/>
      <c r="P626" s="371"/>
      <c r="Q626" s="365"/>
    </row>
    <row r="627" ht="22.5" customHeight="1">
      <c r="A627" s="146"/>
      <c r="B627" s="413"/>
      <c r="C627" s="367"/>
      <c r="D627" s="420"/>
      <c r="E627" s="405"/>
      <c r="F627" s="404"/>
      <c r="G627" s="352" t="str">
        <f>IFERROR(VLOOKUP(D627,'Client ID Records_v2'!D:E, 2, FALSE), "")</f>
        <v/>
      </c>
      <c r="H627" s="368" t="str">
        <f>IFERROR(VLOOKUP(G627,'Client ID Records_v2'!E:F, 2, FALSE), "")</f>
        <v/>
      </c>
      <c r="I627" s="352"/>
      <c r="J627" s="358" t="str">
        <f>IFERROR(VLOOKUP(I627,'Project Records_v2'!F:G, 2, FALSE), "")</f>
        <v/>
      </c>
      <c r="K627" s="143"/>
      <c r="L627" s="390"/>
      <c r="M627" s="419"/>
      <c r="N627" s="370"/>
      <c r="O627" s="370"/>
      <c r="P627" s="371"/>
      <c r="Q627" s="365"/>
    </row>
    <row r="628" ht="22.5" customHeight="1">
      <c r="A628" s="146"/>
      <c r="B628" s="413"/>
      <c r="C628" s="367"/>
      <c r="D628" s="420"/>
      <c r="E628" s="405"/>
      <c r="F628" s="404"/>
      <c r="G628" s="352" t="str">
        <f>IFERROR(VLOOKUP(D628,'Client ID Records_v2'!D:E, 2, FALSE), "")</f>
        <v/>
      </c>
      <c r="H628" s="368" t="str">
        <f>IFERROR(VLOOKUP(G628,'Client ID Records_v2'!E:F, 2, FALSE), "")</f>
        <v/>
      </c>
      <c r="I628" s="352"/>
      <c r="J628" s="358" t="str">
        <f>IFERROR(VLOOKUP(I628,'Project Records_v2'!F:G, 2, FALSE), "")</f>
        <v/>
      </c>
      <c r="K628" s="143"/>
      <c r="L628" s="390"/>
      <c r="M628" s="419"/>
      <c r="N628" s="370"/>
      <c r="O628" s="370"/>
      <c r="P628" s="371"/>
      <c r="Q628" s="365"/>
    </row>
    <row r="629" ht="22.5" customHeight="1">
      <c r="A629" s="146"/>
      <c r="B629" s="413"/>
      <c r="C629" s="367"/>
      <c r="D629" s="420"/>
      <c r="E629" s="405"/>
      <c r="F629" s="404"/>
      <c r="G629" s="352" t="str">
        <f>IFERROR(VLOOKUP(D629,'Client ID Records_v2'!D:E, 2, FALSE), "")</f>
        <v/>
      </c>
      <c r="H629" s="368" t="str">
        <f>IFERROR(VLOOKUP(G629,'Client ID Records_v2'!E:F, 2, FALSE), "")</f>
        <v/>
      </c>
      <c r="I629" s="352"/>
      <c r="J629" s="358" t="str">
        <f>IFERROR(VLOOKUP(I629,'Project Records_v2'!F:G, 2, FALSE), "")</f>
        <v/>
      </c>
      <c r="K629" s="143"/>
      <c r="L629" s="390"/>
      <c r="M629" s="419"/>
      <c r="N629" s="370"/>
      <c r="O629" s="370"/>
      <c r="P629" s="371"/>
      <c r="Q629" s="365"/>
    </row>
    <row r="630" ht="22.5" customHeight="1">
      <c r="A630" s="146"/>
      <c r="B630" s="413"/>
      <c r="C630" s="367"/>
      <c r="D630" s="420"/>
      <c r="E630" s="405"/>
      <c r="F630" s="404"/>
      <c r="G630" s="352" t="str">
        <f>IFERROR(VLOOKUP(D630,'Client ID Records_v2'!D:E, 2, FALSE), "")</f>
        <v/>
      </c>
      <c r="H630" s="368" t="str">
        <f>IFERROR(VLOOKUP(G630,'Client ID Records_v2'!E:F, 2, FALSE), "")</f>
        <v/>
      </c>
      <c r="I630" s="352"/>
      <c r="J630" s="358" t="str">
        <f>IFERROR(VLOOKUP(I630,'Project Records_v2'!F:G, 2, FALSE), "")</f>
        <v/>
      </c>
      <c r="K630" s="143"/>
      <c r="L630" s="390"/>
      <c r="M630" s="419"/>
      <c r="N630" s="370"/>
      <c r="O630" s="370"/>
      <c r="P630" s="371"/>
      <c r="Q630" s="365"/>
    </row>
    <row r="631" ht="22.5" customHeight="1">
      <c r="A631" s="146"/>
      <c r="B631" s="413"/>
      <c r="C631" s="367"/>
      <c r="D631" s="420"/>
      <c r="E631" s="405"/>
      <c r="F631" s="404"/>
      <c r="G631" s="352" t="str">
        <f>IFERROR(VLOOKUP(D631,'Client ID Records_v2'!D:E, 2, FALSE), "")</f>
        <v/>
      </c>
      <c r="H631" s="368" t="str">
        <f>IFERROR(VLOOKUP(G631,'Client ID Records_v2'!E:F, 2, FALSE), "")</f>
        <v/>
      </c>
      <c r="I631" s="352"/>
      <c r="J631" s="358" t="str">
        <f>IFERROR(VLOOKUP(I631,'Project Records_v2'!F:G, 2, FALSE), "")</f>
        <v/>
      </c>
      <c r="K631" s="143"/>
      <c r="L631" s="390"/>
      <c r="M631" s="419"/>
      <c r="N631" s="370"/>
      <c r="O631" s="370"/>
      <c r="P631" s="371"/>
      <c r="Q631" s="365"/>
    </row>
    <row r="632" ht="22.5" customHeight="1">
      <c r="A632" s="146"/>
      <c r="B632" s="413"/>
      <c r="C632" s="367"/>
      <c r="D632" s="420"/>
      <c r="E632" s="405"/>
      <c r="F632" s="404"/>
      <c r="G632" s="352" t="str">
        <f>IFERROR(VLOOKUP(D632,'Client ID Records_v2'!D:E, 2, FALSE), "")</f>
        <v/>
      </c>
      <c r="H632" s="368" t="str">
        <f>IFERROR(VLOOKUP(G632,'Client ID Records_v2'!E:F, 2, FALSE), "")</f>
        <v/>
      </c>
      <c r="I632" s="352"/>
      <c r="J632" s="358" t="str">
        <f>IFERROR(VLOOKUP(I632,'Project Records_v2'!F:G, 2, FALSE), "")</f>
        <v/>
      </c>
      <c r="K632" s="143"/>
      <c r="L632" s="390"/>
      <c r="M632" s="419"/>
      <c r="N632" s="370"/>
      <c r="O632" s="370"/>
      <c r="P632" s="371"/>
      <c r="Q632" s="365"/>
    </row>
    <row r="633" ht="22.5" customHeight="1">
      <c r="A633" s="146"/>
      <c r="B633" s="413"/>
      <c r="C633" s="367"/>
      <c r="D633" s="420"/>
      <c r="E633" s="405"/>
      <c r="F633" s="404"/>
      <c r="G633" s="352" t="str">
        <f>IFERROR(VLOOKUP(D633,'Client ID Records_v2'!D:E, 2, FALSE), "")</f>
        <v/>
      </c>
      <c r="H633" s="368" t="str">
        <f>IFERROR(VLOOKUP(G633,'Client ID Records_v2'!E:F, 2, FALSE), "")</f>
        <v/>
      </c>
      <c r="I633" s="352"/>
      <c r="J633" s="358" t="str">
        <f>IFERROR(VLOOKUP(I633,'Project Records_v2'!F:G, 2, FALSE), "")</f>
        <v/>
      </c>
      <c r="K633" s="143"/>
      <c r="L633" s="390"/>
      <c r="M633" s="419"/>
      <c r="N633" s="370"/>
      <c r="O633" s="370"/>
      <c r="P633" s="371"/>
      <c r="Q633" s="365"/>
    </row>
    <row r="634" ht="22.5" customHeight="1">
      <c r="A634" s="146"/>
      <c r="B634" s="413"/>
      <c r="C634" s="367"/>
      <c r="D634" s="420"/>
      <c r="E634" s="405"/>
      <c r="F634" s="404"/>
      <c r="G634" s="352" t="str">
        <f>IFERROR(VLOOKUP(D634,'Client ID Records_v2'!D:E, 2, FALSE), "")</f>
        <v/>
      </c>
      <c r="H634" s="368" t="str">
        <f>IFERROR(VLOOKUP(G634,'Client ID Records_v2'!E:F, 2, FALSE), "")</f>
        <v/>
      </c>
      <c r="I634" s="352"/>
      <c r="J634" s="358" t="str">
        <f>IFERROR(VLOOKUP(I634,'Project Records_v2'!F:G, 2, FALSE), "")</f>
        <v/>
      </c>
      <c r="K634" s="143"/>
      <c r="L634" s="390"/>
      <c r="M634" s="419"/>
      <c r="N634" s="370"/>
      <c r="O634" s="370"/>
      <c r="P634" s="371"/>
      <c r="Q634" s="365"/>
    </row>
    <row r="635" ht="22.5" customHeight="1">
      <c r="A635" s="146"/>
      <c r="B635" s="413"/>
      <c r="C635" s="367"/>
      <c r="D635" s="420"/>
      <c r="E635" s="405"/>
      <c r="F635" s="404"/>
      <c r="G635" s="352" t="str">
        <f>IFERROR(VLOOKUP(D635,'Client ID Records_v2'!D:E, 2, FALSE), "")</f>
        <v/>
      </c>
      <c r="H635" s="368" t="str">
        <f>IFERROR(VLOOKUP(G635,'Client ID Records_v2'!E:F, 2, FALSE), "")</f>
        <v/>
      </c>
      <c r="I635" s="352"/>
      <c r="J635" s="358" t="str">
        <f>IFERROR(VLOOKUP(I635,'Project Records_v2'!F:G, 2, FALSE), "")</f>
        <v/>
      </c>
      <c r="K635" s="143"/>
      <c r="L635" s="390"/>
      <c r="M635" s="419"/>
      <c r="N635" s="370"/>
      <c r="O635" s="370"/>
      <c r="P635" s="371"/>
      <c r="Q635" s="365"/>
    </row>
    <row r="636" ht="22.5" customHeight="1">
      <c r="A636" s="146"/>
      <c r="B636" s="413"/>
      <c r="C636" s="367"/>
      <c r="D636" s="420"/>
      <c r="E636" s="405"/>
      <c r="F636" s="404"/>
      <c r="G636" s="352" t="str">
        <f>IFERROR(VLOOKUP(D636,'Client ID Records_v2'!D:E, 2, FALSE), "")</f>
        <v/>
      </c>
      <c r="H636" s="368" t="str">
        <f>IFERROR(VLOOKUP(G636,'Client ID Records_v2'!E:F, 2, FALSE), "")</f>
        <v/>
      </c>
      <c r="I636" s="352"/>
      <c r="J636" s="358" t="str">
        <f>IFERROR(VLOOKUP(I636,'Project Records_v2'!F:G, 2, FALSE), "")</f>
        <v/>
      </c>
      <c r="K636" s="143"/>
      <c r="L636" s="390"/>
      <c r="M636" s="419"/>
      <c r="N636" s="370"/>
      <c r="O636" s="370"/>
      <c r="P636" s="371"/>
      <c r="Q636" s="365"/>
    </row>
    <row r="637" ht="22.5" customHeight="1">
      <c r="A637" s="146"/>
      <c r="B637" s="413"/>
      <c r="C637" s="367"/>
      <c r="D637" s="420"/>
      <c r="E637" s="405"/>
      <c r="F637" s="404"/>
      <c r="G637" s="352" t="str">
        <f>IFERROR(VLOOKUP(D637,'Client ID Records_v2'!D:E, 2, FALSE), "")</f>
        <v/>
      </c>
      <c r="H637" s="368" t="str">
        <f>IFERROR(VLOOKUP(G637,'Client ID Records_v2'!E:F, 2, FALSE), "")</f>
        <v/>
      </c>
      <c r="I637" s="352"/>
      <c r="J637" s="358" t="str">
        <f>IFERROR(VLOOKUP(I637,'Project Records_v2'!F:G, 2, FALSE), "")</f>
        <v/>
      </c>
      <c r="K637" s="143"/>
      <c r="L637" s="390"/>
      <c r="M637" s="419"/>
      <c r="N637" s="370"/>
      <c r="O637" s="370"/>
      <c r="P637" s="371"/>
      <c r="Q637" s="365"/>
    </row>
    <row r="638" ht="22.5" customHeight="1">
      <c r="A638" s="146"/>
      <c r="B638" s="413"/>
      <c r="C638" s="367"/>
      <c r="D638" s="420"/>
      <c r="E638" s="405"/>
      <c r="F638" s="404"/>
      <c r="G638" s="352" t="str">
        <f>IFERROR(VLOOKUP(D638,'Client ID Records_v2'!D:E, 2, FALSE), "")</f>
        <v/>
      </c>
      <c r="H638" s="368" t="str">
        <f>IFERROR(VLOOKUP(G638,'Client ID Records_v2'!E:F, 2, FALSE), "")</f>
        <v/>
      </c>
      <c r="I638" s="352"/>
      <c r="J638" s="358" t="str">
        <f>IFERROR(VLOOKUP(I638,'Project Records_v2'!F:G, 2, FALSE), "")</f>
        <v/>
      </c>
      <c r="K638" s="143"/>
      <c r="L638" s="390"/>
      <c r="M638" s="419"/>
      <c r="N638" s="370"/>
      <c r="O638" s="370"/>
      <c r="P638" s="371"/>
      <c r="Q638" s="365"/>
    </row>
    <row r="639" ht="22.5" customHeight="1">
      <c r="A639" s="146"/>
      <c r="B639" s="413"/>
      <c r="C639" s="367"/>
      <c r="D639" s="420"/>
      <c r="E639" s="405"/>
      <c r="F639" s="404"/>
      <c r="G639" s="352" t="str">
        <f>IFERROR(VLOOKUP(D639,'Client ID Records_v2'!D:E, 2, FALSE), "")</f>
        <v/>
      </c>
      <c r="H639" s="368" t="str">
        <f>IFERROR(VLOOKUP(G639,'Client ID Records_v2'!E:F, 2, FALSE), "")</f>
        <v/>
      </c>
      <c r="I639" s="352"/>
      <c r="J639" s="358" t="str">
        <f>IFERROR(VLOOKUP(I639,'Project Records_v2'!F:G, 2, FALSE), "")</f>
        <v/>
      </c>
      <c r="K639" s="143"/>
      <c r="L639" s="390"/>
      <c r="M639" s="419"/>
      <c r="N639" s="370"/>
      <c r="O639" s="370"/>
      <c r="P639" s="371"/>
      <c r="Q639" s="365"/>
    </row>
    <row r="640" ht="22.5" customHeight="1">
      <c r="A640" s="146"/>
      <c r="B640" s="413"/>
      <c r="C640" s="367"/>
      <c r="D640" s="420"/>
      <c r="E640" s="405"/>
      <c r="F640" s="404"/>
      <c r="G640" s="352" t="str">
        <f>IFERROR(VLOOKUP(D640,'Client ID Records_v2'!D:E, 2, FALSE), "")</f>
        <v/>
      </c>
      <c r="H640" s="368" t="str">
        <f>IFERROR(VLOOKUP(G640,'Client ID Records_v2'!E:F, 2, FALSE), "")</f>
        <v/>
      </c>
      <c r="I640" s="352"/>
      <c r="J640" s="358" t="str">
        <f>IFERROR(VLOOKUP(I640,'Project Records_v2'!F:G, 2, FALSE), "")</f>
        <v/>
      </c>
      <c r="K640" s="143"/>
      <c r="L640" s="390"/>
      <c r="M640" s="419"/>
      <c r="N640" s="370"/>
      <c r="O640" s="370"/>
      <c r="P640" s="371"/>
      <c r="Q640" s="365"/>
    </row>
    <row r="641" ht="22.5" customHeight="1">
      <c r="A641" s="146"/>
      <c r="B641" s="413"/>
      <c r="C641" s="367"/>
      <c r="D641" s="420"/>
      <c r="E641" s="405"/>
      <c r="F641" s="404"/>
      <c r="G641" s="352" t="str">
        <f>IFERROR(VLOOKUP(D641,'Client ID Records_v2'!D:E, 2, FALSE), "")</f>
        <v/>
      </c>
      <c r="H641" s="368" t="str">
        <f>IFERROR(VLOOKUP(G641,'Client ID Records_v2'!E:F, 2, FALSE), "")</f>
        <v/>
      </c>
      <c r="I641" s="352"/>
      <c r="J641" s="358" t="str">
        <f>IFERROR(VLOOKUP(I641,'Project Records_v2'!F:G, 2, FALSE), "")</f>
        <v/>
      </c>
      <c r="K641" s="143"/>
      <c r="L641" s="390"/>
      <c r="M641" s="419"/>
      <c r="N641" s="370"/>
      <c r="O641" s="370"/>
      <c r="P641" s="371"/>
      <c r="Q641" s="365"/>
    </row>
    <row r="642" ht="22.5" customHeight="1">
      <c r="A642" s="146"/>
      <c r="B642" s="413"/>
      <c r="C642" s="367"/>
      <c r="D642" s="420"/>
      <c r="E642" s="405"/>
      <c r="F642" s="404"/>
      <c r="G642" s="352" t="str">
        <f>IFERROR(VLOOKUP(D642,'Client ID Records_v2'!D:E, 2, FALSE), "")</f>
        <v/>
      </c>
      <c r="H642" s="368" t="str">
        <f>IFERROR(VLOOKUP(G642,'Client ID Records_v2'!E:F, 2, FALSE), "")</f>
        <v/>
      </c>
      <c r="I642" s="352"/>
      <c r="J642" s="358" t="str">
        <f>IFERROR(VLOOKUP(I642,'Project Records_v2'!F:G, 2, FALSE), "")</f>
        <v/>
      </c>
      <c r="K642" s="143"/>
      <c r="L642" s="390"/>
      <c r="M642" s="419"/>
      <c r="N642" s="370"/>
      <c r="O642" s="370"/>
      <c r="P642" s="371"/>
      <c r="Q642" s="365"/>
    </row>
    <row r="643" ht="22.5" customHeight="1">
      <c r="A643" s="146"/>
      <c r="B643" s="413"/>
      <c r="C643" s="367"/>
      <c r="D643" s="420"/>
      <c r="E643" s="405"/>
      <c r="F643" s="404"/>
      <c r="G643" s="352" t="str">
        <f>IFERROR(VLOOKUP(D643,'Client ID Records_v2'!D:E, 2, FALSE), "")</f>
        <v/>
      </c>
      <c r="H643" s="368" t="str">
        <f>IFERROR(VLOOKUP(G643,'Client ID Records_v2'!E:F, 2, FALSE), "")</f>
        <v/>
      </c>
      <c r="I643" s="352"/>
      <c r="J643" s="358" t="str">
        <f>IFERROR(VLOOKUP(I643,'Project Records_v2'!F:G, 2, FALSE), "")</f>
        <v/>
      </c>
      <c r="K643" s="143"/>
      <c r="L643" s="390"/>
      <c r="M643" s="419"/>
      <c r="N643" s="370"/>
      <c r="O643" s="370"/>
      <c r="P643" s="371"/>
      <c r="Q643" s="365"/>
    </row>
    <row r="644" ht="22.5" customHeight="1">
      <c r="A644" s="146"/>
      <c r="B644" s="413"/>
      <c r="C644" s="367"/>
      <c r="D644" s="420"/>
      <c r="E644" s="405"/>
      <c r="F644" s="404"/>
      <c r="G644" s="352" t="str">
        <f>IFERROR(VLOOKUP(D644,'Client ID Records_v2'!D:E, 2, FALSE), "")</f>
        <v/>
      </c>
      <c r="H644" s="368" t="str">
        <f>IFERROR(VLOOKUP(G644,'Client ID Records_v2'!E:F, 2, FALSE), "")</f>
        <v/>
      </c>
      <c r="I644" s="352"/>
      <c r="J644" s="358" t="str">
        <f>IFERROR(VLOOKUP(I644,'Project Records_v2'!F:G, 2, FALSE), "")</f>
        <v/>
      </c>
      <c r="K644" s="143"/>
      <c r="L644" s="390"/>
      <c r="M644" s="419"/>
      <c r="N644" s="370"/>
      <c r="O644" s="370"/>
      <c r="P644" s="371"/>
      <c r="Q644" s="365"/>
    </row>
    <row r="645" ht="22.5" customHeight="1">
      <c r="A645" s="146"/>
      <c r="B645" s="413"/>
      <c r="C645" s="367"/>
      <c r="D645" s="420"/>
      <c r="E645" s="405"/>
      <c r="F645" s="404"/>
      <c r="G645" s="352" t="str">
        <f>IFERROR(VLOOKUP(D645,'Client ID Records_v2'!D:E, 2, FALSE), "")</f>
        <v/>
      </c>
      <c r="H645" s="368" t="str">
        <f>IFERROR(VLOOKUP(G645,'Client ID Records_v2'!E:F, 2, FALSE), "")</f>
        <v/>
      </c>
      <c r="I645" s="352"/>
      <c r="J645" s="358" t="str">
        <f>IFERROR(VLOOKUP(I645,'Project Records_v2'!F:G, 2, FALSE), "")</f>
        <v/>
      </c>
      <c r="K645" s="143"/>
      <c r="L645" s="390"/>
      <c r="M645" s="419"/>
      <c r="N645" s="370"/>
      <c r="O645" s="370"/>
      <c r="P645" s="371"/>
      <c r="Q645" s="365"/>
    </row>
    <row r="646" ht="22.5" customHeight="1">
      <c r="A646" s="146"/>
      <c r="B646" s="413"/>
      <c r="C646" s="367"/>
      <c r="D646" s="420"/>
      <c r="E646" s="405"/>
      <c r="F646" s="404"/>
      <c r="G646" s="352" t="str">
        <f>IFERROR(VLOOKUP(D646,'Client ID Records_v2'!D:E, 2, FALSE), "")</f>
        <v/>
      </c>
      <c r="H646" s="368" t="str">
        <f>IFERROR(VLOOKUP(G646,'Client ID Records_v2'!E:F, 2, FALSE), "")</f>
        <v/>
      </c>
      <c r="I646" s="352"/>
      <c r="J646" s="358" t="str">
        <f>IFERROR(VLOOKUP(I646,'Project Records_v2'!F:G, 2, FALSE), "")</f>
        <v/>
      </c>
      <c r="K646" s="143"/>
      <c r="L646" s="390"/>
      <c r="M646" s="419"/>
      <c r="N646" s="370"/>
      <c r="O646" s="370"/>
      <c r="P646" s="371"/>
      <c r="Q646" s="365"/>
    </row>
    <row r="647" ht="22.5" customHeight="1">
      <c r="A647" s="146"/>
      <c r="B647" s="413"/>
      <c r="C647" s="367"/>
      <c r="D647" s="420"/>
      <c r="E647" s="405"/>
      <c r="F647" s="404"/>
      <c r="G647" s="352" t="str">
        <f>IFERROR(VLOOKUP(D647,'Client ID Records_v2'!D:E, 2, FALSE), "")</f>
        <v/>
      </c>
      <c r="H647" s="368" t="str">
        <f>IFERROR(VLOOKUP(G647,'Client ID Records_v2'!E:F, 2, FALSE), "")</f>
        <v/>
      </c>
      <c r="I647" s="352"/>
      <c r="J647" s="358" t="str">
        <f>IFERROR(VLOOKUP(I647,'Project Records_v2'!F:G, 2, FALSE), "")</f>
        <v/>
      </c>
      <c r="K647" s="143"/>
      <c r="L647" s="390"/>
      <c r="M647" s="419"/>
      <c r="N647" s="370"/>
      <c r="O647" s="370"/>
      <c r="P647" s="371"/>
      <c r="Q647" s="365"/>
    </row>
    <row r="648" ht="22.5" customHeight="1">
      <c r="A648" s="146"/>
      <c r="B648" s="413"/>
      <c r="C648" s="367"/>
      <c r="D648" s="420"/>
      <c r="E648" s="405"/>
      <c r="F648" s="404"/>
      <c r="G648" s="352" t="str">
        <f>IFERROR(VLOOKUP(D648,'Client ID Records_v2'!D:E, 2, FALSE), "")</f>
        <v/>
      </c>
      <c r="H648" s="368" t="str">
        <f>IFERROR(VLOOKUP(G648,'Client ID Records_v2'!E:F, 2, FALSE), "")</f>
        <v/>
      </c>
      <c r="I648" s="352"/>
      <c r="J648" s="358" t="str">
        <f>IFERROR(VLOOKUP(I648,'Project Records_v2'!F:G, 2, FALSE), "")</f>
        <v/>
      </c>
      <c r="K648" s="143"/>
      <c r="L648" s="390"/>
      <c r="M648" s="419"/>
      <c r="N648" s="370"/>
      <c r="O648" s="370"/>
      <c r="P648" s="371"/>
      <c r="Q648" s="365"/>
    </row>
    <row r="649" ht="22.5" customHeight="1">
      <c r="A649" s="146"/>
      <c r="B649" s="413"/>
      <c r="C649" s="367"/>
      <c r="D649" s="420"/>
      <c r="E649" s="405"/>
      <c r="F649" s="404"/>
      <c r="G649" s="352" t="str">
        <f>IFERROR(VLOOKUP(D649,'Client ID Records_v2'!D:E, 2, FALSE), "")</f>
        <v/>
      </c>
      <c r="H649" s="368" t="str">
        <f>IFERROR(VLOOKUP(G649,'Client ID Records_v2'!E:F, 2, FALSE), "")</f>
        <v/>
      </c>
      <c r="I649" s="352"/>
      <c r="J649" s="358" t="str">
        <f>IFERROR(VLOOKUP(I649,'Project Records_v2'!F:G, 2, FALSE), "")</f>
        <v/>
      </c>
      <c r="K649" s="143"/>
      <c r="L649" s="390"/>
      <c r="M649" s="419"/>
      <c r="N649" s="370"/>
      <c r="O649" s="370"/>
      <c r="P649" s="371"/>
      <c r="Q649" s="365"/>
    </row>
    <row r="650" ht="22.5" customHeight="1">
      <c r="A650" s="146"/>
      <c r="B650" s="413"/>
      <c r="C650" s="367"/>
      <c r="D650" s="420"/>
      <c r="E650" s="405"/>
      <c r="F650" s="404"/>
      <c r="G650" s="352" t="str">
        <f>IFERROR(VLOOKUP(D650,'Client ID Records_v2'!D:E, 2, FALSE), "")</f>
        <v/>
      </c>
      <c r="H650" s="368" t="str">
        <f>IFERROR(VLOOKUP(G650,'Client ID Records_v2'!E:F, 2, FALSE), "")</f>
        <v/>
      </c>
      <c r="I650" s="352"/>
      <c r="J650" s="358" t="str">
        <f>IFERROR(VLOOKUP(I650,'Project Records_v2'!F:G, 2, FALSE), "")</f>
        <v/>
      </c>
      <c r="K650" s="143"/>
      <c r="L650" s="390"/>
      <c r="M650" s="419"/>
      <c r="N650" s="370"/>
      <c r="O650" s="370"/>
      <c r="P650" s="371"/>
      <c r="Q650" s="365"/>
    </row>
    <row r="651" ht="22.5" customHeight="1">
      <c r="A651" s="146"/>
      <c r="B651" s="413"/>
      <c r="C651" s="367"/>
      <c r="D651" s="420"/>
      <c r="E651" s="405"/>
      <c r="F651" s="404"/>
      <c r="G651" s="352" t="str">
        <f>IFERROR(VLOOKUP(D651,'Client ID Records_v2'!D:E, 2, FALSE), "")</f>
        <v/>
      </c>
      <c r="H651" s="368" t="str">
        <f>IFERROR(VLOOKUP(G651,'Client ID Records_v2'!E:F, 2, FALSE), "")</f>
        <v/>
      </c>
      <c r="I651" s="352"/>
      <c r="J651" s="358" t="str">
        <f>IFERROR(VLOOKUP(I651,'Project Records_v2'!F:G, 2, FALSE), "")</f>
        <v/>
      </c>
      <c r="K651" s="143"/>
      <c r="L651" s="390"/>
      <c r="M651" s="419"/>
      <c r="N651" s="370"/>
      <c r="O651" s="370"/>
      <c r="P651" s="371"/>
      <c r="Q651" s="365"/>
    </row>
    <row r="652" ht="22.5" customHeight="1">
      <c r="A652" s="146"/>
      <c r="B652" s="413"/>
      <c r="C652" s="367"/>
      <c r="D652" s="420"/>
      <c r="E652" s="405"/>
      <c r="F652" s="404"/>
      <c r="G652" s="352" t="str">
        <f>IFERROR(VLOOKUP(D652,'Client ID Records_v2'!D:E, 2, FALSE), "")</f>
        <v/>
      </c>
      <c r="H652" s="368" t="str">
        <f>IFERROR(VLOOKUP(G652,'Client ID Records_v2'!E:F, 2, FALSE), "")</f>
        <v/>
      </c>
      <c r="I652" s="352"/>
      <c r="J652" s="358" t="str">
        <f>IFERROR(VLOOKUP(I652,'Project Records_v2'!F:G, 2, FALSE), "")</f>
        <v/>
      </c>
      <c r="K652" s="143"/>
      <c r="L652" s="390"/>
      <c r="M652" s="419"/>
      <c r="N652" s="370"/>
      <c r="O652" s="370"/>
      <c r="P652" s="371"/>
      <c r="Q652" s="365"/>
    </row>
    <row r="653" ht="22.5" customHeight="1">
      <c r="A653" s="146"/>
      <c r="B653" s="413"/>
      <c r="C653" s="367"/>
      <c r="D653" s="420"/>
      <c r="E653" s="405"/>
      <c r="F653" s="404"/>
      <c r="G653" s="352" t="str">
        <f>IFERROR(VLOOKUP(D653,'Client ID Records_v2'!D:E, 2, FALSE), "")</f>
        <v/>
      </c>
      <c r="H653" s="368" t="str">
        <f>IFERROR(VLOOKUP(G653,'Client ID Records_v2'!E:F, 2, FALSE), "")</f>
        <v/>
      </c>
      <c r="I653" s="352"/>
      <c r="J653" s="358" t="str">
        <f>IFERROR(VLOOKUP(I653,'Project Records_v2'!F:G, 2, FALSE), "")</f>
        <v/>
      </c>
      <c r="K653" s="143"/>
      <c r="L653" s="390"/>
      <c r="M653" s="419"/>
      <c r="N653" s="370"/>
      <c r="O653" s="370"/>
      <c r="P653" s="371"/>
      <c r="Q653" s="365"/>
    </row>
    <row r="654" ht="22.5" customHeight="1">
      <c r="A654" s="146"/>
      <c r="B654" s="413"/>
      <c r="C654" s="367"/>
      <c r="D654" s="420"/>
      <c r="E654" s="405"/>
      <c r="F654" s="404"/>
      <c r="G654" s="352" t="str">
        <f>IFERROR(VLOOKUP(D654,'Client ID Records_v2'!D:E, 2, FALSE), "")</f>
        <v/>
      </c>
      <c r="H654" s="368" t="str">
        <f>IFERROR(VLOOKUP(G654,'Client ID Records_v2'!E:F, 2, FALSE), "")</f>
        <v/>
      </c>
      <c r="I654" s="352"/>
      <c r="J654" s="358" t="str">
        <f>IFERROR(VLOOKUP(I654,'Project Records_v2'!F:G, 2, FALSE), "")</f>
        <v/>
      </c>
      <c r="K654" s="143"/>
      <c r="L654" s="390"/>
      <c r="M654" s="419"/>
      <c r="N654" s="370"/>
      <c r="O654" s="370"/>
      <c r="P654" s="371"/>
      <c r="Q654" s="365"/>
    </row>
    <row r="655" ht="22.5" customHeight="1">
      <c r="A655" s="146"/>
      <c r="B655" s="413"/>
      <c r="C655" s="367"/>
      <c r="D655" s="420"/>
      <c r="E655" s="405"/>
      <c r="F655" s="404"/>
      <c r="G655" s="352" t="str">
        <f>IFERROR(VLOOKUP(D655,'Client ID Records_v2'!D:E, 2, FALSE), "")</f>
        <v/>
      </c>
      <c r="H655" s="368" t="str">
        <f>IFERROR(VLOOKUP(G655,'Client ID Records_v2'!E:F, 2, FALSE), "")</f>
        <v/>
      </c>
      <c r="I655" s="352"/>
      <c r="J655" s="358" t="str">
        <f>IFERROR(VLOOKUP(I655,'Project Records_v2'!F:G, 2, FALSE), "")</f>
        <v/>
      </c>
      <c r="K655" s="143"/>
      <c r="L655" s="390"/>
      <c r="M655" s="419"/>
      <c r="N655" s="370"/>
      <c r="O655" s="370"/>
      <c r="P655" s="371"/>
      <c r="Q655" s="365"/>
    </row>
    <row r="656" ht="22.5" customHeight="1">
      <c r="A656" s="146"/>
      <c r="B656" s="413"/>
      <c r="C656" s="367"/>
      <c r="D656" s="420"/>
      <c r="E656" s="405"/>
      <c r="F656" s="404"/>
      <c r="G656" s="352" t="str">
        <f>IFERROR(VLOOKUP(D656,'Client ID Records_v2'!D:E, 2, FALSE), "")</f>
        <v/>
      </c>
      <c r="H656" s="368" t="str">
        <f>IFERROR(VLOOKUP(G656,'Client ID Records_v2'!E:F, 2, FALSE), "")</f>
        <v/>
      </c>
      <c r="I656" s="352"/>
      <c r="J656" s="358" t="str">
        <f>IFERROR(VLOOKUP(I656,'Project Records_v2'!F:G, 2, FALSE), "")</f>
        <v/>
      </c>
      <c r="K656" s="143"/>
      <c r="L656" s="390"/>
      <c r="M656" s="419"/>
      <c r="N656" s="370"/>
      <c r="O656" s="370"/>
      <c r="P656" s="371"/>
      <c r="Q656" s="365"/>
    </row>
    <row r="657" ht="22.5" customHeight="1">
      <c r="A657" s="146"/>
      <c r="B657" s="413"/>
      <c r="C657" s="367"/>
      <c r="D657" s="420"/>
      <c r="E657" s="405"/>
      <c r="F657" s="404"/>
      <c r="G657" s="352" t="str">
        <f>IFERROR(VLOOKUP(D657,'Client ID Records_v2'!D:E, 2, FALSE), "")</f>
        <v/>
      </c>
      <c r="H657" s="368" t="str">
        <f>IFERROR(VLOOKUP(G657,'Client ID Records_v2'!E:F, 2, FALSE), "")</f>
        <v/>
      </c>
      <c r="I657" s="352"/>
      <c r="J657" s="358" t="str">
        <f>IFERROR(VLOOKUP(I657,'Project Records_v2'!F:G, 2, FALSE), "")</f>
        <v/>
      </c>
      <c r="K657" s="143"/>
      <c r="L657" s="390"/>
      <c r="M657" s="419"/>
      <c r="N657" s="370"/>
      <c r="O657" s="370"/>
      <c r="P657" s="371"/>
      <c r="Q657" s="365"/>
    </row>
    <row r="658" ht="22.5" customHeight="1">
      <c r="A658" s="146"/>
      <c r="B658" s="413"/>
      <c r="C658" s="367"/>
      <c r="D658" s="420"/>
      <c r="E658" s="405"/>
      <c r="F658" s="404"/>
      <c r="G658" s="352" t="str">
        <f>IFERROR(VLOOKUP(D658,'Client ID Records_v2'!D:E, 2, FALSE), "")</f>
        <v/>
      </c>
      <c r="H658" s="368" t="str">
        <f>IFERROR(VLOOKUP(G658,'Client ID Records_v2'!E:F, 2, FALSE), "")</f>
        <v/>
      </c>
      <c r="I658" s="352"/>
      <c r="J658" s="358" t="str">
        <f>IFERROR(VLOOKUP(I658,'Project Records_v2'!F:G, 2, FALSE), "")</f>
        <v/>
      </c>
      <c r="K658" s="143"/>
      <c r="L658" s="390"/>
      <c r="M658" s="419"/>
      <c r="N658" s="370"/>
      <c r="O658" s="370"/>
      <c r="P658" s="371"/>
      <c r="Q658" s="365"/>
    </row>
    <row r="659" ht="22.5" customHeight="1">
      <c r="A659" s="146"/>
      <c r="B659" s="413"/>
      <c r="C659" s="367"/>
      <c r="D659" s="420"/>
      <c r="E659" s="405"/>
      <c r="F659" s="404"/>
      <c r="G659" s="352" t="str">
        <f>IFERROR(VLOOKUP(D659,'Client ID Records_v2'!D:E, 2, FALSE), "")</f>
        <v/>
      </c>
      <c r="H659" s="368" t="str">
        <f>IFERROR(VLOOKUP(G659,'Client ID Records_v2'!E:F, 2, FALSE), "")</f>
        <v/>
      </c>
      <c r="I659" s="352"/>
      <c r="J659" s="358" t="str">
        <f>IFERROR(VLOOKUP(I659,'Project Records_v2'!F:G, 2, FALSE), "")</f>
        <v/>
      </c>
      <c r="K659" s="143"/>
      <c r="L659" s="390"/>
      <c r="M659" s="419"/>
      <c r="N659" s="370"/>
      <c r="O659" s="370"/>
      <c r="P659" s="371"/>
      <c r="Q659" s="365"/>
    </row>
    <row r="660" ht="22.5" customHeight="1">
      <c r="A660" s="146"/>
      <c r="B660" s="413"/>
      <c r="C660" s="367"/>
      <c r="D660" s="420"/>
      <c r="E660" s="405"/>
      <c r="F660" s="404"/>
      <c r="G660" s="352" t="str">
        <f>IFERROR(VLOOKUP(D660,'Client ID Records_v2'!D:E, 2, FALSE), "")</f>
        <v/>
      </c>
      <c r="H660" s="368" t="str">
        <f>IFERROR(VLOOKUP(G660,'Client ID Records_v2'!E:F, 2, FALSE), "")</f>
        <v/>
      </c>
      <c r="I660" s="352"/>
      <c r="J660" s="358" t="str">
        <f>IFERROR(VLOOKUP(I660,'Project Records_v2'!F:G, 2, FALSE), "")</f>
        <v/>
      </c>
      <c r="K660" s="143"/>
      <c r="L660" s="390"/>
      <c r="M660" s="419"/>
      <c r="N660" s="370"/>
      <c r="O660" s="370"/>
      <c r="P660" s="371"/>
      <c r="Q660" s="365"/>
    </row>
    <row r="661" ht="22.5" customHeight="1">
      <c r="A661" s="146"/>
      <c r="B661" s="413"/>
      <c r="C661" s="367"/>
      <c r="D661" s="420"/>
      <c r="E661" s="405"/>
      <c r="F661" s="404"/>
      <c r="G661" s="352" t="str">
        <f>IFERROR(VLOOKUP(D661,'Client ID Records_v2'!D:E, 2, FALSE), "")</f>
        <v/>
      </c>
      <c r="H661" s="368" t="str">
        <f>IFERROR(VLOOKUP(G661,'Client ID Records_v2'!E:F, 2, FALSE), "")</f>
        <v/>
      </c>
      <c r="I661" s="352"/>
      <c r="J661" s="358" t="str">
        <f>IFERROR(VLOOKUP(I661,'Project Records_v2'!F:G, 2, FALSE), "")</f>
        <v/>
      </c>
      <c r="K661" s="143"/>
      <c r="L661" s="390"/>
      <c r="M661" s="419"/>
      <c r="N661" s="370"/>
      <c r="O661" s="370"/>
      <c r="P661" s="371"/>
      <c r="Q661" s="365"/>
    </row>
    <row r="662" ht="22.5" customHeight="1">
      <c r="A662" s="146"/>
      <c r="B662" s="413"/>
      <c r="C662" s="367"/>
      <c r="D662" s="420"/>
      <c r="E662" s="405"/>
      <c r="F662" s="404"/>
      <c r="G662" s="352" t="str">
        <f>IFERROR(VLOOKUP(D662,'Client ID Records_v2'!D:E, 2, FALSE), "")</f>
        <v/>
      </c>
      <c r="H662" s="368" t="str">
        <f>IFERROR(VLOOKUP(G662,'Client ID Records_v2'!E:F, 2, FALSE), "")</f>
        <v/>
      </c>
      <c r="I662" s="352"/>
      <c r="J662" s="358" t="str">
        <f>IFERROR(VLOOKUP(I662,'Project Records_v2'!F:G, 2, FALSE), "")</f>
        <v/>
      </c>
      <c r="K662" s="143"/>
      <c r="L662" s="390"/>
      <c r="M662" s="419"/>
      <c r="N662" s="370"/>
      <c r="O662" s="370"/>
      <c r="P662" s="371"/>
      <c r="Q662" s="365"/>
    </row>
    <row r="663" ht="22.5" customHeight="1">
      <c r="A663" s="146"/>
      <c r="B663" s="413"/>
      <c r="C663" s="367"/>
      <c r="D663" s="420"/>
      <c r="E663" s="405"/>
      <c r="F663" s="404"/>
      <c r="G663" s="352" t="str">
        <f>IFERROR(VLOOKUP(D663,'Client ID Records_v2'!D:E, 2, FALSE), "")</f>
        <v/>
      </c>
      <c r="H663" s="368" t="str">
        <f>IFERROR(VLOOKUP(G663,'Client ID Records_v2'!E:F, 2, FALSE), "")</f>
        <v/>
      </c>
      <c r="I663" s="352"/>
      <c r="J663" s="358" t="str">
        <f>IFERROR(VLOOKUP(I663,'Project Records_v2'!F:G, 2, FALSE), "")</f>
        <v/>
      </c>
      <c r="K663" s="143"/>
      <c r="L663" s="390"/>
      <c r="M663" s="419"/>
      <c r="N663" s="370"/>
      <c r="O663" s="370"/>
      <c r="P663" s="371"/>
      <c r="Q663" s="365"/>
    </row>
    <row r="664" ht="22.5" customHeight="1">
      <c r="A664" s="146"/>
      <c r="B664" s="413"/>
      <c r="C664" s="367"/>
      <c r="D664" s="420"/>
      <c r="E664" s="405"/>
      <c r="F664" s="404"/>
      <c r="G664" s="352" t="str">
        <f>IFERROR(VLOOKUP(D664,'Client ID Records_v2'!D:E, 2, FALSE), "")</f>
        <v/>
      </c>
      <c r="H664" s="368" t="str">
        <f>IFERROR(VLOOKUP(G664,'Client ID Records_v2'!E:F, 2, FALSE), "")</f>
        <v/>
      </c>
      <c r="I664" s="352"/>
      <c r="J664" s="358" t="str">
        <f>IFERROR(VLOOKUP(I664,'Project Records_v2'!F:G, 2, FALSE), "")</f>
        <v/>
      </c>
      <c r="K664" s="143"/>
      <c r="L664" s="390"/>
      <c r="M664" s="419"/>
      <c r="N664" s="370"/>
      <c r="O664" s="370"/>
      <c r="P664" s="371"/>
      <c r="Q664" s="365"/>
    </row>
    <row r="665" ht="22.5" customHeight="1">
      <c r="A665" s="146"/>
      <c r="B665" s="413"/>
      <c r="C665" s="367"/>
      <c r="D665" s="420"/>
      <c r="E665" s="405"/>
      <c r="F665" s="404"/>
      <c r="G665" s="352" t="str">
        <f>IFERROR(VLOOKUP(D665,'Client ID Records_v2'!D:E, 2, FALSE), "")</f>
        <v/>
      </c>
      <c r="H665" s="368" t="str">
        <f>IFERROR(VLOOKUP(G665,'Client ID Records_v2'!E:F, 2, FALSE), "")</f>
        <v/>
      </c>
      <c r="I665" s="352"/>
      <c r="J665" s="358" t="str">
        <f>IFERROR(VLOOKUP(I665,'Project Records_v2'!F:G, 2, FALSE), "")</f>
        <v/>
      </c>
      <c r="K665" s="143"/>
      <c r="L665" s="390"/>
      <c r="M665" s="419"/>
      <c r="N665" s="370"/>
      <c r="O665" s="370"/>
      <c r="P665" s="371"/>
      <c r="Q665" s="365"/>
    </row>
    <row r="666" ht="22.5" customHeight="1">
      <c r="A666" s="146"/>
      <c r="B666" s="413"/>
      <c r="C666" s="367"/>
      <c r="D666" s="420"/>
      <c r="E666" s="405"/>
      <c r="F666" s="404"/>
      <c r="G666" s="352" t="str">
        <f>IFERROR(VLOOKUP(D666,'Client ID Records_v2'!D:E, 2, FALSE), "")</f>
        <v/>
      </c>
      <c r="H666" s="368" t="str">
        <f>IFERROR(VLOOKUP(G666,'Client ID Records_v2'!E:F, 2, FALSE), "")</f>
        <v/>
      </c>
      <c r="I666" s="352"/>
      <c r="J666" s="358" t="str">
        <f>IFERROR(VLOOKUP(I666,'Project Records_v2'!F:G, 2, FALSE), "")</f>
        <v/>
      </c>
      <c r="K666" s="143"/>
      <c r="L666" s="390"/>
      <c r="M666" s="419"/>
      <c r="N666" s="370"/>
      <c r="O666" s="370"/>
      <c r="P666" s="371"/>
      <c r="Q666" s="365"/>
    </row>
    <row r="667" ht="22.5" customHeight="1">
      <c r="A667" s="146"/>
      <c r="B667" s="413"/>
      <c r="C667" s="367"/>
      <c r="D667" s="420"/>
      <c r="E667" s="405"/>
      <c r="F667" s="404"/>
      <c r="G667" s="352" t="str">
        <f>IFERROR(VLOOKUP(D667,'Client ID Records_v2'!D:E, 2, FALSE), "")</f>
        <v/>
      </c>
      <c r="H667" s="368" t="str">
        <f>IFERROR(VLOOKUP(G667,'Client ID Records_v2'!E:F, 2, FALSE), "")</f>
        <v/>
      </c>
      <c r="I667" s="352"/>
      <c r="J667" s="358" t="str">
        <f>IFERROR(VLOOKUP(I667,'Project Records_v2'!F:G, 2, FALSE), "")</f>
        <v/>
      </c>
      <c r="K667" s="143"/>
      <c r="L667" s="390"/>
      <c r="M667" s="419"/>
      <c r="N667" s="370"/>
      <c r="O667" s="370"/>
      <c r="P667" s="371"/>
      <c r="Q667" s="365"/>
    </row>
    <row r="668" ht="22.5" customHeight="1">
      <c r="A668" s="146"/>
      <c r="B668" s="413"/>
      <c r="C668" s="367"/>
      <c r="D668" s="420"/>
      <c r="E668" s="405"/>
      <c r="F668" s="404"/>
      <c r="G668" s="352" t="str">
        <f>IFERROR(VLOOKUP(D668,'Client ID Records_v2'!D:E, 2, FALSE), "")</f>
        <v/>
      </c>
      <c r="H668" s="368" t="str">
        <f>IFERROR(VLOOKUP(G668,'Client ID Records_v2'!E:F, 2, FALSE), "")</f>
        <v/>
      </c>
      <c r="I668" s="352"/>
      <c r="J668" s="358" t="str">
        <f>IFERROR(VLOOKUP(I668,'Project Records_v2'!F:G, 2, FALSE), "")</f>
        <v/>
      </c>
      <c r="K668" s="143"/>
      <c r="L668" s="390"/>
      <c r="M668" s="419"/>
      <c r="N668" s="370"/>
      <c r="O668" s="370"/>
      <c r="P668" s="371"/>
      <c r="Q668" s="365"/>
    </row>
    <row r="669" ht="22.5" customHeight="1">
      <c r="A669" s="146"/>
      <c r="B669" s="413"/>
      <c r="C669" s="367"/>
      <c r="D669" s="420"/>
      <c r="E669" s="405"/>
      <c r="F669" s="404"/>
      <c r="G669" s="352" t="str">
        <f>IFERROR(VLOOKUP(D669,'Client ID Records_v2'!D:E, 2, FALSE), "")</f>
        <v/>
      </c>
      <c r="H669" s="368" t="str">
        <f>IFERROR(VLOOKUP(G669,'Client ID Records_v2'!E:F, 2, FALSE), "")</f>
        <v/>
      </c>
      <c r="I669" s="352"/>
      <c r="J669" s="358" t="str">
        <f>IFERROR(VLOOKUP(I669,'Project Records_v2'!F:G, 2, FALSE), "")</f>
        <v/>
      </c>
      <c r="K669" s="143"/>
      <c r="L669" s="390"/>
      <c r="M669" s="419"/>
      <c r="N669" s="370"/>
      <c r="O669" s="370"/>
      <c r="P669" s="371"/>
      <c r="Q669" s="365"/>
    </row>
    <row r="670" ht="22.5" customHeight="1">
      <c r="A670" s="146"/>
      <c r="B670" s="413"/>
      <c r="C670" s="367"/>
      <c r="D670" s="420"/>
      <c r="E670" s="405"/>
      <c r="F670" s="404"/>
      <c r="G670" s="352" t="str">
        <f>IFERROR(VLOOKUP(D670,'Client ID Records_v2'!D:E, 2, FALSE), "")</f>
        <v/>
      </c>
      <c r="H670" s="368" t="str">
        <f>IFERROR(VLOOKUP(G670,'Client ID Records_v2'!E:F, 2, FALSE), "")</f>
        <v/>
      </c>
      <c r="I670" s="352"/>
      <c r="J670" s="358" t="str">
        <f>IFERROR(VLOOKUP(I670,'Project Records_v2'!F:G, 2, FALSE), "")</f>
        <v/>
      </c>
      <c r="K670" s="143"/>
      <c r="L670" s="390"/>
      <c r="M670" s="419"/>
      <c r="N670" s="370"/>
      <c r="O670" s="370"/>
      <c r="P670" s="371"/>
      <c r="Q670" s="365"/>
    </row>
    <row r="671" ht="22.5" customHeight="1">
      <c r="A671" s="146"/>
      <c r="B671" s="413"/>
      <c r="C671" s="367"/>
      <c r="D671" s="420"/>
      <c r="E671" s="405"/>
      <c r="F671" s="404"/>
      <c r="G671" s="352" t="str">
        <f>IFERROR(VLOOKUP(D671,'Client ID Records_v2'!D:E, 2, FALSE), "")</f>
        <v/>
      </c>
      <c r="H671" s="368" t="str">
        <f>IFERROR(VLOOKUP(G671,'Client ID Records_v2'!E:F, 2, FALSE), "")</f>
        <v/>
      </c>
      <c r="I671" s="352"/>
      <c r="J671" s="358" t="str">
        <f>IFERROR(VLOOKUP(I671,'Project Records_v2'!F:G, 2, FALSE), "")</f>
        <v/>
      </c>
      <c r="K671" s="143"/>
      <c r="L671" s="390"/>
      <c r="M671" s="419"/>
      <c r="N671" s="370"/>
      <c r="O671" s="370"/>
      <c r="P671" s="371"/>
      <c r="Q671" s="365"/>
    </row>
    <row r="672" ht="22.5" customHeight="1">
      <c r="A672" s="146"/>
      <c r="B672" s="413"/>
      <c r="C672" s="367"/>
      <c r="D672" s="420"/>
      <c r="E672" s="405"/>
      <c r="F672" s="404"/>
      <c r="G672" s="352" t="str">
        <f>IFERROR(VLOOKUP(D672,'Client ID Records_v2'!D:E, 2, FALSE), "")</f>
        <v/>
      </c>
      <c r="H672" s="368" t="str">
        <f>IFERROR(VLOOKUP(G672,'Client ID Records_v2'!E:F, 2, FALSE), "")</f>
        <v/>
      </c>
      <c r="I672" s="352"/>
      <c r="J672" s="358" t="str">
        <f>IFERROR(VLOOKUP(I672,'Project Records_v2'!F:G, 2, FALSE), "")</f>
        <v/>
      </c>
      <c r="K672" s="143"/>
      <c r="L672" s="390"/>
      <c r="M672" s="419"/>
      <c r="N672" s="370"/>
      <c r="O672" s="370"/>
      <c r="P672" s="371"/>
      <c r="Q672" s="365"/>
    </row>
    <row r="673" ht="22.5" customHeight="1">
      <c r="A673" s="146"/>
      <c r="B673" s="413"/>
      <c r="C673" s="367"/>
      <c r="D673" s="420"/>
      <c r="E673" s="405"/>
      <c r="F673" s="404"/>
      <c r="G673" s="352" t="str">
        <f>IFERROR(VLOOKUP(D673,'Client ID Records_v2'!D:E, 2, FALSE), "")</f>
        <v/>
      </c>
      <c r="H673" s="368" t="str">
        <f>IFERROR(VLOOKUP(G673,'Client ID Records_v2'!E:F, 2, FALSE), "")</f>
        <v/>
      </c>
      <c r="I673" s="352"/>
      <c r="J673" s="358" t="str">
        <f>IFERROR(VLOOKUP(I673,'Project Records_v2'!F:G, 2, FALSE), "")</f>
        <v/>
      </c>
      <c r="K673" s="143"/>
      <c r="L673" s="390"/>
      <c r="M673" s="419"/>
      <c r="N673" s="370"/>
      <c r="O673" s="370"/>
      <c r="P673" s="371"/>
      <c r="Q673" s="365"/>
    </row>
    <row r="674" ht="22.5" customHeight="1">
      <c r="A674" s="146"/>
      <c r="B674" s="413"/>
      <c r="C674" s="367"/>
      <c r="D674" s="420"/>
      <c r="E674" s="405"/>
      <c r="F674" s="404"/>
      <c r="G674" s="352" t="str">
        <f>IFERROR(VLOOKUP(D674,'Client ID Records_v2'!D:E, 2, FALSE), "")</f>
        <v/>
      </c>
      <c r="H674" s="368" t="str">
        <f>IFERROR(VLOOKUP(G674,'Client ID Records_v2'!E:F, 2, FALSE), "")</f>
        <v/>
      </c>
      <c r="I674" s="352"/>
      <c r="J674" s="358" t="str">
        <f>IFERROR(VLOOKUP(I674,'Project Records_v2'!F:G, 2, FALSE), "")</f>
        <v/>
      </c>
      <c r="K674" s="143"/>
      <c r="L674" s="390"/>
      <c r="M674" s="419"/>
      <c r="N674" s="370"/>
      <c r="O674" s="370"/>
      <c r="P674" s="371"/>
      <c r="Q674" s="365"/>
    </row>
    <row r="675" ht="22.5" customHeight="1">
      <c r="A675" s="146"/>
      <c r="B675" s="413"/>
      <c r="C675" s="367"/>
      <c r="D675" s="420"/>
      <c r="E675" s="405"/>
      <c r="F675" s="404"/>
      <c r="G675" s="352" t="str">
        <f>IFERROR(VLOOKUP(D675,'Client ID Records_v2'!D:E, 2, FALSE), "")</f>
        <v/>
      </c>
      <c r="H675" s="368" t="str">
        <f>IFERROR(VLOOKUP(G675,'Client ID Records_v2'!E:F, 2, FALSE), "")</f>
        <v/>
      </c>
      <c r="I675" s="352"/>
      <c r="J675" s="358" t="str">
        <f>IFERROR(VLOOKUP(I675,'Project Records_v2'!F:G, 2, FALSE), "")</f>
        <v/>
      </c>
      <c r="K675" s="143"/>
      <c r="L675" s="390"/>
      <c r="M675" s="419"/>
      <c r="N675" s="370"/>
      <c r="O675" s="370"/>
      <c r="P675" s="371"/>
      <c r="Q675" s="365"/>
    </row>
    <row r="676" ht="22.5" customHeight="1">
      <c r="A676" s="146"/>
      <c r="B676" s="413"/>
      <c r="C676" s="367"/>
      <c r="D676" s="420"/>
      <c r="E676" s="405"/>
      <c r="F676" s="404"/>
      <c r="G676" s="352" t="str">
        <f>IFERROR(VLOOKUP(D676,'Client ID Records_v2'!D:E, 2, FALSE), "")</f>
        <v/>
      </c>
      <c r="H676" s="368" t="str">
        <f>IFERROR(VLOOKUP(G676,'Client ID Records_v2'!E:F, 2, FALSE), "")</f>
        <v/>
      </c>
      <c r="I676" s="352"/>
      <c r="J676" s="358" t="str">
        <f>IFERROR(VLOOKUP(I676,'Project Records_v2'!F:G, 2, FALSE), "")</f>
        <v/>
      </c>
      <c r="K676" s="143"/>
      <c r="L676" s="390"/>
      <c r="M676" s="419"/>
      <c r="N676" s="370"/>
      <c r="O676" s="370"/>
      <c r="P676" s="371"/>
      <c r="Q676" s="365"/>
    </row>
    <row r="677" ht="22.5" customHeight="1">
      <c r="A677" s="146"/>
      <c r="B677" s="413"/>
      <c r="C677" s="367"/>
      <c r="D677" s="420"/>
      <c r="E677" s="405"/>
      <c r="F677" s="404"/>
      <c r="G677" s="352" t="str">
        <f>IFERROR(VLOOKUP(D677,'Client ID Records_v2'!D:E, 2, FALSE), "")</f>
        <v/>
      </c>
      <c r="H677" s="368" t="str">
        <f>IFERROR(VLOOKUP(G677,'Client ID Records_v2'!E:F, 2, FALSE), "")</f>
        <v/>
      </c>
      <c r="I677" s="352"/>
      <c r="J677" s="358" t="str">
        <f>IFERROR(VLOOKUP(I677,'Project Records_v2'!F:G, 2, FALSE), "")</f>
        <v/>
      </c>
      <c r="K677" s="143"/>
      <c r="L677" s="390"/>
      <c r="M677" s="419"/>
      <c r="N677" s="370"/>
      <c r="O677" s="370"/>
      <c r="P677" s="371"/>
      <c r="Q677" s="365"/>
    </row>
    <row r="678" ht="22.5" customHeight="1">
      <c r="A678" s="146"/>
      <c r="B678" s="413"/>
      <c r="C678" s="367"/>
      <c r="D678" s="420"/>
      <c r="E678" s="405"/>
      <c r="F678" s="404"/>
      <c r="G678" s="352" t="str">
        <f>IFERROR(VLOOKUP(D678,'Client ID Records_v2'!D:E, 2, FALSE), "")</f>
        <v/>
      </c>
      <c r="H678" s="368" t="str">
        <f>IFERROR(VLOOKUP(G678,'Client ID Records_v2'!E:F, 2, FALSE), "")</f>
        <v/>
      </c>
      <c r="I678" s="352"/>
      <c r="J678" s="358" t="str">
        <f>IFERROR(VLOOKUP(I678,'Project Records_v2'!F:G, 2, FALSE), "")</f>
        <v/>
      </c>
      <c r="K678" s="143"/>
      <c r="L678" s="390"/>
      <c r="M678" s="419"/>
      <c r="N678" s="370"/>
      <c r="O678" s="370"/>
      <c r="P678" s="371"/>
      <c r="Q678" s="365"/>
    </row>
    <row r="679" ht="22.5" customHeight="1">
      <c r="A679" s="146"/>
      <c r="B679" s="413"/>
      <c r="C679" s="367"/>
      <c r="D679" s="420"/>
      <c r="E679" s="405"/>
      <c r="F679" s="404"/>
      <c r="G679" s="352" t="str">
        <f>IFERROR(VLOOKUP(D679,'Client ID Records_v2'!D:E, 2, FALSE), "")</f>
        <v/>
      </c>
      <c r="H679" s="368" t="str">
        <f>IFERROR(VLOOKUP(G679,'Client ID Records_v2'!E:F, 2, FALSE), "")</f>
        <v/>
      </c>
      <c r="I679" s="352"/>
      <c r="J679" s="358" t="str">
        <f>IFERROR(VLOOKUP(I679,'Project Records_v2'!F:G, 2, FALSE), "")</f>
        <v/>
      </c>
      <c r="K679" s="143"/>
      <c r="L679" s="390"/>
      <c r="M679" s="419"/>
      <c r="N679" s="370"/>
      <c r="O679" s="370"/>
      <c r="P679" s="371"/>
      <c r="Q679" s="365"/>
    </row>
    <row r="680" ht="22.5" customHeight="1">
      <c r="A680" s="146"/>
      <c r="B680" s="413"/>
      <c r="C680" s="367"/>
      <c r="D680" s="420"/>
      <c r="E680" s="405"/>
      <c r="F680" s="404"/>
      <c r="G680" s="352" t="str">
        <f>IFERROR(VLOOKUP(D680,'Client ID Records_v2'!D:E, 2, FALSE), "")</f>
        <v/>
      </c>
      <c r="H680" s="368" t="str">
        <f>IFERROR(VLOOKUP(G680,'Client ID Records_v2'!E:F, 2, FALSE), "")</f>
        <v/>
      </c>
      <c r="I680" s="352"/>
      <c r="J680" s="358" t="str">
        <f>IFERROR(VLOOKUP(I680,'Project Records_v2'!F:G, 2, FALSE), "")</f>
        <v/>
      </c>
      <c r="K680" s="143"/>
      <c r="L680" s="390"/>
      <c r="M680" s="419"/>
      <c r="N680" s="370"/>
      <c r="O680" s="370"/>
      <c r="P680" s="371"/>
      <c r="Q680" s="365"/>
    </row>
    <row r="681" ht="22.5" customHeight="1">
      <c r="A681" s="146"/>
      <c r="B681" s="413"/>
      <c r="C681" s="367"/>
      <c r="D681" s="420"/>
      <c r="E681" s="405"/>
      <c r="F681" s="404"/>
      <c r="G681" s="352" t="str">
        <f>IFERROR(VLOOKUP(D681,'Client ID Records_v2'!D:E, 2, FALSE), "")</f>
        <v/>
      </c>
      <c r="H681" s="368" t="str">
        <f>IFERROR(VLOOKUP(G681,'Client ID Records_v2'!E:F, 2, FALSE), "")</f>
        <v/>
      </c>
      <c r="I681" s="352"/>
      <c r="J681" s="358" t="str">
        <f>IFERROR(VLOOKUP(I681,'Project Records_v2'!F:G, 2, FALSE), "")</f>
        <v/>
      </c>
      <c r="K681" s="143"/>
      <c r="L681" s="390"/>
      <c r="M681" s="419"/>
      <c r="N681" s="370"/>
      <c r="O681" s="370"/>
      <c r="P681" s="371"/>
      <c r="Q681" s="365"/>
    </row>
    <row r="682" ht="22.5" customHeight="1">
      <c r="A682" s="146"/>
      <c r="B682" s="413"/>
      <c r="C682" s="367"/>
      <c r="D682" s="420"/>
      <c r="E682" s="405"/>
      <c r="F682" s="404"/>
      <c r="G682" s="352" t="str">
        <f>IFERROR(VLOOKUP(D682,'Client ID Records_v2'!D:E, 2, FALSE), "")</f>
        <v/>
      </c>
      <c r="H682" s="368" t="str">
        <f>IFERROR(VLOOKUP(G682,'Client ID Records_v2'!E:F, 2, FALSE), "")</f>
        <v/>
      </c>
      <c r="I682" s="352"/>
      <c r="J682" s="358" t="str">
        <f>IFERROR(VLOOKUP(I682,'Project Records_v2'!F:G, 2, FALSE), "")</f>
        <v/>
      </c>
      <c r="K682" s="143"/>
      <c r="L682" s="390"/>
      <c r="M682" s="419"/>
      <c r="N682" s="370"/>
      <c r="O682" s="370"/>
      <c r="P682" s="371"/>
      <c r="Q682" s="365"/>
    </row>
    <row r="683" ht="22.5" customHeight="1">
      <c r="A683" s="146"/>
      <c r="B683" s="413"/>
      <c r="C683" s="367"/>
      <c r="D683" s="420"/>
      <c r="E683" s="405"/>
      <c r="F683" s="404"/>
      <c r="G683" s="352" t="str">
        <f>IFERROR(VLOOKUP(D683,'Client ID Records_v2'!D:E, 2, FALSE), "")</f>
        <v/>
      </c>
      <c r="H683" s="368" t="str">
        <f>IFERROR(VLOOKUP(G683,'Client ID Records_v2'!E:F, 2, FALSE), "")</f>
        <v/>
      </c>
      <c r="I683" s="352"/>
      <c r="J683" s="358" t="str">
        <f>IFERROR(VLOOKUP(I683,'Project Records_v2'!F:G, 2, FALSE), "")</f>
        <v/>
      </c>
      <c r="K683" s="143"/>
      <c r="L683" s="390"/>
      <c r="M683" s="419"/>
      <c r="N683" s="370"/>
      <c r="O683" s="370"/>
      <c r="P683" s="371"/>
      <c r="Q683" s="365"/>
    </row>
    <row r="684" ht="22.5" customHeight="1">
      <c r="A684" s="146"/>
      <c r="B684" s="413"/>
      <c r="C684" s="367"/>
      <c r="D684" s="420"/>
      <c r="E684" s="405"/>
      <c r="F684" s="404"/>
      <c r="G684" s="352" t="str">
        <f>IFERROR(VLOOKUP(D684,'Client ID Records_v2'!D:E, 2, FALSE), "")</f>
        <v/>
      </c>
      <c r="H684" s="368" t="str">
        <f>IFERROR(VLOOKUP(G684,'Client ID Records_v2'!E:F, 2, FALSE), "")</f>
        <v/>
      </c>
      <c r="I684" s="352"/>
      <c r="J684" s="358" t="str">
        <f>IFERROR(VLOOKUP(I684,'Project Records_v2'!F:G, 2, FALSE), "")</f>
        <v/>
      </c>
      <c r="K684" s="143"/>
      <c r="L684" s="390"/>
      <c r="M684" s="419"/>
      <c r="N684" s="370"/>
      <c r="O684" s="370"/>
      <c r="P684" s="371"/>
      <c r="Q684" s="365"/>
    </row>
    <row r="685" ht="22.5" customHeight="1">
      <c r="A685" s="146"/>
      <c r="B685" s="413"/>
      <c r="C685" s="367"/>
      <c r="D685" s="420"/>
      <c r="E685" s="405"/>
      <c r="F685" s="404"/>
      <c r="G685" s="352" t="str">
        <f>IFERROR(VLOOKUP(D685,'Client ID Records_v2'!D:E, 2, FALSE), "")</f>
        <v/>
      </c>
      <c r="H685" s="368" t="str">
        <f>IFERROR(VLOOKUP(G685,'Client ID Records_v2'!E:F, 2, FALSE), "")</f>
        <v/>
      </c>
      <c r="I685" s="352"/>
      <c r="J685" s="358" t="str">
        <f>IFERROR(VLOOKUP(I685,'Project Records_v2'!F:G, 2, FALSE), "")</f>
        <v/>
      </c>
      <c r="K685" s="143"/>
      <c r="L685" s="390"/>
      <c r="M685" s="419"/>
      <c r="N685" s="370"/>
      <c r="O685" s="370"/>
      <c r="P685" s="371"/>
      <c r="Q685" s="365"/>
    </row>
    <row r="686" ht="22.5" customHeight="1">
      <c r="A686" s="146"/>
      <c r="B686" s="413"/>
      <c r="C686" s="367"/>
      <c r="D686" s="420"/>
      <c r="E686" s="405"/>
      <c r="F686" s="404"/>
      <c r="G686" s="352" t="str">
        <f>IFERROR(VLOOKUP(D686,'Client ID Records_v2'!D:E, 2, FALSE), "")</f>
        <v/>
      </c>
      <c r="H686" s="368" t="str">
        <f>IFERROR(VLOOKUP(G686,'Client ID Records_v2'!E:F, 2, FALSE), "")</f>
        <v/>
      </c>
      <c r="I686" s="352"/>
      <c r="J686" s="358" t="str">
        <f>IFERROR(VLOOKUP(I686,'Project Records_v2'!F:G, 2, FALSE), "")</f>
        <v/>
      </c>
      <c r="K686" s="143"/>
      <c r="L686" s="390"/>
      <c r="M686" s="419"/>
      <c r="N686" s="370"/>
      <c r="O686" s="370"/>
      <c r="P686" s="371"/>
      <c r="Q686" s="365"/>
    </row>
    <row r="687" ht="22.5" customHeight="1">
      <c r="A687" s="146"/>
      <c r="B687" s="413"/>
      <c r="C687" s="367"/>
      <c r="D687" s="420"/>
      <c r="E687" s="405"/>
      <c r="F687" s="404"/>
      <c r="G687" s="352" t="str">
        <f>IFERROR(VLOOKUP(D687,'Client ID Records_v2'!D:E, 2, FALSE), "")</f>
        <v/>
      </c>
      <c r="H687" s="368" t="str">
        <f>IFERROR(VLOOKUP(G687,'Client ID Records_v2'!E:F, 2, FALSE), "")</f>
        <v/>
      </c>
      <c r="I687" s="352"/>
      <c r="J687" s="358" t="str">
        <f>IFERROR(VLOOKUP(I687,'Project Records_v2'!F:G, 2, FALSE), "")</f>
        <v/>
      </c>
      <c r="K687" s="143"/>
      <c r="L687" s="390"/>
      <c r="M687" s="419"/>
      <c r="N687" s="370"/>
      <c r="O687" s="370"/>
      <c r="P687" s="371"/>
      <c r="Q687" s="365"/>
    </row>
    <row r="688" ht="22.5" customHeight="1">
      <c r="A688" s="146"/>
      <c r="B688" s="413"/>
      <c r="C688" s="367"/>
      <c r="D688" s="420"/>
      <c r="E688" s="405"/>
      <c r="F688" s="404"/>
      <c r="G688" s="352" t="str">
        <f>IFERROR(VLOOKUP(D688,'Client ID Records_v2'!D:E, 2, FALSE), "")</f>
        <v/>
      </c>
      <c r="H688" s="368" t="str">
        <f>IFERROR(VLOOKUP(G688,'Client ID Records_v2'!E:F, 2, FALSE), "")</f>
        <v/>
      </c>
      <c r="I688" s="352"/>
      <c r="J688" s="358" t="str">
        <f>IFERROR(VLOOKUP(I688,'Project Records_v2'!F:G, 2, FALSE), "")</f>
        <v/>
      </c>
      <c r="K688" s="143"/>
      <c r="L688" s="390"/>
      <c r="M688" s="419"/>
      <c r="N688" s="370"/>
      <c r="O688" s="370"/>
      <c r="P688" s="371"/>
      <c r="Q688" s="365"/>
    </row>
    <row r="689" ht="22.5" customHeight="1">
      <c r="A689" s="146"/>
      <c r="B689" s="413"/>
      <c r="C689" s="367"/>
      <c r="D689" s="420"/>
      <c r="E689" s="405"/>
      <c r="F689" s="404"/>
      <c r="G689" s="352" t="str">
        <f>IFERROR(VLOOKUP(D689,'Client ID Records_v2'!D:E, 2, FALSE), "")</f>
        <v/>
      </c>
      <c r="H689" s="368" t="str">
        <f>IFERROR(VLOOKUP(G689,'Client ID Records_v2'!E:F, 2, FALSE), "")</f>
        <v/>
      </c>
      <c r="I689" s="352"/>
      <c r="J689" s="358" t="str">
        <f>IFERROR(VLOOKUP(I689,'Project Records_v2'!F:G, 2, FALSE), "")</f>
        <v/>
      </c>
      <c r="K689" s="143"/>
      <c r="L689" s="390"/>
      <c r="M689" s="419"/>
      <c r="N689" s="370"/>
      <c r="O689" s="370"/>
      <c r="P689" s="371"/>
      <c r="Q689" s="365"/>
    </row>
    <row r="690" ht="22.5" customHeight="1">
      <c r="A690" s="146"/>
      <c r="B690" s="413"/>
      <c r="C690" s="367"/>
      <c r="D690" s="420"/>
      <c r="E690" s="405"/>
      <c r="F690" s="404"/>
      <c r="G690" s="352" t="str">
        <f>IFERROR(VLOOKUP(D690,'Client ID Records_v2'!D:E, 2, FALSE), "")</f>
        <v/>
      </c>
      <c r="H690" s="368" t="str">
        <f>IFERROR(VLOOKUP(G690,'Client ID Records_v2'!E:F, 2, FALSE), "")</f>
        <v/>
      </c>
      <c r="I690" s="352"/>
      <c r="J690" s="358" t="str">
        <f>IFERROR(VLOOKUP(I690,'Project Records_v2'!F:G, 2, FALSE), "")</f>
        <v/>
      </c>
      <c r="K690" s="143"/>
      <c r="L690" s="390"/>
      <c r="M690" s="419"/>
      <c r="N690" s="370"/>
      <c r="O690" s="370"/>
      <c r="P690" s="371"/>
      <c r="Q690" s="365"/>
    </row>
    <row r="691" ht="22.5" customHeight="1">
      <c r="A691" s="146"/>
      <c r="B691" s="413"/>
      <c r="C691" s="367"/>
      <c r="D691" s="420"/>
      <c r="E691" s="405"/>
      <c r="F691" s="404"/>
      <c r="G691" s="352" t="str">
        <f>IFERROR(VLOOKUP(D691,'Client ID Records_v2'!D:E, 2, FALSE), "")</f>
        <v/>
      </c>
      <c r="H691" s="368" t="str">
        <f>IFERROR(VLOOKUP(G691,'Client ID Records_v2'!E:F, 2, FALSE), "")</f>
        <v/>
      </c>
      <c r="I691" s="352"/>
      <c r="J691" s="358" t="str">
        <f>IFERROR(VLOOKUP(I691,'Project Records_v2'!F:G, 2, FALSE), "")</f>
        <v/>
      </c>
      <c r="K691" s="143"/>
      <c r="L691" s="390"/>
      <c r="M691" s="419"/>
      <c r="N691" s="370"/>
      <c r="O691" s="370"/>
      <c r="P691" s="371"/>
      <c r="Q691" s="365"/>
    </row>
    <row r="692" ht="22.5" customHeight="1">
      <c r="A692" s="146"/>
      <c r="B692" s="413"/>
      <c r="C692" s="367"/>
      <c r="D692" s="420"/>
      <c r="E692" s="405"/>
      <c r="F692" s="404"/>
      <c r="G692" s="352" t="str">
        <f>IFERROR(VLOOKUP(D692,'Client ID Records_v2'!D:E, 2, FALSE), "")</f>
        <v/>
      </c>
      <c r="H692" s="368" t="str">
        <f>IFERROR(VLOOKUP(G692,'Client ID Records_v2'!E:F, 2, FALSE), "")</f>
        <v/>
      </c>
      <c r="I692" s="352"/>
      <c r="J692" s="358" t="str">
        <f>IFERROR(VLOOKUP(I692,'Project Records_v2'!F:G, 2, FALSE), "")</f>
        <v/>
      </c>
      <c r="K692" s="143"/>
      <c r="L692" s="390"/>
      <c r="M692" s="419"/>
      <c r="N692" s="370"/>
      <c r="O692" s="370"/>
      <c r="P692" s="371"/>
      <c r="Q692" s="365"/>
    </row>
    <row r="693" ht="22.5" customHeight="1">
      <c r="A693" s="146"/>
      <c r="B693" s="413"/>
      <c r="C693" s="367"/>
      <c r="D693" s="420"/>
      <c r="E693" s="405"/>
      <c r="F693" s="404"/>
      <c r="G693" s="352" t="str">
        <f>IFERROR(VLOOKUP(D693,'Client ID Records_v2'!D:E, 2, FALSE), "")</f>
        <v/>
      </c>
      <c r="H693" s="368" t="str">
        <f>IFERROR(VLOOKUP(G693,'Client ID Records_v2'!E:F, 2, FALSE), "")</f>
        <v/>
      </c>
      <c r="I693" s="352"/>
      <c r="J693" s="358" t="str">
        <f>IFERROR(VLOOKUP(I693,'Project Records_v2'!F:G, 2, FALSE), "")</f>
        <v/>
      </c>
      <c r="K693" s="143"/>
      <c r="L693" s="390"/>
      <c r="M693" s="419"/>
      <c r="N693" s="370"/>
      <c r="O693" s="370"/>
      <c r="P693" s="371"/>
      <c r="Q693" s="365"/>
    </row>
    <row r="694" ht="22.5" customHeight="1">
      <c r="A694" s="146"/>
      <c r="B694" s="413"/>
      <c r="C694" s="367"/>
      <c r="D694" s="420"/>
      <c r="E694" s="405"/>
      <c r="F694" s="404"/>
      <c r="G694" s="352" t="str">
        <f>IFERROR(VLOOKUP(D694,'Client ID Records_v2'!D:E, 2, FALSE), "")</f>
        <v/>
      </c>
      <c r="H694" s="368" t="str">
        <f>IFERROR(VLOOKUP(G694,'Client ID Records_v2'!E:F, 2, FALSE), "")</f>
        <v/>
      </c>
      <c r="I694" s="352"/>
      <c r="J694" s="358" t="str">
        <f>IFERROR(VLOOKUP(I694,'Project Records_v2'!F:G, 2, FALSE), "")</f>
        <v/>
      </c>
      <c r="K694" s="143"/>
      <c r="L694" s="390"/>
      <c r="M694" s="419"/>
      <c r="N694" s="370"/>
      <c r="O694" s="370"/>
      <c r="P694" s="371"/>
      <c r="Q694" s="365"/>
    </row>
    <row r="695" ht="22.5" customHeight="1">
      <c r="A695" s="146"/>
      <c r="B695" s="413"/>
      <c r="C695" s="367"/>
      <c r="D695" s="420"/>
      <c r="E695" s="405"/>
      <c r="F695" s="404"/>
      <c r="G695" s="352" t="str">
        <f>IFERROR(VLOOKUP(D695,'Client ID Records_v2'!D:E, 2, FALSE), "")</f>
        <v/>
      </c>
      <c r="H695" s="368" t="str">
        <f>IFERROR(VLOOKUP(G695,'Client ID Records_v2'!E:F, 2, FALSE), "")</f>
        <v/>
      </c>
      <c r="I695" s="352"/>
      <c r="J695" s="358" t="str">
        <f>IFERROR(VLOOKUP(I695,'Project Records_v2'!F:G, 2, FALSE), "")</f>
        <v/>
      </c>
      <c r="K695" s="143"/>
      <c r="L695" s="390"/>
      <c r="M695" s="419"/>
      <c r="N695" s="370"/>
      <c r="O695" s="370"/>
      <c r="P695" s="371"/>
      <c r="Q695" s="365"/>
    </row>
    <row r="696" ht="22.5" customHeight="1">
      <c r="A696" s="146"/>
      <c r="B696" s="413"/>
      <c r="C696" s="367"/>
      <c r="D696" s="420"/>
      <c r="E696" s="405"/>
      <c r="F696" s="404"/>
      <c r="G696" s="352" t="str">
        <f>IFERROR(VLOOKUP(D696,'Client ID Records_v2'!D:E, 2, FALSE), "")</f>
        <v/>
      </c>
      <c r="H696" s="368" t="str">
        <f>IFERROR(VLOOKUP(G696,'Client ID Records_v2'!E:F, 2, FALSE), "")</f>
        <v/>
      </c>
      <c r="I696" s="352"/>
      <c r="J696" s="358" t="str">
        <f>IFERROR(VLOOKUP(I696,'Project Records_v2'!F:G, 2, FALSE), "")</f>
        <v/>
      </c>
      <c r="K696" s="143"/>
      <c r="L696" s="390"/>
      <c r="M696" s="419"/>
      <c r="N696" s="370"/>
      <c r="O696" s="370"/>
      <c r="P696" s="371"/>
      <c r="Q696" s="365"/>
    </row>
    <row r="697" ht="22.5" customHeight="1">
      <c r="A697" s="146"/>
      <c r="B697" s="413"/>
      <c r="C697" s="367"/>
      <c r="D697" s="420"/>
      <c r="E697" s="405"/>
      <c r="F697" s="404"/>
      <c r="G697" s="352" t="str">
        <f>IFERROR(VLOOKUP(D697,'Client ID Records_v2'!D:E, 2, FALSE), "")</f>
        <v/>
      </c>
      <c r="H697" s="368" t="str">
        <f>IFERROR(VLOOKUP(G697,'Client ID Records_v2'!E:F, 2, FALSE), "")</f>
        <v/>
      </c>
      <c r="I697" s="352"/>
      <c r="J697" s="358" t="str">
        <f>IFERROR(VLOOKUP(I697,'Project Records_v2'!F:G, 2, FALSE), "")</f>
        <v/>
      </c>
      <c r="K697" s="143"/>
      <c r="L697" s="390"/>
      <c r="M697" s="419"/>
      <c r="N697" s="370"/>
      <c r="O697" s="370"/>
      <c r="P697" s="371"/>
      <c r="Q697" s="365"/>
    </row>
    <row r="698" ht="22.5" customHeight="1">
      <c r="A698" s="146"/>
      <c r="B698" s="413"/>
      <c r="C698" s="367"/>
      <c r="D698" s="420"/>
      <c r="E698" s="405"/>
      <c r="F698" s="404"/>
      <c r="G698" s="352" t="str">
        <f>IFERROR(VLOOKUP(D698,'Client ID Records_v2'!D:E, 2, FALSE), "")</f>
        <v/>
      </c>
      <c r="H698" s="368" t="str">
        <f>IFERROR(VLOOKUP(G698,'Client ID Records_v2'!E:F, 2, FALSE), "")</f>
        <v/>
      </c>
      <c r="I698" s="352"/>
      <c r="J698" s="358" t="str">
        <f>IFERROR(VLOOKUP(I698,'Project Records_v2'!F:G, 2, FALSE), "")</f>
        <v/>
      </c>
      <c r="K698" s="143"/>
      <c r="L698" s="390"/>
      <c r="M698" s="419"/>
      <c r="N698" s="370"/>
      <c r="O698" s="370"/>
      <c r="P698" s="371"/>
      <c r="Q698" s="365"/>
    </row>
    <row r="699" ht="22.5" customHeight="1">
      <c r="A699" s="146"/>
      <c r="B699" s="413"/>
      <c r="C699" s="367"/>
      <c r="D699" s="420"/>
      <c r="E699" s="405"/>
      <c r="F699" s="404"/>
      <c r="G699" s="352" t="str">
        <f>IFERROR(VLOOKUP(D699,'Client ID Records_v2'!D:E, 2, FALSE), "")</f>
        <v/>
      </c>
      <c r="H699" s="368" t="str">
        <f>IFERROR(VLOOKUP(G699,'Client ID Records_v2'!E:F, 2, FALSE), "")</f>
        <v/>
      </c>
      <c r="I699" s="352"/>
      <c r="J699" s="358" t="str">
        <f>IFERROR(VLOOKUP(I699,'Project Records_v2'!F:G, 2, FALSE), "")</f>
        <v/>
      </c>
      <c r="K699" s="143"/>
      <c r="L699" s="390"/>
      <c r="M699" s="419"/>
      <c r="N699" s="370"/>
      <c r="O699" s="370"/>
      <c r="P699" s="371"/>
      <c r="Q699" s="365"/>
    </row>
    <row r="700" ht="22.5" customHeight="1">
      <c r="A700" s="146"/>
      <c r="B700" s="413"/>
      <c r="C700" s="367"/>
      <c r="D700" s="420"/>
      <c r="E700" s="405"/>
      <c r="F700" s="404"/>
      <c r="G700" s="352" t="str">
        <f>IFERROR(VLOOKUP(D700,'Client ID Records_v2'!D:E, 2, FALSE), "")</f>
        <v/>
      </c>
      <c r="H700" s="368" t="str">
        <f>IFERROR(VLOOKUP(G700,'Client ID Records_v2'!E:F, 2, FALSE), "")</f>
        <v/>
      </c>
      <c r="I700" s="352"/>
      <c r="J700" s="358" t="str">
        <f>IFERROR(VLOOKUP(I700,'Project Records_v2'!F:G, 2, FALSE), "")</f>
        <v/>
      </c>
      <c r="K700" s="143"/>
      <c r="L700" s="390"/>
      <c r="M700" s="419"/>
      <c r="N700" s="370"/>
      <c r="O700" s="370"/>
      <c r="P700" s="371"/>
      <c r="Q700" s="365"/>
    </row>
    <row r="701" ht="22.5" customHeight="1">
      <c r="A701" s="146"/>
      <c r="B701" s="413"/>
      <c r="C701" s="367"/>
      <c r="D701" s="420"/>
      <c r="E701" s="405"/>
      <c r="F701" s="404"/>
      <c r="G701" s="352" t="str">
        <f>IFERROR(VLOOKUP(D701,'Client ID Records_v2'!D:E, 2, FALSE), "")</f>
        <v/>
      </c>
      <c r="H701" s="368" t="str">
        <f>IFERROR(VLOOKUP(G701,'Client ID Records_v2'!E:F, 2, FALSE), "")</f>
        <v/>
      </c>
      <c r="I701" s="352"/>
      <c r="J701" s="358" t="str">
        <f>IFERROR(VLOOKUP(I701,'Project Records_v2'!F:G, 2, FALSE), "")</f>
        <v/>
      </c>
      <c r="K701" s="143"/>
      <c r="L701" s="390"/>
      <c r="M701" s="419"/>
      <c r="N701" s="370"/>
      <c r="O701" s="370"/>
      <c r="P701" s="371"/>
      <c r="Q701" s="365"/>
    </row>
    <row r="702" ht="22.5" customHeight="1">
      <c r="A702" s="146"/>
      <c r="B702" s="413"/>
      <c r="C702" s="367"/>
      <c r="D702" s="420"/>
      <c r="E702" s="405"/>
      <c r="F702" s="404"/>
      <c r="G702" s="352" t="str">
        <f>IFERROR(VLOOKUP(D702,'Client ID Records_v2'!D:E, 2, FALSE), "")</f>
        <v/>
      </c>
      <c r="H702" s="368" t="str">
        <f>IFERROR(VLOOKUP(G702,'Client ID Records_v2'!E:F, 2, FALSE), "")</f>
        <v/>
      </c>
      <c r="I702" s="352"/>
      <c r="J702" s="358" t="str">
        <f>IFERROR(VLOOKUP(I702,'Project Records_v2'!F:G, 2, FALSE), "")</f>
        <v/>
      </c>
      <c r="K702" s="143"/>
      <c r="L702" s="390"/>
      <c r="M702" s="419"/>
      <c r="N702" s="370"/>
      <c r="O702" s="370"/>
      <c r="P702" s="371"/>
      <c r="Q702" s="365"/>
    </row>
    <row r="703" ht="22.5" customHeight="1">
      <c r="A703" s="146"/>
      <c r="B703" s="413"/>
      <c r="C703" s="367"/>
      <c r="D703" s="420"/>
      <c r="E703" s="405"/>
      <c r="F703" s="404"/>
      <c r="G703" s="352" t="str">
        <f>IFERROR(VLOOKUP(D703,'Client ID Records_v2'!D:E, 2, FALSE), "")</f>
        <v/>
      </c>
      <c r="H703" s="368" t="str">
        <f>IFERROR(VLOOKUP(G703,'Client ID Records_v2'!E:F, 2, FALSE), "")</f>
        <v/>
      </c>
      <c r="I703" s="352"/>
      <c r="J703" s="358" t="str">
        <f>IFERROR(VLOOKUP(I703,'Project Records_v2'!F:G, 2, FALSE), "")</f>
        <v/>
      </c>
      <c r="K703" s="143"/>
      <c r="L703" s="390"/>
      <c r="M703" s="419"/>
      <c r="N703" s="370"/>
      <c r="O703" s="370"/>
      <c r="P703" s="371"/>
      <c r="Q703" s="365"/>
    </row>
    <row r="704" ht="22.5" customHeight="1">
      <c r="A704" s="146"/>
      <c r="B704" s="413"/>
      <c r="C704" s="367"/>
      <c r="D704" s="420"/>
      <c r="E704" s="405"/>
      <c r="F704" s="404"/>
      <c r="G704" s="352" t="str">
        <f>IFERROR(VLOOKUP(D704,'Client ID Records_v2'!D:E, 2, FALSE), "")</f>
        <v/>
      </c>
      <c r="H704" s="368" t="str">
        <f>IFERROR(VLOOKUP(G704,'Client ID Records_v2'!E:F, 2, FALSE), "")</f>
        <v/>
      </c>
      <c r="I704" s="352"/>
      <c r="J704" s="358" t="str">
        <f>IFERROR(VLOOKUP(I704,'Project Records_v2'!F:G, 2, FALSE), "")</f>
        <v/>
      </c>
      <c r="K704" s="143"/>
      <c r="L704" s="390"/>
      <c r="M704" s="419"/>
      <c r="N704" s="370"/>
      <c r="O704" s="370"/>
      <c r="P704" s="371"/>
      <c r="Q704" s="365"/>
    </row>
    <row r="705" ht="22.5" customHeight="1">
      <c r="A705" s="146"/>
      <c r="B705" s="413"/>
      <c r="C705" s="367"/>
      <c r="D705" s="420"/>
      <c r="E705" s="405"/>
      <c r="F705" s="404"/>
      <c r="G705" s="352" t="str">
        <f>IFERROR(VLOOKUP(D705,'Client ID Records_v2'!D:E, 2, FALSE), "")</f>
        <v/>
      </c>
      <c r="H705" s="368" t="str">
        <f>IFERROR(VLOOKUP(G705,'Client ID Records_v2'!E:F, 2, FALSE), "")</f>
        <v/>
      </c>
      <c r="I705" s="352"/>
      <c r="J705" s="358" t="str">
        <f>IFERROR(VLOOKUP(I705,'Project Records_v2'!F:G, 2, FALSE), "")</f>
        <v/>
      </c>
      <c r="K705" s="143"/>
      <c r="L705" s="390"/>
      <c r="M705" s="419"/>
      <c r="N705" s="370"/>
      <c r="O705" s="370"/>
      <c r="P705" s="371"/>
      <c r="Q705" s="365"/>
    </row>
    <row r="706" ht="22.5" customHeight="1">
      <c r="A706" s="146"/>
      <c r="B706" s="413"/>
      <c r="C706" s="367"/>
      <c r="D706" s="420"/>
      <c r="E706" s="405"/>
      <c r="F706" s="404"/>
      <c r="G706" s="352" t="str">
        <f>IFERROR(VLOOKUP(D706,'Client ID Records_v2'!D:E, 2, FALSE), "")</f>
        <v/>
      </c>
      <c r="H706" s="368" t="str">
        <f>IFERROR(VLOOKUP(G706,'Client ID Records_v2'!E:F, 2, FALSE), "")</f>
        <v/>
      </c>
      <c r="I706" s="352"/>
      <c r="J706" s="358" t="str">
        <f>IFERROR(VLOOKUP(I706,'Project Records_v2'!F:G, 2, FALSE), "")</f>
        <v/>
      </c>
      <c r="K706" s="143"/>
      <c r="L706" s="390"/>
      <c r="M706" s="419"/>
      <c r="N706" s="370"/>
      <c r="O706" s="370"/>
      <c r="P706" s="371"/>
      <c r="Q706" s="365"/>
    </row>
    <row r="707" ht="22.5" customHeight="1">
      <c r="A707" s="146"/>
      <c r="B707" s="413"/>
      <c r="C707" s="367"/>
      <c r="D707" s="420"/>
      <c r="E707" s="405"/>
      <c r="F707" s="404"/>
      <c r="G707" s="352" t="str">
        <f>IFERROR(VLOOKUP(D707,'Client ID Records_v2'!D:E, 2, FALSE), "")</f>
        <v/>
      </c>
      <c r="H707" s="368" t="str">
        <f>IFERROR(VLOOKUP(G707,'Client ID Records_v2'!E:F, 2, FALSE), "")</f>
        <v/>
      </c>
      <c r="I707" s="352"/>
      <c r="J707" s="358" t="str">
        <f>IFERROR(VLOOKUP(I707,'Project Records_v2'!F:G, 2, FALSE), "")</f>
        <v/>
      </c>
      <c r="K707" s="143"/>
      <c r="L707" s="390"/>
      <c r="M707" s="419"/>
      <c r="N707" s="370"/>
      <c r="O707" s="370"/>
      <c r="P707" s="371"/>
      <c r="Q707" s="365"/>
    </row>
    <row r="708" ht="22.5" customHeight="1">
      <c r="A708" s="146"/>
      <c r="B708" s="413"/>
      <c r="C708" s="367"/>
      <c r="D708" s="420"/>
      <c r="E708" s="405"/>
      <c r="F708" s="404"/>
      <c r="G708" s="352" t="str">
        <f>IFERROR(VLOOKUP(D708,'Client ID Records_v2'!D:E, 2, FALSE), "")</f>
        <v/>
      </c>
      <c r="H708" s="368" t="str">
        <f>IFERROR(VLOOKUP(G708,'Client ID Records_v2'!E:F, 2, FALSE), "")</f>
        <v/>
      </c>
      <c r="I708" s="352"/>
      <c r="J708" s="358" t="str">
        <f>IFERROR(VLOOKUP(I708,'Project Records_v2'!F:G, 2, FALSE), "")</f>
        <v/>
      </c>
      <c r="K708" s="143"/>
      <c r="L708" s="390"/>
      <c r="M708" s="419"/>
      <c r="N708" s="370"/>
      <c r="O708" s="370"/>
      <c r="P708" s="371"/>
      <c r="Q708" s="365"/>
    </row>
    <row r="709" ht="22.5" customHeight="1">
      <c r="A709" s="146"/>
      <c r="B709" s="413"/>
      <c r="C709" s="367"/>
      <c r="D709" s="420"/>
      <c r="E709" s="405"/>
      <c r="F709" s="404"/>
      <c r="G709" s="352" t="str">
        <f>IFERROR(VLOOKUP(D709,'Client ID Records_v2'!D:E, 2, FALSE), "")</f>
        <v/>
      </c>
      <c r="H709" s="368" t="str">
        <f>IFERROR(VLOOKUP(G709,'Client ID Records_v2'!E:F, 2, FALSE), "")</f>
        <v/>
      </c>
      <c r="I709" s="352"/>
      <c r="J709" s="358" t="str">
        <f>IFERROR(VLOOKUP(I709,'Project Records_v2'!F:G, 2, FALSE), "")</f>
        <v/>
      </c>
      <c r="K709" s="143"/>
      <c r="L709" s="390"/>
      <c r="M709" s="419"/>
      <c r="N709" s="370"/>
      <c r="O709" s="370"/>
      <c r="P709" s="371"/>
      <c r="Q709" s="365"/>
    </row>
    <row r="710" ht="22.5" customHeight="1">
      <c r="A710" s="146"/>
      <c r="B710" s="413"/>
      <c r="C710" s="367"/>
      <c r="D710" s="420"/>
      <c r="E710" s="405"/>
      <c r="F710" s="404"/>
      <c r="G710" s="352" t="str">
        <f>IFERROR(VLOOKUP(D710,'Client ID Records_v2'!D:E, 2, FALSE), "")</f>
        <v/>
      </c>
      <c r="H710" s="368" t="str">
        <f>IFERROR(VLOOKUP(G710,'Client ID Records_v2'!E:F, 2, FALSE), "")</f>
        <v/>
      </c>
      <c r="I710" s="352"/>
      <c r="J710" s="358" t="str">
        <f>IFERROR(VLOOKUP(I710,'Project Records_v2'!F:G, 2, FALSE), "")</f>
        <v/>
      </c>
      <c r="K710" s="143"/>
      <c r="L710" s="390"/>
      <c r="M710" s="419"/>
      <c r="N710" s="370"/>
      <c r="O710" s="370"/>
      <c r="P710" s="371"/>
      <c r="Q710" s="365"/>
    </row>
    <row r="711" ht="22.5" customHeight="1">
      <c r="A711" s="146"/>
      <c r="B711" s="413"/>
      <c r="C711" s="367"/>
      <c r="D711" s="420"/>
      <c r="E711" s="405"/>
      <c r="F711" s="404"/>
      <c r="G711" s="352" t="str">
        <f>IFERROR(VLOOKUP(D711,'Client ID Records_v2'!D:E, 2, FALSE), "")</f>
        <v/>
      </c>
      <c r="H711" s="368" t="str">
        <f>IFERROR(VLOOKUP(G711,'Client ID Records_v2'!E:F, 2, FALSE), "")</f>
        <v/>
      </c>
      <c r="I711" s="352"/>
      <c r="J711" s="358" t="str">
        <f>IFERROR(VLOOKUP(I711,'Project Records_v2'!F:G, 2, FALSE), "")</f>
        <v/>
      </c>
      <c r="K711" s="143"/>
      <c r="L711" s="390"/>
      <c r="M711" s="419"/>
      <c r="N711" s="370"/>
      <c r="O711" s="370"/>
      <c r="P711" s="371"/>
      <c r="Q711" s="365"/>
    </row>
    <row r="712" ht="22.5" customHeight="1">
      <c r="A712" s="146"/>
      <c r="B712" s="413"/>
      <c r="C712" s="367"/>
      <c r="D712" s="420"/>
      <c r="E712" s="405"/>
      <c r="F712" s="404"/>
      <c r="G712" s="352" t="str">
        <f>IFERROR(VLOOKUP(D712,'Client ID Records_v2'!D:E, 2, FALSE), "")</f>
        <v/>
      </c>
      <c r="H712" s="368" t="str">
        <f>IFERROR(VLOOKUP(G712,'Client ID Records_v2'!E:F, 2, FALSE), "")</f>
        <v/>
      </c>
      <c r="I712" s="352"/>
      <c r="J712" s="358" t="str">
        <f>IFERROR(VLOOKUP(I712,'Project Records_v2'!F:G, 2, FALSE), "")</f>
        <v/>
      </c>
      <c r="K712" s="143"/>
      <c r="L712" s="390"/>
      <c r="M712" s="419"/>
      <c r="N712" s="370"/>
      <c r="O712" s="370"/>
      <c r="P712" s="371"/>
      <c r="Q712" s="365"/>
    </row>
    <row r="713" ht="22.5" customHeight="1">
      <c r="A713" s="146"/>
      <c r="B713" s="413"/>
      <c r="C713" s="367"/>
      <c r="D713" s="420"/>
      <c r="E713" s="405"/>
      <c r="F713" s="404"/>
      <c r="G713" s="352" t="str">
        <f>IFERROR(VLOOKUP(D713,'Client ID Records_v2'!D:E, 2, FALSE), "")</f>
        <v/>
      </c>
      <c r="H713" s="368" t="str">
        <f>IFERROR(VLOOKUP(G713,'Client ID Records_v2'!E:F, 2, FALSE), "")</f>
        <v/>
      </c>
      <c r="I713" s="352"/>
      <c r="J713" s="358" t="str">
        <f>IFERROR(VLOOKUP(I713,'Project Records_v2'!F:G, 2, FALSE), "")</f>
        <v/>
      </c>
      <c r="K713" s="143"/>
      <c r="L713" s="390"/>
      <c r="M713" s="419"/>
      <c r="N713" s="370"/>
      <c r="O713" s="370"/>
      <c r="P713" s="371"/>
      <c r="Q713" s="365"/>
    </row>
    <row r="714" ht="22.5" customHeight="1">
      <c r="A714" s="146"/>
      <c r="B714" s="413"/>
      <c r="C714" s="367"/>
      <c r="D714" s="420"/>
      <c r="E714" s="405"/>
      <c r="F714" s="404"/>
      <c r="G714" s="352" t="str">
        <f>IFERROR(VLOOKUP(D714,'Client ID Records_v2'!D:E, 2, FALSE), "")</f>
        <v/>
      </c>
      <c r="H714" s="368" t="str">
        <f>IFERROR(VLOOKUP(G714,'Client ID Records_v2'!E:F, 2, FALSE), "")</f>
        <v/>
      </c>
      <c r="I714" s="352"/>
      <c r="J714" s="358" t="str">
        <f>IFERROR(VLOOKUP(I714,'Project Records_v2'!F:G, 2, FALSE), "")</f>
        <v/>
      </c>
      <c r="K714" s="143"/>
      <c r="L714" s="390"/>
      <c r="M714" s="419"/>
      <c r="N714" s="370"/>
      <c r="O714" s="370"/>
      <c r="P714" s="371"/>
      <c r="Q714" s="365"/>
    </row>
    <row r="715" ht="22.5" customHeight="1">
      <c r="A715" s="146"/>
      <c r="B715" s="413"/>
      <c r="C715" s="367"/>
      <c r="D715" s="420"/>
      <c r="E715" s="405"/>
      <c r="F715" s="404"/>
      <c r="G715" s="352" t="str">
        <f>IFERROR(VLOOKUP(D715,'Client ID Records_v2'!D:E, 2, FALSE), "")</f>
        <v/>
      </c>
      <c r="H715" s="368" t="str">
        <f>IFERROR(VLOOKUP(G715,'Client ID Records_v2'!E:F, 2, FALSE), "")</f>
        <v/>
      </c>
      <c r="I715" s="352"/>
      <c r="J715" s="358" t="str">
        <f>IFERROR(VLOOKUP(I715,'Project Records_v2'!F:G, 2, FALSE), "")</f>
        <v/>
      </c>
      <c r="K715" s="143"/>
      <c r="L715" s="390"/>
      <c r="M715" s="419"/>
      <c r="N715" s="370"/>
      <c r="O715" s="370"/>
      <c r="P715" s="371"/>
      <c r="Q715" s="365"/>
    </row>
    <row r="716" ht="22.5" customHeight="1">
      <c r="A716" s="146"/>
      <c r="B716" s="413"/>
      <c r="C716" s="367"/>
      <c r="D716" s="420"/>
      <c r="E716" s="405"/>
      <c r="F716" s="404"/>
      <c r="G716" s="352" t="str">
        <f>IFERROR(VLOOKUP(D716,'Client ID Records_v2'!D:E, 2, FALSE), "")</f>
        <v/>
      </c>
      <c r="H716" s="368" t="str">
        <f>IFERROR(VLOOKUP(G716,'Client ID Records_v2'!E:F, 2, FALSE), "")</f>
        <v/>
      </c>
      <c r="I716" s="352"/>
      <c r="J716" s="358" t="str">
        <f>IFERROR(VLOOKUP(I716,'Project Records_v2'!F:G, 2, FALSE), "")</f>
        <v/>
      </c>
      <c r="K716" s="143"/>
      <c r="L716" s="390"/>
      <c r="M716" s="419"/>
      <c r="N716" s="370"/>
      <c r="O716" s="370"/>
      <c r="P716" s="371"/>
      <c r="Q716" s="365"/>
    </row>
    <row r="717" ht="22.5" customHeight="1">
      <c r="A717" s="146"/>
      <c r="B717" s="413"/>
      <c r="C717" s="367"/>
      <c r="D717" s="420"/>
      <c r="E717" s="405"/>
      <c r="F717" s="404"/>
      <c r="G717" s="352" t="str">
        <f>IFERROR(VLOOKUP(D717,'Client ID Records_v2'!D:E, 2, FALSE), "")</f>
        <v/>
      </c>
      <c r="H717" s="368" t="str">
        <f>IFERROR(VLOOKUP(G717,'Client ID Records_v2'!E:F, 2, FALSE), "")</f>
        <v/>
      </c>
      <c r="I717" s="352"/>
      <c r="J717" s="358" t="str">
        <f>IFERROR(VLOOKUP(I717,'Project Records_v2'!F:G, 2, FALSE), "")</f>
        <v/>
      </c>
      <c r="K717" s="143"/>
      <c r="L717" s="390"/>
      <c r="M717" s="419"/>
      <c r="N717" s="370"/>
      <c r="O717" s="370"/>
      <c r="P717" s="371"/>
      <c r="Q717" s="365"/>
    </row>
    <row r="718" ht="22.5" customHeight="1">
      <c r="A718" s="146"/>
      <c r="B718" s="413"/>
      <c r="C718" s="367"/>
      <c r="D718" s="420"/>
      <c r="E718" s="405"/>
      <c r="F718" s="404"/>
      <c r="G718" s="352" t="str">
        <f>IFERROR(VLOOKUP(D718,'Client ID Records_v2'!D:E, 2, FALSE), "")</f>
        <v/>
      </c>
      <c r="H718" s="368" t="str">
        <f>IFERROR(VLOOKUP(G718,'Client ID Records_v2'!E:F, 2, FALSE), "")</f>
        <v/>
      </c>
      <c r="I718" s="352"/>
      <c r="J718" s="358" t="str">
        <f>IFERROR(VLOOKUP(I718,'Project Records_v2'!F:G, 2, FALSE), "")</f>
        <v/>
      </c>
      <c r="K718" s="143"/>
      <c r="L718" s="390"/>
      <c r="M718" s="419"/>
      <c r="N718" s="370"/>
      <c r="O718" s="370"/>
      <c r="P718" s="371"/>
      <c r="Q718" s="365"/>
    </row>
    <row r="719" ht="22.5" customHeight="1">
      <c r="A719" s="146"/>
      <c r="B719" s="413"/>
      <c r="C719" s="367"/>
      <c r="D719" s="420"/>
      <c r="E719" s="405"/>
      <c r="F719" s="404"/>
      <c r="G719" s="352" t="str">
        <f>IFERROR(VLOOKUP(D719,'Client ID Records_v2'!D:E, 2, FALSE), "")</f>
        <v/>
      </c>
      <c r="H719" s="368" t="str">
        <f>IFERROR(VLOOKUP(G719,'Client ID Records_v2'!E:F, 2, FALSE), "")</f>
        <v/>
      </c>
      <c r="I719" s="352"/>
      <c r="J719" s="358" t="str">
        <f>IFERROR(VLOOKUP(I719,'Project Records_v2'!F:G, 2, FALSE), "")</f>
        <v/>
      </c>
      <c r="K719" s="143"/>
      <c r="L719" s="390"/>
      <c r="M719" s="419"/>
      <c r="N719" s="370"/>
      <c r="O719" s="370"/>
      <c r="P719" s="371"/>
      <c r="Q719" s="365"/>
    </row>
    <row r="720" ht="22.5" customHeight="1">
      <c r="A720" s="146"/>
      <c r="B720" s="413"/>
      <c r="C720" s="367"/>
      <c r="D720" s="420"/>
      <c r="E720" s="405"/>
      <c r="F720" s="404"/>
      <c r="G720" s="352" t="str">
        <f>IFERROR(VLOOKUP(D720,'Client ID Records_v2'!D:E, 2, FALSE), "")</f>
        <v/>
      </c>
      <c r="H720" s="368" t="str">
        <f>IFERROR(VLOOKUP(G720,'Client ID Records_v2'!E:F, 2, FALSE), "")</f>
        <v/>
      </c>
      <c r="I720" s="352"/>
      <c r="J720" s="358" t="str">
        <f>IFERROR(VLOOKUP(I720,'Project Records_v2'!F:G, 2, FALSE), "")</f>
        <v/>
      </c>
      <c r="K720" s="143"/>
      <c r="L720" s="390"/>
      <c r="M720" s="419"/>
      <c r="N720" s="370"/>
      <c r="O720" s="370"/>
      <c r="P720" s="371"/>
      <c r="Q720" s="365"/>
    </row>
    <row r="721" ht="22.5" customHeight="1">
      <c r="A721" s="146"/>
      <c r="B721" s="413"/>
      <c r="C721" s="367"/>
      <c r="D721" s="420"/>
      <c r="E721" s="405"/>
      <c r="F721" s="404"/>
      <c r="G721" s="352" t="str">
        <f>IFERROR(VLOOKUP(D721,'Client ID Records_v2'!D:E, 2, FALSE), "")</f>
        <v/>
      </c>
      <c r="H721" s="368" t="str">
        <f>IFERROR(VLOOKUP(G721,'Client ID Records_v2'!E:F, 2, FALSE), "")</f>
        <v/>
      </c>
      <c r="I721" s="352"/>
      <c r="J721" s="358" t="str">
        <f>IFERROR(VLOOKUP(I721,'Project Records_v2'!F:G, 2, FALSE), "")</f>
        <v/>
      </c>
      <c r="K721" s="143"/>
      <c r="L721" s="390"/>
      <c r="M721" s="419"/>
      <c r="N721" s="370"/>
      <c r="O721" s="370"/>
      <c r="P721" s="371"/>
      <c r="Q721" s="365"/>
    </row>
    <row r="722" ht="22.5" customHeight="1">
      <c r="A722" s="146"/>
      <c r="B722" s="413"/>
      <c r="C722" s="367"/>
      <c r="D722" s="420"/>
      <c r="E722" s="405"/>
      <c r="F722" s="404"/>
      <c r="G722" s="352" t="str">
        <f>IFERROR(VLOOKUP(D722,'Client ID Records_v2'!D:E, 2, FALSE), "")</f>
        <v/>
      </c>
      <c r="H722" s="368" t="str">
        <f>IFERROR(VLOOKUP(G722,'Client ID Records_v2'!E:F, 2, FALSE), "")</f>
        <v/>
      </c>
      <c r="I722" s="352"/>
      <c r="J722" s="358" t="str">
        <f>IFERROR(VLOOKUP(I722,'Project Records_v2'!F:G, 2, FALSE), "")</f>
        <v/>
      </c>
      <c r="K722" s="143"/>
      <c r="L722" s="390"/>
      <c r="M722" s="419"/>
      <c r="N722" s="370"/>
      <c r="O722" s="370"/>
      <c r="P722" s="371"/>
      <c r="Q722" s="365"/>
    </row>
    <row r="723" ht="22.5" customHeight="1">
      <c r="A723" s="146"/>
      <c r="B723" s="413"/>
      <c r="C723" s="367"/>
      <c r="D723" s="420"/>
      <c r="E723" s="405"/>
      <c r="F723" s="404"/>
      <c r="G723" s="352" t="str">
        <f>IFERROR(VLOOKUP(D723,'Client ID Records_v2'!D:E, 2, FALSE), "")</f>
        <v/>
      </c>
      <c r="H723" s="368" t="str">
        <f>IFERROR(VLOOKUP(G723,'Client ID Records_v2'!E:F, 2, FALSE), "")</f>
        <v/>
      </c>
      <c r="I723" s="352"/>
      <c r="J723" s="358" t="str">
        <f>IFERROR(VLOOKUP(I723,'Project Records_v2'!F:G, 2, FALSE), "")</f>
        <v/>
      </c>
      <c r="K723" s="143"/>
      <c r="L723" s="390"/>
      <c r="M723" s="419"/>
      <c r="N723" s="370"/>
      <c r="O723" s="370"/>
      <c r="P723" s="371"/>
      <c r="Q723" s="365"/>
    </row>
    <row r="724" ht="22.5" customHeight="1">
      <c r="A724" s="146"/>
      <c r="B724" s="413"/>
      <c r="C724" s="367"/>
      <c r="D724" s="420"/>
      <c r="E724" s="405"/>
      <c r="F724" s="404"/>
      <c r="G724" s="352" t="str">
        <f>IFERROR(VLOOKUP(D724,'Client ID Records_v2'!D:E, 2, FALSE), "")</f>
        <v/>
      </c>
      <c r="H724" s="368" t="str">
        <f>IFERROR(VLOOKUP(G724,'Client ID Records_v2'!E:F, 2, FALSE), "")</f>
        <v/>
      </c>
      <c r="I724" s="352"/>
      <c r="J724" s="358" t="str">
        <f>IFERROR(VLOOKUP(I724,'Project Records_v2'!F:G, 2, FALSE), "")</f>
        <v/>
      </c>
      <c r="K724" s="143"/>
      <c r="L724" s="390"/>
      <c r="M724" s="419"/>
      <c r="N724" s="370"/>
      <c r="O724" s="370"/>
      <c r="P724" s="371"/>
      <c r="Q724" s="365"/>
    </row>
    <row r="725" ht="22.5" customHeight="1">
      <c r="A725" s="146"/>
      <c r="B725" s="413"/>
      <c r="C725" s="367"/>
      <c r="D725" s="420"/>
      <c r="E725" s="405"/>
      <c r="F725" s="404"/>
      <c r="G725" s="352" t="str">
        <f>IFERROR(VLOOKUP(D725,'Client ID Records_v2'!D:E, 2, FALSE), "")</f>
        <v/>
      </c>
      <c r="H725" s="368" t="str">
        <f>IFERROR(VLOOKUP(G725,'Client ID Records_v2'!E:F, 2, FALSE), "")</f>
        <v/>
      </c>
      <c r="I725" s="352"/>
      <c r="J725" s="358" t="str">
        <f>IFERROR(VLOOKUP(I725,'Project Records_v2'!F:G, 2, FALSE), "")</f>
        <v/>
      </c>
      <c r="K725" s="143"/>
      <c r="L725" s="390"/>
      <c r="M725" s="419"/>
      <c r="N725" s="370"/>
      <c r="O725" s="370"/>
      <c r="P725" s="371"/>
      <c r="Q725" s="365"/>
    </row>
    <row r="726" ht="22.5" customHeight="1">
      <c r="A726" s="146"/>
      <c r="B726" s="413"/>
      <c r="C726" s="367"/>
      <c r="D726" s="420"/>
      <c r="E726" s="405"/>
      <c r="F726" s="404"/>
      <c r="G726" s="352" t="str">
        <f>IFERROR(VLOOKUP(D726,'Client ID Records_v2'!D:E, 2, FALSE), "")</f>
        <v/>
      </c>
      <c r="H726" s="368" t="str">
        <f>IFERROR(VLOOKUP(G726,'Client ID Records_v2'!E:F, 2, FALSE), "")</f>
        <v/>
      </c>
      <c r="I726" s="352"/>
      <c r="J726" s="358" t="str">
        <f>IFERROR(VLOOKUP(I726,'Project Records_v2'!F:G, 2, FALSE), "")</f>
        <v/>
      </c>
      <c r="K726" s="143"/>
      <c r="L726" s="390"/>
      <c r="M726" s="419"/>
      <c r="N726" s="370"/>
      <c r="O726" s="370"/>
      <c r="P726" s="371"/>
      <c r="Q726" s="365"/>
    </row>
    <row r="727" ht="22.5" customHeight="1">
      <c r="A727" s="146"/>
      <c r="B727" s="413"/>
      <c r="C727" s="367"/>
      <c r="D727" s="420"/>
      <c r="E727" s="405"/>
      <c r="F727" s="404"/>
      <c r="G727" s="352" t="str">
        <f>IFERROR(VLOOKUP(D727,'Client ID Records_v2'!D:E, 2, FALSE), "")</f>
        <v/>
      </c>
      <c r="H727" s="368" t="str">
        <f>IFERROR(VLOOKUP(G727,'Client ID Records_v2'!E:F, 2, FALSE), "")</f>
        <v/>
      </c>
      <c r="I727" s="352"/>
      <c r="J727" s="358" t="str">
        <f>IFERROR(VLOOKUP(I727,'Project Records_v2'!F:G, 2, FALSE), "")</f>
        <v/>
      </c>
      <c r="K727" s="143"/>
      <c r="L727" s="390"/>
      <c r="M727" s="419"/>
      <c r="N727" s="370"/>
      <c r="O727" s="370"/>
      <c r="P727" s="371"/>
      <c r="Q727" s="365"/>
    </row>
    <row r="728" ht="22.5" customHeight="1">
      <c r="A728" s="146"/>
      <c r="B728" s="413"/>
      <c r="C728" s="367"/>
      <c r="D728" s="420"/>
      <c r="E728" s="405"/>
      <c r="F728" s="404"/>
      <c r="G728" s="352" t="str">
        <f>IFERROR(VLOOKUP(D728,'Client ID Records_v2'!D:E, 2, FALSE), "")</f>
        <v/>
      </c>
      <c r="H728" s="368" t="str">
        <f>IFERROR(VLOOKUP(G728,'Client ID Records_v2'!E:F, 2, FALSE), "")</f>
        <v/>
      </c>
      <c r="I728" s="352"/>
      <c r="J728" s="358" t="str">
        <f>IFERROR(VLOOKUP(I728,'Project Records_v2'!F:G, 2, FALSE), "")</f>
        <v/>
      </c>
      <c r="K728" s="143"/>
      <c r="L728" s="390"/>
      <c r="M728" s="419"/>
      <c r="N728" s="370"/>
      <c r="O728" s="370"/>
      <c r="P728" s="371"/>
      <c r="Q728" s="365"/>
    </row>
    <row r="729" ht="22.5" customHeight="1">
      <c r="A729" s="146"/>
      <c r="B729" s="413"/>
      <c r="C729" s="367"/>
      <c r="D729" s="420"/>
      <c r="E729" s="405"/>
      <c r="F729" s="404"/>
      <c r="G729" s="352" t="str">
        <f>IFERROR(VLOOKUP(D729,'Client ID Records_v2'!D:E, 2, FALSE), "")</f>
        <v/>
      </c>
      <c r="H729" s="368" t="str">
        <f>IFERROR(VLOOKUP(G729,'Client ID Records_v2'!E:F, 2, FALSE), "")</f>
        <v/>
      </c>
      <c r="I729" s="352"/>
      <c r="J729" s="358" t="str">
        <f>IFERROR(VLOOKUP(I729,'Project Records_v2'!F:G, 2, FALSE), "")</f>
        <v/>
      </c>
      <c r="K729" s="143"/>
      <c r="L729" s="390"/>
      <c r="M729" s="419"/>
      <c r="N729" s="370"/>
      <c r="O729" s="370"/>
      <c r="P729" s="371"/>
      <c r="Q729" s="365"/>
    </row>
    <row r="730" ht="22.5" customHeight="1">
      <c r="A730" s="146"/>
      <c r="B730" s="413"/>
      <c r="C730" s="367"/>
      <c r="D730" s="420"/>
      <c r="E730" s="405"/>
      <c r="F730" s="404"/>
      <c r="G730" s="352" t="str">
        <f>IFERROR(VLOOKUP(D730,'Client ID Records_v2'!D:E, 2, FALSE), "")</f>
        <v/>
      </c>
      <c r="H730" s="368" t="str">
        <f>IFERROR(VLOOKUP(G730,'Client ID Records_v2'!E:F, 2, FALSE), "")</f>
        <v/>
      </c>
      <c r="I730" s="352"/>
      <c r="J730" s="358" t="str">
        <f>IFERROR(VLOOKUP(I730,'Project Records_v2'!F:G, 2, FALSE), "")</f>
        <v/>
      </c>
      <c r="K730" s="143"/>
      <c r="L730" s="390"/>
      <c r="M730" s="419"/>
      <c r="N730" s="370"/>
      <c r="O730" s="370"/>
      <c r="P730" s="371"/>
      <c r="Q730" s="365"/>
    </row>
    <row r="731" ht="22.5" customHeight="1">
      <c r="A731" s="146"/>
      <c r="B731" s="413"/>
      <c r="C731" s="367"/>
      <c r="D731" s="420"/>
      <c r="E731" s="405"/>
      <c r="F731" s="404"/>
      <c r="G731" s="352" t="str">
        <f>IFERROR(VLOOKUP(D731,'Client ID Records_v2'!D:E, 2, FALSE), "")</f>
        <v/>
      </c>
      <c r="H731" s="368" t="str">
        <f>IFERROR(VLOOKUP(G731,'Client ID Records_v2'!E:F, 2, FALSE), "")</f>
        <v/>
      </c>
      <c r="I731" s="352"/>
      <c r="J731" s="358" t="str">
        <f>IFERROR(VLOOKUP(I731,'Project Records_v2'!F:G, 2, FALSE), "")</f>
        <v/>
      </c>
      <c r="K731" s="143"/>
      <c r="L731" s="390"/>
      <c r="M731" s="419"/>
      <c r="N731" s="370"/>
      <c r="O731" s="370"/>
      <c r="P731" s="371"/>
      <c r="Q731" s="365"/>
    </row>
    <row r="732" ht="22.5" customHeight="1">
      <c r="A732" s="146"/>
      <c r="B732" s="413"/>
      <c r="C732" s="367"/>
      <c r="D732" s="420"/>
      <c r="E732" s="405"/>
      <c r="F732" s="404"/>
      <c r="G732" s="352" t="str">
        <f>IFERROR(VLOOKUP(D732,'Client ID Records_v2'!D:E, 2, FALSE), "")</f>
        <v/>
      </c>
      <c r="H732" s="368" t="str">
        <f>IFERROR(VLOOKUP(G732,'Client ID Records_v2'!E:F, 2, FALSE), "")</f>
        <v/>
      </c>
      <c r="I732" s="352"/>
      <c r="J732" s="358" t="str">
        <f>IFERROR(VLOOKUP(I732,'Project Records_v2'!F:G, 2, FALSE), "")</f>
        <v/>
      </c>
      <c r="K732" s="143"/>
      <c r="L732" s="390"/>
      <c r="M732" s="419"/>
      <c r="N732" s="370"/>
      <c r="O732" s="370"/>
      <c r="P732" s="371"/>
      <c r="Q732" s="365"/>
    </row>
    <row r="733" ht="22.5" customHeight="1">
      <c r="A733" s="146"/>
      <c r="B733" s="413"/>
      <c r="C733" s="367"/>
      <c r="D733" s="420"/>
      <c r="E733" s="405"/>
      <c r="F733" s="404"/>
      <c r="G733" s="352" t="str">
        <f>IFERROR(VLOOKUP(D733,'Client ID Records_v2'!D:E, 2, FALSE), "")</f>
        <v/>
      </c>
      <c r="H733" s="368" t="str">
        <f>IFERROR(VLOOKUP(G733,'Client ID Records_v2'!E:F, 2, FALSE), "")</f>
        <v/>
      </c>
      <c r="I733" s="352"/>
      <c r="J733" s="358" t="str">
        <f>IFERROR(VLOOKUP(I733,'Project Records_v2'!F:G, 2, FALSE), "")</f>
        <v/>
      </c>
      <c r="K733" s="143"/>
      <c r="L733" s="390"/>
      <c r="M733" s="419"/>
      <c r="N733" s="370"/>
      <c r="O733" s="370"/>
      <c r="P733" s="371"/>
      <c r="Q733" s="365"/>
    </row>
    <row r="734" ht="22.5" customHeight="1">
      <c r="A734" s="146"/>
      <c r="B734" s="413"/>
      <c r="C734" s="367"/>
      <c r="D734" s="420"/>
      <c r="E734" s="405"/>
      <c r="F734" s="404"/>
      <c r="G734" s="352" t="str">
        <f>IFERROR(VLOOKUP(D734,'Client ID Records_v2'!D:E, 2, FALSE), "")</f>
        <v/>
      </c>
      <c r="H734" s="368" t="str">
        <f>IFERROR(VLOOKUP(G734,'Client ID Records_v2'!E:F, 2, FALSE), "")</f>
        <v/>
      </c>
      <c r="I734" s="352"/>
      <c r="J734" s="358" t="str">
        <f>IFERROR(VLOOKUP(I734,'Project Records_v2'!F:G, 2, FALSE), "")</f>
        <v/>
      </c>
      <c r="K734" s="143"/>
      <c r="L734" s="390"/>
      <c r="M734" s="419"/>
      <c r="N734" s="370"/>
      <c r="O734" s="370"/>
      <c r="P734" s="371"/>
      <c r="Q734" s="365"/>
    </row>
    <row r="735" ht="22.5" customHeight="1">
      <c r="A735" s="146"/>
      <c r="B735" s="413"/>
      <c r="C735" s="367"/>
      <c r="D735" s="420"/>
      <c r="E735" s="405"/>
      <c r="F735" s="404"/>
      <c r="G735" s="352" t="str">
        <f>IFERROR(VLOOKUP(D735,'Client ID Records_v2'!D:E, 2, FALSE), "")</f>
        <v/>
      </c>
      <c r="H735" s="368" t="str">
        <f>IFERROR(VLOOKUP(G735,'Client ID Records_v2'!E:F, 2, FALSE), "")</f>
        <v/>
      </c>
      <c r="I735" s="352"/>
      <c r="J735" s="358" t="str">
        <f>IFERROR(VLOOKUP(I735,'Project Records_v2'!F:G, 2, FALSE), "")</f>
        <v/>
      </c>
      <c r="K735" s="143"/>
      <c r="L735" s="390"/>
      <c r="M735" s="419"/>
      <c r="N735" s="370"/>
      <c r="O735" s="370"/>
      <c r="P735" s="371"/>
      <c r="Q735" s="365"/>
    </row>
    <row r="736" ht="22.5" customHeight="1">
      <c r="A736" s="146"/>
      <c r="B736" s="413"/>
      <c r="C736" s="367"/>
      <c r="D736" s="420"/>
      <c r="E736" s="405"/>
      <c r="F736" s="404"/>
      <c r="G736" s="352" t="str">
        <f>IFERROR(VLOOKUP(D736,'Client ID Records_v2'!D:E, 2, FALSE), "")</f>
        <v/>
      </c>
      <c r="H736" s="368" t="str">
        <f>IFERROR(VLOOKUP(G736,'Client ID Records_v2'!E:F, 2, FALSE), "")</f>
        <v/>
      </c>
      <c r="I736" s="352"/>
      <c r="J736" s="358" t="str">
        <f>IFERROR(VLOOKUP(I736,'Project Records_v2'!F:G, 2, FALSE), "")</f>
        <v/>
      </c>
      <c r="K736" s="143"/>
      <c r="L736" s="390"/>
      <c r="M736" s="419"/>
      <c r="N736" s="370"/>
      <c r="O736" s="370"/>
      <c r="P736" s="371"/>
      <c r="Q736" s="365"/>
    </row>
    <row r="737" ht="22.5" customHeight="1">
      <c r="A737" s="146"/>
      <c r="B737" s="413"/>
      <c r="C737" s="367"/>
      <c r="D737" s="420"/>
      <c r="E737" s="405"/>
      <c r="F737" s="404"/>
      <c r="G737" s="352" t="str">
        <f>IFERROR(VLOOKUP(D737,'Client ID Records_v2'!D:E, 2, FALSE), "")</f>
        <v/>
      </c>
      <c r="H737" s="368" t="str">
        <f>IFERROR(VLOOKUP(G737,'Client ID Records_v2'!E:F, 2, FALSE), "")</f>
        <v/>
      </c>
      <c r="I737" s="352"/>
      <c r="J737" s="358" t="str">
        <f>IFERROR(VLOOKUP(I737,'Project Records_v2'!F:G, 2, FALSE), "")</f>
        <v/>
      </c>
      <c r="K737" s="143"/>
      <c r="L737" s="390"/>
      <c r="M737" s="419"/>
      <c r="N737" s="370"/>
      <c r="O737" s="370"/>
      <c r="P737" s="371"/>
      <c r="Q737" s="365"/>
    </row>
    <row r="738" ht="22.5" customHeight="1">
      <c r="A738" s="146"/>
      <c r="B738" s="413"/>
      <c r="C738" s="367"/>
      <c r="D738" s="420"/>
      <c r="E738" s="405"/>
      <c r="F738" s="404"/>
      <c r="G738" s="352" t="str">
        <f>IFERROR(VLOOKUP(D738,'Client ID Records_v2'!D:E, 2, FALSE), "")</f>
        <v/>
      </c>
      <c r="H738" s="368" t="str">
        <f>IFERROR(VLOOKUP(G738,'Client ID Records_v2'!E:F, 2, FALSE), "")</f>
        <v/>
      </c>
      <c r="I738" s="352"/>
      <c r="J738" s="358" t="str">
        <f>IFERROR(VLOOKUP(I738,'Project Records_v2'!F:G, 2, FALSE), "")</f>
        <v/>
      </c>
      <c r="K738" s="143"/>
      <c r="L738" s="390"/>
      <c r="M738" s="419"/>
      <c r="N738" s="370"/>
      <c r="O738" s="370"/>
      <c r="P738" s="371"/>
      <c r="Q738" s="365"/>
    </row>
    <row r="739" ht="22.5" customHeight="1">
      <c r="A739" s="146"/>
      <c r="B739" s="413"/>
      <c r="C739" s="367"/>
      <c r="D739" s="420"/>
      <c r="E739" s="405"/>
      <c r="F739" s="404"/>
      <c r="G739" s="352" t="str">
        <f>IFERROR(VLOOKUP(D739,'Client ID Records_v2'!D:E, 2, FALSE), "")</f>
        <v/>
      </c>
      <c r="H739" s="368" t="str">
        <f>IFERROR(VLOOKUP(G739,'Client ID Records_v2'!E:F, 2, FALSE), "")</f>
        <v/>
      </c>
      <c r="I739" s="352"/>
      <c r="J739" s="358" t="str">
        <f>IFERROR(VLOOKUP(I739,'Project Records_v2'!F:G, 2, FALSE), "")</f>
        <v/>
      </c>
      <c r="K739" s="143"/>
      <c r="L739" s="390"/>
      <c r="M739" s="419"/>
      <c r="N739" s="370"/>
      <c r="O739" s="370"/>
      <c r="P739" s="371"/>
      <c r="Q739" s="365"/>
    </row>
    <row r="740" ht="22.5" customHeight="1">
      <c r="A740" s="146"/>
      <c r="B740" s="413"/>
      <c r="C740" s="367"/>
      <c r="D740" s="420"/>
      <c r="E740" s="405"/>
      <c r="F740" s="404"/>
      <c r="G740" s="352" t="str">
        <f>IFERROR(VLOOKUP(D740,'Client ID Records_v2'!D:E, 2, FALSE), "")</f>
        <v/>
      </c>
      <c r="H740" s="368" t="str">
        <f>IFERROR(VLOOKUP(G740,'Client ID Records_v2'!E:F, 2, FALSE), "")</f>
        <v/>
      </c>
      <c r="I740" s="352"/>
      <c r="J740" s="358" t="str">
        <f>IFERROR(VLOOKUP(I740,'Project Records_v2'!F:G, 2, FALSE), "")</f>
        <v/>
      </c>
      <c r="K740" s="143"/>
      <c r="L740" s="390"/>
      <c r="M740" s="419"/>
      <c r="N740" s="370"/>
      <c r="O740" s="370"/>
      <c r="P740" s="371"/>
      <c r="Q740" s="365"/>
    </row>
    <row r="741" ht="22.5" customHeight="1">
      <c r="A741" s="146"/>
      <c r="B741" s="413"/>
      <c r="C741" s="367"/>
      <c r="D741" s="420"/>
      <c r="E741" s="405"/>
      <c r="F741" s="404"/>
      <c r="G741" s="352" t="str">
        <f>IFERROR(VLOOKUP(D741,'Client ID Records_v2'!D:E, 2, FALSE), "")</f>
        <v/>
      </c>
      <c r="H741" s="368" t="str">
        <f>IFERROR(VLOOKUP(G741,'Client ID Records_v2'!E:F, 2, FALSE), "")</f>
        <v/>
      </c>
      <c r="I741" s="352"/>
      <c r="J741" s="358" t="str">
        <f>IFERROR(VLOOKUP(I741,'Project Records_v2'!F:G, 2, FALSE), "")</f>
        <v/>
      </c>
      <c r="K741" s="143"/>
      <c r="L741" s="390"/>
      <c r="M741" s="419"/>
      <c r="N741" s="370"/>
      <c r="O741" s="370"/>
      <c r="P741" s="371"/>
      <c r="Q741" s="365"/>
    </row>
    <row r="742" ht="22.5" customHeight="1">
      <c r="A742" s="146"/>
      <c r="B742" s="413"/>
      <c r="C742" s="367"/>
      <c r="D742" s="420"/>
      <c r="E742" s="405"/>
      <c r="F742" s="404"/>
      <c r="G742" s="352" t="str">
        <f>IFERROR(VLOOKUP(D742,'Client ID Records_v2'!D:E, 2, FALSE), "")</f>
        <v/>
      </c>
      <c r="H742" s="368" t="str">
        <f>IFERROR(VLOOKUP(G742,'Client ID Records_v2'!E:F, 2, FALSE), "")</f>
        <v/>
      </c>
      <c r="I742" s="352"/>
      <c r="J742" s="358" t="str">
        <f>IFERROR(VLOOKUP(I742,'Project Records_v2'!F:G, 2, FALSE), "")</f>
        <v/>
      </c>
      <c r="K742" s="143"/>
      <c r="L742" s="390"/>
      <c r="M742" s="419"/>
      <c r="N742" s="370"/>
      <c r="O742" s="370"/>
      <c r="P742" s="371"/>
      <c r="Q742" s="365"/>
    </row>
    <row r="743" ht="22.5" customHeight="1">
      <c r="A743" s="146"/>
      <c r="B743" s="413"/>
      <c r="C743" s="367"/>
      <c r="D743" s="420"/>
      <c r="E743" s="405"/>
      <c r="F743" s="404"/>
      <c r="G743" s="352" t="str">
        <f>IFERROR(VLOOKUP(D743,'Client ID Records_v2'!D:E, 2, FALSE), "")</f>
        <v/>
      </c>
      <c r="H743" s="368" t="str">
        <f>IFERROR(VLOOKUP(G743,'Client ID Records_v2'!E:F, 2, FALSE), "")</f>
        <v/>
      </c>
      <c r="I743" s="352"/>
      <c r="J743" s="358" t="str">
        <f>IFERROR(VLOOKUP(I743,'Project Records_v2'!F:G, 2, FALSE), "")</f>
        <v/>
      </c>
      <c r="K743" s="143"/>
      <c r="L743" s="390"/>
      <c r="M743" s="419"/>
      <c r="N743" s="370"/>
      <c r="O743" s="370"/>
      <c r="P743" s="371"/>
      <c r="Q743" s="365"/>
    </row>
    <row r="744" ht="22.5" customHeight="1">
      <c r="A744" s="146"/>
      <c r="B744" s="413"/>
      <c r="C744" s="367"/>
      <c r="D744" s="420"/>
      <c r="E744" s="405"/>
      <c r="F744" s="404"/>
      <c r="G744" s="352" t="str">
        <f>IFERROR(VLOOKUP(D744,'Client ID Records_v2'!D:E, 2, FALSE), "")</f>
        <v/>
      </c>
      <c r="H744" s="368" t="str">
        <f>IFERROR(VLOOKUP(G744,'Client ID Records_v2'!E:F, 2, FALSE), "")</f>
        <v/>
      </c>
      <c r="I744" s="352"/>
      <c r="J744" s="358" t="str">
        <f>IFERROR(VLOOKUP(I744,'Project Records_v2'!F:G, 2, FALSE), "")</f>
        <v/>
      </c>
      <c r="K744" s="143"/>
      <c r="L744" s="390"/>
      <c r="M744" s="419"/>
      <c r="N744" s="370"/>
      <c r="O744" s="370"/>
      <c r="P744" s="371"/>
      <c r="Q744" s="365"/>
    </row>
    <row r="745" ht="22.5" customHeight="1">
      <c r="A745" s="146"/>
      <c r="B745" s="413"/>
      <c r="C745" s="367"/>
      <c r="D745" s="420"/>
      <c r="E745" s="405"/>
      <c r="F745" s="404"/>
      <c r="G745" s="352" t="str">
        <f>IFERROR(VLOOKUP(D745,'Client ID Records_v2'!D:E, 2, FALSE), "")</f>
        <v/>
      </c>
      <c r="H745" s="368" t="str">
        <f>IFERROR(VLOOKUP(G745,'Client ID Records_v2'!E:F, 2, FALSE), "")</f>
        <v/>
      </c>
      <c r="I745" s="352"/>
      <c r="J745" s="358" t="str">
        <f>IFERROR(VLOOKUP(I745,'Project Records_v2'!F:G, 2, FALSE), "")</f>
        <v/>
      </c>
      <c r="K745" s="143"/>
      <c r="L745" s="390"/>
      <c r="M745" s="419"/>
      <c r="N745" s="370"/>
      <c r="O745" s="370"/>
      <c r="P745" s="371"/>
      <c r="Q745" s="365"/>
    </row>
    <row r="746" ht="22.5" customHeight="1">
      <c r="A746" s="146"/>
      <c r="B746" s="413"/>
      <c r="C746" s="367"/>
      <c r="D746" s="420"/>
      <c r="E746" s="405"/>
      <c r="F746" s="404"/>
      <c r="G746" s="352" t="str">
        <f>IFERROR(VLOOKUP(D746,'Client ID Records_v2'!D:E, 2, FALSE), "")</f>
        <v/>
      </c>
      <c r="H746" s="368" t="str">
        <f>IFERROR(VLOOKUP(G746,'Client ID Records_v2'!E:F, 2, FALSE), "")</f>
        <v/>
      </c>
      <c r="I746" s="352"/>
      <c r="J746" s="358" t="str">
        <f>IFERROR(VLOOKUP(I746,'Project Records_v2'!F:G, 2, FALSE), "")</f>
        <v/>
      </c>
      <c r="K746" s="143"/>
      <c r="L746" s="390"/>
      <c r="M746" s="419"/>
      <c r="N746" s="370"/>
      <c r="O746" s="370"/>
      <c r="P746" s="371"/>
      <c r="Q746" s="365"/>
    </row>
    <row r="747" ht="22.5" customHeight="1">
      <c r="A747" s="146"/>
      <c r="B747" s="413"/>
      <c r="C747" s="367"/>
      <c r="D747" s="420"/>
      <c r="E747" s="405"/>
      <c r="F747" s="404"/>
      <c r="G747" s="352" t="str">
        <f>IFERROR(VLOOKUP(D747,'Client ID Records_v2'!D:E, 2, FALSE), "")</f>
        <v/>
      </c>
      <c r="H747" s="368" t="str">
        <f>IFERROR(VLOOKUP(G747,'Client ID Records_v2'!E:F, 2, FALSE), "")</f>
        <v/>
      </c>
      <c r="I747" s="352"/>
      <c r="J747" s="358" t="str">
        <f>IFERROR(VLOOKUP(I747,'Project Records_v2'!F:G, 2, FALSE), "")</f>
        <v/>
      </c>
      <c r="K747" s="143"/>
      <c r="L747" s="390"/>
      <c r="M747" s="419"/>
      <c r="N747" s="370"/>
      <c r="O747" s="370"/>
      <c r="P747" s="371"/>
      <c r="Q747" s="365"/>
    </row>
    <row r="748" ht="22.5" customHeight="1">
      <c r="A748" s="146"/>
      <c r="B748" s="413"/>
      <c r="C748" s="367"/>
      <c r="D748" s="420"/>
      <c r="E748" s="405"/>
      <c r="F748" s="404"/>
      <c r="G748" s="352" t="str">
        <f>IFERROR(VLOOKUP(D748,'Client ID Records_v2'!D:E, 2, FALSE), "")</f>
        <v/>
      </c>
      <c r="H748" s="368" t="str">
        <f>IFERROR(VLOOKUP(G748,'Client ID Records_v2'!E:F, 2, FALSE), "")</f>
        <v/>
      </c>
      <c r="I748" s="352"/>
      <c r="J748" s="358" t="str">
        <f>IFERROR(VLOOKUP(I748,'Project Records_v2'!F:G, 2, FALSE), "")</f>
        <v/>
      </c>
      <c r="K748" s="143"/>
      <c r="L748" s="390"/>
      <c r="M748" s="419"/>
      <c r="N748" s="370"/>
      <c r="O748" s="370"/>
      <c r="P748" s="371"/>
      <c r="Q748" s="365"/>
    </row>
    <row r="749" ht="22.5" customHeight="1">
      <c r="A749" s="146"/>
      <c r="B749" s="413"/>
      <c r="C749" s="367"/>
      <c r="D749" s="420"/>
      <c r="E749" s="405"/>
      <c r="F749" s="404"/>
      <c r="G749" s="352" t="str">
        <f>IFERROR(VLOOKUP(D749,'Client ID Records_v2'!D:E, 2, FALSE), "")</f>
        <v/>
      </c>
      <c r="H749" s="368" t="str">
        <f>IFERROR(VLOOKUP(G749,'Client ID Records_v2'!E:F, 2, FALSE), "")</f>
        <v/>
      </c>
      <c r="I749" s="352"/>
      <c r="J749" s="358" t="str">
        <f>IFERROR(VLOOKUP(I749,'Project Records_v2'!F:G, 2, FALSE), "")</f>
        <v/>
      </c>
      <c r="K749" s="143"/>
      <c r="L749" s="390"/>
      <c r="M749" s="419"/>
      <c r="N749" s="370"/>
      <c r="O749" s="370"/>
      <c r="P749" s="371"/>
      <c r="Q749" s="365"/>
    </row>
    <row r="750" ht="22.5" customHeight="1">
      <c r="A750" s="146"/>
      <c r="B750" s="413"/>
      <c r="C750" s="367"/>
      <c r="D750" s="420"/>
      <c r="E750" s="405"/>
      <c r="F750" s="404"/>
      <c r="G750" s="352" t="str">
        <f>IFERROR(VLOOKUP(D750,'Client ID Records_v2'!D:E, 2, FALSE), "")</f>
        <v/>
      </c>
      <c r="H750" s="368" t="str">
        <f>IFERROR(VLOOKUP(G750,'Client ID Records_v2'!E:F, 2, FALSE), "")</f>
        <v/>
      </c>
      <c r="I750" s="352"/>
      <c r="J750" s="358" t="str">
        <f>IFERROR(VLOOKUP(I750,'Project Records_v2'!F:G, 2, FALSE), "")</f>
        <v/>
      </c>
      <c r="K750" s="143"/>
      <c r="L750" s="390"/>
      <c r="M750" s="419"/>
      <c r="N750" s="370"/>
      <c r="O750" s="370"/>
      <c r="P750" s="371"/>
      <c r="Q750" s="365"/>
    </row>
    <row r="751" ht="22.5" customHeight="1">
      <c r="A751" s="146"/>
      <c r="B751" s="413"/>
      <c r="C751" s="367"/>
      <c r="D751" s="420"/>
      <c r="E751" s="405"/>
      <c r="F751" s="404"/>
      <c r="G751" s="352" t="str">
        <f>IFERROR(VLOOKUP(D751,'Client ID Records_v2'!D:E, 2, FALSE), "")</f>
        <v/>
      </c>
      <c r="H751" s="368" t="str">
        <f>IFERROR(VLOOKUP(G751,'Client ID Records_v2'!E:F, 2, FALSE), "")</f>
        <v/>
      </c>
      <c r="I751" s="352"/>
      <c r="J751" s="358" t="str">
        <f>IFERROR(VLOOKUP(I751,'Project Records_v2'!F:G, 2, FALSE), "")</f>
        <v/>
      </c>
      <c r="K751" s="143"/>
      <c r="L751" s="390"/>
      <c r="M751" s="419"/>
      <c r="N751" s="370"/>
      <c r="O751" s="370"/>
      <c r="P751" s="371"/>
      <c r="Q751" s="365"/>
    </row>
    <row r="752" ht="22.5" customHeight="1">
      <c r="A752" s="146"/>
      <c r="B752" s="413"/>
      <c r="C752" s="367"/>
      <c r="D752" s="420"/>
      <c r="E752" s="405"/>
      <c r="F752" s="404"/>
      <c r="G752" s="352" t="str">
        <f>IFERROR(VLOOKUP(D752,'Client ID Records_v2'!D:E, 2, FALSE), "")</f>
        <v/>
      </c>
      <c r="H752" s="368" t="str">
        <f>IFERROR(VLOOKUP(G752,'Client ID Records_v2'!E:F, 2, FALSE), "")</f>
        <v/>
      </c>
      <c r="I752" s="352"/>
      <c r="J752" s="358" t="str">
        <f>IFERROR(VLOOKUP(I752,'Project Records_v2'!F:G, 2, FALSE), "")</f>
        <v/>
      </c>
      <c r="K752" s="143"/>
      <c r="L752" s="390"/>
      <c r="M752" s="419"/>
      <c r="N752" s="370"/>
      <c r="O752" s="370"/>
      <c r="P752" s="371"/>
      <c r="Q752" s="365"/>
    </row>
    <row r="753" ht="22.5" customHeight="1">
      <c r="A753" s="146"/>
      <c r="B753" s="413"/>
      <c r="C753" s="367"/>
      <c r="D753" s="420"/>
      <c r="E753" s="405"/>
      <c r="F753" s="404"/>
      <c r="G753" s="352" t="str">
        <f>IFERROR(VLOOKUP(D753,'Client ID Records_v2'!D:E, 2, FALSE), "")</f>
        <v/>
      </c>
      <c r="H753" s="368" t="str">
        <f>IFERROR(VLOOKUP(G753,'Client ID Records_v2'!E:F, 2, FALSE), "")</f>
        <v/>
      </c>
      <c r="I753" s="352"/>
      <c r="J753" s="358" t="str">
        <f>IFERROR(VLOOKUP(I753,'Project Records_v2'!F:G, 2, FALSE), "")</f>
        <v/>
      </c>
      <c r="K753" s="143"/>
      <c r="L753" s="390"/>
      <c r="M753" s="419"/>
      <c r="N753" s="370"/>
      <c r="O753" s="370"/>
      <c r="P753" s="371"/>
      <c r="Q753" s="365"/>
    </row>
    <row r="754" ht="22.5" customHeight="1">
      <c r="A754" s="146"/>
      <c r="B754" s="413"/>
      <c r="C754" s="367"/>
      <c r="D754" s="420"/>
      <c r="E754" s="405"/>
      <c r="F754" s="404"/>
      <c r="G754" s="352" t="str">
        <f>IFERROR(VLOOKUP(D754,'Client ID Records_v2'!D:E, 2, FALSE), "")</f>
        <v/>
      </c>
      <c r="H754" s="368" t="str">
        <f>IFERROR(VLOOKUP(G754,'Client ID Records_v2'!E:F, 2, FALSE), "")</f>
        <v/>
      </c>
      <c r="I754" s="352"/>
      <c r="J754" s="358" t="str">
        <f>IFERROR(VLOOKUP(I754,'Project Records_v2'!F:G, 2, FALSE), "")</f>
        <v/>
      </c>
      <c r="K754" s="143"/>
      <c r="L754" s="390"/>
      <c r="M754" s="419"/>
      <c r="N754" s="370"/>
      <c r="O754" s="370"/>
      <c r="P754" s="371"/>
      <c r="Q754" s="365"/>
    </row>
    <row r="755" ht="22.5" customHeight="1">
      <c r="A755" s="146"/>
      <c r="B755" s="413"/>
      <c r="C755" s="367"/>
      <c r="D755" s="420"/>
      <c r="E755" s="405"/>
      <c r="F755" s="404"/>
      <c r="G755" s="352" t="str">
        <f>IFERROR(VLOOKUP(D755,'Client ID Records_v2'!D:E, 2, FALSE), "")</f>
        <v/>
      </c>
      <c r="H755" s="368" t="str">
        <f>IFERROR(VLOOKUP(G755,'Client ID Records_v2'!E:F, 2, FALSE), "")</f>
        <v/>
      </c>
      <c r="I755" s="352"/>
      <c r="J755" s="358" t="str">
        <f>IFERROR(VLOOKUP(I755,'Project Records_v2'!F:G, 2, FALSE), "")</f>
        <v/>
      </c>
      <c r="K755" s="143"/>
      <c r="L755" s="390"/>
      <c r="M755" s="419"/>
      <c r="N755" s="370"/>
      <c r="O755" s="370"/>
      <c r="P755" s="371"/>
      <c r="Q755" s="365"/>
    </row>
    <row r="756" ht="22.5" customHeight="1">
      <c r="A756" s="146"/>
      <c r="B756" s="413"/>
      <c r="C756" s="367"/>
      <c r="D756" s="420"/>
      <c r="E756" s="405"/>
      <c r="F756" s="404"/>
      <c r="G756" s="352" t="str">
        <f>IFERROR(VLOOKUP(D756,'Client ID Records_v2'!D:E, 2, FALSE), "")</f>
        <v/>
      </c>
      <c r="H756" s="368" t="str">
        <f>IFERROR(VLOOKUP(G756,'Client ID Records_v2'!E:F, 2, FALSE), "")</f>
        <v/>
      </c>
      <c r="I756" s="352"/>
      <c r="J756" s="358" t="str">
        <f>IFERROR(VLOOKUP(I756,'Project Records_v2'!F:G, 2, FALSE), "")</f>
        <v/>
      </c>
      <c r="K756" s="143"/>
      <c r="L756" s="390"/>
      <c r="M756" s="419"/>
      <c r="N756" s="370"/>
      <c r="O756" s="370"/>
      <c r="P756" s="371"/>
      <c r="Q756" s="365"/>
    </row>
    <row r="757" ht="22.5" customHeight="1">
      <c r="A757" s="146"/>
      <c r="B757" s="413"/>
      <c r="C757" s="367"/>
      <c r="D757" s="420"/>
      <c r="E757" s="405"/>
      <c r="F757" s="404"/>
      <c r="G757" s="352" t="str">
        <f>IFERROR(VLOOKUP(D757,'Client ID Records_v2'!D:E, 2, FALSE), "")</f>
        <v/>
      </c>
      <c r="H757" s="368" t="str">
        <f>IFERROR(VLOOKUP(G757,'Client ID Records_v2'!E:F, 2, FALSE), "")</f>
        <v/>
      </c>
      <c r="I757" s="352"/>
      <c r="J757" s="358" t="str">
        <f>IFERROR(VLOOKUP(I757,'Project Records_v2'!F:G, 2, FALSE), "")</f>
        <v/>
      </c>
      <c r="K757" s="143"/>
      <c r="L757" s="390"/>
      <c r="M757" s="419"/>
      <c r="N757" s="370"/>
      <c r="O757" s="370"/>
      <c r="P757" s="371"/>
      <c r="Q757" s="365"/>
    </row>
    <row r="758" ht="22.5" customHeight="1">
      <c r="A758" s="146"/>
      <c r="B758" s="413"/>
      <c r="C758" s="367"/>
      <c r="D758" s="420"/>
      <c r="E758" s="405"/>
      <c r="F758" s="404"/>
      <c r="G758" s="352" t="str">
        <f>IFERROR(VLOOKUP(D758,'Client ID Records_v2'!D:E, 2, FALSE), "")</f>
        <v/>
      </c>
      <c r="H758" s="368" t="str">
        <f>IFERROR(VLOOKUP(G758,'Client ID Records_v2'!E:F, 2, FALSE), "")</f>
        <v/>
      </c>
      <c r="I758" s="352"/>
      <c r="J758" s="358" t="str">
        <f>IFERROR(VLOOKUP(I758,'Project Records_v2'!F:G, 2, FALSE), "")</f>
        <v/>
      </c>
      <c r="K758" s="143"/>
      <c r="L758" s="390"/>
      <c r="M758" s="419"/>
      <c r="N758" s="370"/>
      <c r="O758" s="370"/>
      <c r="P758" s="371"/>
      <c r="Q758" s="365"/>
    </row>
    <row r="759" ht="22.5" customHeight="1">
      <c r="A759" s="146"/>
      <c r="B759" s="413"/>
      <c r="C759" s="367"/>
      <c r="D759" s="420"/>
      <c r="E759" s="405"/>
      <c r="F759" s="404"/>
      <c r="G759" s="352" t="str">
        <f>IFERROR(VLOOKUP(D759,'Client ID Records_v2'!D:E, 2, FALSE), "")</f>
        <v/>
      </c>
      <c r="H759" s="368" t="str">
        <f>IFERROR(VLOOKUP(G759,'Client ID Records_v2'!E:F, 2, FALSE), "")</f>
        <v/>
      </c>
      <c r="I759" s="352"/>
      <c r="J759" s="358" t="str">
        <f>IFERROR(VLOOKUP(I759,'Project Records_v2'!F:G, 2, FALSE), "")</f>
        <v/>
      </c>
      <c r="K759" s="143"/>
      <c r="L759" s="390"/>
      <c r="M759" s="419"/>
      <c r="N759" s="370"/>
      <c r="O759" s="370"/>
      <c r="P759" s="371"/>
      <c r="Q759" s="365"/>
    </row>
    <row r="760" ht="22.5" customHeight="1">
      <c r="A760" s="146"/>
      <c r="B760" s="413"/>
      <c r="C760" s="367"/>
      <c r="D760" s="420"/>
      <c r="E760" s="405"/>
      <c r="F760" s="404"/>
      <c r="G760" s="352" t="str">
        <f>IFERROR(VLOOKUP(D760,'Client ID Records_v2'!D:E, 2, FALSE), "")</f>
        <v/>
      </c>
      <c r="H760" s="368" t="str">
        <f>IFERROR(VLOOKUP(G760,'Client ID Records_v2'!E:F, 2, FALSE), "")</f>
        <v/>
      </c>
      <c r="I760" s="352"/>
      <c r="J760" s="358" t="str">
        <f>IFERROR(VLOOKUP(I760,'Project Records_v2'!F:G, 2, FALSE), "")</f>
        <v/>
      </c>
      <c r="K760" s="143"/>
      <c r="L760" s="390"/>
      <c r="M760" s="419"/>
      <c r="N760" s="370"/>
      <c r="O760" s="370"/>
      <c r="P760" s="371"/>
      <c r="Q760" s="365"/>
    </row>
    <row r="761" ht="22.5" customHeight="1">
      <c r="A761" s="146"/>
      <c r="B761" s="413"/>
      <c r="C761" s="367"/>
      <c r="D761" s="420"/>
      <c r="E761" s="405"/>
      <c r="F761" s="404"/>
      <c r="G761" s="352" t="str">
        <f>IFERROR(VLOOKUP(D761,'Client ID Records_v2'!D:E, 2, FALSE), "")</f>
        <v/>
      </c>
      <c r="H761" s="368" t="str">
        <f>IFERROR(VLOOKUP(G761,'Client ID Records_v2'!E:F, 2, FALSE), "")</f>
        <v/>
      </c>
      <c r="I761" s="352"/>
      <c r="J761" s="358" t="str">
        <f>IFERROR(VLOOKUP(I761,'Project Records_v2'!F:G, 2, FALSE), "")</f>
        <v/>
      </c>
      <c r="K761" s="143"/>
      <c r="L761" s="390"/>
      <c r="M761" s="419"/>
      <c r="N761" s="370"/>
      <c r="O761" s="370"/>
      <c r="P761" s="371"/>
      <c r="Q761" s="365"/>
    </row>
    <row r="762" ht="22.5" customHeight="1">
      <c r="A762" s="146"/>
      <c r="B762" s="413"/>
      <c r="C762" s="367"/>
      <c r="D762" s="420"/>
      <c r="E762" s="405"/>
      <c r="F762" s="404"/>
      <c r="G762" s="352" t="str">
        <f>IFERROR(VLOOKUP(D762,'Client ID Records_v2'!D:E, 2, FALSE), "")</f>
        <v/>
      </c>
      <c r="H762" s="368" t="str">
        <f>IFERROR(VLOOKUP(G762,'Client ID Records_v2'!E:F, 2, FALSE), "")</f>
        <v/>
      </c>
      <c r="I762" s="352"/>
      <c r="J762" s="358" t="str">
        <f>IFERROR(VLOOKUP(I762,'Project Records_v2'!F:G, 2, FALSE), "")</f>
        <v/>
      </c>
      <c r="K762" s="143"/>
      <c r="L762" s="390"/>
      <c r="M762" s="419"/>
      <c r="N762" s="370"/>
      <c r="O762" s="370"/>
      <c r="P762" s="371"/>
      <c r="Q762" s="365"/>
    </row>
    <row r="763" ht="22.5" customHeight="1">
      <c r="A763" s="146"/>
      <c r="B763" s="413"/>
      <c r="C763" s="367"/>
      <c r="D763" s="420"/>
      <c r="E763" s="405"/>
      <c r="F763" s="404"/>
      <c r="G763" s="352" t="str">
        <f>IFERROR(VLOOKUP(D763,'Client ID Records_v2'!D:E, 2, FALSE), "")</f>
        <v/>
      </c>
      <c r="H763" s="368" t="str">
        <f>IFERROR(VLOOKUP(G763,'Client ID Records_v2'!E:F, 2, FALSE), "")</f>
        <v/>
      </c>
      <c r="I763" s="352"/>
      <c r="J763" s="358" t="str">
        <f>IFERROR(VLOOKUP(I763,'Project Records_v2'!F:G, 2, FALSE), "")</f>
        <v/>
      </c>
      <c r="K763" s="143"/>
      <c r="L763" s="390"/>
      <c r="M763" s="419"/>
      <c r="N763" s="370"/>
      <c r="O763" s="370"/>
      <c r="P763" s="371"/>
      <c r="Q763" s="365"/>
    </row>
    <row r="764" ht="22.5" customHeight="1">
      <c r="A764" s="146"/>
      <c r="B764" s="413"/>
      <c r="C764" s="367"/>
      <c r="D764" s="420"/>
      <c r="E764" s="405"/>
      <c r="F764" s="404"/>
      <c r="G764" s="352" t="str">
        <f>IFERROR(VLOOKUP(D764,'Client ID Records_v2'!D:E, 2, FALSE), "")</f>
        <v/>
      </c>
      <c r="H764" s="368" t="str">
        <f>IFERROR(VLOOKUP(G764,'Client ID Records_v2'!E:F, 2, FALSE), "")</f>
        <v/>
      </c>
      <c r="I764" s="352"/>
      <c r="J764" s="358" t="str">
        <f>IFERROR(VLOOKUP(I764,'Project Records_v2'!F:G, 2, FALSE), "")</f>
        <v/>
      </c>
      <c r="K764" s="143"/>
      <c r="L764" s="390"/>
      <c r="M764" s="419"/>
      <c r="N764" s="370"/>
      <c r="O764" s="370"/>
      <c r="P764" s="371"/>
      <c r="Q764" s="365"/>
    </row>
    <row r="765" ht="22.5" customHeight="1">
      <c r="A765" s="146"/>
      <c r="B765" s="413"/>
      <c r="C765" s="367"/>
      <c r="D765" s="420"/>
      <c r="E765" s="405"/>
      <c r="F765" s="404"/>
      <c r="G765" s="352" t="str">
        <f>IFERROR(VLOOKUP(D765,'Client ID Records_v2'!D:E, 2, FALSE), "")</f>
        <v/>
      </c>
      <c r="H765" s="368" t="str">
        <f>IFERROR(VLOOKUP(G765,'Client ID Records_v2'!E:F, 2, FALSE), "")</f>
        <v/>
      </c>
      <c r="I765" s="352"/>
      <c r="J765" s="358" t="str">
        <f>IFERROR(VLOOKUP(I765,'Project Records_v2'!F:G, 2, FALSE), "")</f>
        <v/>
      </c>
      <c r="K765" s="143"/>
      <c r="L765" s="390"/>
      <c r="M765" s="419"/>
      <c r="N765" s="370"/>
      <c r="O765" s="370"/>
      <c r="P765" s="371"/>
      <c r="Q765" s="365"/>
    </row>
    <row r="766" ht="22.5" customHeight="1">
      <c r="A766" s="146"/>
      <c r="B766" s="413"/>
      <c r="C766" s="367"/>
      <c r="D766" s="420"/>
      <c r="E766" s="405"/>
      <c r="F766" s="404"/>
      <c r="G766" s="352" t="str">
        <f>IFERROR(VLOOKUP(D766,'Client ID Records_v2'!D:E, 2, FALSE), "")</f>
        <v/>
      </c>
      <c r="H766" s="368" t="str">
        <f>IFERROR(VLOOKUP(G766,'Client ID Records_v2'!E:F, 2, FALSE), "")</f>
        <v/>
      </c>
      <c r="I766" s="352"/>
      <c r="J766" s="358" t="str">
        <f>IFERROR(VLOOKUP(I766,'Project Records_v2'!F:G, 2, FALSE), "")</f>
        <v/>
      </c>
      <c r="K766" s="143"/>
      <c r="L766" s="390"/>
      <c r="M766" s="419"/>
      <c r="N766" s="370"/>
      <c r="O766" s="370"/>
      <c r="P766" s="371"/>
      <c r="Q766" s="365"/>
    </row>
    <row r="767" ht="22.5" customHeight="1">
      <c r="A767" s="146"/>
      <c r="B767" s="413"/>
      <c r="C767" s="367"/>
      <c r="D767" s="420"/>
      <c r="E767" s="405"/>
      <c r="F767" s="404"/>
      <c r="G767" s="352" t="str">
        <f>IFERROR(VLOOKUP(D767,'Client ID Records_v2'!D:E, 2, FALSE), "")</f>
        <v/>
      </c>
      <c r="H767" s="368" t="str">
        <f>IFERROR(VLOOKUP(G767,'Client ID Records_v2'!E:F, 2, FALSE), "")</f>
        <v/>
      </c>
      <c r="I767" s="352"/>
      <c r="J767" s="358" t="str">
        <f>IFERROR(VLOOKUP(I767,'Project Records_v2'!F:G, 2, FALSE), "")</f>
        <v/>
      </c>
      <c r="K767" s="143"/>
      <c r="L767" s="390"/>
      <c r="M767" s="419"/>
      <c r="N767" s="370"/>
      <c r="O767" s="370"/>
      <c r="P767" s="371"/>
      <c r="Q767" s="365"/>
    </row>
    <row r="768" ht="22.5" customHeight="1">
      <c r="A768" s="146"/>
      <c r="B768" s="413"/>
      <c r="C768" s="367"/>
      <c r="D768" s="420"/>
      <c r="E768" s="405"/>
      <c r="F768" s="404"/>
      <c r="G768" s="352" t="str">
        <f>IFERROR(VLOOKUP(D768,'Client ID Records_v2'!D:E, 2, FALSE), "")</f>
        <v/>
      </c>
      <c r="H768" s="368" t="str">
        <f>IFERROR(VLOOKUP(G768,'Client ID Records_v2'!E:F, 2, FALSE), "")</f>
        <v/>
      </c>
      <c r="I768" s="352"/>
      <c r="J768" s="358" t="str">
        <f>IFERROR(VLOOKUP(I768,'Project Records_v2'!F:G, 2, FALSE), "")</f>
        <v/>
      </c>
      <c r="K768" s="143"/>
      <c r="L768" s="390"/>
      <c r="M768" s="419"/>
      <c r="N768" s="370"/>
      <c r="O768" s="370"/>
      <c r="P768" s="371"/>
      <c r="Q768" s="365"/>
    </row>
    <row r="769" ht="22.5" customHeight="1">
      <c r="A769" s="146"/>
      <c r="B769" s="413"/>
      <c r="C769" s="367"/>
      <c r="D769" s="420"/>
      <c r="E769" s="405"/>
      <c r="F769" s="404"/>
      <c r="G769" s="352" t="str">
        <f>IFERROR(VLOOKUP(D769,'Client ID Records_v2'!D:E, 2, FALSE), "")</f>
        <v/>
      </c>
      <c r="H769" s="368" t="str">
        <f>IFERROR(VLOOKUP(G769,'Client ID Records_v2'!E:F, 2, FALSE), "")</f>
        <v/>
      </c>
      <c r="I769" s="352"/>
      <c r="J769" s="358" t="str">
        <f>IFERROR(VLOOKUP(I769,'Project Records_v2'!F:G, 2, FALSE), "")</f>
        <v/>
      </c>
      <c r="K769" s="143"/>
      <c r="L769" s="390"/>
      <c r="M769" s="419"/>
      <c r="N769" s="370"/>
      <c r="O769" s="370"/>
      <c r="P769" s="371"/>
      <c r="Q769" s="365"/>
    </row>
    <row r="770" ht="22.5" customHeight="1">
      <c r="A770" s="146"/>
      <c r="B770" s="413"/>
      <c r="C770" s="367"/>
      <c r="D770" s="420"/>
      <c r="E770" s="405"/>
      <c r="F770" s="404"/>
      <c r="G770" s="352" t="str">
        <f>IFERROR(VLOOKUP(D770,'Client ID Records_v2'!D:E, 2, FALSE), "")</f>
        <v/>
      </c>
      <c r="H770" s="368" t="str">
        <f>IFERROR(VLOOKUP(G770,'Client ID Records_v2'!E:F, 2, FALSE), "")</f>
        <v/>
      </c>
      <c r="I770" s="352"/>
      <c r="J770" s="358" t="str">
        <f>IFERROR(VLOOKUP(I770,'Project Records_v2'!F:G, 2, FALSE), "")</f>
        <v/>
      </c>
      <c r="K770" s="143"/>
      <c r="L770" s="390"/>
      <c r="M770" s="419"/>
      <c r="N770" s="370"/>
      <c r="O770" s="370"/>
      <c r="P770" s="371"/>
      <c r="Q770" s="365"/>
    </row>
    <row r="771" ht="22.5" customHeight="1">
      <c r="A771" s="146"/>
      <c r="B771" s="413"/>
      <c r="C771" s="367"/>
      <c r="D771" s="420"/>
      <c r="E771" s="405"/>
      <c r="F771" s="404"/>
      <c r="G771" s="352" t="str">
        <f>IFERROR(VLOOKUP(D771,'Client ID Records_v2'!D:E, 2, FALSE), "")</f>
        <v/>
      </c>
      <c r="H771" s="368" t="str">
        <f>IFERROR(VLOOKUP(G771,'Client ID Records_v2'!E:F, 2, FALSE), "")</f>
        <v/>
      </c>
      <c r="I771" s="352"/>
      <c r="J771" s="358" t="str">
        <f>IFERROR(VLOOKUP(I771,'Project Records_v2'!F:G, 2, FALSE), "")</f>
        <v/>
      </c>
      <c r="K771" s="143"/>
      <c r="L771" s="390"/>
      <c r="M771" s="419"/>
      <c r="N771" s="370"/>
      <c r="O771" s="370"/>
      <c r="P771" s="371"/>
      <c r="Q771" s="365"/>
    </row>
    <row r="772" ht="22.5" customHeight="1">
      <c r="A772" s="146"/>
      <c r="B772" s="413"/>
      <c r="C772" s="367"/>
      <c r="D772" s="420"/>
      <c r="E772" s="405"/>
      <c r="F772" s="404"/>
      <c r="G772" s="352" t="str">
        <f>IFERROR(VLOOKUP(D772,'Client ID Records_v2'!D:E, 2, FALSE), "")</f>
        <v/>
      </c>
      <c r="H772" s="368" t="str">
        <f>IFERROR(VLOOKUP(G772,'Client ID Records_v2'!E:F, 2, FALSE), "")</f>
        <v/>
      </c>
      <c r="I772" s="352"/>
      <c r="J772" s="358" t="str">
        <f>IFERROR(VLOOKUP(I772,'Project Records_v2'!F:G, 2, FALSE), "")</f>
        <v/>
      </c>
      <c r="K772" s="143"/>
      <c r="L772" s="390"/>
      <c r="M772" s="419"/>
      <c r="N772" s="370"/>
      <c r="O772" s="370"/>
      <c r="P772" s="371"/>
      <c r="Q772" s="365"/>
    </row>
    <row r="773" ht="22.5" customHeight="1">
      <c r="A773" s="146"/>
      <c r="B773" s="413"/>
      <c r="C773" s="367"/>
      <c r="D773" s="420"/>
      <c r="E773" s="405"/>
      <c r="F773" s="404"/>
      <c r="G773" s="352" t="str">
        <f>IFERROR(VLOOKUP(D773,'Client ID Records_v2'!D:E, 2, FALSE), "")</f>
        <v/>
      </c>
      <c r="H773" s="368" t="str">
        <f>IFERROR(VLOOKUP(G773,'Client ID Records_v2'!E:F, 2, FALSE), "")</f>
        <v/>
      </c>
      <c r="I773" s="352"/>
      <c r="J773" s="358" t="str">
        <f>IFERROR(VLOOKUP(I773,'Project Records_v2'!F:G, 2, FALSE), "")</f>
        <v/>
      </c>
      <c r="K773" s="143"/>
      <c r="L773" s="390"/>
      <c r="M773" s="419"/>
      <c r="N773" s="370"/>
      <c r="O773" s="370"/>
      <c r="P773" s="371"/>
      <c r="Q773" s="365"/>
    </row>
    <row r="774" ht="22.5" customHeight="1">
      <c r="A774" s="146"/>
      <c r="B774" s="413"/>
      <c r="C774" s="367"/>
      <c r="D774" s="420"/>
      <c r="E774" s="405"/>
      <c r="F774" s="404"/>
      <c r="G774" s="352" t="str">
        <f>IFERROR(VLOOKUP(D774,'Client ID Records_v2'!D:E, 2, FALSE), "")</f>
        <v/>
      </c>
      <c r="H774" s="368" t="str">
        <f>IFERROR(VLOOKUP(G774,'Client ID Records_v2'!E:F, 2, FALSE), "")</f>
        <v/>
      </c>
      <c r="I774" s="352"/>
      <c r="J774" s="358" t="str">
        <f>IFERROR(VLOOKUP(I774,'Project Records_v2'!F:G, 2, FALSE), "")</f>
        <v/>
      </c>
      <c r="K774" s="143"/>
      <c r="L774" s="390"/>
      <c r="M774" s="419"/>
      <c r="N774" s="370"/>
      <c r="O774" s="370"/>
      <c r="P774" s="371"/>
      <c r="Q774" s="365"/>
    </row>
    <row r="775" ht="22.5" customHeight="1">
      <c r="A775" s="146"/>
      <c r="B775" s="413"/>
      <c r="C775" s="367"/>
      <c r="D775" s="420"/>
      <c r="E775" s="405"/>
      <c r="F775" s="404"/>
      <c r="G775" s="352" t="str">
        <f>IFERROR(VLOOKUP(D775,'Client ID Records_v2'!D:E, 2, FALSE), "")</f>
        <v/>
      </c>
      <c r="H775" s="368" t="str">
        <f>IFERROR(VLOOKUP(G775,'Client ID Records_v2'!E:F, 2, FALSE), "")</f>
        <v/>
      </c>
      <c r="I775" s="352"/>
      <c r="J775" s="358" t="str">
        <f>IFERROR(VLOOKUP(I775,'Project Records_v2'!F:G, 2, FALSE), "")</f>
        <v/>
      </c>
      <c r="K775" s="143"/>
      <c r="L775" s="390"/>
      <c r="M775" s="419"/>
      <c r="N775" s="370"/>
      <c r="O775" s="370"/>
      <c r="P775" s="371"/>
      <c r="Q775" s="365"/>
    </row>
    <row r="776" ht="22.5" customHeight="1">
      <c r="A776" s="146"/>
      <c r="B776" s="413"/>
      <c r="C776" s="367"/>
      <c r="D776" s="420"/>
      <c r="E776" s="405"/>
      <c r="F776" s="404"/>
      <c r="G776" s="352" t="str">
        <f>IFERROR(VLOOKUP(D776,'Client ID Records_v2'!D:E, 2, FALSE), "")</f>
        <v/>
      </c>
      <c r="H776" s="368" t="str">
        <f>IFERROR(VLOOKUP(G776,'Client ID Records_v2'!E:F, 2, FALSE), "")</f>
        <v/>
      </c>
      <c r="I776" s="352"/>
      <c r="J776" s="358" t="str">
        <f>IFERROR(VLOOKUP(I776,'Project Records_v2'!F:G, 2, FALSE), "")</f>
        <v/>
      </c>
      <c r="K776" s="143"/>
      <c r="L776" s="390"/>
      <c r="M776" s="419"/>
      <c r="N776" s="370"/>
      <c r="O776" s="370"/>
      <c r="P776" s="371"/>
      <c r="Q776" s="365"/>
    </row>
    <row r="777" ht="22.5" customHeight="1">
      <c r="A777" s="146"/>
      <c r="B777" s="413"/>
      <c r="C777" s="367"/>
      <c r="D777" s="420"/>
      <c r="E777" s="405"/>
      <c r="F777" s="404"/>
      <c r="G777" s="352" t="str">
        <f>IFERROR(VLOOKUP(D777,'Client ID Records_v2'!D:E, 2, FALSE), "")</f>
        <v/>
      </c>
      <c r="H777" s="368" t="str">
        <f>IFERROR(VLOOKUP(G777,'Client ID Records_v2'!E:F, 2, FALSE), "")</f>
        <v/>
      </c>
      <c r="I777" s="352"/>
      <c r="J777" s="358" t="str">
        <f>IFERROR(VLOOKUP(I777,'Project Records_v2'!F:G, 2, FALSE), "")</f>
        <v/>
      </c>
      <c r="K777" s="143"/>
      <c r="L777" s="390"/>
      <c r="M777" s="419"/>
      <c r="N777" s="370"/>
      <c r="O777" s="370"/>
      <c r="P777" s="371"/>
      <c r="Q777" s="365"/>
    </row>
    <row r="778" ht="22.5" customHeight="1">
      <c r="A778" s="146"/>
      <c r="B778" s="413"/>
      <c r="C778" s="367"/>
      <c r="D778" s="420"/>
      <c r="E778" s="405"/>
      <c r="F778" s="404"/>
      <c r="G778" s="352" t="str">
        <f>IFERROR(VLOOKUP(D778,'Client ID Records_v2'!D:E, 2, FALSE), "")</f>
        <v/>
      </c>
      <c r="H778" s="368" t="str">
        <f>IFERROR(VLOOKUP(G778,'Client ID Records_v2'!E:F, 2, FALSE), "")</f>
        <v/>
      </c>
      <c r="I778" s="352"/>
      <c r="J778" s="358" t="str">
        <f>IFERROR(VLOOKUP(I778,'Project Records_v2'!F:G, 2, FALSE), "")</f>
        <v/>
      </c>
      <c r="K778" s="143"/>
      <c r="L778" s="390"/>
      <c r="M778" s="419"/>
      <c r="N778" s="370"/>
      <c r="O778" s="370"/>
      <c r="P778" s="371"/>
      <c r="Q778" s="365"/>
    </row>
    <row r="779" ht="22.5" customHeight="1">
      <c r="A779" s="146"/>
      <c r="B779" s="413"/>
      <c r="C779" s="367"/>
      <c r="D779" s="420"/>
      <c r="E779" s="405"/>
      <c r="F779" s="404"/>
      <c r="G779" s="352" t="str">
        <f>IFERROR(VLOOKUP(D779,'Client ID Records_v2'!D:E, 2, FALSE), "")</f>
        <v/>
      </c>
      <c r="H779" s="368" t="str">
        <f>IFERROR(VLOOKUP(G779,'Client ID Records_v2'!E:F, 2, FALSE), "")</f>
        <v/>
      </c>
      <c r="I779" s="352"/>
      <c r="J779" s="358" t="str">
        <f>IFERROR(VLOOKUP(I779,'Project Records_v2'!F:G, 2, FALSE), "")</f>
        <v/>
      </c>
      <c r="K779" s="143"/>
      <c r="L779" s="390"/>
      <c r="M779" s="419"/>
      <c r="N779" s="370"/>
      <c r="O779" s="370"/>
      <c r="P779" s="371"/>
      <c r="Q779" s="365"/>
    </row>
    <row r="780" ht="22.5" customHeight="1">
      <c r="A780" s="146"/>
      <c r="B780" s="413"/>
      <c r="C780" s="367"/>
      <c r="D780" s="420"/>
      <c r="E780" s="405"/>
      <c r="F780" s="404"/>
      <c r="G780" s="352" t="str">
        <f>IFERROR(VLOOKUP(D780,'Client ID Records_v2'!D:E, 2, FALSE), "")</f>
        <v/>
      </c>
      <c r="H780" s="368" t="str">
        <f>IFERROR(VLOOKUP(G780,'Client ID Records_v2'!E:F, 2, FALSE), "")</f>
        <v/>
      </c>
      <c r="I780" s="352"/>
      <c r="J780" s="358" t="str">
        <f>IFERROR(VLOOKUP(I780,'Project Records_v2'!F:G, 2, FALSE), "")</f>
        <v/>
      </c>
      <c r="K780" s="143"/>
      <c r="L780" s="390"/>
      <c r="M780" s="419"/>
      <c r="N780" s="370"/>
      <c r="O780" s="370"/>
      <c r="P780" s="371"/>
      <c r="Q780" s="365"/>
    </row>
    <row r="781" ht="22.5" customHeight="1">
      <c r="A781" s="146"/>
      <c r="B781" s="413"/>
      <c r="C781" s="367"/>
      <c r="D781" s="420"/>
      <c r="E781" s="405"/>
      <c r="F781" s="404"/>
      <c r="G781" s="352" t="str">
        <f>IFERROR(VLOOKUP(D781,'Client ID Records_v2'!D:E, 2, FALSE), "")</f>
        <v/>
      </c>
      <c r="H781" s="368" t="str">
        <f>IFERROR(VLOOKUP(G781,'Client ID Records_v2'!E:F, 2, FALSE), "")</f>
        <v/>
      </c>
      <c r="I781" s="352"/>
      <c r="J781" s="358" t="str">
        <f>IFERROR(VLOOKUP(I781,'Project Records_v2'!F:G, 2, FALSE), "")</f>
        <v/>
      </c>
      <c r="K781" s="143"/>
      <c r="L781" s="390"/>
      <c r="M781" s="419"/>
      <c r="N781" s="370"/>
      <c r="O781" s="370"/>
      <c r="P781" s="371"/>
      <c r="Q781" s="365"/>
    </row>
    <row r="782" ht="22.5" customHeight="1">
      <c r="A782" s="146"/>
      <c r="B782" s="413"/>
      <c r="C782" s="367"/>
      <c r="D782" s="420"/>
      <c r="E782" s="405"/>
      <c r="F782" s="404"/>
      <c r="G782" s="352" t="str">
        <f>IFERROR(VLOOKUP(D782,'Client ID Records_v2'!D:E, 2, FALSE), "")</f>
        <v/>
      </c>
      <c r="H782" s="368" t="str">
        <f>IFERROR(VLOOKUP(G782,'Client ID Records_v2'!E:F, 2, FALSE), "")</f>
        <v/>
      </c>
      <c r="I782" s="352"/>
      <c r="J782" s="358" t="str">
        <f>IFERROR(VLOOKUP(I782,'Project Records_v2'!F:G, 2, FALSE), "")</f>
        <v/>
      </c>
      <c r="K782" s="143"/>
      <c r="L782" s="390"/>
      <c r="M782" s="419"/>
      <c r="N782" s="370"/>
      <c r="O782" s="370"/>
      <c r="P782" s="371"/>
      <c r="Q782" s="365"/>
    </row>
    <row r="783" ht="22.5" customHeight="1">
      <c r="A783" s="146"/>
      <c r="B783" s="413"/>
      <c r="C783" s="367"/>
      <c r="D783" s="420"/>
      <c r="E783" s="405"/>
      <c r="F783" s="404"/>
      <c r="G783" s="352" t="str">
        <f>IFERROR(VLOOKUP(D783,'Client ID Records_v2'!D:E, 2, FALSE), "")</f>
        <v/>
      </c>
      <c r="H783" s="368" t="str">
        <f>IFERROR(VLOOKUP(G783,'Client ID Records_v2'!E:F, 2, FALSE), "")</f>
        <v/>
      </c>
      <c r="I783" s="352"/>
      <c r="J783" s="358" t="str">
        <f>IFERROR(VLOOKUP(I783,'Project Records_v2'!F:G, 2, FALSE), "")</f>
        <v/>
      </c>
      <c r="K783" s="143"/>
      <c r="L783" s="390"/>
      <c r="M783" s="419"/>
      <c r="N783" s="370"/>
      <c r="O783" s="370"/>
      <c r="P783" s="371"/>
      <c r="Q783" s="365"/>
    </row>
    <row r="784" ht="22.5" customHeight="1">
      <c r="A784" s="146"/>
      <c r="B784" s="413"/>
      <c r="C784" s="367"/>
      <c r="D784" s="420"/>
      <c r="E784" s="405"/>
      <c r="F784" s="404"/>
      <c r="G784" s="352" t="str">
        <f>IFERROR(VLOOKUP(D784,'Client ID Records_v2'!D:E, 2, FALSE), "")</f>
        <v/>
      </c>
      <c r="H784" s="368" t="str">
        <f>IFERROR(VLOOKUP(G784,'Client ID Records_v2'!E:F, 2, FALSE), "")</f>
        <v/>
      </c>
      <c r="I784" s="352"/>
      <c r="J784" s="358" t="str">
        <f>IFERROR(VLOOKUP(I784,'Project Records_v2'!F:G, 2, FALSE), "")</f>
        <v/>
      </c>
      <c r="K784" s="143"/>
      <c r="L784" s="390"/>
      <c r="M784" s="419"/>
      <c r="N784" s="370"/>
      <c r="O784" s="370"/>
      <c r="P784" s="371"/>
      <c r="Q784" s="365"/>
    </row>
    <row r="785" ht="22.5" customHeight="1">
      <c r="A785" s="146"/>
      <c r="B785" s="413"/>
      <c r="C785" s="367"/>
      <c r="D785" s="420"/>
      <c r="E785" s="405"/>
      <c r="F785" s="404"/>
      <c r="G785" s="352" t="str">
        <f>IFERROR(VLOOKUP(D785,'Client ID Records_v2'!D:E, 2, FALSE), "")</f>
        <v/>
      </c>
      <c r="H785" s="368" t="str">
        <f>IFERROR(VLOOKUP(G785,'Client ID Records_v2'!E:F, 2, FALSE), "")</f>
        <v/>
      </c>
      <c r="I785" s="352"/>
      <c r="J785" s="358" t="str">
        <f>IFERROR(VLOOKUP(I785,'Project Records_v2'!F:G, 2, FALSE), "")</f>
        <v/>
      </c>
      <c r="K785" s="143"/>
      <c r="L785" s="390"/>
      <c r="M785" s="419"/>
      <c r="N785" s="370"/>
      <c r="O785" s="370"/>
      <c r="P785" s="371"/>
      <c r="Q785" s="365"/>
    </row>
    <row r="786" ht="22.5" customHeight="1">
      <c r="A786" s="146"/>
      <c r="B786" s="413"/>
      <c r="C786" s="367"/>
      <c r="D786" s="420"/>
      <c r="E786" s="405"/>
      <c r="F786" s="404"/>
      <c r="G786" s="352" t="str">
        <f>IFERROR(VLOOKUP(D786,'Client ID Records_v2'!D:E, 2, FALSE), "")</f>
        <v/>
      </c>
      <c r="H786" s="368" t="str">
        <f>IFERROR(VLOOKUP(G786,'Client ID Records_v2'!E:F, 2, FALSE), "")</f>
        <v/>
      </c>
      <c r="I786" s="352"/>
      <c r="J786" s="358" t="str">
        <f>IFERROR(VLOOKUP(I786,'Project Records_v2'!F:G, 2, FALSE), "")</f>
        <v/>
      </c>
      <c r="K786" s="143"/>
      <c r="L786" s="390"/>
      <c r="M786" s="419"/>
      <c r="N786" s="370"/>
      <c r="O786" s="370"/>
      <c r="P786" s="371"/>
      <c r="Q786" s="365"/>
    </row>
    <row r="787" ht="22.5" customHeight="1">
      <c r="A787" s="146"/>
      <c r="B787" s="413"/>
      <c r="C787" s="367"/>
      <c r="D787" s="420"/>
      <c r="E787" s="405"/>
      <c r="F787" s="404"/>
      <c r="G787" s="352" t="str">
        <f>IFERROR(VLOOKUP(D787,'Client ID Records_v2'!D:E, 2, FALSE), "")</f>
        <v/>
      </c>
      <c r="H787" s="368" t="str">
        <f>IFERROR(VLOOKUP(G787,'Client ID Records_v2'!E:F, 2, FALSE), "")</f>
        <v/>
      </c>
      <c r="I787" s="352"/>
      <c r="J787" s="358" t="str">
        <f>IFERROR(VLOOKUP(I787,'Project Records_v2'!F:G, 2, FALSE), "")</f>
        <v/>
      </c>
      <c r="K787" s="143"/>
      <c r="L787" s="390"/>
      <c r="M787" s="419"/>
      <c r="N787" s="370"/>
      <c r="O787" s="370"/>
      <c r="P787" s="371"/>
      <c r="Q787" s="365"/>
    </row>
    <row r="788" ht="22.5" customHeight="1">
      <c r="A788" s="146"/>
      <c r="B788" s="413"/>
      <c r="C788" s="367"/>
      <c r="D788" s="420"/>
      <c r="E788" s="405"/>
      <c r="F788" s="404"/>
      <c r="G788" s="352" t="str">
        <f>IFERROR(VLOOKUP(D788,'Client ID Records_v2'!D:E, 2, FALSE), "")</f>
        <v/>
      </c>
      <c r="H788" s="368" t="str">
        <f>IFERROR(VLOOKUP(G788,'Client ID Records_v2'!E:F, 2, FALSE), "")</f>
        <v/>
      </c>
      <c r="I788" s="352"/>
      <c r="J788" s="358" t="str">
        <f>IFERROR(VLOOKUP(I788,'Project Records_v2'!F:G, 2, FALSE), "")</f>
        <v/>
      </c>
      <c r="K788" s="143"/>
      <c r="L788" s="390"/>
      <c r="M788" s="419"/>
      <c r="N788" s="370"/>
      <c r="O788" s="370"/>
      <c r="P788" s="371"/>
      <c r="Q788" s="365"/>
    </row>
    <row r="789" ht="22.5" customHeight="1">
      <c r="A789" s="146"/>
      <c r="B789" s="413"/>
      <c r="C789" s="367"/>
      <c r="D789" s="420"/>
      <c r="E789" s="405"/>
      <c r="F789" s="404"/>
      <c r="G789" s="352" t="str">
        <f>IFERROR(VLOOKUP(D789,'Client ID Records_v2'!D:E, 2, FALSE), "")</f>
        <v/>
      </c>
      <c r="H789" s="368" t="str">
        <f>IFERROR(VLOOKUP(G789,'Client ID Records_v2'!E:F, 2, FALSE), "")</f>
        <v/>
      </c>
      <c r="I789" s="352"/>
      <c r="J789" s="358" t="str">
        <f>IFERROR(VLOOKUP(I789,'Project Records_v2'!F:G, 2, FALSE), "")</f>
        <v/>
      </c>
      <c r="K789" s="143"/>
      <c r="L789" s="390"/>
      <c r="M789" s="419"/>
      <c r="N789" s="370"/>
      <c r="O789" s="370"/>
      <c r="P789" s="371"/>
      <c r="Q789" s="365"/>
    </row>
    <row r="790" ht="22.5" customHeight="1">
      <c r="A790" s="146"/>
      <c r="B790" s="413"/>
      <c r="C790" s="367"/>
      <c r="D790" s="420"/>
      <c r="E790" s="405"/>
      <c r="F790" s="404"/>
      <c r="G790" s="352" t="str">
        <f>IFERROR(VLOOKUP(D790,'Client ID Records_v2'!D:E, 2, FALSE), "")</f>
        <v/>
      </c>
      <c r="H790" s="368" t="str">
        <f>IFERROR(VLOOKUP(G790,'Client ID Records_v2'!E:F, 2, FALSE), "")</f>
        <v/>
      </c>
      <c r="I790" s="352"/>
      <c r="J790" s="358" t="str">
        <f>IFERROR(VLOOKUP(I790,'Project Records_v2'!F:G, 2, FALSE), "")</f>
        <v/>
      </c>
      <c r="K790" s="143"/>
      <c r="L790" s="390"/>
      <c r="M790" s="419"/>
      <c r="N790" s="370"/>
      <c r="O790" s="370"/>
      <c r="P790" s="371"/>
      <c r="Q790" s="365"/>
    </row>
    <row r="791" ht="22.5" customHeight="1">
      <c r="A791" s="146"/>
      <c r="B791" s="413"/>
      <c r="C791" s="367"/>
      <c r="D791" s="420"/>
      <c r="E791" s="405"/>
      <c r="F791" s="404"/>
      <c r="G791" s="352" t="str">
        <f>IFERROR(VLOOKUP(D791,'Client ID Records_v2'!D:E, 2, FALSE), "")</f>
        <v/>
      </c>
      <c r="H791" s="368" t="str">
        <f>IFERROR(VLOOKUP(G791,'Client ID Records_v2'!E:F, 2, FALSE), "")</f>
        <v/>
      </c>
      <c r="I791" s="352"/>
      <c r="J791" s="358" t="str">
        <f>IFERROR(VLOOKUP(I791,'Project Records_v2'!F:G, 2, FALSE), "")</f>
        <v/>
      </c>
      <c r="K791" s="143"/>
      <c r="L791" s="390"/>
      <c r="M791" s="419"/>
      <c r="N791" s="370"/>
      <c r="O791" s="370"/>
      <c r="P791" s="371"/>
      <c r="Q791" s="365"/>
    </row>
    <row r="792" ht="22.5" customHeight="1">
      <c r="A792" s="146"/>
      <c r="B792" s="413"/>
      <c r="C792" s="367"/>
      <c r="D792" s="420"/>
      <c r="E792" s="405"/>
      <c r="F792" s="404"/>
      <c r="G792" s="352" t="str">
        <f>IFERROR(VLOOKUP(D792,'Client ID Records_v2'!D:E, 2, FALSE), "")</f>
        <v/>
      </c>
      <c r="H792" s="368" t="str">
        <f>IFERROR(VLOOKUP(G792,'Client ID Records_v2'!E:F, 2, FALSE), "")</f>
        <v/>
      </c>
      <c r="I792" s="352"/>
      <c r="J792" s="358" t="str">
        <f>IFERROR(VLOOKUP(I792,'Project Records_v2'!F:G, 2, FALSE), "")</f>
        <v/>
      </c>
      <c r="K792" s="143"/>
      <c r="L792" s="390"/>
      <c r="M792" s="419"/>
      <c r="N792" s="370"/>
      <c r="O792" s="370"/>
      <c r="P792" s="371"/>
      <c r="Q792" s="365"/>
    </row>
    <row r="793" ht="22.5" customHeight="1">
      <c r="A793" s="146"/>
      <c r="B793" s="413"/>
      <c r="C793" s="367"/>
      <c r="D793" s="420"/>
      <c r="E793" s="405"/>
      <c r="F793" s="404"/>
      <c r="G793" s="352" t="str">
        <f>IFERROR(VLOOKUP(D793,'Client ID Records_v2'!D:E, 2, FALSE), "")</f>
        <v/>
      </c>
      <c r="H793" s="368" t="str">
        <f>IFERROR(VLOOKUP(G793,'Client ID Records_v2'!E:F, 2, FALSE), "")</f>
        <v/>
      </c>
      <c r="I793" s="352"/>
      <c r="J793" s="358" t="str">
        <f>IFERROR(VLOOKUP(I793,'Project Records_v2'!F:G, 2, FALSE), "")</f>
        <v/>
      </c>
      <c r="K793" s="143"/>
      <c r="L793" s="390"/>
      <c r="M793" s="419"/>
      <c r="N793" s="370"/>
      <c r="O793" s="370"/>
      <c r="P793" s="371"/>
      <c r="Q793" s="365"/>
    </row>
    <row r="794" ht="22.5" customHeight="1">
      <c r="A794" s="146"/>
      <c r="B794" s="413"/>
      <c r="C794" s="367"/>
      <c r="D794" s="420"/>
      <c r="E794" s="405"/>
      <c r="F794" s="404"/>
      <c r="G794" s="352" t="str">
        <f>IFERROR(VLOOKUP(D794,'Client ID Records_v2'!D:E, 2, FALSE), "")</f>
        <v/>
      </c>
      <c r="H794" s="368" t="str">
        <f>IFERROR(VLOOKUP(G794,'Client ID Records_v2'!E:F, 2, FALSE), "")</f>
        <v/>
      </c>
      <c r="I794" s="352"/>
      <c r="J794" s="358" t="str">
        <f>IFERROR(VLOOKUP(I794,'Project Records_v2'!F:G, 2, FALSE), "")</f>
        <v/>
      </c>
      <c r="K794" s="143"/>
      <c r="L794" s="390"/>
      <c r="M794" s="419"/>
      <c r="N794" s="370"/>
      <c r="O794" s="370"/>
      <c r="P794" s="371"/>
      <c r="Q794" s="365"/>
    </row>
    <row r="795" ht="22.5" customHeight="1">
      <c r="A795" s="146"/>
      <c r="B795" s="413"/>
      <c r="C795" s="367"/>
      <c r="D795" s="420"/>
      <c r="E795" s="405"/>
      <c r="F795" s="404"/>
      <c r="G795" s="352" t="str">
        <f>IFERROR(VLOOKUP(D795,'Client ID Records_v2'!D:E, 2, FALSE), "")</f>
        <v/>
      </c>
      <c r="H795" s="368" t="str">
        <f>IFERROR(VLOOKUP(G795,'Client ID Records_v2'!E:F, 2, FALSE), "")</f>
        <v/>
      </c>
      <c r="I795" s="352"/>
      <c r="J795" s="358" t="str">
        <f>IFERROR(VLOOKUP(I795,'Project Records_v2'!F:G, 2, FALSE), "")</f>
        <v/>
      </c>
      <c r="K795" s="143"/>
      <c r="L795" s="390"/>
      <c r="M795" s="419"/>
      <c r="N795" s="370"/>
      <c r="O795" s="370"/>
      <c r="P795" s="371"/>
      <c r="Q795" s="365"/>
    </row>
    <row r="796" ht="22.5" customHeight="1">
      <c r="A796" s="146"/>
      <c r="B796" s="413"/>
      <c r="C796" s="367"/>
      <c r="D796" s="420"/>
      <c r="E796" s="405"/>
      <c r="F796" s="404"/>
      <c r="G796" s="352" t="str">
        <f>IFERROR(VLOOKUP(D796,'Client ID Records_v2'!D:E, 2, FALSE), "")</f>
        <v/>
      </c>
      <c r="H796" s="368" t="str">
        <f>IFERROR(VLOOKUP(G796,'Client ID Records_v2'!E:F, 2, FALSE), "")</f>
        <v/>
      </c>
      <c r="I796" s="352"/>
      <c r="J796" s="358" t="str">
        <f>IFERROR(VLOOKUP(I796,'Project Records_v2'!F:G, 2, FALSE), "")</f>
        <v/>
      </c>
      <c r="K796" s="143"/>
      <c r="L796" s="390"/>
      <c r="M796" s="419"/>
      <c r="N796" s="370"/>
      <c r="O796" s="370"/>
      <c r="P796" s="371"/>
      <c r="Q796" s="365"/>
    </row>
    <row r="797" ht="22.5" customHeight="1">
      <c r="A797" s="146"/>
      <c r="B797" s="413"/>
      <c r="C797" s="367"/>
      <c r="D797" s="420"/>
      <c r="E797" s="405"/>
      <c r="F797" s="404"/>
      <c r="G797" s="352" t="str">
        <f>IFERROR(VLOOKUP(D797,'Client ID Records_v2'!D:E, 2, FALSE), "")</f>
        <v/>
      </c>
      <c r="H797" s="368" t="str">
        <f>IFERROR(VLOOKUP(G797,'Client ID Records_v2'!E:F, 2, FALSE), "")</f>
        <v/>
      </c>
      <c r="I797" s="352"/>
      <c r="J797" s="358" t="str">
        <f>IFERROR(VLOOKUP(I797,'Project Records_v2'!F:G, 2, FALSE), "")</f>
        <v/>
      </c>
      <c r="K797" s="143"/>
      <c r="L797" s="390"/>
      <c r="M797" s="419"/>
      <c r="N797" s="370"/>
      <c r="O797" s="370"/>
      <c r="P797" s="371"/>
      <c r="Q797" s="365"/>
    </row>
    <row r="798" ht="22.5" customHeight="1">
      <c r="A798" s="146"/>
      <c r="B798" s="413"/>
      <c r="C798" s="367"/>
      <c r="D798" s="420"/>
      <c r="E798" s="405"/>
      <c r="F798" s="404"/>
      <c r="G798" s="352" t="str">
        <f>IFERROR(VLOOKUP(D798,'Client ID Records_v2'!D:E, 2, FALSE), "")</f>
        <v/>
      </c>
      <c r="H798" s="368" t="str">
        <f>IFERROR(VLOOKUP(G798,'Client ID Records_v2'!E:F, 2, FALSE), "")</f>
        <v/>
      </c>
      <c r="I798" s="352"/>
      <c r="J798" s="358" t="str">
        <f>IFERROR(VLOOKUP(I798,'Project Records_v2'!F:G, 2, FALSE), "")</f>
        <v/>
      </c>
      <c r="K798" s="143"/>
      <c r="L798" s="390"/>
      <c r="M798" s="419"/>
      <c r="N798" s="370"/>
      <c r="O798" s="370"/>
      <c r="P798" s="371"/>
      <c r="Q798" s="365"/>
    </row>
    <row r="799" ht="22.5" customHeight="1">
      <c r="A799" s="146"/>
      <c r="B799" s="413"/>
      <c r="C799" s="367"/>
      <c r="D799" s="420"/>
      <c r="E799" s="405"/>
      <c r="F799" s="404"/>
      <c r="G799" s="352" t="str">
        <f>IFERROR(VLOOKUP(D799,'Client ID Records_v2'!D:E, 2, FALSE), "")</f>
        <v/>
      </c>
      <c r="H799" s="368" t="str">
        <f>IFERROR(VLOOKUP(G799,'Client ID Records_v2'!E:F, 2, FALSE), "")</f>
        <v/>
      </c>
      <c r="I799" s="352"/>
      <c r="J799" s="358" t="str">
        <f>IFERROR(VLOOKUP(I799,'Project Records_v2'!F:G, 2, FALSE), "")</f>
        <v/>
      </c>
      <c r="K799" s="143"/>
      <c r="L799" s="390"/>
      <c r="M799" s="419"/>
      <c r="N799" s="370"/>
      <c r="O799" s="370"/>
      <c r="P799" s="371"/>
      <c r="Q799" s="365"/>
    </row>
    <row r="800" ht="22.5" customHeight="1">
      <c r="A800" s="146"/>
      <c r="B800" s="413"/>
      <c r="C800" s="367"/>
      <c r="D800" s="420"/>
      <c r="E800" s="405"/>
      <c r="F800" s="404"/>
      <c r="G800" s="352" t="str">
        <f>IFERROR(VLOOKUP(D800,'Client ID Records_v2'!D:E, 2, FALSE), "")</f>
        <v/>
      </c>
      <c r="H800" s="368" t="str">
        <f>IFERROR(VLOOKUP(G800,'Client ID Records_v2'!E:F, 2, FALSE), "")</f>
        <v/>
      </c>
      <c r="I800" s="352"/>
      <c r="J800" s="358" t="str">
        <f>IFERROR(VLOOKUP(I800,'Project Records_v2'!F:G, 2, FALSE), "")</f>
        <v/>
      </c>
      <c r="K800" s="143"/>
      <c r="L800" s="390"/>
      <c r="M800" s="419"/>
      <c r="N800" s="370"/>
      <c r="O800" s="370"/>
      <c r="P800" s="371"/>
      <c r="Q800" s="365"/>
    </row>
    <row r="801" ht="22.5" customHeight="1">
      <c r="A801" s="146"/>
      <c r="B801" s="413"/>
      <c r="C801" s="367"/>
      <c r="D801" s="420"/>
      <c r="E801" s="405"/>
      <c r="F801" s="404"/>
      <c r="G801" s="352" t="str">
        <f>IFERROR(VLOOKUP(D801,'Client ID Records_v2'!D:E, 2, FALSE), "")</f>
        <v/>
      </c>
      <c r="H801" s="368" t="str">
        <f>IFERROR(VLOOKUP(G801,'Client ID Records_v2'!E:F, 2, FALSE), "")</f>
        <v/>
      </c>
      <c r="I801" s="352"/>
      <c r="J801" s="358" t="str">
        <f>IFERROR(VLOOKUP(I801,'Project Records_v2'!F:G, 2, FALSE), "")</f>
        <v/>
      </c>
      <c r="K801" s="143"/>
      <c r="L801" s="390"/>
      <c r="M801" s="419"/>
      <c r="N801" s="370"/>
      <c r="O801" s="370"/>
      <c r="P801" s="371"/>
      <c r="Q801" s="365"/>
    </row>
    <row r="802" ht="22.5" customHeight="1">
      <c r="A802" s="146"/>
      <c r="B802" s="413"/>
      <c r="C802" s="367"/>
      <c r="D802" s="420"/>
      <c r="E802" s="405"/>
      <c r="F802" s="404"/>
      <c r="G802" s="352" t="str">
        <f>IFERROR(VLOOKUP(D802,'Client ID Records_v2'!D:E, 2, FALSE), "")</f>
        <v/>
      </c>
      <c r="H802" s="368" t="str">
        <f>IFERROR(VLOOKUP(G802,'Client ID Records_v2'!E:F, 2, FALSE), "")</f>
        <v/>
      </c>
      <c r="I802" s="352"/>
      <c r="J802" s="358" t="str">
        <f>IFERROR(VLOOKUP(I802,'Project Records_v2'!F:G, 2, FALSE), "")</f>
        <v/>
      </c>
      <c r="K802" s="143"/>
      <c r="L802" s="390"/>
      <c r="M802" s="419"/>
      <c r="N802" s="370"/>
      <c r="O802" s="370"/>
      <c r="P802" s="371"/>
      <c r="Q802" s="365"/>
    </row>
    <row r="803" ht="22.5" customHeight="1">
      <c r="A803" s="146"/>
      <c r="B803" s="413"/>
      <c r="C803" s="367"/>
      <c r="D803" s="420"/>
      <c r="E803" s="405"/>
      <c r="F803" s="404"/>
      <c r="G803" s="352" t="str">
        <f>IFERROR(VLOOKUP(D803,'Client ID Records_v2'!D:E, 2, FALSE), "")</f>
        <v/>
      </c>
      <c r="H803" s="368" t="str">
        <f>IFERROR(VLOOKUP(G803,'Client ID Records_v2'!E:F, 2, FALSE), "")</f>
        <v/>
      </c>
      <c r="I803" s="352"/>
      <c r="J803" s="358" t="str">
        <f>IFERROR(VLOOKUP(I803,'Project Records_v2'!F:G, 2, FALSE), "")</f>
        <v/>
      </c>
      <c r="K803" s="143"/>
      <c r="L803" s="390"/>
      <c r="M803" s="419"/>
      <c r="N803" s="370"/>
      <c r="O803" s="370"/>
      <c r="P803" s="371"/>
      <c r="Q803" s="365"/>
    </row>
    <row r="804" ht="22.5" customHeight="1">
      <c r="A804" s="146"/>
      <c r="B804" s="413"/>
      <c r="C804" s="367"/>
      <c r="D804" s="420"/>
      <c r="E804" s="405"/>
      <c r="F804" s="404"/>
      <c r="G804" s="352" t="str">
        <f>IFERROR(VLOOKUP(D804,'Client ID Records_v2'!D:E, 2, FALSE), "")</f>
        <v/>
      </c>
      <c r="H804" s="368" t="str">
        <f>IFERROR(VLOOKUP(G804,'Client ID Records_v2'!E:F, 2, FALSE), "")</f>
        <v/>
      </c>
      <c r="I804" s="352"/>
      <c r="J804" s="358" t="str">
        <f>IFERROR(VLOOKUP(I804,'Project Records_v2'!F:G, 2, FALSE), "")</f>
        <v/>
      </c>
      <c r="K804" s="143"/>
      <c r="L804" s="390"/>
      <c r="M804" s="419"/>
      <c r="N804" s="370"/>
      <c r="O804" s="370"/>
      <c r="P804" s="371"/>
      <c r="Q804" s="365"/>
    </row>
    <row r="805" ht="22.5" customHeight="1">
      <c r="A805" s="146"/>
      <c r="B805" s="413"/>
      <c r="C805" s="367"/>
      <c r="D805" s="420"/>
      <c r="E805" s="405"/>
      <c r="F805" s="404"/>
      <c r="G805" s="352" t="str">
        <f>IFERROR(VLOOKUP(D805,'Client ID Records_v2'!D:E, 2, FALSE), "")</f>
        <v/>
      </c>
      <c r="H805" s="368" t="str">
        <f>IFERROR(VLOOKUP(G805,'Client ID Records_v2'!E:F, 2, FALSE), "")</f>
        <v/>
      </c>
      <c r="I805" s="352"/>
      <c r="J805" s="358" t="str">
        <f>IFERROR(VLOOKUP(I805,'Project Records_v2'!F:G, 2, FALSE), "")</f>
        <v/>
      </c>
      <c r="K805" s="143"/>
      <c r="L805" s="390"/>
      <c r="M805" s="419"/>
      <c r="N805" s="370"/>
      <c r="O805" s="370"/>
      <c r="P805" s="371"/>
      <c r="Q805" s="365"/>
    </row>
    <row r="806" ht="22.5" customHeight="1">
      <c r="A806" s="146"/>
      <c r="B806" s="413"/>
      <c r="C806" s="367"/>
      <c r="D806" s="420"/>
      <c r="E806" s="405"/>
      <c r="F806" s="404"/>
      <c r="G806" s="352" t="str">
        <f>IFERROR(VLOOKUP(D806,'Client ID Records_v2'!D:E, 2, FALSE), "")</f>
        <v/>
      </c>
      <c r="H806" s="368" t="str">
        <f>IFERROR(VLOOKUP(G806,'Client ID Records_v2'!E:F, 2, FALSE), "")</f>
        <v/>
      </c>
      <c r="I806" s="352"/>
      <c r="J806" s="358" t="str">
        <f>IFERROR(VLOOKUP(I806,'Project Records_v2'!F:G, 2, FALSE), "")</f>
        <v/>
      </c>
      <c r="K806" s="143"/>
      <c r="L806" s="390"/>
      <c r="M806" s="419"/>
      <c r="N806" s="370"/>
      <c r="O806" s="370"/>
      <c r="P806" s="371"/>
      <c r="Q806" s="365"/>
    </row>
    <row r="807" ht="22.5" customHeight="1">
      <c r="A807" s="146"/>
      <c r="B807" s="413"/>
      <c r="C807" s="367"/>
      <c r="D807" s="420"/>
      <c r="E807" s="405"/>
      <c r="F807" s="404"/>
      <c r="G807" s="352" t="str">
        <f>IFERROR(VLOOKUP(D807,'Client ID Records_v2'!D:E, 2, FALSE), "")</f>
        <v/>
      </c>
      <c r="H807" s="368" t="str">
        <f>IFERROR(VLOOKUP(G807,'Client ID Records_v2'!E:F, 2, FALSE), "")</f>
        <v/>
      </c>
      <c r="I807" s="352"/>
      <c r="J807" s="358" t="str">
        <f>IFERROR(VLOOKUP(I807,'Project Records_v2'!F:G, 2, FALSE), "")</f>
        <v/>
      </c>
      <c r="K807" s="143"/>
      <c r="L807" s="390"/>
      <c r="M807" s="419"/>
      <c r="N807" s="370"/>
      <c r="O807" s="370"/>
      <c r="P807" s="371"/>
      <c r="Q807" s="365"/>
    </row>
    <row r="808" ht="22.5" customHeight="1">
      <c r="A808" s="146"/>
      <c r="B808" s="413"/>
      <c r="C808" s="367"/>
      <c r="D808" s="420"/>
      <c r="E808" s="405"/>
      <c r="F808" s="404"/>
      <c r="G808" s="352" t="str">
        <f>IFERROR(VLOOKUP(D808,'Client ID Records_v2'!D:E, 2, FALSE), "")</f>
        <v/>
      </c>
      <c r="H808" s="368" t="str">
        <f>IFERROR(VLOOKUP(G808,'Client ID Records_v2'!E:F, 2, FALSE), "")</f>
        <v/>
      </c>
      <c r="I808" s="352"/>
      <c r="J808" s="358" t="str">
        <f>IFERROR(VLOOKUP(I808,'Project Records_v2'!F:G, 2, FALSE), "")</f>
        <v/>
      </c>
      <c r="K808" s="143"/>
      <c r="L808" s="390"/>
      <c r="M808" s="419"/>
      <c r="N808" s="370"/>
      <c r="O808" s="370"/>
      <c r="P808" s="371"/>
      <c r="Q808" s="365"/>
    </row>
    <row r="809" ht="22.5" customHeight="1">
      <c r="A809" s="146"/>
      <c r="B809" s="413"/>
      <c r="C809" s="367"/>
      <c r="D809" s="420"/>
      <c r="E809" s="405"/>
      <c r="F809" s="404"/>
      <c r="G809" s="352" t="str">
        <f>IFERROR(VLOOKUP(D809,'Client ID Records_v2'!D:E, 2, FALSE), "")</f>
        <v/>
      </c>
      <c r="H809" s="368" t="str">
        <f>IFERROR(VLOOKUP(G809,'Client ID Records_v2'!E:F, 2, FALSE), "")</f>
        <v/>
      </c>
      <c r="I809" s="352"/>
      <c r="J809" s="358" t="str">
        <f>IFERROR(VLOOKUP(I809,'Project Records_v2'!F:G, 2, FALSE), "")</f>
        <v/>
      </c>
      <c r="K809" s="143"/>
      <c r="L809" s="390"/>
      <c r="M809" s="419"/>
      <c r="N809" s="370"/>
      <c r="O809" s="370"/>
      <c r="P809" s="371"/>
      <c r="Q809" s="365"/>
    </row>
    <row r="810" ht="22.5" customHeight="1">
      <c r="A810" s="146"/>
      <c r="B810" s="413"/>
      <c r="C810" s="367"/>
      <c r="D810" s="420"/>
      <c r="E810" s="405"/>
      <c r="F810" s="404"/>
      <c r="G810" s="352" t="str">
        <f>IFERROR(VLOOKUP(D810,'Client ID Records_v2'!D:E, 2, FALSE), "")</f>
        <v/>
      </c>
      <c r="H810" s="368" t="str">
        <f>IFERROR(VLOOKUP(G810,'Client ID Records_v2'!E:F, 2, FALSE), "")</f>
        <v/>
      </c>
      <c r="I810" s="352"/>
      <c r="J810" s="358" t="str">
        <f>IFERROR(VLOOKUP(I810,'Project Records_v2'!F:G, 2, FALSE), "")</f>
        <v/>
      </c>
      <c r="K810" s="143"/>
      <c r="L810" s="390"/>
      <c r="M810" s="419"/>
      <c r="N810" s="370"/>
      <c r="O810" s="370"/>
      <c r="P810" s="371"/>
      <c r="Q810" s="365"/>
    </row>
    <row r="811" ht="22.5" customHeight="1">
      <c r="A811" s="146"/>
      <c r="B811" s="413"/>
      <c r="C811" s="367"/>
      <c r="D811" s="420"/>
      <c r="E811" s="405"/>
      <c r="F811" s="404"/>
      <c r="G811" s="352" t="str">
        <f>IFERROR(VLOOKUP(D811,'Client ID Records_v2'!D:E, 2, FALSE), "")</f>
        <v/>
      </c>
      <c r="H811" s="368" t="str">
        <f>IFERROR(VLOOKUP(G811,'Client ID Records_v2'!E:F, 2, FALSE), "")</f>
        <v/>
      </c>
      <c r="I811" s="352"/>
      <c r="J811" s="358" t="str">
        <f>IFERROR(VLOOKUP(I811,'Project Records_v2'!F:G, 2, FALSE), "")</f>
        <v/>
      </c>
      <c r="K811" s="143"/>
      <c r="L811" s="390"/>
      <c r="M811" s="419"/>
      <c r="N811" s="370"/>
      <c r="O811" s="370"/>
      <c r="P811" s="371"/>
      <c r="Q811" s="365"/>
    </row>
    <row r="812" ht="22.5" customHeight="1">
      <c r="A812" s="146"/>
      <c r="B812" s="413"/>
      <c r="C812" s="367"/>
      <c r="D812" s="420"/>
      <c r="E812" s="405"/>
      <c r="F812" s="404"/>
      <c r="G812" s="352" t="str">
        <f>IFERROR(VLOOKUP(D812,'Client ID Records_v2'!D:E, 2, FALSE), "")</f>
        <v/>
      </c>
      <c r="H812" s="368" t="str">
        <f>IFERROR(VLOOKUP(G812,'Client ID Records_v2'!E:F, 2, FALSE), "")</f>
        <v/>
      </c>
      <c r="I812" s="352"/>
      <c r="J812" s="358" t="str">
        <f>IFERROR(VLOOKUP(I812,'Project Records_v2'!F:G, 2, FALSE), "")</f>
        <v/>
      </c>
      <c r="K812" s="143"/>
      <c r="L812" s="390"/>
      <c r="M812" s="419"/>
      <c r="N812" s="370"/>
      <c r="O812" s="370"/>
      <c r="P812" s="371"/>
      <c r="Q812" s="365"/>
    </row>
    <row r="813" ht="22.5" customHeight="1">
      <c r="A813" s="146"/>
      <c r="B813" s="413"/>
      <c r="C813" s="367"/>
      <c r="D813" s="420"/>
      <c r="E813" s="405"/>
      <c r="F813" s="404"/>
      <c r="G813" s="352" t="str">
        <f>IFERROR(VLOOKUP(D813,'Client ID Records_v2'!D:E, 2, FALSE), "")</f>
        <v/>
      </c>
      <c r="H813" s="368" t="str">
        <f>IFERROR(VLOOKUP(G813,'Client ID Records_v2'!E:F, 2, FALSE), "")</f>
        <v/>
      </c>
      <c r="I813" s="352"/>
      <c r="J813" s="358" t="str">
        <f>IFERROR(VLOOKUP(I813,'Project Records_v2'!F:G, 2, FALSE), "")</f>
        <v/>
      </c>
      <c r="K813" s="143"/>
      <c r="L813" s="390"/>
      <c r="M813" s="419"/>
      <c r="N813" s="370"/>
      <c r="O813" s="370"/>
      <c r="P813" s="371"/>
      <c r="Q813" s="365"/>
    </row>
    <row r="814" ht="22.5" customHeight="1">
      <c r="A814" s="146"/>
      <c r="B814" s="413"/>
      <c r="C814" s="367"/>
      <c r="D814" s="420"/>
      <c r="E814" s="405"/>
      <c r="F814" s="404"/>
      <c r="G814" s="352" t="str">
        <f>IFERROR(VLOOKUP(D814,'Client ID Records_v2'!D:E, 2, FALSE), "")</f>
        <v/>
      </c>
      <c r="H814" s="368" t="str">
        <f>IFERROR(VLOOKUP(G814,'Client ID Records_v2'!E:F, 2, FALSE), "")</f>
        <v/>
      </c>
      <c r="I814" s="352"/>
      <c r="J814" s="358" t="str">
        <f>IFERROR(VLOOKUP(I814,'Project Records_v2'!F:G, 2, FALSE), "")</f>
        <v/>
      </c>
      <c r="K814" s="143"/>
      <c r="L814" s="390"/>
      <c r="M814" s="419"/>
      <c r="N814" s="370"/>
      <c r="O814" s="370"/>
      <c r="P814" s="371"/>
      <c r="Q814" s="365"/>
    </row>
    <row r="815" ht="22.5" customHeight="1">
      <c r="A815" s="146"/>
      <c r="B815" s="413"/>
      <c r="C815" s="367"/>
      <c r="D815" s="420"/>
      <c r="E815" s="405"/>
      <c r="F815" s="404"/>
      <c r="G815" s="352" t="str">
        <f>IFERROR(VLOOKUP(D815,'Client ID Records_v2'!D:E, 2, FALSE), "")</f>
        <v/>
      </c>
      <c r="H815" s="368" t="str">
        <f>IFERROR(VLOOKUP(G815,'Client ID Records_v2'!E:F, 2, FALSE), "")</f>
        <v/>
      </c>
      <c r="I815" s="352"/>
      <c r="J815" s="358" t="str">
        <f>IFERROR(VLOOKUP(I815,'Project Records_v2'!F:G, 2, FALSE), "")</f>
        <v/>
      </c>
      <c r="K815" s="143"/>
      <c r="L815" s="390"/>
      <c r="M815" s="419"/>
      <c r="N815" s="370"/>
      <c r="O815" s="370"/>
      <c r="P815" s="371"/>
      <c r="Q815" s="365"/>
    </row>
    <row r="816" ht="22.5" customHeight="1">
      <c r="A816" s="146"/>
      <c r="B816" s="413"/>
      <c r="C816" s="367"/>
      <c r="D816" s="420"/>
      <c r="E816" s="405"/>
      <c r="F816" s="404"/>
      <c r="G816" s="352" t="str">
        <f>IFERROR(VLOOKUP(D816,'Client ID Records_v2'!D:E, 2, FALSE), "")</f>
        <v/>
      </c>
      <c r="H816" s="368" t="str">
        <f>IFERROR(VLOOKUP(G816,'Client ID Records_v2'!E:F, 2, FALSE), "")</f>
        <v/>
      </c>
      <c r="I816" s="352"/>
      <c r="J816" s="358" t="str">
        <f>IFERROR(VLOOKUP(I816,'Project Records_v2'!F:G, 2, FALSE), "")</f>
        <v/>
      </c>
      <c r="K816" s="143"/>
      <c r="L816" s="390"/>
      <c r="M816" s="419"/>
      <c r="N816" s="370"/>
      <c r="O816" s="370"/>
      <c r="P816" s="371"/>
      <c r="Q816" s="365"/>
    </row>
    <row r="817" ht="22.5" customHeight="1">
      <c r="A817" s="146"/>
      <c r="B817" s="413"/>
      <c r="C817" s="367"/>
      <c r="D817" s="420"/>
      <c r="E817" s="405"/>
      <c r="F817" s="404"/>
      <c r="G817" s="352" t="str">
        <f>IFERROR(VLOOKUP(D817,'Client ID Records_v2'!D:E, 2, FALSE), "")</f>
        <v/>
      </c>
      <c r="H817" s="368" t="str">
        <f>IFERROR(VLOOKUP(G817,'Client ID Records_v2'!E:F, 2, FALSE), "")</f>
        <v/>
      </c>
      <c r="I817" s="352"/>
      <c r="J817" s="358" t="str">
        <f>IFERROR(VLOOKUP(I817,'Project Records_v2'!F:G, 2, FALSE), "")</f>
        <v/>
      </c>
      <c r="K817" s="143"/>
      <c r="L817" s="390"/>
      <c r="M817" s="419"/>
      <c r="N817" s="370"/>
      <c r="O817" s="370"/>
      <c r="P817" s="371"/>
      <c r="Q817" s="365"/>
    </row>
    <row r="818" ht="22.5" customHeight="1">
      <c r="A818" s="146"/>
      <c r="B818" s="413"/>
      <c r="C818" s="367"/>
      <c r="D818" s="420"/>
      <c r="E818" s="405"/>
      <c r="F818" s="404"/>
      <c r="G818" s="352" t="str">
        <f>IFERROR(VLOOKUP(D818,'Client ID Records_v2'!D:E, 2, FALSE), "")</f>
        <v/>
      </c>
      <c r="H818" s="368" t="str">
        <f>IFERROR(VLOOKUP(G818,'Client ID Records_v2'!E:F, 2, FALSE), "")</f>
        <v/>
      </c>
      <c r="I818" s="352"/>
      <c r="J818" s="358" t="str">
        <f>IFERROR(VLOOKUP(I818,'Project Records_v2'!F:G, 2, FALSE), "")</f>
        <v/>
      </c>
      <c r="K818" s="143"/>
      <c r="L818" s="390"/>
      <c r="M818" s="419"/>
      <c r="N818" s="370"/>
      <c r="O818" s="370"/>
      <c r="P818" s="371"/>
      <c r="Q818" s="365"/>
    </row>
    <row r="819" ht="22.5" customHeight="1">
      <c r="A819" s="146"/>
      <c r="B819" s="413"/>
      <c r="C819" s="367"/>
      <c r="D819" s="420"/>
      <c r="E819" s="405"/>
      <c r="F819" s="404"/>
      <c r="G819" s="352" t="str">
        <f>IFERROR(VLOOKUP(D819,'Client ID Records_v2'!D:E, 2, FALSE), "")</f>
        <v/>
      </c>
      <c r="H819" s="368" t="str">
        <f>IFERROR(VLOOKUP(G819,'Client ID Records_v2'!E:F, 2, FALSE), "")</f>
        <v/>
      </c>
      <c r="I819" s="352"/>
      <c r="J819" s="358" t="str">
        <f>IFERROR(VLOOKUP(I819,'Project Records_v2'!F:G, 2, FALSE), "")</f>
        <v/>
      </c>
      <c r="K819" s="143"/>
      <c r="L819" s="390"/>
      <c r="M819" s="419"/>
      <c r="N819" s="370"/>
      <c r="O819" s="370"/>
      <c r="P819" s="371"/>
      <c r="Q819" s="365"/>
    </row>
    <row r="820" ht="22.5" customHeight="1">
      <c r="A820" s="146"/>
      <c r="B820" s="413"/>
      <c r="C820" s="367"/>
      <c r="D820" s="420"/>
      <c r="E820" s="405"/>
      <c r="F820" s="404"/>
      <c r="G820" s="352" t="str">
        <f>IFERROR(VLOOKUP(D820,'Client ID Records_v2'!D:E, 2, FALSE), "")</f>
        <v/>
      </c>
      <c r="H820" s="368" t="str">
        <f>IFERROR(VLOOKUP(G820,'Client ID Records_v2'!E:F, 2, FALSE), "")</f>
        <v/>
      </c>
      <c r="I820" s="352"/>
      <c r="J820" s="358" t="str">
        <f>IFERROR(VLOOKUP(I820,'Project Records_v2'!F:G, 2, FALSE), "")</f>
        <v/>
      </c>
      <c r="K820" s="143"/>
      <c r="L820" s="390"/>
      <c r="M820" s="419"/>
      <c r="N820" s="370"/>
      <c r="O820" s="370"/>
      <c r="P820" s="371"/>
      <c r="Q820" s="365"/>
    </row>
    <row r="821" ht="22.5" customHeight="1">
      <c r="A821" s="146"/>
      <c r="B821" s="413"/>
      <c r="C821" s="367"/>
      <c r="D821" s="420"/>
      <c r="E821" s="405"/>
      <c r="F821" s="404"/>
      <c r="G821" s="352" t="str">
        <f>IFERROR(VLOOKUP(D821,'Client ID Records_v2'!D:E, 2, FALSE), "")</f>
        <v/>
      </c>
      <c r="H821" s="368" t="str">
        <f>IFERROR(VLOOKUP(G821,'Client ID Records_v2'!E:F, 2, FALSE), "")</f>
        <v/>
      </c>
      <c r="I821" s="352"/>
      <c r="J821" s="358" t="str">
        <f>IFERROR(VLOOKUP(I821,'Project Records_v2'!F:G, 2, FALSE), "")</f>
        <v/>
      </c>
      <c r="K821" s="143"/>
      <c r="L821" s="390"/>
      <c r="M821" s="419"/>
      <c r="N821" s="370"/>
      <c r="O821" s="370"/>
      <c r="P821" s="371"/>
      <c r="Q821" s="365"/>
    </row>
    <row r="822" ht="22.5" customHeight="1">
      <c r="A822" s="146"/>
      <c r="B822" s="413"/>
      <c r="C822" s="367"/>
      <c r="D822" s="420"/>
      <c r="E822" s="405"/>
      <c r="F822" s="404"/>
      <c r="G822" s="352" t="str">
        <f>IFERROR(VLOOKUP(D822,'Client ID Records_v2'!D:E, 2, FALSE), "")</f>
        <v/>
      </c>
      <c r="H822" s="368" t="str">
        <f>IFERROR(VLOOKUP(G822,'Client ID Records_v2'!E:F, 2, FALSE), "")</f>
        <v/>
      </c>
      <c r="I822" s="352"/>
      <c r="J822" s="358" t="str">
        <f>IFERROR(VLOOKUP(I822,'Project Records_v2'!F:G, 2, FALSE), "")</f>
        <v/>
      </c>
      <c r="K822" s="143"/>
      <c r="L822" s="390"/>
      <c r="M822" s="419"/>
      <c r="N822" s="370"/>
      <c r="O822" s="370"/>
      <c r="P822" s="371"/>
      <c r="Q822" s="365"/>
    </row>
    <row r="823" ht="22.5" customHeight="1">
      <c r="A823" s="146"/>
      <c r="B823" s="413"/>
      <c r="C823" s="367"/>
      <c r="D823" s="420"/>
      <c r="E823" s="405"/>
      <c r="F823" s="404"/>
      <c r="G823" s="352" t="str">
        <f>IFERROR(VLOOKUP(D823,'Client ID Records_v2'!D:E, 2, FALSE), "")</f>
        <v/>
      </c>
      <c r="H823" s="368" t="str">
        <f>IFERROR(VLOOKUP(G823,'Client ID Records_v2'!E:F, 2, FALSE), "")</f>
        <v/>
      </c>
      <c r="I823" s="352"/>
      <c r="J823" s="358" t="str">
        <f>IFERROR(VLOOKUP(I823,'Project Records_v2'!F:G, 2, FALSE), "")</f>
        <v/>
      </c>
      <c r="K823" s="143"/>
      <c r="L823" s="390"/>
      <c r="M823" s="419"/>
      <c r="N823" s="370"/>
      <c r="O823" s="370"/>
      <c r="P823" s="371"/>
      <c r="Q823" s="365"/>
    </row>
    <row r="824" ht="22.5" customHeight="1">
      <c r="A824" s="146"/>
      <c r="B824" s="413"/>
      <c r="C824" s="367"/>
      <c r="D824" s="420"/>
      <c r="E824" s="405"/>
      <c r="F824" s="404"/>
      <c r="G824" s="352" t="str">
        <f>IFERROR(VLOOKUP(D824,'Client ID Records_v2'!D:E, 2, FALSE), "")</f>
        <v/>
      </c>
      <c r="H824" s="368" t="str">
        <f>IFERROR(VLOOKUP(G824,'Client ID Records_v2'!E:F, 2, FALSE), "")</f>
        <v/>
      </c>
      <c r="I824" s="352"/>
      <c r="J824" s="358" t="str">
        <f>IFERROR(VLOOKUP(I824,'Project Records_v2'!F:G, 2, FALSE), "")</f>
        <v/>
      </c>
      <c r="K824" s="143"/>
      <c r="L824" s="390"/>
      <c r="M824" s="419"/>
      <c r="N824" s="370"/>
      <c r="O824" s="370"/>
      <c r="P824" s="371"/>
      <c r="Q824" s="365"/>
    </row>
    <row r="825" ht="22.5" customHeight="1">
      <c r="A825" s="146"/>
      <c r="B825" s="413"/>
      <c r="C825" s="367"/>
      <c r="D825" s="420"/>
      <c r="E825" s="405"/>
      <c r="F825" s="404"/>
      <c r="G825" s="352" t="str">
        <f>IFERROR(VLOOKUP(D825,'Client ID Records_v2'!D:E, 2, FALSE), "")</f>
        <v/>
      </c>
      <c r="H825" s="368" t="str">
        <f>IFERROR(VLOOKUP(G825,'Client ID Records_v2'!E:F, 2, FALSE), "")</f>
        <v/>
      </c>
      <c r="I825" s="352"/>
      <c r="J825" s="358" t="str">
        <f>IFERROR(VLOOKUP(I825,'Project Records_v2'!F:G, 2, FALSE), "")</f>
        <v/>
      </c>
      <c r="K825" s="143"/>
      <c r="L825" s="390"/>
      <c r="M825" s="419"/>
      <c r="N825" s="370"/>
      <c r="O825" s="370"/>
      <c r="P825" s="371"/>
      <c r="Q825" s="365"/>
    </row>
    <row r="826" ht="22.5" customHeight="1">
      <c r="A826" s="146"/>
      <c r="B826" s="413"/>
      <c r="C826" s="367"/>
      <c r="D826" s="420"/>
      <c r="E826" s="405"/>
      <c r="F826" s="404"/>
      <c r="G826" s="352" t="str">
        <f>IFERROR(VLOOKUP(D826,'Client ID Records_v2'!D:E, 2, FALSE), "")</f>
        <v/>
      </c>
      <c r="H826" s="368" t="str">
        <f>IFERROR(VLOOKUP(G826,'Client ID Records_v2'!E:F, 2, FALSE), "")</f>
        <v/>
      </c>
      <c r="I826" s="352"/>
      <c r="J826" s="358" t="str">
        <f>IFERROR(VLOOKUP(I826,'Project Records_v2'!F:G, 2, FALSE), "")</f>
        <v/>
      </c>
      <c r="K826" s="143"/>
      <c r="L826" s="390"/>
      <c r="M826" s="419"/>
      <c r="N826" s="370"/>
      <c r="O826" s="370"/>
      <c r="P826" s="371"/>
      <c r="Q826" s="365"/>
    </row>
    <row r="827" ht="22.5" customHeight="1">
      <c r="A827" s="146"/>
      <c r="B827" s="413"/>
      <c r="C827" s="367"/>
      <c r="D827" s="420"/>
      <c r="E827" s="405"/>
      <c r="F827" s="404"/>
      <c r="G827" s="352" t="str">
        <f>IFERROR(VLOOKUP(D827,'Client ID Records_v2'!D:E, 2, FALSE), "")</f>
        <v/>
      </c>
      <c r="H827" s="368" t="str">
        <f>IFERROR(VLOOKUP(G827,'Client ID Records_v2'!E:F, 2, FALSE), "")</f>
        <v/>
      </c>
      <c r="I827" s="352"/>
      <c r="J827" s="358" t="str">
        <f>IFERROR(VLOOKUP(I827,'Project Records_v2'!F:G, 2, FALSE), "")</f>
        <v/>
      </c>
      <c r="K827" s="143"/>
      <c r="L827" s="390"/>
      <c r="M827" s="419"/>
      <c r="N827" s="370"/>
      <c r="O827" s="370"/>
      <c r="P827" s="371"/>
      <c r="Q827" s="365"/>
    </row>
    <row r="828" ht="22.5" customHeight="1">
      <c r="A828" s="146"/>
      <c r="B828" s="413"/>
      <c r="C828" s="367"/>
      <c r="D828" s="420"/>
      <c r="E828" s="405"/>
      <c r="F828" s="404"/>
      <c r="G828" s="352" t="str">
        <f>IFERROR(VLOOKUP(D828,'Client ID Records_v2'!D:E, 2, FALSE), "")</f>
        <v/>
      </c>
      <c r="H828" s="368" t="str">
        <f>IFERROR(VLOOKUP(G828,'Client ID Records_v2'!E:F, 2, FALSE), "")</f>
        <v/>
      </c>
      <c r="I828" s="352"/>
      <c r="J828" s="358" t="str">
        <f>IFERROR(VLOOKUP(I828,'Project Records_v2'!F:G, 2, FALSE), "")</f>
        <v/>
      </c>
      <c r="K828" s="143"/>
      <c r="L828" s="390"/>
      <c r="M828" s="419"/>
      <c r="N828" s="370"/>
      <c r="O828" s="370"/>
      <c r="P828" s="371"/>
      <c r="Q828" s="365"/>
    </row>
    <row r="829" ht="22.5" customHeight="1">
      <c r="A829" s="146"/>
      <c r="B829" s="413"/>
      <c r="C829" s="367"/>
      <c r="D829" s="420"/>
      <c r="E829" s="405"/>
      <c r="F829" s="404"/>
      <c r="G829" s="352" t="str">
        <f>IFERROR(VLOOKUP(D829,'Client ID Records_v2'!D:E, 2, FALSE), "")</f>
        <v/>
      </c>
      <c r="H829" s="368" t="str">
        <f>IFERROR(VLOOKUP(G829,'Client ID Records_v2'!E:F, 2, FALSE), "")</f>
        <v/>
      </c>
      <c r="I829" s="352"/>
      <c r="J829" s="358" t="str">
        <f>IFERROR(VLOOKUP(I829,'Project Records_v2'!F:G, 2, FALSE), "")</f>
        <v/>
      </c>
      <c r="K829" s="143"/>
      <c r="L829" s="390"/>
      <c r="M829" s="419"/>
      <c r="N829" s="370"/>
      <c r="O829" s="370"/>
      <c r="P829" s="371"/>
      <c r="Q829" s="365"/>
    </row>
    <row r="830" ht="22.5" customHeight="1">
      <c r="A830" s="146"/>
      <c r="B830" s="413"/>
      <c r="C830" s="367"/>
      <c r="D830" s="420"/>
      <c r="E830" s="405"/>
      <c r="F830" s="404"/>
      <c r="G830" s="352" t="str">
        <f>IFERROR(VLOOKUP(D830,'Client ID Records_v2'!D:E, 2, FALSE), "")</f>
        <v/>
      </c>
      <c r="H830" s="368" t="str">
        <f>IFERROR(VLOOKUP(G830,'Client ID Records_v2'!E:F, 2, FALSE), "")</f>
        <v/>
      </c>
      <c r="I830" s="352"/>
      <c r="J830" s="358" t="str">
        <f>IFERROR(VLOOKUP(I830,'Project Records_v2'!F:G, 2, FALSE), "")</f>
        <v/>
      </c>
      <c r="K830" s="143"/>
      <c r="L830" s="390"/>
      <c r="M830" s="419"/>
      <c r="N830" s="370"/>
      <c r="O830" s="370"/>
      <c r="P830" s="371"/>
      <c r="Q830" s="365"/>
    </row>
    <row r="831" ht="22.5" customHeight="1">
      <c r="A831" s="146"/>
      <c r="B831" s="413"/>
      <c r="C831" s="367"/>
      <c r="D831" s="420"/>
      <c r="E831" s="405"/>
      <c r="F831" s="404"/>
      <c r="G831" s="352" t="str">
        <f>IFERROR(VLOOKUP(D831,'Client ID Records_v2'!D:E, 2, FALSE), "")</f>
        <v/>
      </c>
      <c r="H831" s="368" t="str">
        <f>IFERROR(VLOOKUP(G831,'Client ID Records_v2'!E:F, 2, FALSE), "")</f>
        <v/>
      </c>
      <c r="I831" s="352"/>
      <c r="J831" s="358" t="str">
        <f>IFERROR(VLOOKUP(I831,'Project Records_v2'!F:G, 2, FALSE), "")</f>
        <v/>
      </c>
      <c r="K831" s="143"/>
      <c r="L831" s="390"/>
      <c r="M831" s="419"/>
      <c r="N831" s="370"/>
      <c r="O831" s="370"/>
      <c r="P831" s="371"/>
      <c r="Q831" s="365"/>
    </row>
    <row r="832" ht="22.5" customHeight="1">
      <c r="A832" s="146"/>
      <c r="B832" s="413"/>
      <c r="C832" s="367"/>
      <c r="D832" s="420"/>
      <c r="E832" s="405"/>
      <c r="F832" s="404"/>
      <c r="G832" s="352" t="str">
        <f>IFERROR(VLOOKUP(D832,'Client ID Records_v2'!D:E, 2, FALSE), "")</f>
        <v/>
      </c>
      <c r="H832" s="368" t="str">
        <f>IFERROR(VLOOKUP(G832,'Client ID Records_v2'!E:F, 2, FALSE), "")</f>
        <v/>
      </c>
      <c r="I832" s="352"/>
      <c r="J832" s="358" t="str">
        <f>IFERROR(VLOOKUP(I832,'Project Records_v2'!F:G, 2, FALSE), "")</f>
        <v/>
      </c>
      <c r="K832" s="143"/>
      <c r="L832" s="390"/>
      <c r="M832" s="419"/>
      <c r="N832" s="370"/>
      <c r="O832" s="370"/>
      <c r="P832" s="371"/>
      <c r="Q832" s="365"/>
    </row>
    <row r="833" ht="22.5" customHeight="1">
      <c r="A833" s="146"/>
      <c r="B833" s="413"/>
      <c r="C833" s="367"/>
      <c r="D833" s="420"/>
      <c r="E833" s="405"/>
      <c r="F833" s="404"/>
      <c r="G833" s="352" t="str">
        <f>IFERROR(VLOOKUP(D833,'Client ID Records_v2'!D:E, 2, FALSE), "")</f>
        <v/>
      </c>
      <c r="H833" s="368" t="str">
        <f>IFERROR(VLOOKUP(G833,'Client ID Records_v2'!E:F, 2, FALSE), "")</f>
        <v/>
      </c>
      <c r="I833" s="352"/>
      <c r="J833" s="358" t="str">
        <f>IFERROR(VLOOKUP(I833,'Project Records_v2'!F:G, 2, FALSE), "")</f>
        <v/>
      </c>
      <c r="K833" s="143"/>
      <c r="L833" s="390"/>
      <c r="M833" s="419"/>
      <c r="N833" s="370"/>
      <c r="O833" s="370"/>
      <c r="P833" s="371"/>
      <c r="Q833" s="365"/>
    </row>
    <row r="834" ht="22.5" customHeight="1">
      <c r="A834" s="146"/>
      <c r="B834" s="413"/>
      <c r="C834" s="367"/>
      <c r="D834" s="420"/>
      <c r="E834" s="405"/>
      <c r="F834" s="404"/>
      <c r="G834" s="352" t="str">
        <f>IFERROR(VLOOKUP(D834,'Client ID Records_v2'!D:E, 2, FALSE), "")</f>
        <v/>
      </c>
      <c r="H834" s="368" t="str">
        <f>IFERROR(VLOOKUP(G834,'Client ID Records_v2'!E:F, 2, FALSE), "")</f>
        <v/>
      </c>
      <c r="I834" s="352"/>
      <c r="J834" s="358" t="str">
        <f>IFERROR(VLOOKUP(I834,'Project Records_v2'!F:G, 2, FALSE), "")</f>
        <v/>
      </c>
      <c r="K834" s="143"/>
      <c r="L834" s="390"/>
      <c r="M834" s="419"/>
      <c r="N834" s="370"/>
      <c r="O834" s="370"/>
      <c r="P834" s="371"/>
      <c r="Q834" s="365"/>
    </row>
    <row r="835" ht="22.5" customHeight="1">
      <c r="A835" s="146"/>
      <c r="B835" s="413"/>
      <c r="C835" s="367"/>
      <c r="D835" s="420"/>
      <c r="E835" s="405"/>
      <c r="F835" s="404"/>
      <c r="G835" s="352" t="str">
        <f>IFERROR(VLOOKUP(D835,'Client ID Records_v2'!D:E, 2, FALSE), "")</f>
        <v/>
      </c>
      <c r="H835" s="368" t="str">
        <f>IFERROR(VLOOKUP(G835,'Client ID Records_v2'!E:F, 2, FALSE), "")</f>
        <v/>
      </c>
      <c r="I835" s="352"/>
      <c r="J835" s="358" t="str">
        <f>IFERROR(VLOOKUP(I835,'Project Records_v2'!F:G, 2, FALSE), "")</f>
        <v/>
      </c>
      <c r="K835" s="143"/>
      <c r="L835" s="390"/>
      <c r="M835" s="419"/>
      <c r="N835" s="370"/>
      <c r="O835" s="370"/>
      <c r="P835" s="371"/>
      <c r="Q835" s="365"/>
    </row>
    <row r="836" ht="22.5" customHeight="1">
      <c r="A836" s="146"/>
      <c r="B836" s="413"/>
      <c r="C836" s="367"/>
      <c r="D836" s="420"/>
      <c r="E836" s="405"/>
      <c r="F836" s="404"/>
      <c r="G836" s="352" t="str">
        <f>IFERROR(VLOOKUP(D836,'Client ID Records_v2'!D:E, 2, FALSE), "")</f>
        <v/>
      </c>
      <c r="H836" s="368" t="str">
        <f>IFERROR(VLOOKUP(G836,'Client ID Records_v2'!E:F, 2, FALSE), "")</f>
        <v/>
      </c>
      <c r="I836" s="352"/>
      <c r="J836" s="358" t="str">
        <f>IFERROR(VLOOKUP(I836,'Project Records_v2'!F:G, 2, FALSE), "")</f>
        <v/>
      </c>
      <c r="K836" s="143"/>
      <c r="L836" s="390"/>
      <c r="M836" s="419"/>
      <c r="N836" s="370"/>
      <c r="O836" s="370"/>
      <c r="P836" s="371"/>
      <c r="Q836" s="365"/>
    </row>
    <row r="837" ht="22.5" customHeight="1">
      <c r="A837" s="146"/>
      <c r="B837" s="413"/>
      <c r="C837" s="367"/>
      <c r="D837" s="420"/>
      <c r="E837" s="405"/>
      <c r="F837" s="404"/>
      <c r="G837" s="352" t="str">
        <f>IFERROR(VLOOKUP(D837,'Client ID Records_v2'!D:E, 2, FALSE), "")</f>
        <v/>
      </c>
      <c r="H837" s="368" t="str">
        <f>IFERROR(VLOOKUP(G837,'Client ID Records_v2'!E:F, 2, FALSE), "")</f>
        <v/>
      </c>
      <c r="I837" s="352"/>
      <c r="J837" s="358" t="str">
        <f>IFERROR(VLOOKUP(I837,'Project Records_v2'!F:G, 2, FALSE), "")</f>
        <v/>
      </c>
      <c r="K837" s="143"/>
      <c r="L837" s="390"/>
      <c r="M837" s="419"/>
      <c r="N837" s="370"/>
      <c r="O837" s="370"/>
      <c r="P837" s="371"/>
      <c r="Q837" s="365"/>
    </row>
    <row r="838" ht="22.5" customHeight="1">
      <c r="A838" s="146"/>
      <c r="B838" s="413"/>
      <c r="C838" s="367"/>
      <c r="D838" s="420"/>
      <c r="E838" s="405"/>
      <c r="F838" s="404"/>
      <c r="G838" s="352" t="str">
        <f>IFERROR(VLOOKUP(D838,'Client ID Records_v2'!D:E, 2, FALSE), "")</f>
        <v/>
      </c>
      <c r="H838" s="368" t="str">
        <f>IFERROR(VLOOKUP(G838,'Client ID Records_v2'!E:F, 2, FALSE), "")</f>
        <v/>
      </c>
      <c r="I838" s="352"/>
      <c r="J838" s="358" t="str">
        <f>IFERROR(VLOOKUP(I838,'Project Records_v2'!F:G, 2, FALSE), "")</f>
        <v/>
      </c>
      <c r="K838" s="143"/>
      <c r="L838" s="390"/>
      <c r="M838" s="419"/>
      <c r="N838" s="370"/>
      <c r="O838" s="370"/>
      <c r="P838" s="371"/>
      <c r="Q838" s="365"/>
    </row>
    <row r="839" ht="22.5" customHeight="1">
      <c r="A839" s="146"/>
      <c r="B839" s="413"/>
      <c r="C839" s="367"/>
      <c r="D839" s="420"/>
      <c r="E839" s="405"/>
      <c r="F839" s="404"/>
      <c r="G839" s="352" t="str">
        <f>IFERROR(VLOOKUP(D839,'Client ID Records_v2'!D:E, 2, FALSE), "")</f>
        <v/>
      </c>
      <c r="H839" s="368" t="str">
        <f>IFERROR(VLOOKUP(G839,'Client ID Records_v2'!E:F, 2, FALSE), "")</f>
        <v/>
      </c>
      <c r="I839" s="352"/>
      <c r="J839" s="358" t="str">
        <f>IFERROR(VLOOKUP(I839,'Project Records_v2'!F:G, 2, FALSE), "")</f>
        <v/>
      </c>
      <c r="K839" s="143"/>
      <c r="L839" s="390"/>
      <c r="M839" s="419"/>
      <c r="N839" s="370"/>
      <c r="O839" s="370"/>
      <c r="P839" s="371"/>
      <c r="Q839" s="365"/>
    </row>
    <row r="840" ht="22.5" customHeight="1">
      <c r="A840" s="146"/>
      <c r="B840" s="413"/>
      <c r="C840" s="367"/>
      <c r="D840" s="420"/>
      <c r="E840" s="405"/>
      <c r="F840" s="404"/>
      <c r="G840" s="352" t="str">
        <f>IFERROR(VLOOKUP(D840,'Client ID Records_v2'!D:E, 2, FALSE), "")</f>
        <v/>
      </c>
      <c r="H840" s="368" t="str">
        <f>IFERROR(VLOOKUP(G840,'Client ID Records_v2'!E:F, 2, FALSE), "")</f>
        <v/>
      </c>
      <c r="I840" s="352"/>
      <c r="J840" s="358" t="str">
        <f>IFERROR(VLOOKUP(I840,'Project Records_v2'!F:G, 2, FALSE), "")</f>
        <v/>
      </c>
      <c r="K840" s="143"/>
      <c r="L840" s="390"/>
      <c r="M840" s="419"/>
      <c r="N840" s="370"/>
      <c r="O840" s="370"/>
      <c r="P840" s="371"/>
      <c r="Q840" s="365"/>
    </row>
    <row r="841" ht="22.5" customHeight="1">
      <c r="A841" s="146"/>
      <c r="B841" s="413"/>
      <c r="C841" s="367"/>
      <c r="D841" s="420"/>
      <c r="E841" s="405"/>
      <c r="F841" s="404"/>
      <c r="G841" s="352" t="str">
        <f>IFERROR(VLOOKUP(D841,'Client ID Records_v2'!D:E, 2, FALSE), "")</f>
        <v/>
      </c>
      <c r="H841" s="368" t="str">
        <f>IFERROR(VLOOKUP(G841,'Client ID Records_v2'!E:F, 2, FALSE), "")</f>
        <v/>
      </c>
      <c r="I841" s="352"/>
      <c r="J841" s="358" t="str">
        <f>IFERROR(VLOOKUP(I841,'Project Records_v2'!F:G, 2, FALSE), "")</f>
        <v/>
      </c>
      <c r="K841" s="143"/>
      <c r="L841" s="390"/>
      <c r="M841" s="419"/>
      <c r="N841" s="370"/>
      <c r="O841" s="370"/>
      <c r="P841" s="371"/>
      <c r="Q841" s="365"/>
    </row>
    <row r="842" ht="22.5" customHeight="1">
      <c r="A842" s="146"/>
      <c r="B842" s="413"/>
      <c r="C842" s="367"/>
      <c r="D842" s="420"/>
      <c r="E842" s="405"/>
      <c r="F842" s="404"/>
      <c r="G842" s="352" t="str">
        <f>IFERROR(VLOOKUP(D842,'Client ID Records_v2'!D:E, 2, FALSE), "")</f>
        <v/>
      </c>
      <c r="H842" s="368" t="str">
        <f>IFERROR(VLOOKUP(G842,'Client ID Records_v2'!E:F, 2, FALSE), "")</f>
        <v/>
      </c>
      <c r="I842" s="352"/>
      <c r="J842" s="358" t="str">
        <f>IFERROR(VLOOKUP(I842,'Project Records_v2'!F:G, 2, FALSE), "")</f>
        <v/>
      </c>
      <c r="K842" s="143"/>
      <c r="L842" s="390"/>
      <c r="M842" s="419"/>
      <c r="N842" s="370"/>
      <c r="O842" s="370"/>
      <c r="P842" s="371"/>
      <c r="Q842" s="365"/>
    </row>
    <row r="843" ht="22.5" customHeight="1">
      <c r="A843" s="146"/>
      <c r="B843" s="413"/>
      <c r="C843" s="367"/>
      <c r="D843" s="420"/>
      <c r="E843" s="405"/>
      <c r="F843" s="404"/>
      <c r="G843" s="352" t="str">
        <f>IFERROR(VLOOKUP(D843,'Client ID Records_v2'!D:E, 2, FALSE), "")</f>
        <v/>
      </c>
      <c r="H843" s="368" t="str">
        <f>IFERROR(VLOOKUP(G843,'Client ID Records_v2'!E:F, 2, FALSE), "")</f>
        <v/>
      </c>
      <c r="I843" s="352"/>
      <c r="J843" s="358" t="str">
        <f>IFERROR(VLOOKUP(I843,'Project Records_v2'!F:G, 2, FALSE), "")</f>
        <v/>
      </c>
      <c r="K843" s="143"/>
      <c r="L843" s="390"/>
      <c r="M843" s="419"/>
      <c r="N843" s="370"/>
      <c r="O843" s="370"/>
      <c r="P843" s="371"/>
      <c r="Q843" s="365"/>
    </row>
    <row r="844" ht="22.5" customHeight="1">
      <c r="A844" s="146"/>
      <c r="B844" s="413"/>
      <c r="C844" s="367"/>
      <c r="D844" s="420"/>
      <c r="E844" s="405"/>
      <c r="F844" s="404"/>
      <c r="G844" s="352" t="str">
        <f>IFERROR(VLOOKUP(D844,'Client ID Records_v2'!D:E, 2, FALSE), "")</f>
        <v/>
      </c>
      <c r="H844" s="368" t="str">
        <f>IFERROR(VLOOKUP(G844,'Client ID Records_v2'!E:F, 2, FALSE), "")</f>
        <v/>
      </c>
      <c r="I844" s="352"/>
      <c r="J844" s="358" t="str">
        <f>IFERROR(VLOOKUP(I844,'Project Records_v2'!F:G, 2, FALSE), "")</f>
        <v/>
      </c>
      <c r="K844" s="143"/>
      <c r="L844" s="390"/>
      <c r="M844" s="419"/>
      <c r="N844" s="370"/>
      <c r="O844" s="370"/>
      <c r="P844" s="371"/>
      <c r="Q844" s="365"/>
    </row>
    <row r="845" ht="22.5" customHeight="1">
      <c r="A845" s="146"/>
      <c r="B845" s="413"/>
      <c r="C845" s="367"/>
      <c r="D845" s="420"/>
      <c r="E845" s="405"/>
      <c r="F845" s="404"/>
      <c r="G845" s="352" t="str">
        <f>IFERROR(VLOOKUP(D845,'Client ID Records_v2'!D:E, 2, FALSE), "")</f>
        <v/>
      </c>
      <c r="H845" s="368" t="str">
        <f>IFERROR(VLOOKUP(G845,'Client ID Records_v2'!E:F, 2, FALSE), "")</f>
        <v/>
      </c>
      <c r="I845" s="352"/>
      <c r="J845" s="358" t="str">
        <f>IFERROR(VLOOKUP(I845,'Project Records_v2'!F:G, 2, FALSE), "")</f>
        <v/>
      </c>
      <c r="K845" s="143"/>
      <c r="L845" s="390"/>
      <c r="M845" s="419"/>
      <c r="N845" s="370"/>
      <c r="O845" s="370"/>
      <c r="P845" s="371"/>
      <c r="Q845" s="365"/>
    </row>
    <row r="846" ht="22.5" customHeight="1">
      <c r="A846" s="146"/>
      <c r="B846" s="413"/>
      <c r="C846" s="367"/>
      <c r="D846" s="420"/>
      <c r="E846" s="405"/>
      <c r="F846" s="404"/>
      <c r="G846" s="352" t="str">
        <f>IFERROR(VLOOKUP(D846,'Client ID Records_v2'!D:E, 2, FALSE), "")</f>
        <v/>
      </c>
      <c r="H846" s="368" t="str">
        <f>IFERROR(VLOOKUP(G846,'Client ID Records_v2'!E:F, 2, FALSE), "")</f>
        <v/>
      </c>
      <c r="I846" s="352"/>
      <c r="J846" s="358" t="str">
        <f>IFERROR(VLOOKUP(I846,'Project Records_v2'!F:G, 2, FALSE), "")</f>
        <v/>
      </c>
      <c r="K846" s="143"/>
      <c r="L846" s="390"/>
      <c r="M846" s="419"/>
      <c r="N846" s="370"/>
      <c r="O846" s="370"/>
      <c r="P846" s="371"/>
      <c r="Q846" s="365"/>
    </row>
    <row r="847" ht="22.5" customHeight="1">
      <c r="A847" s="146"/>
      <c r="B847" s="413"/>
      <c r="C847" s="367"/>
      <c r="D847" s="420"/>
      <c r="E847" s="405"/>
      <c r="F847" s="404"/>
      <c r="G847" s="352" t="str">
        <f>IFERROR(VLOOKUP(D847,'Client ID Records_v2'!D:E, 2, FALSE), "")</f>
        <v/>
      </c>
      <c r="H847" s="368" t="str">
        <f>IFERROR(VLOOKUP(G847,'Client ID Records_v2'!E:F, 2, FALSE), "")</f>
        <v/>
      </c>
      <c r="I847" s="352"/>
      <c r="J847" s="358" t="str">
        <f>IFERROR(VLOOKUP(I847,'Project Records_v2'!F:G, 2, FALSE), "")</f>
        <v/>
      </c>
      <c r="K847" s="143"/>
      <c r="L847" s="390"/>
      <c r="M847" s="419"/>
      <c r="N847" s="370"/>
      <c r="O847" s="370"/>
      <c r="P847" s="371"/>
      <c r="Q847" s="365"/>
    </row>
    <row r="848" ht="22.5" customHeight="1">
      <c r="A848" s="146"/>
      <c r="B848" s="413"/>
      <c r="C848" s="367"/>
      <c r="D848" s="420"/>
      <c r="E848" s="405"/>
      <c r="F848" s="404"/>
      <c r="G848" s="352" t="str">
        <f>IFERROR(VLOOKUP(D848,'Client ID Records_v2'!D:E, 2, FALSE), "")</f>
        <v/>
      </c>
      <c r="H848" s="368" t="str">
        <f>IFERROR(VLOOKUP(G848,'Client ID Records_v2'!E:F, 2, FALSE), "")</f>
        <v/>
      </c>
      <c r="I848" s="352"/>
      <c r="J848" s="358" t="str">
        <f>IFERROR(VLOOKUP(I848,'Project Records_v2'!F:G, 2, FALSE), "")</f>
        <v/>
      </c>
      <c r="K848" s="143"/>
      <c r="L848" s="390"/>
      <c r="M848" s="419"/>
      <c r="N848" s="370"/>
      <c r="O848" s="370"/>
      <c r="P848" s="371"/>
      <c r="Q848" s="365"/>
    </row>
    <row r="849" ht="22.5" customHeight="1">
      <c r="A849" s="146"/>
      <c r="B849" s="413"/>
      <c r="C849" s="367"/>
      <c r="D849" s="420"/>
      <c r="E849" s="405"/>
      <c r="F849" s="404"/>
      <c r="G849" s="352" t="str">
        <f>IFERROR(VLOOKUP(D849,'Client ID Records_v2'!D:E, 2, FALSE), "")</f>
        <v/>
      </c>
      <c r="H849" s="368" t="str">
        <f>IFERROR(VLOOKUP(G849,'Client ID Records_v2'!E:F, 2, FALSE), "")</f>
        <v/>
      </c>
      <c r="I849" s="352"/>
      <c r="J849" s="358" t="str">
        <f>IFERROR(VLOOKUP(I849,'Project Records_v2'!F:G, 2, FALSE), "")</f>
        <v/>
      </c>
      <c r="K849" s="143"/>
      <c r="L849" s="390"/>
      <c r="M849" s="419"/>
      <c r="N849" s="370"/>
      <c r="O849" s="370"/>
      <c r="P849" s="371"/>
      <c r="Q849" s="365"/>
    </row>
    <row r="850" ht="22.5" customHeight="1">
      <c r="A850" s="146"/>
      <c r="B850" s="413"/>
      <c r="C850" s="367"/>
      <c r="D850" s="420"/>
      <c r="E850" s="405"/>
      <c r="F850" s="404"/>
      <c r="G850" s="352" t="str">
        <f>IFERROR(VLOOKUP(D850,'Client ID Records_v2'!D:E, 2, FALSE), "")</f>
        <v/>
      </c>
      <c r="H850" s="368" t="str">
        <f>IFERROR(VLOOKUP(G850,'Client ID Records_v2'!E:F, 2, FALSE), "")</f>
        <v/>
      </c>
      <c r="I850" s="352"/>
      <c r="J850" s="358" t="str">
        <f>IFERROR(VLOOKUP(I850,'Project Records_v2'!F:G, 2, FALSE), "")</f>
        <v/>
      </c>
      <c r="K850" s="143"/>
      <c r="L850" s="390"/>
      <c r="M850" s="419"/>
      <c r="N850" s="370"/>
      <c r="O850" s="370"/>
      <c r="P850" s="371"/>
      <c r="Q850" s="365"/>
    </row>
    <row r="851" ht="22.5" customHeight="1">
      <c r="A851" s="146"/>
      <c r="B851" s="413"/>
      <c r="C851" s="367"/>
      <c r="D851" s="420"/>
      <c r="E851" s="405"/>
      <c r="F851" s="404"/>
      <c r="G851" s="352" t="str">
        <f>IFERROR(VLOOKUP(D851,'Client ID Records_v2'!D:E, 2, FALSE), "")</f>
        <v/>
      </c>
      <c r="H851" s="368" t="str">
        <f>IFERROR(VLOOKUP(G851,'Client ID Records_v2'!E:F, 2, FALSE), "")</f>
        <v/>
      </c>
      <c r="I851" s="352"/>
      <c r="J851" s="358" t="str">
        <f>IFERROR(VLOOKUP(I851,'Project Records_v2'!F:G, 2, FALSE), "")</f>
        <v/>
      </c>
      <c r="K851" s="143"/>
      <c r="L851" s="390"/>
      <c r="M851" s="419"/>
      <c r="N851" s="370"/>
      <c r="O851" s="370"/>
      <c r="P851" s="371"/>
      <c r="Q851" s="365"/>
    </row>
    <row r="852" ht="22.5" customHeight="1">
      <c r="A852" s="146"/>
      <c r="B852" s="413"/>
      <c r="C852" s="367"/>
      <c r="D852" s="420"/>
      <c r="E852" s="405"/>
      <c r="F852" s="404"/>
      <c r="G852" s="352" t="str">
        <f>IFERROR(VLOOKUP(D852,'Client ID Records_v2'!D:E, 2, FALSE), "")</f>
        <v/>
      </c>
      <c r="H852" s="368" t="str">
        <f>IFERROR(VLOOKUP(G852,'Client ID Records_v2'!E:F, 2, FALSE), "")</f>
        <v/>
      </c>
      <c r="I852" s="352"/>
      <c r="J852" s="358" t="str">
        <f>IFERROR(VLOOKUP(I852,'Project Records_v2'!F:G, 2, FALSE), "")</f>
        <v/>
      </c>
      <c r="K852" s="143"/>
      <c r="L852" s="390"/>
      <c r="M852" s="419"/>
      <c r="N852" s="370"/>
      <c r="O852" s="370"/>
      <c r="P852" s="371"/>
      <c r="Q852" s="365"/>
    </row>
    <row r="853" ht="22.5" customHeight="1">
      <c r="A853" s="146"/>
      <c r="B853" s="413"/>
      <c r="C853" s="367"/>
      <c r="D853" s="420"/>
      <c r="E853" s="405"/>
      <c r="F853" s="404"/>
      <c r="G853" s="352" t="str">
        <f>IFERROR(VLOOKUP(D853,'Client ID Records_v2'!D:E, 2, FALSE), "")</f>
        <v/>
      </c>
      <c r="H853" s="368" t="str">
        <f>IFERROR(VLOOKUP(G853,'Client ID Records_v2'!E:F, 2, FALSE), "")</f>
        <v/>
      </c>
      <c r="I853" s="352"/>
      <c r="J853" s="358" t="str">
        <f>IFERROR(VLOOKUP(I853,'Project Records_v2'!F:G, 2, FALSE), "")</f>
        <v/>
      </c>
      <c r="K853" s="143"/>
      <c r="L853" s="390"/>
      <c r="M853" s="419"/>
      <c r="N853" s="370"/>
      <c r="O853" s="370"/>
      <c r="P853" s="371"/>
      <c r="Q853" s="365"/>
    </row>
    <row r="854" ht="22.5" customHeight="1">
      <c r="A854" s="146"/>
      <c r="B854" s="413"/>
      <c r="C854" s="367"/>
      <c r="D854" s="420"/>
      <c r="E854" s="405"/>
      <c r="F854" s="404"/>
      <c r="G854" s="352" t="str">
        <f>IFERROR(VLOOKUP(D854,'Client ID Records_v2'!D:E, 2, FALSE), "")</f>
        <v/>
      </c>
      <c r="H854" s="368" t="str">
        <f>IFERROR(VLOOKUP(G854,'Client ID Records_v2'!E:F, 2, FALSE), "")</f>
        <v/>
      </c>
      <c r="I854" s="352"/>
      <c r="J854" s="358" t="str">
        <f>IFERROR(VLOOKUP(I854,'Project Records_v2'!F:G, 2, FALSE), "")</f>
        <v/>
      </c>
      <c r="K854" s="143"/>
      <c r="L854" s="390"/>
      <c r="M854" s="419"/>
      <c r="N854" s="370"/>
      <c r="O854" s="370"/>
      <c r="P854" s="371"/>
      <c r="Q854" s="365"/>
    </row>
    <row r="855" ht="22.5" customHeight="1">
      <c r="A855" s="146"/>
      <c r="B855" s="413"/>
      <c r="C855" s="367"/>
      <c r="D855" s="420"/>
      <c r="E855" s="405"/>
      <c r="F855" s="404"/>
      <c r="G855" s="352" t="str">
        <f>IFERROR(VLOOKUP(D855,'Client ID Records_v2'!D:E, 2, FALSE), "")</f>
        <v/>
      </c>
      <c r="H855" s="368" t="str">
        <f>IFERROR(VLOOKUP(G855,'Client ID Records_v2'!E:F, 2, FALSE), "")</f>
        <v/>
      </c>
      <c r="I855" s="352"/>
      <c r="J855" s="358" t="str">
        <f>IFERROR(VLOOKUP(I855,'Project Records_v2'!F:G, 2, FALSE), "")</f>
        <v/>
      </c>
      <c r="K855" s="143"/>
      <c r="L855" s="390"/>
      <c r="M855" s="419"/>
      <c r="N855" s="370"/>
      <c r="O855" s="370"/>
      <c r="P855" s="371"/>
      <c r="Q855" s="365"/>
    </row>
    <row r="856" ht="22.5" customHeight="1">
      <c r="A856" s="146"/>
      <c r="B856" s="413"/>
      <c r="C856" s="367"/>
      <c r="D856" s="420"/>
      <c r="E856" s="405"/>
      <c r="F856" s="404"/>
      <c r="G856" s="352" t="str">
        <f>IFERROR(VLOOKUP(D856,'Client ID Records_v2'!D:E, 2, FALSE), "")</f>
        <v/>
      </c>
      <c r="H856" s="368" t="str">
        <f>IFERROR(VLOOKUP(G856,'Client ID Records_v2'!E:F, 2, FALSE), "")</f>
        <v/>
      </c>
      <c r="I856" s="352"/>
      <c r="J856" s="358" t="str">
        <f>IFERROR(VLOOKUP(I856,'Project Records_v2'!F:G, 2, FALSE), "")</f>
        <v/>
      </c>
      <c r="K856" s="143"/>
      <c r="L856" s="390"/>
      <c r="M856" s="419"/>
      <c r="N856" s="370"/>
      <c r="O856" s="370"/>
      <c r="P856" s="371"/>
      <c r="Q856" s="365"/>
    </row>
    <row r="857" ht="22.5" customHeight="1">
      <c r="A857" s="146"/>
      <c r="B857" s="413"/>
      <c r="C857" s="367"/>
      <c r="D857" s="420"/>
      <c r="E857" s="405"/>
      <c r="F857" s="404"/>
      <c r="G857" s="352" t="str">
        <f>IFERROR(VLOOKUP(D857,'Client ID Records_v2'!D:E, 2, FALSE), "")</f>
        <v/>
      </c>
      <c r="H857" s="368" t="str">
        <f>IFERROR(VLOOKUP(G857,'Client ID Records_v2'!E:F, 2, FALSE), "")</f>
        <v/>
      </c>
      <c r="I857" s="352"/>
      <c r="J857" s="358" t="str">
        <f>IFERROR(VLOOKUP(I857,'Project Records_v2'!F:G, 2, FALSE), "")</f>
        <v/>
      </c>
      <c r="K857" s="143"/>
      <c r="L857" s="390"/>
      <c r="M857" s="419"/>
      <c r="N857" s="370"/>
      <c r="O857" s="370"/>
      <c r="P857" s="371"/>
      <c r="Q857" s="365"/>
    </row>
    <row r="858" ht="22.5" customHeight="1">
      <c r="A858" s="146"/>
      <c r="B858" s="413"/>
      <c r="C858" s="367"/>
      <c r="D858" s="420"/>
      <c r="E858" s="405"/>
      <c r="F858" s="404"/>
      <c r="G858" s="352" t="str">
        <f>IFERROR(VLOOKUP(D858,'Client ID Records_v2'!D:E, 2, FALSE), "")</f>
        <v/>
      </c>
      <c r="H858" s="368" t="str">
        <f>IFERROR(VLOOKUP(G858,'Client ID Records_v2'!E:F, 2, FALSE), "")</f>
        <v/>
      </c>
      <c r="I858" s="352"/>
      <c r="J858" s="358" t="str">
        <f>IFERROR(VLOOKUP(I858,'Project Records_v2'!F:G, 2, FALSE), "")</f>
        <v/>
      </c>
      <c r="K858" s="143"/>
      <c r="L858" s="390"/>
      <c r="M858" s="419"/>
      <c r="N858" s="370"/>
      <c r="O858" s="370"/>
      <c r="P858" s="371"/>
      <c r="Q858" s="365"/>
    </row>
    <row r="859" ht="22.5" customHeight="1">
      <c r="A859" s="146"/>
      <c r="B859" s="413"/>
      <c r="C859" s="367"/>
      <c r="D859" s="420"/>
      <c r="E859" s="405"/>
      <c r="F859" s="404"/>
      <c r="G859" s="352" t="str">
        <f>IFERROR(VLOOKUP(D859,'Client ID Records_v2'!D:E, 2, FALSE), "")</f>
        <v/>
      </c>
      <c r="H859" s="368" t="str">
        <f>IFERROR(VLOOKUP(G859,'Client ID Records_v2'!E:F, 2, FALSE), "")</f>
        <v/>
      </c>
      <c r="I859" s="352"/>
      <c r="J859" s="358" t="str">
        <f>IFERROR(VLOOKUP(I859,'Project Records_v2'!F:G, 2, FALSE), "")</f>
        <v/>
      </c>
      <c r="K859" s="143"/>
      <c r="L859" s="390"/>
      <c r="M859" s="419"/>
      <c r="N859" s="370"/>
      <c r="O859" s="370"/>
      <c r="P859" s="371"/>
      <c r="Q859" s="365"/>
    </row>
    <row r="860" ht="22.5" customHeight="1">
      <c r="A860" s="146"/>
      <c r="B860" s="413"/>
      <c r="C860" s="367"/>
      <c r="D860" s="420"/>
      <c r="E860" s="405"/>
      <c r="F860" s="404"/>
      <c r="G860" s="352" t="str">
        <f>IFERROR(VLOOKUP(D860,'Client ID Records_v2'!D:E, 2, FALSE), "")</f>
        <v/>
      </c>
      <c r="H860" s="368" t="str">
        <f>IFERROR(VLOOKUP(G860,'Client ID Records_v2'!E:F, 2, FALSE), "")</f>
        <v/>
      </c>
      <c r="I860" s="352"/>
      <c r="J860" s="358" t="str">
        <f>IFERROR(VLOOKUP(I860,'Project Records_v2'!F:G, 2, FALSE), "")</f>
        <v/>
      </c>
      <c r="K860" s="143"/>
      <c r="L860" s="390"/>
      <c r="M860" s="419"/>
      <c r="N860" s="370"/>
      <c r="O860" s="370"/>
      <c r="P860" s="371"/>
      <c r="Q860" s="365"/>
    </row>
    <row r="861" ht="22.5" customHeight="1">
      <c r="A861" s="146"/>
      <c r="B861" s="413"/>
      <c r="C861" s="367"/>
      <c r="D861" s="420"/>
      <c r="E861" s="405"/>
      <c r="F861" s="404"/>
      <c r="G861" s="352" t="str">
        <f>IFERROR(VLOOKUP(D861,'Client ID Records_v2'!D:E, 2, FALSE), "")</f>
        <v/>
      </c>
      <c r="H861" s="368" t="str">
        <f>IFERROR(VLOOKUP(G861,'Client ID Records_v2'!E:F, 2, FALSE), "")</f>
        <v/>
      </c>
      <c r="I861" s="352"/>
      <c r="J861" s="358" t="str">
        <f>IFERROR(VLOOKUP(I861,'Project Records_v2'!F:G, 2, FALSE), "")</f>
        <v/>
      </c>
      <c r="K861" s="143"/>
      <c r="L861" s="390"/>
      <c r="M861" s="419"/>
      <c r="N861" s="370"/>
      <c r="O861" s="370"/>
      <c r="P861" s="371"/>
      <c r="Q861" s="365"/>
    </row>
    <row r="862" ht="22.5" customHeight="1">
      <c r="A862" s="146"/>
      <c r="B862" s="413"/>
      <c r="C862" s="367"/>
      <c r="D862" s="420"/>
      <c r="E862" s="405"/>
      <c r="F862" s="404"/>
      <c r="G862" s="352" t="str">
        <f>IFERROR(VLOOKUP(D862,'Client ID Records_v2'!D:E, 2, FALSE), "")</f>
        <v/>
      </c>
      <c r="H862" s="368" t="str">
        <f>IFERROR(VLOOKUP(G862,'Client ID Records_v2'!E:F, 2, FALSE), "")</f>
        <v/>
      </c>
      <c r="I862" s="352"/>
      <c r="J862" s="358" t="str">
        <f>IFERROR(VLOOKUP(I862,'Project Records_v2'!F:G, 2, FALSE), "")</f>
        <v/>
      </c>
      <c r="K862" s="143"/>
      <c r="L862" s="390"/>
      <c r="M862" s="419"/>
      <c r="N862" s="370"/>
      <c r="O862" s="370"/>
      <c r="P862" s="371"/>
      <c r="Q862" s="365"/>
    </row>
    <row r="863" ht="22.5" customHeight="1">
      <c r="A863" s="146"/>
      <c r="B863" s="413"/>
      <c r="C863" s="367"/>
      <c r="D863" s="420"/>
      <c r="E863" s="405"/>
      <c r="F863" s="404"/>
      <c r="G863" s="352" t="str">
        <f>IFERROR(VLOOKUP(D863,'Client ID Records_v2'!D:E, 2, FALSE), "")</f>
        <v/>
      </c>
      <c r="H863" s="368" t="str">
        <f>IFERROR(VLOOKUP(G863,'Client ID Records_v2'!E:F, 2, FALSE), "")</f>
        <v/>
      </c>
      <c r="I863" s="352"/>
      <c r="J863" s="358" t="str">
        <f>IFERROR(VLOOKUP(I863,'Project Records_v2'!F:G, 2, FALSE), "")</f>
        <v/>
      </c>
      <c r="K863" s="143"/>
      <c r="L863" s="390"/>
      <c r="M863" s="419"/>
      <c r="N863" s="370"/>
      <c r="O863" s="370"/>
      <c r="P863" s="371"/>
      <c r="Q863" s="365"/>
    </row>
    <row r="864" ht="22.5" customHeight="1">
      <c r="A864" s="146"/>
      <c r="B864" s="413"/>
      <c r="C864" s="367"/>
      <c r="D864" s="420"/>
      <c r="E864" s="405"/>
      <c r="F864" s="404"/>
      <c r="G864" s="352" t="str">
        <f>IFERROR(VLOOKUP(D864,'Client ID Records_v2'!D:E, 2, FALSE), "")</f>
        <v/>
      </c>
      <c r="H864" s="368" t="str">
        <f>IFERROR(VLOOKUP(G864,'Client ID Records_v2'!E:F, 2, FALSE), "")</f>
        <v/>
      </c>
      <c r="I864" s="352"/>
      <c r="J864" s="358" t="str">
        <f>IFERROR(VLOOKUP(I864,'Project Records_v2'!F:G, 2, FALSE), "")</f>
        <v/>
      </c>
      <c r="K864" s="143"/>
      <c r="L864" s="390"/>
      <c r="M864" s="419"/>
      <c r="N864" s="370"/>
      <c r="O864" s="370"/>
      <c r="P864" s="371"/>
      <c r="Q864" s="365"/>
    </row>
    <row r="865" ht="22.5" customHeight="1">
      <c r="A865" s="146"/>
      <c r="B865" s="413"/>
      <c r="C865" s="367"/>
      <c r="D865" s="420"/>
      <c r="E865" s="405"/>
      <c r="F865" s="404"/>
      <c r="G865" s="352" t="str">
        <f>IFERROR(VLOOKUP(D865,'Client ID Records_v2'!D:E, 2, FALSE), "")</f>
        <v/>
      </c>
      <c r="H865" s="368" t="str">
        <f>IFERROR(VLOOKUP(G865,'Client ID Records_v2'!E:F, 2, FALSE), "")</f>
        <v/>
      </c>
      <c r="I865" s="352"/>
      <c r="J865" s="358" t="str">
        <f>IFERROR(VLOOKUP(I865,'Project Records_v2'!F:G, 2, FALSE), "")</f>
        <v/>
      </c>
      <c r="K865" s="143"/>
      <c r="L865" s="390"/>
      <c r="M865" s="419"/>
      <c r="N865" s="370"/>
      <c r="O865" s="370"/>
      <c r="P865" s="371"/>
      <c r="Q865" s="365"/>
    </row>
    <row r="866" ht="22.5" customHeight="1">
      <c r="A866" s="146"/>
      <c r="B866" s="413"/>
      <c r="C866" s="367"/>
      <c r="D866" s="420"/>
      <c r="E866" s="405"/>
      <c r="F866" s="404"/>
      <c r="G866" s="352" t="str">
        <f>IFERROR(VLOOKUP(D866,'Client ID Records_v2'!D:E, 2, FALSE), "")</f>
        <v/>
      </c>
      <c r="H866" s="368" t="str">
        <f>IFERROR(VLOOKUP(G866,'Client ID Records_v2'!E:F, 2, FALSE), "")</f>
        <v/>
      </c>
      <c r="I866" s="352"/>
      <c r="J866" s="358" t="str">
        <f>IFERROR(VLOOKUP(I866,'Project Records_v2'!F:G, 2, FALSE), "")</f>
        <v/>
      </c>
      <c r="K866" s="143"/>
      <c r="L866" s="390"/>
      <c r="M866" s="419"/>
      <c r="N866" s="370"/>
      <c r="O866" s="370"/>
      <c r="P866" s="371"/>
      <c r="Q866" s="365"/>
    </row>
    <row r="867" ht="22.5" customHeight="1">
      <c r="A867" s="146"/>
      <c r="B867" s="413"/>
      <c r="C867" s="367"/>
      <c r="D867" s="420"/>
      <c r="E867" s="405"/>
      <c r="F867" s="404"/>
      <c r="G867" s="352" t="str">
        <f>IFERROR(VLOOKUP(D867,'Client ID Records_v2'!D:E, 2, FALSE), "")</f>
        <v/>
      </c>
      <c r="H867" s="368" t="str">
        <f>IFERROR(VLOOKUP(G867,'Client ID Records_v2'!E:F, 2, FALSE), "")</f>
        <v/>
      </c>
      <c r="I867" s="352"/>
      <c r="J867" s="358" t="str">
        <f>IFERROR(VLOOKUP(I867,'Project Records_v2'!F:G, 2, FALSE), "")</f>
        <v/>
      </c>
      <c r="K867" s="143"/>
      <c r="L867" s="390"/>
      <c r="M867" s="419"/>
      <c r="N867" s="370"/>
      <c r="O867" s="370"/>
      <c r="P867" s="371"/>
      <c r="Q867" s="365"/>
    </row>
    <row r="868" ht="22.5" customHeight="1">
      <c r="A868" s="146"/>
      <c r="B868" s="413"/>
      <c r="C868" s="367"/>
      <c r="D868" s="420"/>
      <c r="E868" s="405"/>
      <c r="F868" s="404"/>
      <c r="G868" s="352" t="str">
        <f>IFERROR(VLOOKUP(D868,'Client ID Records_v2'!D:E, 2, FALSE), "")</f>
        <v/>
      </c>
      <c r="H868" s="368" t="str">
        <f>IFERROR(VLOOKUP(G868,'Client ID Records_v2'!E:F, 2, FALSE), "")</f>
        <v/>
      </c>
      <c r="I868" s="352"/>
      <c r="J868" s="358" t="str">
        <f>IFERROR(VLOOKUP(I868,'Project Records_v2'!F:G, 2, FALSE), "")</f>
        <v/>
      </c>
      <c r="K868" s="143"/>
      <c r="L868" s="390"/>
      <c r="M868" s="419"/>
      <c r="N868" s="370"/>
      <c r="O868" s="370"/>
      <c r="P868" s="371"/>
      <c r="Q868" s="365"/>
    </row>
    <row r="869" ht="22.5" customHeight="1">
      <c r="A869" s="146"/>
      <c r="B869" s="413"/>
      <c r="C869" s="367"/>
      <c r="D869" s="420"/>
      <c r="E869" s="405"/>
      <c r="F869" s="404"/>
      <c r="G869" s="352" t="str">
        <f>IFERROR(VLOOKUP(D869,'Client ID Records_v2'!D:E, 2, FALSE), "")</f>
        <v/>
      </c>
      <c r="H869" s="368" t="str">
        <f>IFERROR(VLOOKUP(G869,'Client ID Records_v2'!E:F, 2, FALSE), "")</f>
        <v/>
      </c>
      <c r="I869" s="352"/>
      <c r="J869" s="358" t="str">
        <f>IFERROR(VLOOKUP(I869,'Project Records_v2'!F:G, 2, FALSE), "")</f>
        <v/>
      </c>
      <c r="K869" s="143"/>
      <c r="L869" s="390"/>
      <c r="M869" s="419"/>
      <c r="N869" s="370"/>
      <c r="O869" s="370"/>
      <c r="P869" s="371"/>
      <c r="Q869" s="365"/>
    </row>
    <row r="870" ht="22.5" customHeight="1">
      <c r="A870" s="146"/>
      <c r="B870" s="413"/>
      <c r="C870" s="367"/>
      <c r="D870" s="420"/>
      <c r="E870" s="405"/>
      <c r="F870" s="404"/>
      <c r="G870" s="352" t="str">
        <f>IFERROR(VLOOKUP(D870,'Client ID Records_v2'!D:E, 2, FALSE), "")</f>
        <v/>
      </c>
      <c r="H870" s="368" t="str">
        <f>IFERROR(VLOOKUP(G870,'Client ID Records_v2'!E:F, 2, FALSE), "")</f>
        <v/>
      </c>
      <c r="I870" s="352"/>
      <c r="J870" s="358" t="str">
        <f>IFERROR(VLOOKUP(I870,'Project Records_v2'!F:G, 2, FALSE), "")</f>
        <v/>
      </c>
      <c r="K870" s="143"/>
      <c r="L870" s="390"/>
      <c r="M870" s="419"/>
      <c r="N870" s="370"/>
      <c r="O870" s="370"/>
      <c r="P870" s="371"/>
      <c r="Q870" s="365"/>
    </row>
    <row r="871" ht="22.5" customHeight="1">
      <c r="A871" s="146"/>
      <c r="B871" s="413"/>
      <c r="C871" s="367"/>
      <c r="D871" s="420"/>
      <c r="E871" s="405"/>
      <c r="F871" s="404"/>
      <c r="G871" s="352" t="str">
        <f>IFERROR(VLOOKUP(D871,'Client ID Records_v2'!D:E, 2, FALSE), "")</f>
        <v/>
      </c>
      <c r="H871" s="368" t="str">
        <f>IFERROR(VLOOKUP(G871,'Client ID Records_v2'!E:F, 2, FALSE), "")</f>
        <v/>
      </c>
      <c r="I871" s="352"/>
      <c r="J871" s="358" t="str">
        <f>IFERROR(VLOOKUP(I871,'Project Records_v2'!F:G, 2, FALSE), "")</f>
        <v/>
      </c>
      <c r="K871" s="143"/>
      <c r="L871" s="390"/>
      <c r="M871" s="419"/>
      <c r="N871" s="370"/>
      <c r="O871" s="370"/>
      <c r="P871" s="371"/>
      <c r="Q871" s="365"/>
    </row>
    <row r="872" ht="22.5" customHeight="1">
      <c r="A872" s="146"/>
      <c r="B872" s="413"/>
      <c r="C872" s="367"/>
      <c r="D872" s="420"/>
      <c r="E872" s="405"/>
      <c r="F872" s="404"/>
      <c r="G872" s="352" t="str">
        <f>IFERROR(VLOOKUP(D872,'Client ID Records_v2'!D:E, 2, FALSE), "")</f>
        <v/>
      </c>
      <c r="H872" s="368" t="str">
        <f>IFERROR(VLOOKUP(G872,'Client ID Records_v2'!E:F, 2, FALSE), "")</f>
        <v/>
      </c>
      <c r="I872" s="352"/>
      <c r="J872" s="358" t="str">
        <f>IFERROR(VLOOKUP(I872,'Project Records_v2'!F:G, 2, FALSE), "")</f>
        <v/>
      </c>
      <c r="K872" s="143"/>
      <c r="L872" s="390"/>
      <c r="M872" s="419"/>
      <c r="N872" s="370"/>
      <c r="O872" s="370"/>
      <c r="P872" s="371"/>
      <c r="Q872" s="365"/>
    </row>
    <row r="873" ht="22.5" customHeight="1">
      <c r="A873" s="146"/>
      <c r="B873" s="413"/>
      <c r="C873" s="367"/>
      <c r="D873" s="420"/>
      <c r="E873" s="405"/>
      <c r="F873" s="404"/>
      <c r="G873" s="352" t="str">
        <f>IFERROR(VLOOKUP(D873,'Client ID Records_v2'!D:E, 2, FALSE), "")</f>
        <v/>
      </c>
      <c r="H873" s="368" t="str">
        <f>IFERROR(VLOOKUP(G873,'Client ID Records_v2'!E:F, 2, FALSE), "")</f>
        <v/>
      </c>
      <c r="I873" s="352"/>
      <c r="J873" s="358" t="str">
        <f>IFERROR(VLOOKUP(I873,'Project Records_v2'!F:G, 2, FALSE), "")</f>
        <v/>
      </c>
      <c r="K873" s="143"/>
      <c r="L873" s="390"/>
      <c r="M873" s="419"/>
      <c r="N873" s="370"/>
      <c r="O873" s="370"/>
      <c r="P873" s="371"/>
      <c r="Q873" s="365"/>
    </row>
    <row r="874" ht="22.5" customHeight="1">
      <c r="A874" s="146"/>
      <c r="B874" s="413"/>
      <c r="C874" s="367"/>
      <c r="D874" s="420"/>
      <c r="E874" s="405"/>
      <c r="F874" s="404"/>
      <c r="G874" s="352" t="str">
        <f>IFERROR(VLOOKUP(D874,'Client ID Records_v2'!D:E, 2, FALSE), "")</f>
        <v/>
      </c>
      <c r="H874" s="368" t="str">
        <f>IFERROR(VLOOKUP(G874,'Client ID Records_v2'!E:F, 2, FALSE), "")</f>
        <v/>
      </c>
      <c r="I874" s="352"/>
      <c r="J874" s="358" t="str">
        <f>IFERROR(VLOOKUP(I874,'Project Records_v2'!F:G, 2, FALSE), "")</f>
        <v/>
      </c>
      <c r="K874" s="143"/>
      <c r="L874" s="390"/>
      <c r="M874" s="419"/>
      <c r="N874" s="370"/>
      <c r="O874" s="370"/>
      <c r="P874" s="371"/>
      <c r="Q874" s="365"/>
    </row>
    <row r="875" ht="22.5" customHeight="1">
      <c r="A875" s="146"/>
      <c r="B875" s="413"/>
      <c r="C875" s="367"/>
      <c r="D875" s="420"/>
      <c r="E875" s="405"/>
      <c r="F875" s="404"/>
      <c r="G875" s="352" t="str">
        <f>IFERROR(VLOOKUP(D875,'Client ID Records_v2'!D:E, 2, FALSE), "")</f>
        <v/>
      </c>
      <c r="H875" s="368" t="str">
        <f>IFERROR(VLOOKUP(G875,'Client ID Records_v2'!E:F, 2, FALSE), "")</f>
        <v/>
      </c>
      <c r="I875" s="352"/>
      <c r="J875" s="358" t="str">
        <f>IFERROR(VLOOKUP(I875,'Project Records_v2'!F:G, 2, FALSE), "")</f>
        <v/>
      </c>
      <c r="K875" s="143"/>
      <c r="L875" s="390"/>
      <c r="M875" s="419"/>
      <c r="N875" s="370"/>
      <c r="O875" s="370"/>
      <c r="P875" s="371"/>
      <c r="Q875" s="365"/>
    </row>
    <row r="876" ht="22.5" customHeight="1">
      <c r="A876" s="146"/>
      <c r="B876" s="413"/>
      <c r="C876" s="367"/>
      <c r="D876" s="420"/>
      <c r="E876" s="405"/>
      <c r="F876" s="404"/>
      <c r="G876" s="352" t="str">
        <f>IFERROR(VLOOKUP(D876,'Client ID Records_v2'!D:E, 2, FALSE), "")</f>
        <v/>
      </c>
      <c r="H876" s="368" t="str">
        <f>IFERROR(VLOOKUP(G876,'Client ID Records_v2'!E:F, 2, FALSE), "")</f>
        <v/>
      </c>
      <c r="I876" s="352"/>
      <c r="J876" s="358" t="str">
        <f>IFERROR(VLOOKUP(I876,'Project Records_v2'!F:G, 2, FALSE), "")</f>
        <v/>
      </c>
      <c r="K876" s="143"/>
      <c r="L876" s="390"/>
      <c r="M876" s="419"/>
      <c r="N876" s="370"/>
      <c r="O876" s="370"/>
      <c r="P876" s="371"/>
      <c r="Q876" s="365"/>
    </row>
    <row r="877" ht="22.5" customHeight="1">
      <c r="A877" s="146"/>
      <c r="B877" s="413"/>
      <c r="C877" s="367"/>
      <c r="D877" s="420"/>
      <c r="E877" s="405"/>
      <c r="F877" s="404"/>
      <c r="G877" s="352" t="str">
        <f>IFERROR(VLOOKUP(D877,'Client ID Records_v2'!D:E, 2, FALSE), "")</f>
        <v/>
      </c>
      <c r="H877" s="368" t="str">
        <f>IFERROR(VLOOKUP(G877,'Client ID Records_v2'!E:F, 2, FALSE), "")</f>
        <v/>
      </c>
      <c r="I877" s="352"/>
      <c r="J877" s="358" t="str">
        <f>IFERROR(VLOOKUP(I877,'Project Records_v2'!F:G, 2, FALSE), "")</f>
        <v/>
      </c>
      <c r="K877" s="143"/>
      <c r="L877" s="390"/>
      <c r="M877" s="419"/>
      <c r="N877" s="370"/>
      <c r="O877" s="370"/>
      <c r="P877" s="371"/>
      <c r="Q877" s="365"/>
    </row>
    <row r="878" ht="22.5" customHeight="1">
      <c r="A878" s="146"/>
      <c r="B878" s="413"/>
      <c r="C878" s="367"/>
      <c r="D878" s="420"/>
      <c r="E878" s="405"/>
      <c r="F878" s="404"/>
      <c r="G878" s="352" t="str">
        <f>IFERROR(VLOOKUP(D878,'Client ID Records_v2'!D:E, 2, FALSE), "")</f>
        <v/>
      </c>
      <c r="H878" s="368" t="str">
        <f>IFERROR(VLOOKUP(G878,'Client ID Records_v2'!E:F, 2, FALSE), "")</f>
        <v/>
      </c>
      <c r="I878" s="352"/>
      <c r="J878" s="358" t="str">
        <f>IFERROR(VLOOKUP(I878,'Project Records_v2'!F:G, 2, FALSE), "")</f>
        <v/>
      </c>
      <c r="K878" s="143"/>
      <c r="L878" s="390"/>
      <c r="M878" s="419"/>
      <c r="N878" s="370"/>
      <c r="O878" s="370"/>
      <c r="P878" s="371"/>
      <c r="Q878" s="365"/>
    </row>
    <row r="879" ht="22.5" customHeight="1">
      <c r="A879" s="146"/>
      <c r="B879" s="413"/>
      <c r="C879" s="367"/>
      <c r="D879" s="420"/>
      <c r="E879" s="405"/>
      <c r="F879" s="404"/>
      <c r="G879" s="352" t="str">
        <f>IFERROR(VLOOKUP(D879,'Client ID Records_v2'!D:E, 2, FALSE), "")</f>
        <v/>
      </c>
      <c r="H879" s="368" t="str">
        <f>IFERROR(VLOOKUP(G879,'Client ID Records_v2'!E:F, 2, FALSE), "")</f>
        <v/>
      </c>
      <c r="I879" s="352"/>
      <c r="J879" s="358" t="str">
        <f>IFERROR(VLOOKUP(I879,'Project Records_v2'!F:G, 2, FALSE), "")</f>
        <v/>
      </c>
      <c r="K879" s="143"/>
      <c r="L879" s="390"/>
      <c r="M879" s="419"/>
      <c r="N879" s="370"/>
      <c r="O879" s="370"/>
      <c r="P879" s="371"/>
      <c r="Q879" s="365"/>
    </row>
    <row r="880" ht="22.5" customHeight="1">
      <c r="A880" s="146"/>
      <c r="B880" s="413"/>
      <c r="C880" s="367"/>
      <c r="D880" s="420"/>
      <c r="E880" s="405"/>
      <c r="F880" s="404"/>
      <c r="G880" s="352" t="str">
        <f>IFERROR(VLOOKUP(D880,'Client ID Records_v2'!D:E, 2, FALSE), "")</f>
        <v/>
      </c>
      <c r="H880" s="368" t="str">
        <f>IFERROR(VLOOKUP(G880,'Client ID Records_v2'!E:F, 2, FALSE), "")</f>
        <v/>
      </c>
      <c r="I880" s="352"/>
      <c r="J880" s="358" t="str">
        <f>IFERROR(VLOOKUP(I880,'Project Records_v2'!F:G, 2, FALSE), "")</f>
        <v/>
      </c>
      <c r="K880" s="143"/>
      <c r="L880" s="390"/>
      <c r="M880" s="419"/>
      <c r="N880" s="370"/>
      <c r="O880" s="370"/>
      <c r="P880" s="371"/>
      <c r="Q880" s="365"/>
    </row>
    <row r="881" ht="22.5" customHeight="1">
      <c r="A881" s="146"/>
      <c r="B881" s="413"/>
      <c r="C881" s="367"/>
      <c r="D881" s="420"/>
      <c r="E881" s="405"/>
      <c r="F881" s="404"/>
      <c r="G881" s="352" t="str">
        <f>IFERROR(VLOOKUP(D881,'Client ID Records_v2'!D:E, 2, FALSE), "")</f>
        <v/>
      </c>
      <c r="H881" s="368" t="str">
        <f>IFERROR(VLOOKUP(G881,'Client ID Records_v2'!E:F, 2, FALSE), "")</f>
        <v/>
      </c>
      <c r="I881" s="352"/>
      <c r="J881" s="358" t="str">
        <f>IFERROR(VLOOKUP(I881,'Project Records_v2'!F:G, 2, FALSE), "")</f>
        <v/>
      </c>
      <c r="K881" s="143"/>
      <c r="L881" s="390"/>
      <c r="M881" s="419"/>
      <c r="N881" s="370"/>
      <c r="O881" s="370"/>
      <c r="P881" s="371"/>
      <c r="Q881" s="365"/>
    </row>
    <row r="882" ht="22.5" customHeight="1">
      <c r="A882" s="146"/>
      <c r="B882" s="413"/>
      <c r="C882" s="367"/>
      <c r="D882" s="420"/>
      <c r="E882" s="405"/>
      <c r="F882" s="404"/>
      <c r="G882" s="352" t="str">
        <f>IFERROR(VLOOKUP(D882,'Client ID Records_v2'!D:E, 2, FALSE), "")</f>
        <v/>
      </c>
      <c r="H882" s="368" t="str">
        <f>IFERROR(VLOOKUP(G882,'Client ID Records_v2'!E:F, 2, FALSE), "")</f>
        <v/>
      </c>
      <c r="I882" s="352"/>
      <c r="J882" s="358" t="str">
        <f>IFERROR(VLOOKUP(I882,'Project Records_v2'!F:G, 2, FALSE), "")</f>
        <v/>
      </c>
      <c r="K882" s="143"/>
      <c r="L882" s="390"/>
      <c r="M882" s="419"/>
      <c r="N882" s="370"/>
      <c r="O882" s="370"/>
      <c r="P882" s="371"/>
      <c r="Q882" s="365"/>
    </row>
    <row r="883" ht="22.5" customHeight="1">
      <c r="A883" s="146"/>
      <c r="B883" s="413"/>
      <c r="C883" s="367"/>
      <c r="D883" s="420"/>
      <c r="E883" s="405"/>
      <c r="F883" s="404"/>
      <c r="G883" s="352" t="str">
        <f>IFERROR(VLOOKUP(D883,'Client ID Records_v2'!D:E, 2, FALSE), "")</f>
        <v/>
      </c>
      <c r="H883" s="368" t="str">
        <f>IFERROR(VLOOKUP(G883,'Client ID Records_v2'!E:F, 2, FALSE), "")</f>
        <v/>
      </c>
      <c r="I883" s="352"/>
      <c r="J883" s="358" t="str">
        <f>IFERROR(VLOOKUP(I883,'Project Records_v2'!F:G, 2, FALSE), "")</f>
        <v/>
      </c>
      <c r="K883" s="143"/>
      <c r="L883" s="390"/>
      <c r="M883" s="419"/>
      <c r="N883" s="370"/>
      <c r="O883" s="370"/>
      <c r="P883" s="371"/>
      <c r="Q883" s="365"/>
    </row>
    <row r="884" ht="22.5" customHeight="1">
      <c r="A884" s="146"/>
      <c r="B884" s="413"/>
      <c r="C884" s="367"/>
      <c r="D884" s="420"/>
      <c r="E884" s="405"/>
      <c r="F884" s="404"/>
      <c r="G884" s="352" t="str">
        <f>IFERROR(VLOOKUP(D884,'Client ID Records_v2'!D:E, 2, FALSE), "")</f>
        <v/>
      </c>
      <c r="H884" s="368" t="str">
        <f>IFERROR(VLOOKUP(G884,'Client ID Records_v2'!E:F, 2, FALSE), "")</f>
        <v/>
      </c>
      <c r="I884" s="352"/>
      <c r="J884" s="358" t="str">
        <f>IFERROR(VLOOKUP(I884,'Project Records_v2'!F:G, 2, FALSE), "")</f>
        <v/>
      </c>
      <c r="K884" s="143"/>
      <c r="L884" s="390"/>
      <c r="M884" s="419"/>
      <c r="N884" s="370"/>
      <c r="O884" s="370"/>
      <c r="P884" s="371"/>
      <c r="Q884" s="365"/>
    </row>
    <row r="885" ht="22.5" customHeight="1">
      <c r="A885" s="146"/>
      <c r="B885" s="413"/>
      <c r="C885" s="367"/>
      <c r="D885" s="420"/>
      <c r="E885" s="405"/>
      <c r="F885" s="404"/>
      <c r="G885" s="352" t="str">
        <f>IFERROR(VLOOKUP(D885,'Client ID Records_v2'!D:E, 2, FALSE), "")</f>
        <v/>
      </c>
      <c r="H885" s="368" t="str">
        <f>IFERROR(VLOOKUP(G885,'Client ID Records_v2'!E:F, 2, FALSE), "")</f>
        <v/>
      </c>
      <c r="I885" s="352"/>
      <c r="J885" s="358" t="str">
        <f>IFERROR(VLOOKUP(I885,'Project Records_v2'!F:G, 2, FALSE), "")</f>
        <v/>
      </c>
      <c r="K885" s="143"/>
      <c r="L885" s="390"/>
      <c r="M885" s="419"/>
      <c r="N885" s="370"/>
      <c r="O885" s="370"/>
      <c r="P885" s="371"/>
      <c r="Q885" s="365"/>
    </row>
    <row r="886" ht="22.5" customHeight="1">
      <c r="A886" s="146"/>
      <c r="B886" s="413"/>
      <c r="C886" s="367"/>
      <c r="D886" s="420"/>
      <c r="E886" s="405"/>
      <c r="F886" s="404"/>
      <c r="G886" s="352" t="str">
        <f>IFERROR(VLOOKUP(D886,'Client ID Records_v2'!D:E, 2, FALSE), "")</f>
        <v/>
      </c>
      <c r="H886" s="368" t="str">
        <f>IFERROR(VLOOKUP(G886,'Client ID Records_v2'!E:F, 2, FALSE), "")</f>
        <v/>
      </c>
      <c r="I886" s="352"/>
      <c r="J886" s="358" t="str">
        <f>IFERROR(VLOOKUP(I886,'Project Records_v2'!F:G, 2, FALSE), "")</f>
        <v/>
      </c>
      <c r="K886" s="143"/>
      <c r="L886" s="390"/>
      <c r="M886" s="419"/>
      <c r="N886" s="370"/>
      <c r="O886" s="370"/>
      <c r="P886" s="371"/>
      <c r="Q886" s="365"/>
    </row>
    <row r="887" ht="22.5" customHeight="1">
      <c r="A887" s="146"/>
      <c r="B887" s="413"/>
      <c r="C887" s="367"/>
      <c r="D887" s="420"/>
      <c r="E887" s="405"/>
      <c r="F887" s="404"/>
      <c r="G887" s="352" t="str">
        <f>IFERROR(VLOOKUP(D887,'Client ID Records_v2'!D:E, 2, FALSE), "")</f>
        <v/>
      </c>
      <c r="H887" s="368" t="str">
        <f>IFERROR(VLOOKUP(G887,'Client ID Records_v2'!E:F, 2, FALSE), "")</f>
        <v/>
      </c>
      <c r="I887" s="352"/>
      <c r="J887" s="358" t="str">
        <f>IFERROR(VLOOKUP(I887,'Project Records_v2'!F:G, 2, FALSE), "")</f>
        <v/>
      </c>
      <c r="K887" s="143"/>
      <c r="L887" s="390"/>
      <c r="M887" s="419"/>
      <c r="N887" s="370"/>
      <c r="O887" s="370"/>
      <c r="P887" s="371"/>
      <c r="Q887" s="365"/>
    </row>
    <row r="888" ht="22.5" customHeight="1">
      <c r="A888" s="146"/>
      <c r="B888" s="413"/>
      <c r="C888" s="367"/>
      <c r="D888" s="420"/>
      <c r="E888" s="405"/>
      <c r="F888" s="404"/>
      <c r="G888" s="352" t="str">
        <f>IFERROR(VLOOKUP(D888,'Client ID Records_v2'!D:E, 2, FALSE), "")</f>
        <v/>
      </c>
      <c r="H888" s="368" t="str">
        <f>IFERROR(VLOOKUP(G888,'Client ID Records_v2'!E:F, 2, FALSE), "")</f>
        <v/>
      </c>
      <c r="I888" s="352"/>
      <c r="J888" s="358" t="str">
        <f>IFERROR(VLOOKUP(I888,'Project Records_v2'!F:G, 2, FALSE), "")</f>
        <v/>
      </c>
      <c r="K888" s="143"/>
      <c r="L888" s="390"/>
      <c r="M888" s="419"/>
      <c r="N888" s="370"/>
      <c r="O888" s="370"/>
      <c r="P888" s="371"/>
      <c r="Q888" s="365"/>
    </row>
    <row r="889" ht="22.5" customHeight="1">
      <c r="A889" s="146"/>
      <c r="B889" s="413"/>
      <c r="C889" s="367"/>
      <c r="D889" s="420"/>
      <c r="E889" s="405"/>
      <c r="F889" s="404"/>
      <c r="G889" s="352" t="str">
        <f>IFERROR(VLOOKUP(D889,'Client ID Records_v2'!D:E, 2, FALSE), "")</f>
        <v/>
      </c>
      <c r="H889" s="368" t="str">
        <f>IFERROR(VLOOKUP(G889,'Client ID Records_v2'!E:F, 2, FALSE), "")</f>
        <v/>
      </c>
      <c r="I889" s="352"/>
      <c r="J889" s="358" t="str">
        <f>IFERROR(VLOOKUP(I889,'Project Records_v2'!F:G, 2, FALSE), "")</f>
        <v/>
      </c>
      <c r="K889" s="143"/>
      <c r="L889" s="390"/>
      <c r="M889" s="419"/>
      <c r="N889" s="370"/>
      <c r="O889" s="370"/>
      <c r="P889" s="371"/>
      <c r="Q889" s="365"/>
    </row>
    <row r="890" ht="22.5" customHeight="1">
      <c r="A890" s="146"/>
      <c r="B890" s="413"/>
      <c r="C890" s="367"/>
      <c r="D890" s="420"/>
      <c r="E890" s="405"/>
      <c r="F890" s="404"/>
      <c r="G890" s="352" t="str">
        <f>IFERROR(VLOOKUP(D890,'Client ID Records_v2'!D:E, 2, FALSE), "")</f>
        <v/>
      </c>
      <c r="H890" s="368" t="str">
        <f>IFERROR(VLOOKUP(G890,'Client ID Records_v2'!E:F, 2, FALSE), "")</f>
        <v/>
      </c>
      <c r="I890" s="352"/>
      <c r="J890" s="358" t="str">
        <f>IFERROR(VLOOKUP(I890,'Project Records_v2'!F:G, 2, FALSE), "")</f>
        <v/>
      </c>
      <c r="K890" s="143"/>
      <c r="L890" s="390"/>
      <c r="M890" s="419"/>
      <c r="N890" s="370"/>
      <c r="O890" s="370"/>
      <c r="P890" s="371"/>
      <c r="Q890" s="365"/>
    </row>
    <row r="891" ht="22.5" customHeight="1">
      <c r="A891" s="146"/>
      <c r="B891" s="413"/>
      <c r="C891" s="367"/>
      <c r="D891" s="420"/>
      <c r="E891" s="405"/>
      <c r="F891" s="404"/>
      <c r="G891" s="352" t="str">
        <f>IFERROR(VLOOKUP(D891,'Client ID Records_v2'!D:E, 2, FALSE), "")</f>
        <v/>
      </c>
      <c r="H891" s="368" t="str">
        <f>IFERROR(VLOOKUP(G891,'Client ID Records_v2'!E:F, 2, FALSE), "")</f>
        <v/>
      </c>
      <c r="I891" s="352"/>
      <c r="J891" s="358" t="str">
        <f>IFERROR(VLOOKUP(I891,'Project Records_v2'!F:G, 2, FALSE), "")</f>
        <v/>
      </c>
      <c r="K891" s="143"/>
      <c r="L891" s="390"/>
      <c r="M891" s="419"/>
      <c r="N891" s="370"/>
      <c r="O891" s="370"/>
      <c r="P891" s="371"/>
      <c r="Q891" s="365"/>
    </row>
    <row r="892" ht="22.5" customHeight="1">
      <c r="A892" s="146"/>
      <c r="B892" s="413"/>
      <c r="C892" s="367"/>
      <c r="D892" s="420"/>
      <c r="E892" s="405"/>
      <c r="F892" s="404"/>
      <c r="G892" s="352" t="str">
        <f>IFERROR(VLOOKUP(D892,'Client ID Records_v2'!D:E, 2, FALSE), "")</f>
        <v/>
      </c>
      <c r="H892" s="368" t="str">
        <f>IFERROR(VLOOKUP(G892,'Client ID Records_v2'!E:F, 2, FALSE), "")</f>
        <v/>
      </c>
      <c r="I892" s="352"/>
      <c r="J892" s="358" t="str">
        <f>IFERROR(VLOOKUP(I892,'Project Records_v2'!F:G, 2, FALSE), "")</f>
        <v/>
      </c>
      <c r="K892" s="143"/>
      <c r="L892" s="390"/>
      <c r="M892" s="419"/>
      <c r="N892" s="370"/>
      <c r="O892" s="370"/>
      <c r="P892" s="371"/>
      <c r="Q892" s="365"/>
    </row>
    <row r="893" ht="22.5" customHeight="1">
      <c r="A893" s="146"/>
      <c r="B893" s="413"/>
      <c r="C893" s="367"/>
      <c r="D893" s="420"/>
      <c r="E893" s="405"/>
      <c r="F893" s="404"/>
      <c r="G893" s="352" t="str">
        <f>IFERROR(VLOOKUP(D893,'Client ID Records_v2'!D:E, 2, FALSE), "")</f>
        <v/>
      </c>
      <c r="H893" s="368" t="str">
        <f>IFERROR(VLOOKUP(G893,'Client ID Records_v2'!E:F, 2, FALSE), "")</f>
        <v/>
      </c>
      <c r="I893" s="352"/>
      <c r="J893" s="358" t="str">
        <f>IFERROR(VLOOKUP(I893,'Project Records_v2'!F:G, 2, FALSE), "")</f>
        <v/>
      </c>
      <c r="K893" s="143"/>
      <c r="L893" s="390"/>
      <c r="M893" s="419"/>
      <c r="N893" s="370"/>
      <c r="O893" s="370"/>
      <c r="P893" s="371"/>
      <c r="Q893" s="365"/>
    </row>
    <row r="894" ht="22.5" customHeight="1">
      <c r="A894" s="146"/>
      <c r="B894" s="413"/>
      <c r="C894" s="367"/>
      <c r="D894" s="420"/>
      <c r="E894" s="405"/>
      <c r="F894" s="404"/>
      <c r="G894" s="352" t="str">
        <f>IFERROR(VLOOKUP(D894,'Client ID Records_v2'!D:E, 2, FALSE), "")</f>
        <v/>
      </c>
      <c r="H894" s="368" t="str">
        <f>IFERROR(VLOOKUP(G894,'Client ID Records_v2'!E:F, 2, FALSE), "")</f>
        <v/>
      </c>
      <c r="I894" s="352"/>
      <c r="J894" s="358" t="str">
        <f>IFERROR(VLOOKUP(I894,'Project Records_v2'!F:G, 2, FALSE), "")</f>
        <v/>
      </c>
      <c r="K894" s="143"/>
      <c r="L894" s="390"/>
      <c r="M894" s="419"/>
      <c r="N894" s="370"/>
      <c r="O894" s="370"/>
      <c r="P894" s="371"/>
      <c r="Q894" s="365"/>
    </row>
    <row r="895" ht="22.5" customHeight="1">
      <c r="A895" s="146"/>
      <c r="B895" s="413"/>
      <c r="C895" s="367"/>
      <c r="D895" s="420"/>
      <c r="E895" s="405"/>
      <c r="F895" s="404"/>
      <c r="G895" s="352" t="str">
        <f>IFERROR(VLOOKUP(D895,'Client ID Records_v2'!D:E, 2, FALSE), "")</f>
        <v/>
      </c>
      <c r="H895" s="368" t="str">
        <f>IFERROR(VLOOKUP(G895,'Client ID Records_v2'!E:F, 2, FALSE), "")</f>
        <v/>
      </c>
      <c r="I895" s="352"/>
      <c r="J895" s="358" t="str">
        <f>IFERROR(VLOOKUP(I895,'Project Records_v2'!F:G, 2, FALSE), "")</f>
        <v/>
      </c>
      <c r="K895" s="143"/>
      <c r="L895" s="390"/>
      <c r="M895" s="419"/>
      <c r="N895" s="370"/>
      <c r="O895" s="370"/>
      <c r="P895" s="371"/>
      <c r="Q895" s="365"/>
    </row>
    <row r="896" ht="22.5" customHeight="1">
      <c r="A896" s="146"/>
      <c r="B896" s="413"/>
      <c r="C896" s="367"/>
      <c r="D896" s="420"/>
      <c r="E896" s="405"/>
      <c r="F896" s="404"/>
      <c r="G896" s="352" t="str">
        <f>IFERROR(VLOOKUP(D896,'Client ID Records_v2'!D:E, 2, FALSE), "")</f>
        <v/>
      </c>
      <c r="H896" s="368" t="str">
        <f>IFERROR(VLOOKUP(G896,'Client ID Records_v2'!E:F, 2, FALSE), "")</f>
        <v/>
      </c>
      <c r="I896" s="352"/>
      <c r="J896" s="358" t="str">
        <f>IFERROR(VLOOKUP(I896,'Project Records_v2'!F:G, 2, FALSE), "")</f>
        <v/>
      </c>
      <c r="K896" s="143"/>
      <c r="L896" s="390"/>
      <c r="M896" s="419"/>
      <c r="N896" s="370"/>
      <c r="O896" s="370"/>
      <c r="P896" s="371"/>
      <c r="Q896" s="365"/>
    </row>
    <row r="897" ht="22.5" customHeight="1">
      <c r="A897" s="146"/>
      <c r="B897" s="413"/>
      <c r="C897" s="367"/>
      <c r="D897" s="420"/>
      <c r="E897" s="405"/>
      <c r="F897" s="404"/>
      <c r="G897" s="352" t="str">
        <f>IFERROR(VLOOKUP(D897,'Client ID Records_v2'!D:E, 2, FALSE), "")</f>
        <v/>
      </c>
      <c r="H897" s="368" t="str">
        <f>IFERROR(VLOOKUP(G897,'Client ID Records_v2'!E:F, 2, FALSE), "")</f>
        <v/>
      </c>
      <c r="I897" s="352"/>
      <c r="J897" s="358" t="str">
        <f>IFERROR(VLOOKUP(I897,'Project Records_v2'!F:G, 2, FALSE), "")</f>
        <v/>
      </c>
      <c r="K897" s="143"/>
      <c r="L897" s="390"/>
      <c r="M897" s="419"/>
      <c r="N897" s="370"/>
      <c r="O897" s="370"/>
      <c r="P897" s="371"/>
      <c r="Q897" s="365"/>
    </row>
    <row r="898" ht="22.5" customHeight="1">
      <c r="A898" s="146"/>
      <c r="B898" s="413"/>
      <c r="C898" s="367"/>
      <c r="D898" s="420"/>
      <c r="E898" s="405"/>
      <c r="F898" s="404"/>
      <c r="G898" s="352" t="str">
        <f>IFERROR(VLOOKUP(D898,'Client ID Records_v2'!D:E, 2, FALSE), "")</f>
        <v/>
      </c>
      <c r="H898" s="368" t="str">
        <f>IFERROR(VLOOKUP(G898,'Client ID Records_v2'!E:F, 2, FALSE), "")</f>
        <v/>
      </c>
      <c r="I898" s="352"/>
      <c r="J898" s="358" t="str">
        <f>IFERROR(VLOOKUP(I898,'Project Records_v2'!F:G, 2, FALSE), "")</f>
        <v/>
      </c>
      <c r="K898" s="143"/>
      <c r="L898" s="390"/>
      <c r="M898" s="419"/>
      <c r="N898" s="370"/>
      <c r="O898" s="370"/>
      <c r="P898" s="371"/>
      <c r="Q898" s="365"/>
    </row>
    <row r="899" ht="22.5" customHeight="1">
      <c r="A899" s="146"/>
      <c r="B899" s="413"/>
      <c r="C899" s="367"/>
      <c r="D899" s="420"/>
      <c r="E899" s="405"/>
      <c r="F899" s="404"/>
      <c r="G899" s="352" t="str">
        <f>IFERROR(VLOOKUP(D899,'Client ID Records_v2'!D:E, 2, FALSE), "")</f>
        <v/>
      </c>
      <c r="H899" s="368" t="str">
        <f>IFERROR(VLOOKUP(G899,'Client ID Records_v2'!E:F, 2, FALSE), "")</f>
        <v/>
      </c>
      <c r="I899" s="352"/>
      <c r="J899" s="358" t="str">
        <f>IFERROR(VLOOKUP(I899,'Project Records_v2'!F:G, 2, FALSE), "")</f>
        <v/>
      </c>
      <c r="K899" s="143"/>
      <c r="L899" s="390"/>
      <c r="M899" s="419"/>
      <c r="N899" s="370"/>
      <c r="O899" s="370"/>
      <c r="P899" s="371"/>
      <c r="Q899" s="365"/>
    </row>
    <row r="900" ht="22.5" customHeight="1">
      <c r="A900" s="146"/>
      <c r="B900" s="413"/>
      <c r="C900" s="367"/>
      <c r="D900" s="420"/>
      <c r="E900" s="405"/>
      <c r="F900" s="404"/>
      <c r="G900" s="352" t="str">
        <f>IFERROR(VLOOKUP(D900,'Client ID Records_v2'!D:E, 2, FALSE), "")</f>
        <v/>
      </c>
      <c r="H900" s="368" t="str">
        <f>IFERROR(VLOOKUP(G900,'Client ID Records_v2'!E:F, 2, FALSE), "")</f>
        <v/>
      </c>
      <c r="I900" s="352"/>
      <c r="J900" s="358" t="str">
        <f>IFERROR(VLOOKUP(I900,'Project Records_v2'!F:G, 2, FALSE), "")</f>
        <v/>
      </c>
      <c r="K900" s="143"/>
      <c r="L900" s="390"/>
      <c r="M900" s="419"/>
      <c r="N900" s="370"/>
      <c r="O900" s="370"/>
      <c r="P900" s="371"/>
      <c r="Q900" s="365"/>
    </row>
    <row r="901" ht="22.5" customHeight="1">
      <c r="A901" s="146"/>
      <c r="B901" s="413"/>
      <c r="C901" s="367"/>
      <c r="D901" s="420"/>
      <c r="E901" s="405"/>
      <c r="F901" s="404"/>
      <c r="G901" s="352" t="str">
        <f>IFERROR(VLOOKUP(D901,'Client ID Records_v2'!D:E, 2, FALSE), "")</f>
        <v/>
      </c>
      <c r="H901" s="368" t="str">
        <f>IFERROR(VLOOKUP(G901,'Client ID Records_v2'!E:F, 2, FALSE), "")</f>
        <v/>
      </c>
      <c r="I901" s="352"/>
      <c r="J901" s="358" t="str">
        <f>IFERROR(VLOOKUP(I901,'Project Records_v2'!F:G, 2, FALSE), "")</f>
        <v/>
      </c>
      <c r="K901" s="143"/>
      <c r="L901" s="390"/>
      <c r="M901" s="419"/>
      <c r="N901" s="370"/>
      <c r="O901" s="370"/>
      <c r="P901" s="371"/>
      <c r="Q901" s="365"/>
    </row>
    <row r="902" ht="22.5" customHeight="1">
      <c r="A902" s="146"/>
      <c r="B902" s="413"/>
      <c r="C902" s="367"/>
      <c r="D902" s="420"/>
      <c r="E902" s="405"/>
      <c r="F902" s="404"/>
      <c r="G902" s="352" t="str">
        <f>IFERROR(VLOOKUP(D902,'Client ID Records_v2'!D:E, 2, FALSE), "")</f>
        <v/>
      </c>
      <c r="H902" s="368" t="str">
        <f>IFERROR(VLOOKUP(G902,'Client ID Records_v2'!E:F, 2, FALSE), "")</f>
        <v/>
      </c>
      <c r="I902" s="352"/>
      <c r="J902" s="358" t="str">
        <f>IFERROR(VLOOKUP(I902,'Project Records_v2'!F:G, 2, FALSE), "")</f>
        <v/>
      </c>
      <c r="K902" s="143"/>
      <c r="L902" s="390"/>
      <c r="M902" s="419"/>
      <c r="N902" s="370"/>
      <c r="O902" s="370"/>
      <c r="P902" s="371"/>
      <c r="Q902" s="365"/>
    </row>
    <row r="903" ht="22.5" customHeight="1">
      <c r="A903" s="146"/>
      <c r="B903" s="413"/>
      <c r="C903" s="367"/>
      <c r="D903" s="420"/>
      <c r="E903" s="405"/>
      <c r="F903" s="404"/>
      <c r="G903" s="352" t="str">
        <f>IFERROR(VLOOKUP(D903,'Client ID Records_v2'!D:E, 2, FALSE), "")</f>
        <v/>
      </c>
      <c r="H903" s="368" t="str">
        <f>IFERROR(VLOOKUP(G903,'Client ID Records_v2'!E:F, 2, FALSE), "")</f>
        <v/>
      </c>
      <c r="I903" s="352"/>
      <c r="J903" s="358" t="str">
        <f>IFERROR(VLOOKUP(I903,'Project Records_v2'!F:G, 2, FALSE), "")</f>
        <v/>
      </c>
      <c r="K903" s="143"/>
      <c r="L903" s="390"/>
      <c r="M903" s="419"/>
      <c r="N903" s="370"/>
      <c r="O903" s="370"/>
      <c r="P903" s="371"/>
      <c r="Q903" s="365"/>
    </row>
    <row r="904" ht="22.5" customHeight="1">
      <c r="A904" s="146"/>
      <c r="B904" s="413"/>
      <c r="C904" s="367"/>
      <c r="D904" s="420"/>
      <c r="E904" s="405"/>
      <c r="F904" s="404"/>
      <c r="G904" s="352" t="str">
        <f>IFERROR(VLOOKUP(D904,'Client ID Records_v2'!D:E, 2, FALSE), "")</f>
        <v/>
      </c>
      <c r="H904" s="368" t="str">
        <f>IFERROR(VLOOKUP(G904,'Client ID Records_v2'!E:F, 2, FALSE), "")</f>
        <v/>
      </c>
      <c r="I904" s="352"/>
      <c r="J904" s="358" t="str">
        <f>IFERROR(VLOOKUP(I904,'Project Records_v2'!F:G, 2, FALSE), "")</f>
        <v/>
      </c>
      <c r="K904" s="143"/>
      <c r="L904" s="390"/>
      <c r="M904" s="419"/>
      <c r="N904" s="370"/>
      <c r="O904" s="370"/>
      <c r="P904" s="371"/>
      <c r="Q904" s="365"/>
    </row>
    <row r="905" ht="22.5" customHeight="1">
      <c r="A905" s="146"/>
      <c r="B905" s="413"/>
      <c r="C905" s="367"/>
      <c r="D905" s="420"/>
      <c r="E905" s="405"/>
      <c r="F905" s="404"/>
      <c r="G905" s="352" t="str">
        <f>IFERROR(VLOOKUP(D905,'Client ID Records_v2'!D:E, 2, FALSE), "")</f>
        <v/>
      </c>
      <c r="H905" s="368" t="str">
        <f>IFERROR(VLOOKUP(G905,'Client ID Records_v2'!E:F, 2, FALSE), "")</f>
        <v/>
      </c>
      <c r="I905" s="352"/>
      <c r="J905" s="358" t="str">
        <f>IFERROR(VLOOKUP(I905,'Project Records_v2'!F:G, 2, FALSE), "")</f>
        <v/>
      </c>
      <c r="K905" s="143"/>
      <c r="L905" s="390"/>
      <c r="M905" s="419"/>
      <c r="N905" s="370"/>
      <c r="O905" s="370"/>
      <c r="P905" s="371"/>
      <c r="Q905" s="365"/>
    </row>
    <row r="906" ht="22.5" customHeight="1">
      <c r="A906" s="146"/>
      <c r="B906" s="413"/>
      <c r="C906" s="367"/>
      <c r="D906" s="420"/>
      <c r="E906" s="405"/>
      <c r="F906" s="404"/>
      <c r="G906" s="352" t="str">
        <f>IFERROR(VLOOKUP(D906,'Client ID Records_v2'!D:E, 2, FALSE), "")</f>
        <v/>
      </c>
      <c r="H906" s="368" t="str">
        <f>IFERROR(VLOOKUP(G906,'Client ID Records_v2'!E:F, 2, FALSE), "")</f>
        <v/>
      </c>
      <c r="I906" s="352"/>
      <c r="J906" s="358" t="str">
        <f>IFERROR(VLOOKUP(I906,'Project Records_v2'!F:G, 2, FALSE), "")</f>
        <v/>
      </c>
      <c r="K906" s="143"/>
      <c r="L906" s="390"/>
      <c r="M906" s="419"/>
      <c r="N906" s="370"/>
      <c r="O906" s="370"/>
      <c r="P906" s="371"/>
      <c r="Q906" s="365"/>
    </row>
    <row r="907" ht="22.5" customHeight="1">
      <c r="A907" s="146"/>
      <c r="B907" s="413"/>
      <c r="C907" s="367"/>
      <c r="D907" s="420"/>
      <c r="E907" s="405"/>
      <c r="F907" s="404"/>
      <c r="G907" s="352" t="str">
        <f>IFERROR(VLOOKUP(D907,'Client ID Records_v2'!D:E, 2, FALSE), "")</f>
        <v/>
      </c>
      <c r="H907" s="368" t="str">
        <f>IFERROR(VLOOKUP(G907,'Client ID Records_v2'!E:F, 2, FALSE), "")</f>
        <v/>
      </c>
      <c r="I907" s="352"/>
      <c r="J907" s="358" t="str">
        <f>IFERROR(VLOOKUP(I907,'Project Records_v2'!F:G, 2, FALSE), "")</f>
        <v/>
      </c>
      <c r="K907" s="143"/>
      <c r="L907" s="390"/>
      <c r="M907" s="419"/>
      <c r="N907" s="370"/>
      <c r="O907" s="370"/>
      <c r="P907" s="371"/>
      <c r="Q907" s="365"/>
    </row>
    <row r="908" ht="22.5" customHeight="1">
      <c r="A908" s="146"/>
      <c r="B908" s="413"/>
      <c r="C908" s="367"/>
      <c r="D908" s="420"/>
      <c r="E908" s="405"/>
      <c r="F908" s="404"/>
      <c r="G908" s="352" t="str">
        <f>IFERROR(VLOOKUP(D908,'Client ID Records_v2'!D:E, 2, FALSE), "")</f>
        <v/>
      </c>
      <c r="H908" s="368" t="str">
        <f>IFERROR(VLOOKUP(G908,'Client ID Records_v2'!E:F, 2, FALSE), "")</f>
        <v/>
      </c>
      <c r="I908" s="352"/>
      <c r="J908" s="358" t="str">
        <f>IFERROR(VLOOKUP(I908,'Project Records_v2'!F:G, 2, FALSE), "")</f>
        <v/>
      </c>
      <c r="K908" s="143"/>
      <c r="L908" s="390"/>
      <c r="M908" s="419"/>
      <c r="N908" s="370"/>
      <c r="O908" s="370"/>
      <c r="P908" s="371"/>
      <c r="Q908" s="365"/>
    </row>
    <row r="909" ht="22.5" customHeight="1">
      <c r="A909" s="146"/>
      <c r="B909" s="413"/>
      <c r="C909" s="367"/>
      <c r="D909" s="420"/>
      <c r="E909" s="405"/>
      <c r="F909" s="404"/>
      <c r="G909" s="352" t="str">
        <f>IFERROR(VLOOKUP(D909,'Client ID Records_v2'!D:E, 2, FALSE), "")</f>
        <v/>
      </c>
      <c r="H909" s="368" t="str">
        <f>IFERROR(VLOOKUP(G909,'Client ID Records_v2'!E:F, 2, FALSE), "")</f>
        <v/>
      </c>
      <c r="I909" s="352"/>
      <c r="J909" s="358" t="str">
        <f>IFERROR(VLOOKUP(I909,'Project Records_v2'!F:G, 2, FALSE), "")</f>
        <v/>
      </c>
      <c r="K909" s="143"/>
      <c r="L909" s="390"/>
      <c r="M909" s="419"/>
      <c r="N909" s="370"/>
      <c r="O909" s="370"/>
      <c r="P909" s="371"/>
      <c r="Q909" s="365"/>
    </row>
    <row r="910" ht="22.5" customHeight="1">
      <c r="A910" s="146"/>
      <c r="B910" s="413"/>
      <c r="C910" s="367"/>
      <c r="D910" s="420"/>
      <c r="E910" s="405"/>
      <c r="F910" s="404"/>
      <c r="G910" s="352" t="str">
        <f>IFERROR(VLOOKUP(D910,'Client ID Records_v2'!D:E, 2, FALSE), "")</f>
        <v/>
      </c>
      <c r="H910" s="368" t="str">
        <f>IFERROR(VLOOKUP(G910,'Client ID Records_v2'!E:F, 2, FALSE), "")</f>
        <v/>
      </c>
      <c r="I910" s="352"/>
      <c r="J910" s="358" t="str">
        <f>IFERROR(VLOOKUP(I910,'Project Records_v2'!F:G, 2, FALSE), "")</f>
        <v/>
      </c>
      <c r="K910" s="143"/>
      <c r="L910" s="390"/>
      <c r="M910" s="419"/>
      <c r="N910" s="370"/>
      <c r="O910" s="370"/>
      <c r="P910" s="371"/>
      <c r="Q910" s="365"/>
    </row>
    <row r="911" ht="22.5" customHeight="1">
      <c r="A911" s="146"/>
      <c r="B911" s="413"/>
      <c r="C911" s="367"/>
      <c r="D911" s="420"/>
      <c r="E911" s="405"/>
      <c r="F911" s="404"/>
      <c r="G911" s="352" t="str">
        <f>IFERROR(VLOOKUP(D911,'Client ID Records_v2'!D:E, 2, FALSE), "")</f>
        <v/>
      </c>
      <c r="H911" s="368" t="str">
        <f>IFERROR(VLOOKUP(G911,'Client ID Records_v2'!E:F, 2, FALSE), "")</f>
        <v/>
      </c>
      <c r="I911" s="352"/>
      <c r="J911" s="358" t="str">
        <f>IFERROR(VLOOKUP(I911,'Project Records_v2'!F:G, 2, FALSE), "")</f>
        <v/>
      </c>
      <c r="K911" s="143"/>
      <c r="L911" s="390"/>
      <c r="M911" s="419"/>
      <c r="N911" s="370"/>
      <c r="O911" s="370"/>
      <c r="P911" s="371"/>
      <c r="Q911" s="365"/>
    </row>
    <row r="912" ht="22.5" customHeight="1">
      <c r="A912" s="146"/>
      <c r="B912" s="413"/>
      <c r="C912" s="367"/>
      <c r="D912" s="420"/>
      <c r="E912" s="405"/>
      <c r="F912" s="404"/>
      <c r="G912" s="352" t="str">
        <f>IFERROR(VLOOKUP(D912,'Client ID Records_v2'!D:E, 2, FALSE), "")</f>
        <v/>
      </c>
      <c r="H912" s="368" t="str">
        <f>IFERROR(VLOOKUP(G912,'Client ID Records_v2'!E:F, 2, FALSE), "")</f>
        <v/>
      </c>
      <c r="I912" s="352"/>
      <c r="J912" s="358" t="str">
        <f>IFERROR(VLOOKUP(I912,'Project Records_v2'!F:G, 2, FALSE), "")</f>
        <v/>
      </c>
      <c r="K912" s="143"/>
      <c r="L912" s="390"/>
      <c r="M912" s="419"/>
      <c r="N912" s="370"/>
      <c r="O912" s="370"/>
      <c r="P912" s="371"/>
      <c r="Q912" s="365"/>
    </row>
    <row r="913" ht="22.5" customHeight="1">
      <c r="A913" s="146"/>
      <c r="B913" s="413"/>
      <c r="C913" s="367"/>
      <c r="D913" s="420"/>
      <c r="E913" s="405"/>
      <c r="F913" s="404"/>
      <c r="G913" s="352" t="str">
        <f>IFERROR(VLOOKUP(D913,'Client ID Records_v2'!D:E, 2, FALSE), "")</f>
        <v/>
      </c>
      <c r="H913" s="368" t="str">
        <f>IFERROR(VLOOKUP(G913,'Client ID Records_v2'!E:F, 2, FALSE), "")</f>
        <v/>
      </c>
      <c r="I913" s="352"/>
      <c r="J913" s="358" t="str">
        <f>IFERROR(VLOOKUP(I913,'Project Records_v2'!F:G, 2, FALSE), "")</f>
        <v/>
      </c>
      <c r="K913" s="143"/>
      <c r="L913" s="390"/>
      <c r="M913" s="419"/>
      <c r="N913" s="370"/>
      <c r="O913" s="370"/>
      <c r="P913" s="371"/>
      <c r="Q913" s="365"/>
    </row>
    <row r="914" ht="22.5" customHeight="1">
      <c r="A914" s="146"/>
      <c r="B914" s="413"/>
      <c r="C914" s="367"/>
      <c r="D914" s="420"/>
      <c r="E914" s="405"/>
      <c r="F914" s="404"/>
      <c r="G914" s="352" t="str">
        <f>IFERROR(VLOOKUP(D914,'Client ID Records_v2'!D:E, 2, FALSE), "")</f>
        <v/>
      </c>
      <c r="H914" s="368" t="str">
        <f>IFERROR(VLOOKUP(G914,'Client ID Records_v2'!E:F, 2, FALSE), "")</f>
        <v/>
      </c>
      <c r="I914" s="352"/>
      <c r="J914" s="358" t="str">
        <f>IFERROR(VLOOKUP(I914,'Project Records_v2'!F:G, 2, FALSE), "")</f>
        <v/>
      </c>
      <c r="K914" s="143"/>
      <c r="L914" s="390"/>
      <c r="M914" s="419"/>
      <c r="N914" s="370"/>
      <c r="O914" s="370"/>
      <c r="P914" s="371"/>
      <c r="Q914" s="365"/>
    </row>
    <row r="915" ht="22.5" customHeight="1">
      <c r="A915" s="146"/>
      <c r="B915" s="413"/>
      <c r="C915" s="367"/>
      <c r="D915" s="420"/>
      <c r="E915" s="405"/>
      <c r="F915" s="404"/>
      <c r="G915" s="352" t="str">
        <f>IFERROR(VLOOKUP(D915,'Client ID Records_v2'!D:E, 2, FALSE), "")</f>
        <v/>
      </c>
      <c r="H915" s="368" t="str">
        <f>IFERROR(VLOOKUP(G915,'Client ID Records_v2'!E:F, 2, FALSE), "")</f>
        <v/>
      </c>
      <c r="I915" s="352"/>
      <c r="J915" s="358" t="str">
        <f>IFERROR(VLOOKUP(I915,'Project Records_v2'!F:G, 2, FALSE), "")</f>
        <v/>
      </c>
      <c r="K915" s="143"/>
      <c r="L915" s="390"/>
      <c r="M915" s="419"/>
      <c r="N915" s="370"/>
      <c r="O915" s="370"/>
      <c r="P915" s="371"/>
      <c r="Q915" s="365"/>
    </row>
    <row r="916" ht="22.5" customHeight="1">
      <c r="A916" s="146"/>
      <c r="B916" s="413"/>
      <c r="C916" s="367"/>
      <c r="D916" s="420"/>
      <c r="E916" s="405"/>
      <c r="F916" s="404"/>
      <c r="G916" s="352" t="str">
        <f>IFERROR(VLOOKUP(D916,'Client ID Records_v2'!D:E, 2, FALSE), "")</f>
        <v/>
      </c>
      <c r="H916" s="368" t="str">
        <f>IFERROR(VLOOKUP(G916,'Client ID Records_v2'!E:F, 2, FALSE), "")</f>
        <v/>
      </c>
      <c r="I916" s="352"/>
      <c r="J916" s="358" t="str">
        <f>IFERROR(VLOOKUP(I916,'Project Records_v2'!F:G, 2, FALSE), "")</f>
        <v/>
      </c>
      <c r="K916" s="143"/>
      <c r="L916" s="390"/>
      <c r="M916" s="419"/>
      <c r="N916" s="370"/>
      <c r="O916" s="370"/>
      <c r="P916" s="371"/>
      <c r="Q916" s="365"/>
    </row>
    <row r="917" ht="22.5" customHeight="1">
      <c r="A917" s="146"/>
      <c r="B917" s="413"/>
      <c r="C917" s="367"/>
      <c r="D917" s="420"/>
      <c r="E917" s="405"/>
      <c r="F917" s="404"/>
      <c r="G917" s="352" t="str">
        <f>IFERROR(VLOOKUP(D917,'Client ID Records_v2'!D:E, 2, FALSE), "")</f>
        <v/>
      </c>
      <c r="H917" s="368" t="str">
        <f>IFERROR(VLOOKUP(G917,'Client ID Records_v2'!E:F, 2, FALSE), "")</f>
        <v/>
      </c>
      <c r="I917" s="352"/>
      <c r="J917" s="358" t="str">
        <f>IFERROR(VLOOKUP(I917,'Project Records_v2'!F:G, 2, FALSE), "")</f>
        <v/>
      </c>
      <c r="K917" s="143"/>
      <c r="L917" s="390"/>
      <c r="M917" s="419"/>
      <c r="N917" s="370"/>
      <c r="O917" s="370"/>
      <c r="P917" s="371"/>
      <c r="Q917" s="365"/>
    </row>
    <row r="918" ht="22.5" customHeight="1">
      <c r="A918" s="146"/>
      <c r="B918" s="413"/>
      <c r="C918" s="367"/>
      <c r="D918" s="420"/>
      <c r="E918" s="405"/>
      <c r="F918" s="404"/>
      <c r="G918" s="352" t="str">
        <f>IFERROR(VLOOKUP(D918,'Client ID Records_v2'!D:E, 2, FALSE), "")</f>
        <v/>
      </c>
      <c r="H918" s="368" t="str">
        <f>IFERROR(VLOOKUP(G918,'Client ID Records_v2'!E:F, 2, FALSE), "")</f>
        <v/>
      </c>
      <c r="I918" s="352"/>
      <c r="J918" s="358" t="str">
        <f>IFERROR(VLOOKUP(I918,'Project Records_v2'!F:G, 2, FALSE), "")</f>
        <v/>
      </c>
      <c r="K918" s="143"/>
      <c r="L918" s="390"/>
      <c r="M918" s="419"/>
      <c r="N918" s="370"/>
      <c r="O918" s="370"/>
      <c r="P918" s="371"/>
      <c r="Q918" s="365"/>
    </row>
    <row r="919" ht="22.5" customHeight="1">
      <c r="A919" s="146"/>
      <c r="B919" s="413"/>
      <c r="C919" s="367"/>
      <c r="D919" s="420"/>
      <c r="E919" s="405"/>
      <c r="F919" s="404"/>
      <c r="G919" s="352" t="str">
        <f>IFERROR(VLOOKUP(D919,'Client ID Records_v2'!D:E, 2, FALSE), "")</f>
        <v/>
      </c>
      <c r="H919" s="368" t="str">
        <f>IFERROR(VLOOKUP(G919,'Client ID Records_v2'!E:F, 2, FALSE), "")</f>
        <v/>
      </c>
      <c r="I919" s="352"/>
      <c r="J919" s="358" t="str">
        <f>IFERROR(VLOOKUP(I919,'Project Records_v2'!F:G, 2, FALSE), "")</f>
        <v/>
      </c>
      <c r="K919" s="143"/>
      <c r="L919" s="390"/>
      <c r="M919" s="419"/>
      <c r="N919" s="370"/>
      <c r="O919" s="370"/>
      <c r="P919" s="371"/>
      <c r="Q919" s="365"/>
    </row>
    <row r="920" ht="22.5" customHeight="1">
      <c r="A920" s="146"/>
      <c r="B920" s="413"/>
      <c r="C920" s="367"/>
      <c r="D920" s="420"/>
      <c r="E920" s="405"/>
      <c r="F920" s="404"/>
      <c r="G920" s="352" t="str">
        <f>IFERROR(VLOOKUP(D920,'Client ID Records_v2'!D:E, 2, FALSE), "")</f>
        <v/>
      </c>
      <c r="H920" s="368" t="str">
        <f>IFERROR(VLOOKUP(G920,'Client ID Records_v2'!E:F, 2, FALSE), "")</f>
        <v/>
      </c>
      <c r="I920" s="352"/>
      <c r="J920" s="358" t="str">
        <f>IFERROR(VLOOKUP(I920,'Project Records_v2'!F:G, 2, FALSE), "")</f>
        <v/>
      </c>
      <c r="K920" s="143"/>
      <c r="L920" s="390"/>
      <c r="M920" s="419"/>
      <c r="N920" s="370"/>
      <c r="O920" s="370"/>
      <c r="P920" s="371"/>
      <c r="Q920" s="365"/>
    </row>
    <row r="921" ht="22.5" customHeight="1">
      <c r="A921" s="146"/>
      <c r="B921" s="413"/>
      <c r="C921" s="367"/>
      <c r="D921" s="420"/>
      <c r="E921" s="405"/>
      <c r="F921" s="404"/>
      <c r="G921" s="352" t="str">
        <f>IFERROR(VLOOKUP(D921,'Client ID Records_v2'!D:E, 2, FALSE), "")</f>
        <v/>
      </c>
      <c r="H921" s="368" t="str">
        <f>IFERROR(VLOOKUP(G921,'Client ID Records_v2'!E:F, 2, FALSE), "")</f>
        <v/>
      </c>
      <c r="I921" s="352"/>
      <c r="J921" s="358" t="str">
        <f>IFERROR(VLOOKUP(I921,'Project Records_v2'!F:G, 2, FALSE), "")</f>
        <v/>
      </c>
      <c r="K921" s="143"/>
      <c r="L921" s="390"/>
      <c r="M921" s="419"/>
      <c r="N921" s="370"/>
      <c r="O921" s="370"/>
      <c r="P921" s="371"/>
      <c r="Q921" s="365"/>
    </row>
    <row r="922" ht="22.5" customHeight="1">
      <c r="A922" s="146"/>
      <c r="B922" s="413"/>
      <c r="C922" s="367"/>
      <c r="D922" s="420"/>
      <c r="E922" s="405"/>
      <c r="F922" s="404"/>
      <c r="G922" s="352" t="str">
        <f>IFERROR(VLOOKUP(D922,'Client ID Records_v2'!D:E, 2, FALSE), "")</f>
        <v/>
      </c>
      <c r="H922" s="368" t="str">
        <f>IFERROR(VLOOKUP(G922,'Client ID Records_v2'!E:F, 2, FALSE), "")</f>
        <v/>
      </c>
      <c r="I922" s="352"/>
      <c r="J922" s="358" t="str">
        <f>IFERROR(VLOOKUP(I922,'Project Records_v2'!F:G, 2, FALSE), "")</f>
        <v/>
      </c>
      <c r="K922" s="143"/>
      <c r="L922" s="390"/>
      <c r="M922" s="419"/>
      <c r="N922" s="370"/>
      <c r="O922" s="370"/>
      <c r="P922" s="371"/>
      <c r="Q922" s="365"/>
    </row>
    <row r="923" ht="22.5" customHeight="1">
      <c r="A923" s="146"/>
      <c r="B923" s="413"/>
      <c r="C923" s="367"/>
      <c r="D923" s="420"/>
      <c r="E923" s="405"/>
      <c r="F923" s="404"/>
      <c r="G923" s="352" t="str">
        <f>IFERROR(VLOOKUP(D923,'Client ID Records_v2'!D:E, 2, FALSE), "")</f>
        <v/>
      </c>
      <c r="H923" s="368" t="str">
        <f>IFERROR(VLOOKUP(G923,'Client ID Records_v2'!E:F, 2, FALSE), "")</f>
        <v/>
      </c>
      <c r="I923" s="352"/>
      <c r="J923" s="358" t="str">
        <f>IFERROR(VLOOKUP(I923,'Project Records_v2'!F:G, 2, FALSE), "")</f>
        <v/>
      </c>
      <c r="K923" s="143"/>
      <c r="L923" s="390"/>
      <c r="M923" s="419"/>
      <c r="N923" s="370"/>
      <c r="O923" s="370"/>
      <c r="P923" s="371"/>
      <c r="Q923" s="365"/>
    </row>
    <row r="924" ht="22.5" customHeight="1">
      <c r="A924" s="146"/>
      <c r="B924" s="413"/>
      <c r="C924" s="367"/>
      <c r="D924" s="420"/>
      <c r="E924" s="405"/>
      <c r="F924" s="404"/>
      <c r="G924" s="352" t="str">
        <f>IFERROR(VLOOKUP(D924,'Client ID Records_v2'!D:E, 2, FALSE), "")</f>
        <v/>
      </c>
      <c r="H924" s="368" t="str">
        <f>IFERROR(VLOOKUP(G924,'Client ID Records_v2'!E:F, 2, FALSE), "")</f>
        <v/>
      </c>
      <c r="I924" s="352"/>
      <c r="J924" s="358" t="str">
        <f>IFERROR(VLOOKUP(I924,'Project Records_v2'!F:G, 2, FALSE), "")</f>
        <v/>
      </c>
      <c r="K924" s="143"/>
      <c r="L924" s="390"/>
      <c r="M924" s="419"/>
      <c r="N924" s="370"/>
      <c r="O924" s="370"/>
      <c r="P924" s="371"/>
      <c r="Q924" s="365"/>
    </row>
    <row r="925" ht="22.5" customHeight="1">
      <c r="A925" s="146"/>
      <c r="B925" s="413"/>
      <c r="C925" s="367"/>
      <c r="D925" s="420"/>
      <c r="E925" s="405"/>
      <c r="F925" s="404"/>
      <c r="G925" s="352" t="str">
        <f>IFERROR(VLOOKUP(D925,'Client ID Records_v2'!D:E, 2, FALSE), "")</f>
        <v/>
      </c>
      <c r="H925" s="368" t="str">
        <f>IFERROR(VLOOKUP(G925,'Client ID Records_v2'!E:F, 2, FALSE), "")</f>
        <v/>
      </c>
      <c r="I925" s="352"/>
      <c r="J925" s="358" t="str">
        <f>IFERROR(VLOOKUP(I925,'Project Records_v2'!F:G, 2, FALSE), "")</f>
        <v/>
      </c>
      <c r="K925" s="143"/>
      <c r="L925" s="390"/>
      <c r="M925" s="419"/>
      <c r="N925" s="370"/>
      <c r="O925" s="370"/>
      <c r="P925" s="371"/>
      <c r="Q925" s="365"/>
    </row>
    <row r="926" ht="22.5" customHeight="1">
      <c r="A926" s="146"/>
      <c r="B926" s="413"/>
      <c r="C926" s="367"/>
      <c r="D926" s="420"/>
      <c r="E926" s="405"/>
      <c r="F926" s="404"/>
      <c r="G926" s="352" t="str">
        <f>IFERROR(VLOOKUP(D926,'Client ID Records_v2'!D:E, 2, FALSE), "")</f>
        <v/>
      </c>
      <c r="H926" s="368" t="str">
        <f>IFERROR(VLOOKUP(G926,'Client ID Records_v2'!E:F, 2, FALSE), "")</f>
        <v/>
      </c>
      <c r="I926" s="352"/>
      <c r="J926" s="358" t="str">
        <f>IFERROR(VLOOKUP(I926,'Project Records_v2'!F:G, 2, FALSE), "")</f>
        <v/>
      </c>
      <c r="K926" s="143"/>
      <c r="L926" s="390"/>
      <c r="M926" s="419"/>
      <c r="N926" s="370"/>
      <c r="O926" s="370"/>
      <c r="P926" s="371"/>
      <c r="Q926" s="365"/>
    </row>
    <row r="927" ht="22.5" customHeight="1">
      <c r="A927" s="146"/>
      <c r="B927" s="413"/>
      <c r="C927" s="367"/>
      <c r="D927" s="420"/>
      <c r="E927" s="405"/>
      <c r="F927" s="404"/>
      <c r="G927" s="352" t="str">
        <f>IFERROR(VLOOKUP(D927,'Client ID Records_v2'!D:E, 2, FALSE), "")</f>
        <v/>
      </c>
      <c r="H927" s="368" t="str">
        <f>IFERROR(VLOOKUP(G927,'Client ID Records_v2'!E:F, 2, FALSE), "")</f>
        <v/>
      </c>
      <c r="I927" s="352"/>
      <c r="J927" s="358" t="str">
        <f>IFERROR(VLOOKUP(I927,'Project Records_v2'!F:G, 2, FALSE), "")</f>
        <v/>
      </c>
      <c r="K927" s="143"/>
      <c r="L927" s="390"/>
      <c r="M927" s="419"/>
      <c r="N927" s="370"/>
      <c r="O927" s="370"/>
      <c r="P927" s="371"/>
      <c r="Q927" s="365"/>
    </row>
    <row r="928" ht="22.5" customHeight="1">
      <c r="A928" s="146"/>
      <c r="B928" s="413"/>
      <c r="C928" s="367"/>
      <c r="D928" s="420"/>
      <c r="E928" s="405"/>
      <c r="F928" s="404"/>
      <c r="G928" s="352" t="str">
        <f>IFERROR(VLOOKUP(D928,'Client ID Records_v2'!D:E, 2, FALSE), "")</f>
        <v/>
      </c>
      <c r="H928" s="368" t="str">
        <f>IFERROR(VLOOKUP(G928,'Client ID Records_v2'!E:F, 2, FALSE), "")</f>
        <v/>
      </c>
      <c r="I928" s="352"/>
      <c r="J928" s="358" t="str">
        <f>IFERROR(VLOOKUP(I928,'Project Records_v2'!F:G, 2, FALSE), "")</f>
        <v/>
      </c>
      <c r="K928" s="143"/>
      <c r="L928" s="390"/>
      <c r="M928" s="419"/>
      <c r="N928" s="370"/>
      <c r="O928" s="370"/>
      <c r="P928" s="371"/>
      <c r="Q928" s="365"/>
    </row>
    <row r="929" ht="22.5" customHeight="1">
      <c r="A929" s="146"/>
      <c r="B929" s="413"/>
      <c r="C929" s="367"/>
      <c r="D929" s="420"/>
      <c r="E929" s="405"/>
      <c r="F929" s="404"/>
      <c r="G929" s="352" t="str">
        <f>IFERROR(VLOOKUP(D929,'Client ID Records_v2'!D:E, 2, FALSE), "")</f>
        <v/>
      </c>
      <c r="H929" s="368" t="str">
        <f>IFERROR(VLOOKUP(G929,'Client ID Records_v2'!E:F, 2, FALSE), "")</f>
        <v/>
      </c>
      <c r="I929" s="352"/>
      <c r="J929" s="358" t="str">
        <f>IFERROR(VLOOKUP(I929,'Project Records_v2'!F:G, 2, FALSE), "")</f>
        <v/>
      </c>
      <c r="K929" s="143"/>
      <c r="L929" s="390"/>
      <c r="M929" s="419"/>
      <c r="N929" s="370"/>
      <c r="O929" s="370"/>
      <c r="P929" s="371"/>
      <c r="Q929" s="365"/>
    </row>
    <row r="930" ht="22.5" customHeight="1">
      <c r="A930" s="146"/>
      <c r="B930" s="413"/>
      <c r="C930" s="367"/>
      <c r="D930" s="420"/>
      <c r="E930" s="405"/>
      <c r="F930" s="404"/>
      <c r="G930" s="352" t="str">
        <f>IFERROR(VLOOKUP(D930,'Client ID Records_v2'!D:E, 2, FALSE), "")</f>
        <v/>
      </c>
      <c r="H930" s="368" t="str">
        <f>IFERROR(VLOOKUP(G930,'Client ID Records_v2'!E:F, 2, FALSE), "")</f>
        <v/>
      </c>
      <c r="I930" s="352"/>
      <c r="J930" s="358" t="str">
        <f>IFERROR(VLOOKUP(I930,'Project Records_v2'!F:G, 2, FALSE), "")</f>
        <v/>
      </c>
      <c r="K930" s="143"/>
      <c r="L930" s="390"/>
      <c r="M930" s="419"/>
      <c r="N930" s="370"/>
      <c r="O930" s="370"/>
      <c r="P930" s="371"/>
      <c r="Q930" s="365"/>
    </row>
    <row r="931" ht="22.5" customHeight="1">
      <c r="A931" s="146"/>
      <c r="B931" s="413"/>
      <c r="C931" s="367"/>
      <c r="D931" s="420"/>
      <c r="E931" s="405"/>
      <c r="F931" s="404"/>
      <c r="G931" s="352" t="str">
        <f>IFERROR(VLOOKUP(D931,'Client ID Records_v2'!D:E, 2, FALSE), "")</f>
        <v/>
      </c>
      <c r="H931" s="368" t="str">
        <f>IFERROR(VLOOKUP(G931,'Client ID Records_v2'!E:F, 2, FALSE), "")</f>
        <v/>
      </c>
      <c r="I931" s="352"/>
      <c r="J931" s="358" t="str">
        <f>IFERROR(VLOOKUP(I931,'Project Records_v2'!F:G, 2, FALSE), "")</f>
        <v/>
      </c>
      <c r="K931" s="143"/>
      <c r="L931" s="390"/>
      <c r="M931" s="419"/>
      <c r="N931" s="370"/>
      <c r="O931" s="370"/>
      <c r="P931" s="371"/>
      <c r="Q931" s="365"/>
    </row>
    <row r="932" ht="22.5" customHeight="1">
      <c r="A932" s="146"/>
      <c r="B932" s="413"/>
      <c r="C932" s="367"/>
      <c r="D932" s="420"/>
      <c r="E932" s="405"/>
      <c r="F932" s="404"/>
      <c r="G932" s="352" t="str">
        <f>IFERROR(VLOOKUP(D932,'Client ID Records_v2'!D:E, 2, FALSE), "")</f>
        <v/>
      </c>
      <c r="H932" s="368" t="str">
        <f>IFERROR(VLOOKUP(G932,'Client ID Records_v2'!E:F, 2, FALSE), "")</f>
        <v/>
      </c>
      <c r="I932" s="352"/>
      <c r="J932" s="358" t="str">
        <f>IFERROR(VLOOKUP(I932,'Project Records_v2'!F:G, 2, FALSE), "")</f>
        <v/>
      </c>
      <c r="K932" s="143"/>
      <c r="L932" s="390"/>
      <c r="M932" s="419"/>
      <c r="N932" s="370"/>
      <c r="O932" s="370"/>
      <c r="P932" s="371"/>
      <c r="Q932" s="365"/>
    </row>
    <row r="933" ht="22.5" customHeight="1">
      <c r="A933" s="146"/>
      <c r="B933" s="413"/>
      <c r="C933" s="367"/>
      <c r="D933" s="420"/>
      <c r="E933" s="405"/>
      <c r="F933" s="404"/>
      <c r="G933" s="352" t="str">
        <f>IFERROR(VLOOKUP(D933,'Client ID Records_v2'!D:E, 2, FALSE), "")</f>
        <v/>
      </c>
      <c r="H933" s="368" t="str">
        <f>IFERROR(VLOOKUP(G933,'Client ID Records_v2'!E:F, 2, FALSE), "")</f>
        <v/>
      </c>
      <c r="I933" s="352"/>
      <c r="J933" s="358" t="str">
        <f>IFERROR(VLOOKUP(I933,'Project Records_v2'!F:G, 2, FALSE), "")</f>
        <v/>
      </c>
      <c r="K933" s="143"/>
      <c r="L933" s="390"/>
      <c r="M933" s="419"/>
      <c r="N933" s="370"/>
      <c r="O933" s="370"/>
      <c r="P933" s="371"/>
      <c r="Q933" s="365"/>
    </row>
    <row r="934" ht="22.5" customHeight="1">
      <c r="A934" s="146"/>
      <c r="B934" s="413"/>
      <c r="C934" s="367"/>
      <c r="D934" s="420"/>
      <c r="E934" s="405"/>
      <c r="F934" s="404"/>
      <c r="G934" s="352" t="str">
        <f>IFERROR(VLOOKUP(D934,'Client ID Records_v2'!D:E, 2, FALSE), "")</f>
        <v/>
      </c>
      <c r="H934" s="368" t="str">
        <f>IFERROR(VLOOKUP(G934,'Client ID Records_v2'!E:F, 2, FALSE), "")</f>
        <v/>
      </c>
      <c r="I934" s="352"/>
      <c r="J934" s="358" t="str">
        <f>IFERROR(VLOOKUP(I934,'Project Records_v2'!F:G, 2, FALSE), "")</f>
        <v/>
      </c>
      <c r="K934" s="143"/>
      <c r="L934" s="390"/>
      <c r="M934" s="419"/>
      <c r="N934" s="370"/>
      <c r="O934" s="370"/>
      <c r="P934" s="371"/>
      <c r="Q934" s="365"/>
    </row>
    <row r="935" ht="22.5" customHeight="1">
      <c r="A935" s="146"/>
      <c r="B935" s="413"/>
      <c r="C935" s="367"/>
      <c r="D935" s="420"/>
      <c r="E935" s="405"/>
      <c r="F935" s="404"/>
      <c r="G935" s="352" t="str">
        <f>IFERROR(VLOOKUP(D935,'Client ID Records_v2'!D:E, 2, FALSE), "")</f>
        <v/>
      </c>
      <c r="H935" s="368" t="str">
        <f>IFERROR(VLOOKUP(G935,'Client ID Records_v2'!E:F, 2, FALSE), "")</f>
        <v/>
      </c>
      <c r="I935" s="352"/>
      <c r="J935" s="358" t="str">
        <f>IFERROR(VLOOKUP(I935,'Project Records_v2'!F:G, 2, FALSE), "")</f>
        <v/>
      </c>
      <c r="K935" s="143"/>
      <c r="L935" s="390"/>
      <c r="M935" s="419"/>
      <c r="N935" s="370"/>
      <c r="O935" s="370"/>
      <c r="P935" s="371"/>
      <c r="Q935" s="365"/>
    </row>
    <row r="936" ht="22.5" customHeight="1">
      <c r="A936" s="146"/>
      <c r="B936" s="413"/>
      <c r="C936" s="367"/>
      <c r="D936" s="420"/>
      <c r="E936" s="405"/>
      <c r="F936" s="404"/>
      <c r="G936" s="352" t="str">
        <f>IFERROR(VLOOKUP(D936,'Client ID Records_v2'!D:E, 2, FALSE), "")</f>
        <v/>
      </c>
      <c r="H936" s="368" t="str">
        <f>IFERROR(VLOOKUP(G936,'Client ID Records_v2'!E:F, 2, FALSE), "")</f>
        <v/>
      </c>
      <c r="I936" s="352"/>
      <c r="J936" s="358" t="str">
        <f>IFERROR(VLOOKUP(I936,'Project Records_v2'!F:G, 2, FALSE), "")</f>
        <v/>
      </c>
      <c r="K936" s="143"/>
      <c r="L936" s="390"/>
      <c r="M936" s="419"/>
      <c r="N936" s="370"/>
      <c r="O936" s="370"/>
      <c r="P936" s="371"/>
      <c r="Q936" s="365"/>
    </row>
    <row r="937" ht="22.5" customHeight="1">
      <c r="A937" s="146"/>
      <c r="B937" s="413"/>
      <c r="C937" s="367"/>
      <c r="D937" s="420"/>
      <c r="E937" s="405"/>
      <c r="F937" s="404"/>
      <c r="G937" s="352" t="str">
        <f>IFERROR(VLOOKUP(D937,'Client ID Records_v2'!D:E, 2, FALSE), "")</f>
        <v/>
      </c>
      <c r="H937" s="368" t="str">
        <f>IFERROR(VLOOKUP(G937,'Client ID Records_v2'!E:F, 2, FALSE), "")</f>
        <v/>
      </c>
      <c r="I937" s="352"/>
      <c r="J937" s="358" t="str">
        <f>IFERROR(VLOOKUP(I937,'Project Records_v2'!F:G, 2, FALSE), "")</f>
        <v/>
      </c>
      <c r="K937" s="143"/>
      <c r="L937" s="390"/>
      <c r="M937" s="419"/>
      <c r="N937" s="370"/>
      <c r="O937" s="370"/>
      <c r="P937" s="371"/>
      <c r="Q937" s="365"/>
    </row>
    <row r="938" ht="22.5" customHeight="1">
      <c r="A938" s="146"/>
      <c r="B938" s="413"/>
      <c r="C938" s="367"/>
      <c r="D938" s="420"/>
      <c r="E938" s="405"/>
      <c r="F938" s="404"/>
      <c r="G938" s="352" t="str">
        <f>IFERROR(VLOOKUP(D938,'Client ID Records_v2'!D:E, 2, FALSE), "")</f>
        <v/>
      </c>
      <c r="H938" s="368" t="str">
        <f>IFERROR(VLOOKUP(G938,'Client ID Records_v2'!E:F, 2, FALSE), "")</f>
        <v/>
      </c>
      <c r="I938" s="352"/>
      <c r="J938" s="358" t="str">
        <f>IFERROR(VLOOKUP(I938,'Project Records_v2'!F:G, 2, FALSE), "")</f>
        <v/>
      </c>
      <c r="K938" s="143"/>
      <c r="L938" s="390"/>
      <c r="M938" s="419"/>
      <c r="N938" s="370"/>
      <c r="O938" s="370"/>
      <c r="P938" s="371"/>
      <c r="Q938" s="365"/>
    </row>
    <row r="939" ht="22.5" customHeight="1">
      <c r="A939" s="146"/>
      <c r="B939" s="413"/>
      <c r="C939" s="367"/>
      <c r="D939" s="420"/>
      <c r="E939" s="405"/>
      <c r="F939" s="404"/>
      <c r="G939" s="352" t="str">
        <f>IFERROR(VLOOKUP(D939,'Client ID Records_v2'!D:E, 2, FALSE), "")</f>
        <v/>
      </c>
      <c r="H939" s="368" t="str">
        <f>IFERROR(VLOOKUP(G939,'Client ID Records_v2'!E:F, 2, FALSE), "")</f>
        <v/>
      </c>
      <c r="I939" s="352"/>
      <c r="J939" s="358" t="str">
        <f>IFERROR(VLOOKUP(I939,'Project Records_v2'!F:G, 2, FALSE), "")</f>
        <v/>
      </c>
      <c r="K939" s="143"/>
      <c r="L939" s="390"/>
      <c r="M939" s="419"/>
      <c r="N939" s="370"/>
      <c r="O939" s="370"/>
      <c r="P939" s="371"/>
      <c r="Q939" s="365"/>
    </row>
    <row r="940" ht="22.5" customHeight="1">
      <c r="A940" s="146"/>
      <c r="B940" s="413"/>
      <c r="C940" s="367"/>
      <c r="D940" s="420"/>
      <c r="E940" s="405"/>
      <c r="F940" s="404"/>
      <c r="G940" s="352" t="str">
        <f>IFERROR(VLOOKUP(D940,'Client ID Records_v2'!D:E, 2, FALSE), "")</f>
        <v/>
      </c>
      <c r="H940" s="368" t="str">
        <f>IFERROR(VLOOKUP(G940,'Client ID Records_v2'!E:F, 2, FALSE), "")</f>
        <v/>
      </c>
      <c r="I940" s="352"/>
      <c r="J940" s="358" t="str">
        <f>IFERROR(VLOOKUP(I940,'Project Records_v2'!F:G, 2, FALSE), "")</f>
        <v/>
      </c>
      <c r="K940" s="143"/>
      <c r="L940" s="390"/>
      <c r="M940" s="419"/>
      <c r="N940" s="370"/>
      <c r="O940" s="370"/>
      <c r="P940" s="371"/>
      <c r="Q940" s="365"/>
    </row>
    <row r="941" ht="22.5" customHeight="1">
      <c r="A941" s="146"/>
      <c r="B941" s="413"/>
      <c r="C941" s="367"/>
      <c r="D941" s="420"/>
      <c r="E941" s="405"/>
      <c r="F941" s="404"/>
      <c r="G941" s="352" t="str">
        <f>IFERROR(VLOOKUP(D941,'Client ID Records_v2'!D:E, 2, FALSE), "")</f>
        <v/>
      </c>
      <c r="H941" s="368" t="str">
        <f>IFERROR(VLOOKUP(G941,'Client ID Records_v2'!E:F, 2, FALSE), "")</f>
        <v/>
      </c>
      <c r="I941" s="352"/>
      <c r="J941" s="358" t="str">
        <f>IFERROR(VLOOKUP(I941,'Project Records_v2'!F:G, 2, FALSE), "")</f>
        <v/>
      </c>
      <c r="K941" s="143"/>
      <c r="L941" s="390"/>
      <c r="M941" s="419"/>
      <c r="N941" s="370"/>
      <c r="O941" s="370"/>
      <c r="P941" s="371"/>
      <c r="Q941" s="365"/>
    </row>
    <row r="942" ht="22.5" customHeight="1">
      <c r="A942" s="146"/>
      <c r="B942" s="413"/>
      <c r="C942" s="367"/>
      <c r="D942" s="420"/>
      <c r="E942" s="405"/>
      <c r="F942" s="404"/>
      <c r="G942" s="352" t="str">
        <f>IFERROR(VLOOKUP(D942,'Client ID Records_v2'!D:E, 2, FALSE), "")</f>
        <v/>
      </c>
      <c r="H942" s="368" t="str">
        <f>IFERROR(VLOOKUP(G942,'Client ID Records_v2'!E:F, 2, FALSE), "")</f>
        <v/>
      </c>
      <c r="I942" s="352"/>
      <c r="J942" s="358" t="str">
        <f>IFERROR(VLOOKUP(I942,'Project Records_v2'!F:G, 2, FALSE), "")</f>
        <v/>
      </c>
      <c r="K942" s="143"/>
      <c r="L942" s="390"/>
      <c r="M942" s="419"/>
      <c r="N942" s="370"/>
      <c r="O942" s="370"/>
      <c r="P942" s="371"/>
      <c r="Q942" s="365"/>
    </row>
    <row r="943" ht="22.5" customHeight="1">
      <c r="A943" s="146"/>
      <c r="B943" s="413"/>
      <c r="C943" s="367"/>
      <c r="D943" s="420"/>
      <c r="E943" s="405"/>
      <c r="F943" s="404"/>
      <c r="G943" s="352" t="str">
        <f>IFERROR(VLOOKUP(D943,'Client ID Records_v2'!D:E, 2, FALSE), "")</f>
        <v/>
      </c>
      <c r="H943" s="368" t="str">
        <f>IFERROR(VLOOKUP(G943,'Client ID Records_v2'!E:F, 2, FALSE), "")</f>
        <v/>
      </c>
      <c r="I943" s="352"/>
      <c r="J943" s="358" t="str">
        <f>IFERROR(VLOOKUP(I943,'Project Records_v2'!F:G, 2, FALSE), "")</f>
        <v/>
      </c>
      <c r="K943" s="143"/>
      <c r="L943" s="390"/>
      <c r="M943" s="419"/>
      <c r="N943" s="370"/>
      <c r="O943" s="370"/>
      <c r="P943" s="371"/>
      <c r="Q943" s="365"/>
    </row>
    <row r="944" ht="22.5" customHeight="1">
      <c r="A944" s="146"/>
      <c r="B944" s="413"/>
      <c r="C944" s="367"/>
      <c r="D944" s="420"/>
      <c r="E944" s="405"/>
      <c r="F944" s="404"/>
      <c r="G944" s="352" t="str">
        <f>IFERROR(VLOOKUP(D944,'Client ID Records_v2'!D:E, 2, FALSE), "")</f>
        <v/>
      </c>
      <c r="H944" s="368" t="str">
        <f>IFERROR(VLOOKUP(G944,'Client ID Records_v2'!E:F, 2, FALSE), "")</f>
        <v/>
      </c>
      <c r="I944" s="352"/>
      <c r="J944" s="358" t="str">
        <f>IFERROR(VLOOKUP(I944,'Project Records_v2'!F:G, 2, FALSE), "")</f>
        <v/>
      </c>
      <c r="K944" s="143"/>
      <c r="L944" s="390"/>
      <c r="M944" s="419"/>
      <c r="N944" s="370"/>
      <c r="O944" s="370"/>
      <c r="P944" s="371"/>
      <c r="Q944" s="365"/>
    </row>
    <row r="945" ht="22.5" customHeight="1">
      <c r="A945" s="146"/>
      <c r="B945" s="413"/>
      <c r="C945" s="367"/>
      <c r="D945" s="420"/>
      <c r="E945" s="405"/>
      <c r="F945" s="404"/>
      <c r="G945" s="352" t="str">
        <f>IFERROR(VLOOKUP(D945,'Client ID Records_v2'!D:E, 2, FALSE), "")</f>
        <v/>
      </c>
      <c r="H945" s="368" t="str">
        <f>IFERROR(VLOOKUP(G945,'Client ID Records_v2'!E:F, 2, FALSE), "")</f>
        <v/>
      </c>
      <c r="I945" s="352"/>
      <c r="J945" s="358" t="str">
        <f>IFERROR(VLOOKUP(I945,'Project Records_v2'!F:G, 2, FALSE), "")</f>
        <v/>
      </c>
      <c r="K945" s="143"/>
      <c r="L945" s="390"/>
      <c r="M945" s="419"/>
      <c r="N945" s="370"/>
      <c r="O945" s="370"/>
      <c r="P945" s="371"/>
      <c r="Q945" s="365"/>
    </row>
    <row r="946" ht="22.5" customHeight="1">
      <c r="A946" s="146"/>
      <c r="B946" s="413"/>
      <c r="C946" s="367"/>
      <c r="D946" s="420"/>
      <c r="E946" s="405"/>
      <c r="F946" s="404"/>
      <c r="G946" s="352" t="str">
        <f>IFERROR(VLOOKUP(D946,'Client ID Records_v2'!D:E, 2, FALSE), "")</f>
        <v/>
      </c>
      <c r="H946" s="368" t="str">
        <f>IFERROR(VLOOKUP(G946,'Client ID Records_v2'!E:F, 2, FALSE), "")</f>
        <v/>
      </c>
      <c r="I946" s="352"/>
      <c r="J946" s="358" t="str">
        <f>IFERROR(VLOOKUP(I946,'Project Records_v2'!F:G, 2, FALSE), "")</f>
        <v/>
      </c>
      <c r="K946" s="143"/>
      <c r="L946" s="390"/>
      <c r="M946" s="419"/>
      <c r="N946" s="370"/>
      <c r="O946" s="370"/>
      <c r="P946" s="371"/>
      <c r="Q946" s="365"/>
    </row>
    <row r="947" ht="22.5" customHeight="1">
      <c r="A947" s="146"/>
      <c r="B947" s="413"/>
      <c r="C947" s="367"/>
      <c r="D947" s="420"/>
      <c r="E947" s="405"/>
      <c r="F947" s="404"/>
      <c r="G947" s="352" t="str">
        <f>IFERROR(VLOOKUP(D947,'Client ID Records_v2'!D:E, 2, FALSE), "")</f>
        <v/>
      </c>
      <c r="H947" s="368" t="str">
        <f>IFERROR(VLOOKUP(G947,'Client ID Records_v2'!E:F, 2, FALSE), "")</f>
        <v/>
      </c>
      <c r="I947" s="352"/>
      <c r="J947" s="358" t="str">
        <f>IFERROR(VLOOKUP(I947,'Project Records_v2'!F:G, 2, FALSE), "")</f>
        <v/>
      </c>
      <c r="K947" s="143"/>
      <c r="L947" s="390"/>
      <c r="M947" s="419"/>
      <c r="N947" s="370"/>
      <c r="O947" s="370"/>
      <c r="P947" s="371"/>
      <c r="Q947" s="365"/>
    </row>
    <row r="948" ht="22.5" customHeight="1">
      <c r="A948" s="146"/>
      <c r="B948" s="413"/>
      <c r="C948" s="367"/>
      <c r="D948" s="420"/>
      <c r="E948" s="405"/>
      <c r="F948" s="404"/>
      <c r="G948" s="352" t="str">
        <f>IFERROR(VLOOKUP(D948,'Client ID Records_v2'!D:E, 2, FALSE), "")</f>
        <v/>
      </c>
      <c r="H948" s="368" t="str">
        <f>IFERROR(VLOOKUP(G948,'Client ID Records_v2'!E:F, 2, FALSE), "")</f>
        <v/>
      </c>
      <c r="I948" s="352"/>
      <c r="J948" s="358" t="str">
        <f>IFERROR(VLOOKUP(I948,'Project Records_v2'!F:G, 2, FALSE), "")</f>
        <v/>
      </c>
      <c r="K948" s="143"/>
      <c r="L948" s="390"/>
      <c r="M948" s="419"/>
      <c r="N948" s="370"/>
      <c r="O948" s="370"/>
      <c r="P948" s="371"/>
      <c r="Q948" s="365"/>
    </row>
    <row r="949" ht="22.5" customHeight="1">
      <c r="A949" s="146"/>
      <c r="B949" s="413"/>
      <c r="C949" s="367"/>
      <c r="D949" s="420"/>
      <c r="E949" s="405"/>
      <c r="F949" s="404"/>
      <c r="G949" s="352" t="str">
        <f>IFERROR(VLOOKUP(D949,'Client ID Records_v2'!D:E, 2, FALSE), "")</f>
        <v/>
      </c>
      <c r="H949" s="368" t="str">
        <f>IFERROR(VLOOKUP(G949,'Client ID Records_v2'!E:F, 2, FALSE), "")</f>
        <v/>
      </c>
      <c r="I949" s="352"/>
      <c r="J949" s="358" t="str">
        <f>IFERROR(VLOOKUP(I949,'Project Records_v2'!F:G, 2, FALSE), "")</f>
        <v/>
      </c>
      <c r="K949" s="143"/>
      <c r="L949" s="390"/>
      <c r="M949" s="419"/>
      <c r="N949" s="370"/>
      <c r="O949" s="370"/>
      <c r="P949" s="371"/>
      <c r="Q949" s="365"/>
    </row>
    <row r="950" ht="22.5" customHeight="1">
      <c r="A950" s="146"/>
      <c r="B950" s="413"/>
      <c r="C950" s="367"/>
      <c r="D950" s="420"/>
      <c r="E950" s="405"/>
      <c r="F950" s="404"/>
      <c r="G950" s="352" t="str">
        <f>IFERROR(VLOOKUP(D950,'Client ID Records_v2'!D:E, 2, FALSE), "")</f>
        <v/>
      </c>
      <c r="H950" s="368" t="str">
        <f>IFERROR(VLOOKUP(G950,'Client ID Records_v2'!E:F, 2, FALSE), "")</f>
        <v/>
      </c>
      <c r="I950" s="352"/>
      <c r="J950" s="358" t="str">
        <f>IFERROR(VLOOKUP(I950,'Project Records_v2'!F:G, 2, FALSE), "")</f>
        <v/>
      </c>
      <c r="K950" s="143"/>
      <c r="L950" s="390"/>
      <c r="M950" s="419"/>
      <c r="N950" s="370"/>
      <c r="O950" s="370"/>
      <c r="P950" s="371"/>
      <c r="Q950" s="365"/>
    </row>
    <row r="951" ht="22.5" customHeight="1">
      <c r="A951" s="146"/>
      <c r="B951" s="413"/>
      <c r="C951" s="367"/>
      <c r="D951" s="420"/>
      <c r="E951" s="405"/>
      <c r="F951" s="404"/>
      <c r="G951" s="352" t="str">
        <f>IFERROR(VLOOKUP(D951,'Client ID Records_v2'!D:E, 2, FALSE), "")</f>
        <v/>
      </c>
      <c r="H951" s="368" t="str">
        <f>IFERROR(VLOOKUP(G951,'Client ID Records_v2'!E:F, 2, FALSE), "")</f>
        <v/>
      </c>
      <c r="I951" s="352"/>
      <c r="J951" s="358" t="str">
        <f>IFERROR(VLOOKUP(I951,'Project Records_v2'!F:G, 2, FALSE), "")</f>
        <v/>
      </c>
      <c r="K951" s="143"/>
      <c r="L951" s="390"/>
      <c r="M951" s="419"/>
      <c r="N951" s="370"/>
      <c r="O951" s="370"/>
      <c r="P951" s="371"/>
      <c r="Q951" s="365"/>
    </row>
    <row r="952" ht="22.5" customHeight="1">
      <c r="A952" s="146"/>
      <c r="B952" s="413"/>
      <c r="C952" s="367"/>
      <c r="D952" s="420"/>
      <c r="E952" s="405"/>
      <c r="F952" s="404"/>
      <c r="G952" s="352" t="str">
        <f>IFERROR(VLOOKUP(D952,'Client ID Records_v2'!D:E, 2, FALSE), "")</f>
        <v/>
      </c>
      <c r="H952" s="368" t="str">
        <f>IFERROR(VLOOKUP(G952,'Client ID Records_v2'!E:F, 2, FALSE), "")</f>
        <v/>
      </c>
      <c r="I952" s="352"/>
      <c r="J952" s="358" t="str">
        <f>IFERROR(VLOOKUP(I952,'Project Records_v2'!F:G, 2, FALSE), "")</f>
        <v/>
      </c>
      <c r="K952" s="143"/>
      <c r="L952" s="390"/>
      <c r="M952" s="419"/>
      <c r="N952" s="370"/>
      <c r="O952" s="370"/>
      <c r="P952" s="371"/>
      <c r="Q952" s="365"/>
    </row>
    <row r="953" ht="22.5" customHeight="1">
      <c r="A953" s="146"/>
      <c r="B953" s="413"/>
      <c r="C953" s="367"/>
      <c r="D953" s="420"/>
      <c r="E953" s="405"/>
      <c r="F953" s="404"/>
      <c r="G953" s="352" t="str">
        <f>IFERROR(VLOOKUP(D953,'Client ID Records_v2'!D:E, 2, FALSE), "")</f>
        <v/>
      </c>
      <c r="H953" s="368" t="str">
        <f>IFERROR(VLOOKUP(G953,'Client ID Records_v2'!E:F, 2, FALSE), "")</f>
        <v/>
      </c>
      <c r="I953" s="352"/>
      <c r="J953" s="358" t="str">
        <f>IFERROR(VLOOKUP(I953,'Project Records_v2'!F:G, 2, FALSE), "")</f>
        <v/>
      </c>
      <c r="K953" s="143"/>
      <c r="L953" s="390"/>
      <c r="M953" s="419"/>
      <c r="N953" s="370"/>
      <c r="O953" s="370"/>
      <c r="P953" s="371"/>
      <c r="Q953" s="365"/>
    </row>
    <row r="954" ht="22.5" customHeight="1">
      <c r="A954" s="146"/>
      <c r="B954" s="413"/>
      <c r="C954" s="367"/>
      <c r="D954" s="420"/>
      <c r="E954" s="405"/>
      <c r="F954" s="404"/>
      <c r="G954" s="352" t="str">
        <f>IFERROR(VLOOKUP(D954,'Client ID Records_v2'!D:E, 2, FALSE), "")</f>
        <v/>
      </c>
      <c r="H954" s="368" t="str">
        <f>IFERROR(VLOOKUP(G954,'Client ID Records_v2'!E:F, 2, FALSE), "")</f>
        <v/>
      </c>
      <c r="I954" s="352"/>
      <c r="J954" s="358" t="str">
        <f>IFERROR(VLOOKUP(I954,'Project Records_v2'!F:G, 2, FALSE), "")</f>
        <v/>
      </c>
      <c r="K954" s="143"/>
      <c r="L954" s="390"/>
      <c r="M954" s="419"/>
      <c r="N954" s="370"/>
      <c r="O954" s="370"/>
      <c r="P954" s="371"/>
      <c r="Q954" s="365"/>
    </row>
    <row r="955" ht="22.5" customHeight="1">
      <c r="A955" s="146"/>
      <c r="B955" s="413"/>
      <c r="C955" s="367"/>
      <c r="D955" s="420"/>
      <c r="E955" s="405"/>
      <c r="F955" s="404"/>
      <c r="G955" s="352" t="str">
        <f>IFERROR(VLOOKUP(D955,'Client ID Records_v2'!D:E, 2, FALSE), "")</f>
        <v/>
      </c>
      <c r="H955" s="368" t="str">
        <f>IFERROR(VLOOKUP(G955,'Client ID Records_v2'!E:F, 2, FALSE), "")</f>
        <v/>
      </c>
      <c r="I955" s="352"/>
      <c r="J955" s="358" t="str">
        <f>IFERROR(VLOOKUP(I955,'Project Records_v2'!F:G, 2, FALSE), "")</f>
        <v/>
      </c>
      <c r="K955" s="143"/>
      <c r="L955" s="390"/>
      <c r="M955" s="419"/>
      <c r="N955" s="370"/>
      <c r="O955" s="370"/>
      <c r="P955" s="371"/>
      <c r="Q955" s="365"/>
    </row>
    <row r="956" ht="22.5" customHeight="1">
      <c r="A956" s="146"/>
      <c r="B956" s="413"/>
      <c r="C956" s="367"/>
      <c r="D956" s="420"/>
      <c r="E956" s="405"/>
      <c r="F956" s="404"/>
      <c r="G956" s="352" t="str">
        <f>IFERROR(VLOOKUP(D956,'Client ID Records_v2'!D:E, 2, FALSE), "")</f>
        <v/>
      </c>
      <c r="H956" s="368" t="str">
        <f>IFERROR(VLOOKUP(G956,'Client ID Records_v2'!E:F, 2, FALSE), "")</f>
        <v/>
      </c>
      <c r="I956" s="352"/>
      <c r="J956" s="358" t="str">
        <f>IFERROR(VLOOKUP(I956,'Project Records_v2'!F:G, 2, FALSE), "")</f>
        <v/>
      </c>
      <c r="K956" s="143"/>
      <c r="L956" s="390"/>
      <c r="M956" s="419"/>
      <c r="N956" s="370"/>
      <c r="O956" s="370"/>
      <c r="P956" s="371"/>
      <c r="Q956" s="365"/>
    </row>
    <row r="957" ht="22.5" customHeight="1">
      <c r="A957" s="146"/>
      <c r="B957" s="413"/>
      <c r="C957" s="367"/>
      <c r="D957" s="420"/>
      <c r="E957" s="405"/>
      <c r="F957" s="404"/>
      <c r="G957" s="352" t="str">
        <f>IFERROR(VLOOKUP(D957,'Client ID Records_v2'!D:E, 2, FALSE), "")</f>
        <v/>
      </c>
      <c r="H957" s="368" t="str">
        <f>IFERROR(VLOOKUP(G957,'Client ID Records_v2'!E:F, 2, FALSE), "")</f>
        <v/>
      </c>
      <c r="I957" s="352"/>
      <c r="J957" s="358" t="str">
        <f>IFERROR(VLOOKUP(I957,'Project Records_v2'!F:G, 2, FALSE), "")</f>
        <v/>
      </c>
      <c r="K957" s="143"/>
      <c r="L957" s="390"/>
      <c r="M957" s="419"/>
      <c r="N957" s="370"/>
      <c r="O957" s="370"/>
      <c r="P957" s="371"/>
      <c r="Q957" s="365"/>
    </row>
    <row r="958" ht="22.5" customHeight="1">
      <c r="A958" s="146"/>
      <c r="B958" s="413"/>
      <c r="C958" s="367"/>
      <c r="D958" s="420"/>
      <c r="E958" s="405"/>
      <c r="F958" s="404"/>
      <c r="G958" s="352" t="str">
        <f>IFERROR(VLOOKUP(D958,'Client ID Records_v2'!D:E, 2, FALSE), "")</f>
        <v/>
      </c>
      <c r="H958" s="368" t="str">
        <f>IFERROR(VLOOKUP(G958,'Client ID Records_v2'!E:F, 2, FALSE), "")</f>
        <v/>
      </c>
      <c r="I958" s="352"/>
      <c r="J958" s="358" t="str">
        <f>IFERROR(VLOOKUP(I958,'Project Records_v2'!F:G, 2, FALSE), "")</f>
        <v/>
      </c>
      <c r="K958" s="143"/>
      <c r="L958" s="390"/>
      <c r="M958" s="419"/>
      <c r="N958" s="370"/>
      <c r="O958" s="370"/>
      <c r="P958" s="371"/>
      <c r="Q958" s="365"/>
    </row>
    <row r="959" ht="22.5" customHeight="1">
      <c r="A959" s="146"/>
      <c r="B959" s="413"/>
      <c r="C959" s="367"/>
      <c r="D959" s="420"/>
      <c r="E959" s="405"/>
      <c r="F959" s="404"/>
      <c r="G959" s="352" t="str">
        <f>IFERROR(VLOOKUP(D959,'Client ID Records_v2'!D:E, 2, FALSE), "")</f>
        <v/>
      </c>
      <c r="H959" s="368" t="str">
        <f>IFERROR(VLOOKUP(G959,'Client ID Records_v2'!E:F, 2, FALSE), "")</f>
        <v/>
      </c>
      <c r="I959" s="352"/>
      <c r="J959" s="358" t="str">
        <f>IFERROR(VLOOKUP(I959,'Project Records_v2'!F:G, 2, FALSE), "")</f>
        <v/>
      </c>
      <c r="K959" s="143"/>
      <c r="L959" s="390"/>
      <c r="M959" s="419"/>
      <c r="N959" s="370"/>
      <c r="O959" s="370"/>
      <c r="P959" s="371"/>
      <c r="Q959" s="365"/>
    </row>
    <row r="960" ht="22.5" customHeight="1">
      <c r="A960" s="146"/>
      <c r="B960" s="413"/>
      <c r="C960" s="367"/>
      <c r="D960" s="420"/>
      <c r="E960" s="405"/>
      <c r="F960" s="404"/>
      <c r="G960" s="352" t="str">
        <f>IFERROR(VLOOKUP(D960,'Client ID Records_v2'!D:E, 2, FALSE), "")</f>
        <v/>
      </c>
      <c r="H960" s="368" t="str">
        <f>IFERROR(VLOOKUP(G960,'Client ID Records_v2'!E:F, 2, FALSE), "")</f>
        <v/>
      </c>
      <c r="I960" s="352"/>
      <c r="J960" s="358" t="str">
        <f>IFERROR(VLOOKUP(I960,'Project Records_v2'!F:G, 2, FALSE), "")</f>
        <v/>
      </c>
      <c r="K960" s="143"/>
      <c r="L960" s="390"/>
      <c r="M960" s="419"/>
      <c r="N960" s="370"/>
      <c r="O960" s="370"/>
      <c r="P960" s="371"/>
      <c r="Q960" s="365"/>
    </row>
    <row r="961" ht="22.5" customHeight="1">
      <c r="A961" s="146"/>
      <c r="B961" s="413"/>
      <c r="C961" s="367"/>
      <c r="D961" s="420"/>
      <c r="E961" s="405"/>
      <c r="F961" s="404"/>
      <c r="G961" s="352" t="str">
        <f>IFERROR(VLOOKUP(D961,'Client ID Records_v2'!D:E, 2, FALSE), "")</f>
        <v/>
      </c>
      <c r="H961" s="368" t="str">
        <f>IFERROR(VLOOKUP(G961,'Client ID Records_v2'!E:F, 2, FALSE), "")</f>
        <v/>
      </c>
      <c r="I961" s="352"/>
      <c r="J961" s="358" t="str">
        <f>IFERROR(VLOOKUP(I961,'Project Records_v2'!F:G, 2, FALSE), "")</f>
        <v/>
      </c>
      <c r="K961" s="143"/>
      <c r="L961" s="390"/>
      <c r="M961" s="419"/>
      <c r="N961" s="370"/>
      <c r="O961" s="370"/>
      <c r="P961" s="371"/>
      <c r="Q961" s="365"/>
    </row>
    <row r="962" ht="22.5" customHeight="1">
      <c r="A962" s="146"/>
      <c r="B962" s="413"/>
      <c r="C962" s="367"/>
      <c r="D962" s="420"/>
      <c r="E962" s="405"/>
      <c r="F962" s="404"/>
      <c r="G962" s="352" t="str">
        <f>IFERROR(VLOOKUP(D962,'Client ID Records_v2'!D:E, 2, FALSE), "")</f>
        <v/>
      </c>
      <c r="H962" s="368" t="str">
        <f>IFERROR(VLOOKUP(G962,'Client ID Records_v2'!E:F, 2, FALSE), "")</f>
        <v/>
      </c>
      <c r="I962" s="352"/>
      <c r="J962" s="358" t="str">
        <f>IFERROR(VLOOKUP(I962,'Project Records_v2'!F:G, 2, FALSE), "")</f>
        <v/>
      </c>
      <c r="K962" s="143"/>
      <c r="L962" s="390"/>
      <c r="M962" s="419"/>
      <c r="N962" s="370"/>
      <c r="O962" s="370"/>
      <c r="P962" s="371"/>
      <c r="Q962" s="365"/>
    </row>
    <row r="963" ht="22.5" customHeight="1">
      <c r="A963" s="146"/>
      <c r="B963" s="413"/>
      <c r="C963" s="367"/>
      <c r="D963" s="420"/>
      <c r="E963" s="405"/>
      <c r="F963" s="404"/>
      <c r="G963" s="352" t="str">
        <f>IFERROR(VLOOKUP(D963,'Client ID Records_v2'!D:E, 2, FALSE), "")</f>
        <v/>
      </c>
      <c r="H963" s="368" t="str">
        <f>IFERROR(VLOOKUP(G963,'Client ID Records_v2'!E:F, 2, FALSE), "")</f>
        <v/>
      </c>
      <c r="I963" s="352"/>
      <c r="J963" s="358" t="str">
        <f>IFERROR(VLOOKUP(I963,'Project Records_v2'!F:G, 2, FALSE), "")</f>
        <v/>
      </c>
      <c r="K963" s="143"/>
      <c r="L963" s="390"/>
      <c r="M963" s="419"/>
      <c r="N963" s="370"/>
      <c r="O963" s="370"/>
      <c r="P963" s="371"/>
      <c r="Q963" s="365"/>
    </row>
    <row r="964" ht="22.5" customHeight="1">
      <c r="A964" s="146"/>
      <c r="B964" s="413"/>
      <c r="C964" s="367"/>
      <c r="D964" s="420"/>
      <c r="E964" s="405"/>
      <c r="F964" s="404"/>
      <c r="G964" s="352" t="str">
        <f>IFERROR(VLOOKUP(D964,'Client ID Records_v2'!D:E, 2, FALSE), "")</f>
        <v/>
      </c>
      <c r="H964" s="368" t="str">
        <f>IFERROR(VLOOKUP(G964,'Client ID Records_v2'!E:F, 2, FALSE), "")</f>
        <v/>
      </c>
      <c r="I964" s="352"/>
      <c r="J964" s="358" t="str">
        <f>IFERROR(VLOOKUP(I964,'Project Records_v2'!F:G, 2, FALSE), "")</f>
        <v/>
      </c>
      <c r="K964" s="143"/>
      <c r="L964" s="390"/>
      <c r="M964" s="419"/>
      <c r="N964" s="370"/>
      <c r="O964" s="370"/>
      <c r="P964" s="371"/>
      <c r="Q964" s="365"/>
    </row>
    <row r="965" ht="22.5" customHeight="1">
      <c r="A965" s="146"/>
      <c r="B965" s="413"/>
      <c r="C965" s="367"/>
      <c r="D965" s="420"/>
      <c r="E965" s="405"/>
      <c r="F965" s="404"/>
      <c r="G965" s="352" t="str">
        <f>IFERROR(VLOOKUP(D965,'Client ID Records_v2'!D:E, 2, FALSE), "")</f>
        <v/>
      </c>
      <c r="H965" s="368" t="str">
        <f>IFERROR(VLOOKUP(G965,'Client ID Records_v2'!E:F, 2, FALSE), "")</f>
        <v/>
      </c>
      <c r="I965" s="352"/>
      <c r="J965" s="358" t="str">
        <f>IFERROR(VLOOKUP(I965,'Project Records_v2'!F:G, 2, FALSE), "")</f>
        <v/>
      </c>
      <c r="K965" s="143"/>
      <c r="L965" s="390"/>
      <c r="M965" s="419"/>
      <c r="N965" s="370"/>
      <c r="O965" s="370"/>
      <c r="P965" s="371"/>
      <c r="Q965" s="365"/>
    </row>
    <row r="966" ht="22.5" customHeight="1">
      <c r="A966" s="146"/>
      <c r="B966" s="413"/>
      <c r="C966" s="367"/>
      <c r="D966" s="420"/>
      <c r="E966" s="405"/>
      <c r="F966" s="404"/>
      <c r="G966" s="352" t="str">
        <f>IFERROR(VLOOKUP(D966,'Client ID Records_v2'!D:E, 2, FALSE), "")</f>
        <v/>
      </c>
      <c r="H966" s="368" t="str">
        <f>IFERROR(VLOOKUP(G966,'Client ID Records_v2'!E:F, 2, FALSE), "")</f>
        <v/>
      </c>
      <c r="I966" s="352"/>
      <c r="J966" s="358" t="str">
        <f>IFERROR(VLOOKUP(I966,'Project Records_v2'!F:G, 2, FALSE), "")</f>
        <v/>
      </c>
      <c r="K966" s="143"/>
      <c r="L966" s="390"/>
      <c r="M966" s="419"/>
      <c r="N966" s="370"/>
      <c r="O966" s="370"/>
      <c r="P966" s="371"/>
      <c r="Q966" s="365"/>
    </row>
    <row r="967" ht="22.5" customHeight="1">
      <c r="A967" s="146"/>
      <c r="B967" s="413"/>
      <c r="C967" s="367"/>
      <c r="D967" s="420"/>
      <c r="E967" s="405"/>
      <c r="F967" s="404"/>
      <c r="G967" s="352" t="str">
        <f>IFERROR(VLOOKUP(D967,'Client ID Records_v2'!D:E, 2, FALSE), "")</f>
        <v/>
      </c>
      <c r="H967" s="368" t="str">
        <f>IFERROR(VLOOKUP(G967,'Client ID Records_v2'!E:F, 2, FALSE), "")</f>
        <v/>
      </c>
      <c r="I967" s="352"/>
      <c r="J967" s="358" t="str">
        <f>IFERROR(VLOOKUP(I967,'Project Records_v2'!F:G, 2, FALSE), "")</f>
        <v/>
      </c>
      <c r="K967" s="143"/>
      <c r="L967" s="390"/>
      <c r="M967" s="419"/>
      <c r="N967" s="370"/>
      <c r="O967" s="370"/>
      <c r="P967" s="371"/>
      <c r="Q967" s="365"/>
    </row>
    <row r="968" ht="22.5" customHeight="1">
      <c r="A968" s="146"/>
      <c r="B968" s="413"/>
      <c r="C968" s="367"/>
      <c r="D968" s="420"/>
      <c r="E968" s="405"/>
      <c r="F968" s="404"/>
      <c r="G968" s="352" t="str">
        <f>IFERROR(VLOOKUP(D968,'Client ID Records_v2'!D:E, 2, FALSE), "")</f>
        <v/>
      </c>
      <c r="H968" s="368" t="str">
        <f>IFERROR(VLOOKUP(G968,'Client ID Records_v2'!E:F, 2, FALSE), "")</f>
        <v/>
      </c>
      <c r="I968" s="352"/>
      <c r="J968" s="358" t="str">
        <f>IFERROR(VLOOKUP(I968,'Project Records_v2'!F:G, 2, FALSE), "")</f>
        <v/>
      </c>
      <c r="K968" s="143"/>
      <c r="L968" s="390"/>
      <c r="M968" s="419"/>
      <c r="N968" s="370"/>
      <c r="O968" s="370"/>
      <c r="P968" s="371"/>
      <c r="Q968" s="365"/>
    </row>
    <row r="969" ht="22.5" customHeight="1">
      <c r="A969" s="146"/>
      <c r="B969" s="413"/>
      <c r="C969" s="367"/>
      <c r="D969" s="420"/>
      <c r="E969" s="405"/>
      <c r="F969" s="404"/>
      <c r="G969" s="352" t="str">
        <f>IFERROR(VLOOKUP(D969,'Client ID Records_v2'!D:E, 2, FALSE), "")</f>
        <v/>
      </c>
      <c r="H969" s="368" t="str">
        <f>IFERROR(VLOOKUP(G969,'Client ID Records_v2'!E:F, 2, FALSE), "")</f>
        <v/>
      </c>
      <c r="I969" s="352"/>
      <c r="J969" s="358" t="str">
        <f>IFERROR(VLOOKUP(I969,'Project Records_v2'!F:G, 2, FALSE), "")</f>
        <v/>
      </c>
      <c r="K969" s="143"/>
      <c r="L969" s="390"/>
      <c r="M969" s="419"/>
      <c r="N969" s="370"/>
      <c r="O969" s="370"/>
      <c r="P969" s="371"/>
      <c r="Q969" s="365"/>
    </row>
    <row r="970" ht="22.5" customHeight="1">
      <c r="A970" s="146"/>
      <c r="B970" s="413"/>
      <c r="C970" s="367"/>
      <c r="D970" s="420"/>
      <c r="E970" s="405"/>
      <c r="F970" s="404"/>
      <c r="G970" s="352" t="str">
        <f>IFERROR(VLOOKUP(D970,'Client ID Records_v2'!D:E, 2, FALSE), "")</f>
        <v/>
      </c>
      <c r="H970" s="368" t="str">
        <f>IFERROR(VLOOKUP(G970,'Client ID Records_v2'!E:F, 2, FALSE), "")</f>
        <v/>
      </c>
      <c r="I970" s="352"/>
      <c r="J970" s="358" t="str">
        <f>IFERROR(VLOOKUP(I970,'Project Records_v2'!F:G, 2, FALSE), "")</f>
        <v/>
      </c>
      <c r="K970" s="143"/>
      <c r="L970" s="390"/>
      <c r="M970" s="419"/>
      <c r="N970" s="370"/>
      <c r="O970" s="370"/>
      <c r="P970" s="371"/>
      <c r="Q970" s="365"/>
    </row>
    <row r="971" ht="22.5" customHeight="1">
      <c r="A971" s="146"/>
      <c r="B971" s="413"/>
      <c r="C971" s="367"/>
      <c r="D971" s="420"/>
      <c r="E971" s="405"/>
      <c r="F971" s="404"/>
      <c r="G971" s="352" t="str">
        <f>IFERROR(VLOOKUP(D971,'Client ID Records_v2'!D:E, 2, FALSE), "")</f>
        <v/>
      </c>
      <c r="H971" s="368" t="str">
        <f>IFERROR(VLOOKUP(G971,'Client ID Records_v2'!E:F, 2, FALSE), "")</f>
        <v/>
      </c>
      <c r="I971" s="352"/>
      <c r="J971" s="358" t="str">
        <f>IFERROR(VLOOKUP(I971,'Project Records_v2'!F:G, 2, FALSE), "")</f>
        <v/>
      </c>
      <c r="K971" s="143"/>
      <c r="L971" s="390"/>
      <c r="M971" s="419"/>
      <c r="N971" s="370"/>
      <c r="O971" s="370"/>
      <c r="P971" s="371"/>
      <c r="Q971" s="365"/>
    </row>
    <row r="972" ht="22.5" customHeight="1">
      <c r="A972" s="146"/>
      <c r="B972" s="413"/>
      <c r="C972" s="367"/>
      <c r="D972" s="420"/>
      <c r="E972" s="405"/>
      <c r="F972" s="404"/>
      <c r="G972" s="352" t="str">
        <f>IFERROR(VLOOKUP(D972,'Client ID Records_v2'!D:E, 2, FALSE), "")</f>
        <v/>
      </c>
      <c r="H972" s="368" t="str">
        <f>IFERROR(VLOOKUP(G972,'Client ID Records_v2'!E:F, 2, FALSE), "")</f>
        <v/>
      </c>
      <c r="I972" s="352"/>
      <c r="J972" s="358" t="str">
        <f>IFERROR(VLOOKUP(I972,'Project Records_v2'!F:G, 2, FALSE), "")</f>
        <v/>
      </c>
      <c r="K972" s="143"/>
      <c r="L972" s="390"/>
      <c r="M972" s="419"/>
      <c r="N972" s="370"/>
      <c r="O972" s="370"/>
      <c r="P972" s="371"/>
      <c r="Q972" s="365"/>
    </row>
    <row r="973" ht="22.5" customHeight="1">
      <c r="A973" s="146"/>
      <c r="B973" s="413"/>
      <c r="C973" s="367"/>
      <c r="D973" s="420"/>
      <c r="E973" s="405"/>
      <c r="F973" s="404"/>
      <c r="G973" s="352" t="str">
        <f>IFERROR(VLOOKUP(D973,'Client ID Records_v2'!D:E, 2, FALSE), "")</f>
        <v/>
      </c>
      <c r="H973" s="368" t="str">
        <f>IFERROR(VLOOKUP(G973,'Client ID Records_v2'!E:F, 2, FALSE), "")</f>
        <v/>
      </c>
      <c r="I973" s="352"/>
      <c r="J973" s="358" t="str">
        <f>IFERROR(VLOOKUP(I973,'Project Records_v2'!F:G, 2, FALSE), "")</f>
        <v/>
      </c>
      <c r="K973" s="143"/>
      <c r="L973" s="390"/>
      <c r="M973" s="419"/>
      <c r="N973" s="370"/>
      <c r="O973" s="370"/>
      <c r="P973" s="371"/>
      <c r="Q973" s="365"/>
    </row>
    <row r="974" ht="22.5" customHeight="1">
      <c r="A974" s="146"/>
      <c r="B974" s="413"/>
      <c r="C974" s="367"/>
      <c r="D974" s="420"/>
      <c r="E974" s="405"/>
      <c r="F974" s="404"/>
      <c r="G974" s="352" t="str">
        <f>IFERROR(VLOOKUP(D974,'Client ID Records_v2'!D:E, 2, FALSE), "")</f>
        <v/>
      </c>
      <c r="H974" s="368" t="str">
        <f>IFERROR(VLOOKUP(G974,'Client ID Records_v2'!E:F, 2, FALSE), "")</f>
        <v/>
      </c>
      <c r="I974" s="352"/>
      <c r="J974" s="358" t="str">
        <f>IFERROR(VLOOKUP(I974,'Project Records_v2'!F:G, 2, FALSE), "")</f>
        <v/>
      </c>
      <c r="K974" s="143"/>
      <c r="L974" s="390"/>
      <c r="M974" s="419"/>
      <c r="N974" s="370"/>
      <c r="O974" s="370"/>
      <c r="P974" s="371"/>
      <c r="Q974" s="365"/>
    </row>
    <row r="975" ht="22.5" customHeight="1">
      <c r="A975" s="146"/>
      <c r="B975" s="413"/>
      <c r="C975" s="367"/>
      <c r="D975" s="420"/>
      <c r="E975" s="405"/>
      <c r="F975" s="404"/>
      <c r="G975" s="352" t="str">
        <f>IFERROR(VLOOKUP(D975,'Client ID Records_v2'!D:E, 2, FALSE), "")</f>
        <v/>
      </c>
      <c r="H975" s="368" t="str">
        <f>IFERROR(VLOOKUP(G975,'Client ID Records_v2'!E:F, 2, FALSE), "")</f>
        <v/>
      </c>
      <c r="I975" s="352"/>
      <c r="J975" s="358" t="str">
        <f>IFERROR(VLOOKUP(I975,'Project Records_v2'!F:G, 2, FALSE), "")</f>
        <v/>
      </c>
      <c r="K975" s="143"/>
      <c r="L975" s="390"/>
      <c r="M975" s="419"/>
      <c r="N975" s="370"/>
      <c r="O975" s="370"/>
      <c r="P975" s="371"/>
      <c r="Q975" s="365"/>
    </row>
    <row r="976" ht="22.5" customHeight="1">
      <c r="A976" s="146"/>
      <c r="B976" s="413"/>
      <c r="C976" s="367"/>
      <c r="D976" s="420"/>
      <c r="E976" s="405"/>
      <c r="F976" s="404"/>
      <c r="G976" s="352" t="str">
        <f>IFERROR(VLOOKUP(D976,'Client ID Records_v2'!D:E, 2, FALSE), "")</f>
        <v/>
      </c>
      <c r="H976" s="368" t="str">
        <f>IFERROR(VLOOKUP(G976,'Client ID Records_v2'!E:F, 2, FALSE), "")</f>
        <v/>
      </c>
      <c r="I976" s="352"/>
      <c r="J976" s="358" t="str">
        <f>IFERROR(VLOOKUP(I976,'Project Records_v2'!F:G, 2, FALSE), "")</f>
        <v/>
      </c>
      <c r="K976" s="143"/>
      <c r="L976" s="390"/>
      <c r="M976" s="419"/>
      <c r="N976" s="370"/>
      <c r="O976" s="370"/>
      <c r="P976" s="371"/>
      <c r="Q976" s="365"/>
    </row>
    <row r="977" ht="22.5" customHeight="1">
      <c r="A977" s="146"/>
      <c r="B977" s="413"/>
      <c r="C977" s="367"/>
      <c r="D977" s="420"/>
      <c r="E977" s="405"/>
      <c r="F977" s="404"/>
      <c r="G977" s="352" t="str">
        <f>IFERROR(VLOOKUP(D977,'Client ID Records_v2'!D:E, 2, FALSE), "")</f>
        <v/>
      </c>
      <c r="H977" s="368" t="str">
        <f>IFERROR(VLOOKUP(G977,'Client ID Records_v2'!E:F, 2, FALSE), "")</f>
        <v/>
      </c>
      <c r="I977" s="352"/>
      <c r="J977" s="358" t="str">
        <f>IFERROR(VLOOKUP(I977,'Project Records_v2'!F:G, 2, FALSE), "")</f>
        <v/>
      </c>
      <c r="K977" s="143"/>
      <c r="L977" s="390"/>
      <c r="M977" s="419"/>
      <c r="N977" s="370"/>
      <c r="O977" s="370"/>
      <c r="P977" s="371"/>
      <c r="Q977" s="365"/>
    </row>
    <row r="978" ht="22.5" customHeight="1">
      <c r="A978" s="146"/>
      <c r="B978" s="413"/>
      <c r="C978" s="367"/>
      <c r="D978" s="420"/>
      <c r="E978" s="405"/>
      <c r="F978" s="404"/>
      <c r="G978" s="352" t="str">
        <f>IFERROR(VLOOKUP(D978,'Client ID Records_v2'!D:E, 2, FALSE), "")</f>
        <v/>
      </c>
      <c r="H978" s="368" t="str">
        <f>IFERROR(VLOOKUP(G978,'Client ID Records_v2'!E:F, 2, FALSE), "")</f>
        <v/>
      </c>
      <c r="I978" s="352"/>
      <c r="J978" s="358" t="str">
        <f>IFERROR(VLOOKUP(I978,'Project Records_v2'!F:G, 2, FALSE), "")</f>
        <v/>
      </c>
      <c r="K978" s="143"/>
      <c r="L978" s="390"/>
      <c r="M978" s="419"/>
      <c r="N978" s="370"/>
      <c r="O978" s="370"/>
      <c r="P978" s="371"/>
      <c r="Q978" s="365"/>
    </row>
    <row r="979" ht="22.5" customHeight="1">
      <c r="A979" s="146"/>
      <c r="B979" s="413"/>
      <c r="C979" s="367"/>
      <c r="D979" s="420"/>
      <c r="E979" s="405"/>
      <c r="F979" s="404"/>
      <c r="G979" s="352" t="str">
        <f>IFERROR(VLOOKUP(D979,'Client ID Records_v2'!D:E, 2, FALSE), "")</f>
        <v/>
      </c>
      <c r="H979" s="368" t="str">
        <f>IFERROR(VLOOKUP(G979,'Client ID Records_v2'!E:F, 2, FALSE), "")</f>
        <v/>
      </c>
      <c r="I979" s="352"/>
      <c r="J979" s="358" t="str">
        <f>IFERROR(VLOOKUP(I979,'Project Records_v2'!F:G, 2, FALSE), "")</f>
        <v/>
      </c>
      <c r="K979" s="143"/>
      <c r="L979" s="390"/>
      <c r="M979" s="419"/>
      <c r="N979" s="370"/>
      <c r="O979" s="370"/>
      <c r="P979" s="371"/>
      <c r="Q979" s="365"/>
    </row>
    <row r="980" ht="22.5" customHeight="1">
      <c r="A980" s="146"/>
      <c r="B980" s="413"/>
      <c r="C980" s="367"/>
      <c r="D980" s="420"/>
      <c r="E980" s="405"/>
      <c r="F980" s="404"/>
      <c r="G980" s="352" t="str">
        <f>IFERROR(VLOOKUP(D980,'Client ID Records_v2'!D:E, 2, FALSE), "")</f>
        <v/>
      </c>
      <c r="H980" s="368" t="str">
        <f>IFERROR(VLOOKUP(G980,'Client ID Records_v2'!E:F, 2, FALSE), "")</f>
        <v/>
      </c>
      <c r="I980" s="352"/>
      <c r="J980" s="358" t="str">
        <f>IFERROR(VLOOKUP(I980,'Project Records_v2'!F:G, 2, FALSE), "")</f>
        <v/>
      </c>
      <c r="K980" s="143"/>
      <c r="L980" s="390"/>
      <c r="M980" s="419"/>
      <c r="N980" s="370"/>
      <c r="O980" s="370"/>
      <c r="P980" s="371"/>
      <c r="Q980" s="365"/>
    </row>
    <row r="981" ht="22.5" customHeight="1">
      <c r="A981" s="146"/>
      <c r="B981" s="413"/>
      <c r="C981" s="367"/>
      <c r="D981" s="420"/>
      <c r="E981" s="405"/>
      <c r="F981" s="404"/>
      <c r="G981" s="352" t="str">
        <f>IFERROR(VLOOKUP(D981,'Client ID Records_v2'!D:E, 2, FALSE), "")</f>
        <v/>
      </c>
      <c r="H981" s="368" t="str">
        <f>IFERROR(VLOOKUP(G981,'Client ID Records_v2'!E:F, 2, FALSE), "")</f>
        <v/>
      </c>
      <c r="I981" s="352"/>
      <c r="J981" s="358" t="str">
        <f>IFERROR(VLOOKUP(I981,'Project Records_v2'!F:G, 2, FALSE), "")</f>
        <v/>
      </c>
      <c r="K981" s="143"/>
      <c r="L981" s="390"/>
      <c r="M981" s="419"/>
      <c r="N981" s="370"/>
      <c r="O981" s="370"/>
      <c r="P981" s="371"/>
      <c r="Q981" s="365"/>
    </row>
    <row r="982" ht="22.5" customHeight="1">
      <c r="A982" s="146"/>
      <c r="B982" s="413"/>
      <c r="C982" s="367"/>
      <c r="D982" s="420"/>
      <c r="E982" s="405"/>
      <c r="F982" s="404"/>
      <c r="G982" s="352" t="str">
        <f>IFERROR(VLOOKUP(D982,'Client ID Records_v2'!D:E, 2, FALSE), "")</f>
        <v/>
      </c>
      <c r="H982" s="368" t="str">
        <f>IFERROR(VLOOKUP(G982,'Client ID Records_v2'!E:F, 2, FALSE), "")</f>
        <v/>
      </c>
      <c r="I982" s="352"/>
      <c r="J982" s="358" t="str">
        <f>IFERROR(VLOOKUP(I982,'Project Records_v2'!F:G, 2, FALSE), "")</f>
        <v/>
      </c>
      <c r="K982" s="143"/>
      <c r="L982" s="390"/>
      <c r="M982" s="419"/>
      <c r="N982" s="370"/>
      <c r="O982" s="370"/>
      <c r="P982" s="371"/>
      <c r="Q982" s="365"/>
    </row>
    <row r="983" ht="22.5" customHeight="1">
      <c r="A983" s="146"/>
      <c r="B983" s="413"/>
      <c r="C983" s="367"/>
      <c r="D983" s="420"/>
      <c r="E983" s="405"/>
      <c r="F983" s="404"/>
      <c r="G983" s="352" t="str">
        <f>IFERROR(VLOOKUP(D983,'Client ID Records_v2'!D:E, 2, FALSE), "")</f>
        <v/>
      </c>
      <c r="H983" s="368" t="str">
        <f>IFERROR(VLOOKUP(G983,'Client ID Records_v2'!E:F, 2, FALSE), "")</f>
        <v/>
      </c>
      <c r="I983" s="352"/>
      <c r="J983" s="358" t="str">
        <f>IFERROR(VLOOKUP(I983,'Project Records_v2'!F:G, 2, FALSE), "")</f>
        <v/>
      </c>
      <c r="K983" s="143"/>
      <c r="L983" s="390"/>
      <c r="M983" s="419"/>
      <c r="N983" s="370"/>
      <c r="O983" s="370"/>
      <c r="P983" s="371"/>
      <c r="Q983" s="365"/>
    </row>
    <row r="984" ht="22.5" customHeight="1">
      <c r="A984" s="146"/>
      <c r="B984" s="413"/>
      <c r="C984" s="367"/>
      <c r="D984" s="420"/>
      <c r="E984" s="405"/>
      <c r="F984" s="404"/>
      <c r="G984" s="352" t="str">
        <f>IFERROR(VLOOKUP(D984,'Client ID Records_v2'!D:E, 2, FALSE), "")</f>
        <v/>
      </c>
      <c r="H984" s="368" t="str">
        <f>IFERROR(VLOOKUP(G984,'Client ID Records_v2'!E:F, 2, FALSE), "")</f>
        <v/>
      </c>
      <c r="I984" s="352"/>
      <c r="J984" s="358" t="str">
        <f>IFERROR(VLOOKUP(I984,'Project Records_v2'!F:G, 2, FALSE), "")</f>
        <v/>
      </c>
      <c r="K984" s="143"/>
      <c r="L984" s="390"/>
      <c r="M984" s="419"/>
      <c r="N984" s="370"/>
      <c r="O984" s="370"/>
      <c r="P984" s="371"/>
      <c r="Q984" s="365"/>
    </row>
    <row r="985" ht="22.5" customHeight="1">
      <c r="A985" s="146"/>
      <c r="B985" s="413"/>
      <c r="C985" s="367"/>
      <c r="D985" s="420"/>
      <c r="E985" s="405"/>
      <c r="F985" s="404"/>
      <c r="G985" s="352" t="str">
        <f>IFERROR(VLOOKUP(D985,'Client ID Records_v2'!D:E, 2, FALSE), "")</f>
        <v/>
      </c>
      <c r="H985" s="368" t="str">
        <f>IFERROR(VLOOKUP(G985,'Client ID Records_v2'!E:F, 2, FALSE), "")</f>
        <v/>
      </c>
      <c r="I985" s="352"/>
      <c r="J985" s="358" t="str">
        <f>IFERROR(VLOOKUP(I985,'Project Records_v2'!F:G, 2, FALSE), "")</f>
        <v/>
      </c>
      <c r="K985" s="143"/>
      <c r="L985" s="390"/>
      <c r="M985" s="419"/>
      <c r="N985" s="370"/>
      <c r="O985" s="370"/>
      <c r="P985" s="371"/>
      <c r="Q985" s="365"/>
    </row>
    <row r="986" ht="22.5" customHeight="1">
      <c r="A986" s="146"/>
      <c r="B986" s="413"/>
      <c r="C986" s="367"/>
      <c r="D986" s="420"/>
      <c r="E986" s="405"/>
      <c r="F986" s="404"/>
      <c r="G986" s="352" t="str">
        <f>IFERROR(VLOOKUP(D986,'Client ID Records_v2'!D:E, 2, FALSE), "")</f>
        <v/>
      </c>
      <c r="H986" s="368" t="str">
        <f>IFERROR(VLOOKUP(G986,'Client ID Records_v2'!E:F, 2, FALSE), "")</f>
        <v/>
      </c>
      <c r="I986" s="352"/>
      <c r="J986" s="358" t="str">
        <f>IFERROR(VLOOKUP(I986,'Project Records_v2'!F:G, 2, FALSE), "")</f>
        <v/>
      </c>
      <c r="K986" s="143"/>
      <c r="L986" s="390"/>
      <c r="M986" s="419"/>
      <c r="N986" s="370"/>
      <c r="O986" s="370"/>
      <c r="P986" s="371"/>
      <c r="Q986" s="365"/>
    </row>
    <row r="987" ht="22.5" customHeight="1">
      <c r="A987" s="146"/>
      <c r="B987" s="413"/>
      <c r="C987" s="367"/>
      <c r="D987" s="420"/>
      <c r="E987" s="405"/>
      <c r="F987" s="404"/>
      <c r="G987" s="352" t="str">
        <f>IFERROR(VLOOKUP(D987,'Client ID Records_v2'!D:E, 2, FALSE), "")</f>
        <v/>
      </c>
      <c r="H987" s="368" t="str">
        <f>IFERROR(VLOOKUP(G987,'Client ID Records_v2'!E:F, 2, FALSE), "")</f>
        <v/>
      </c>
      <c r="I987" s="352"/>
      <c r="J987" s="358" t="str">
        <f>IFERROR(VLOOKUP(I987,'Project Records_v2'!F:G, 2, FALSE), "")</f>
        <v/>
      </c>
      <c r="K987" s="143"/>
      <c r="L987" s="390"/>
      <c r="M987" s="419"/>
      <c r="N987" s="370"/>
      <c r="O987" s="370"/>
      <c r="P987" s="371"/>
      <c r="Q987" s="365"/>
    </row>
    <row r="988" ht="22.5" customHeight="1">
      <c r="A988" s="146"/>
      <c r="B988" s="413"/>
      <c r="C988" s="367"/>
      <c r="D988" s="420"/>
      <c r="E988" s="405"/>
      <c r="F988" s="404"/>
      <c r="G988" s="352" t="str">
        <f>IFERROR(VLOOKUP(D988,'Client ID Records_v2'!D:E, 2, FALSE), "")</f>
        <v/>
      </c>
      <c r="H988" s="368" t="str">
        <f>IFERROR(VLOOKUP(G988,'Client ID Records_v2'!E:F, 2, FALSE), "")</f>
        <v/>
      </c>
      <c r="I988" s="352"/>
      <c r="J988" s="358" t="str">
        <f>IFERROR(VLOOKUP(I988,'Project Records_v2'!F:G, 2, FALSE), "")</f>
        <v/>
      </c>
      <c r="K988" s="143"/>
      <c r="L988" s="390"/>
      <c r="M988" s="419"/>
      <c r="N988" s="370"/>
      <c r="O988" s="370"/>
      <c r="P988" s="371"/>
      <c r="Q988" s="365"/>
    </row>
    <row r="989" ht="22.5" customHeight="1">
      <c r="A989" s="146"/>
      <c r="B989" s="413"/>
      <c r="C989" s="367"/>
      <c r="D989" s="420"/>
      <c r="E989" s="405"/>
      <c r="F989" s="404"/>
      <c r="G989" s="352" t="str">
        <f>IFERROR(VLOOKUP(D989,'Client ID Records_v2'!D:E, 2, FALSE), "")</f>
        <v/>
      </c>
      <c r="H989" s="368" t="str">
        <f>IFERROR(VLOOKUP(G989,'Client ID Records_v2'!E:F, 2, FALSE), "")</f>
        <v/>
      </c>
      <c r="I989" s="352"/>
      <c r="J989" s="358" t="str">
        <f>IFERROR(VLOOKUP(I989,'Project Records_v2'!F:G, 2, FALSE), "")</f>
        <v/>
      </c>
      <c r="K989" s="143"/>
      <c r="L989" s="390"/>
      <c r="M989" s="419"/>
      <c r="N989" s="370"/>
      <c r="O989" s="370"/>
      <c r="P989" s="371"/>
      <c r="Q989" s="365"/>
    </row>
    <row r="990" ht="22.5" customHeight="1">
      <c r="A990" s="146"/>
      <c r="B990" s="413"/>
      <c r="C990" s="367"/>
      <c r="D990" s="420"/>
      <c r="E990" s="405"/>
      <c r="F990" s="404"/>
      <c r="G990" s="352" t="str">
        <f>IFERROR(VLOOKUP(D990,'Client ID Records_v2'!D:E, 2, FALSE), "")</f>
        <v/>
      </c>
      <c r="H990" s="368" t="str">
        <f>IFERROR(VLOOKUP(G990,'Client ID Records_v2'!E:F, 2, FALSE), "")</f>
        <v/>
      </c>
      <c r="I990" s="352"/>
      <c r="J990" s="358" t="str">
        <f>IFERROR(VLOOKUP(I990,'Project Records_v2'!F:G, 2, FALSE), "")</f>
        <v/>
      </c>
      <c r="K990" s="143"/>
      <c r="L990" s="390"/>
      <c r="M990" s="419"/>
      <c r="N990" s="370"/>
      <c r="O990" s="370"/>
      <c r="P990" s="371"/>
      <c r="Q990" s="365"/>
    </row>
    <row r="991" ht="22.5" customHeight="1">
      <c r="A991" s="146"/>
      <c r="B991" s="413"/>
      <c r="C991" s="367"/>
      <c r="D991" s="420"/>
      <c r="E991" s="405"/>
      <c r="F991" s="404"/>
      <c r="G991" s="352" t="str">
        <f>IFERROR(VLOOKUP(D991,'Client ID Records_v2'!D:E, 2, FALSE), "")</f>
        <v/>
      </c>
      <c r="H991" s="368" t="str">
        <f>IFERROR(VLOOKUP(G991,'Client ID Records_v2'!E:F, 2, FALSE), "")</f>
        <v/>
      </c>
      <c r="I991" s="352"/>
      <c r="J991" s="358" t="str">
        <f>IFERROR(VLOOKUP(I991,'Project Records_v2'!F:G, 2, FALSE), "")</f>
        <v/>
      </c>
      <c r="K991" s="143"/>
      <c r="L991" s="390"/>
      <c r="M991" s="419"/>
      <c r="N991" s="370"/>
      <c r="O991" s="370"/>
      <c r="P991" s="371"/>
      <c r="Q991" s="365"/>
    </row>
    <row r="992" ht="22.5" customHeight="1">
      <c r="A992" s="146"/>
      <c r="B992" s="413"/>
      <c r="C992" s="367"/>
      <c r="D992" s="420"/>
      <c r="E992" s="405"/>
      <c r="F992" s="404"/>
      <c r="G992" s="352" t="str">
        <f>IFERROR(VLOOKUP(D992,'Client ID Records_v2'!D:E, 2, FALSE), "")</f>
        <v/>
      </c>
      <c r="H992" s="368" t="str">
        <f>IFERROR(VLOOKUP(G992,'Client ID Records_v2'!E:F, 2, FALSE), "")</f>
        <v/>
      </c>
      <c r="I992" s="352"/>
      <c r="J992" s="358" t="str">
        <f>IFERROR(VLOOKUP(I992,'Project Records_v2'!F:G, 2, FALSE), "")</f>
        <v/>
      </c>
      <c r="K992" s="143"/>
      <c r="L992" s="390"/>
      <c r="M992" s="419"/>
      <c r="N992" s="370"/>
      <c r="O992" s="370"/>
      <c r="P992" s="371"/>
      <c r="Q992" s="365"/>
    </row>
    <row r="993" ht="22.5" customHeight="1">
      <c r="A993" s="146"/>
      <c r="B993" s="413"/>
      <c r="C993" s="367"/>
      <c r="D993" s="420"/>
      <c r="E993" s="405"/>
      <c r="F993" s="404"/>
      <c r="G993" s="352" t="str">
        <f>IFERROR(VLOOKUP(D993,'Client ID Records_v2'!D:E, 2, FALSE), "")</f>
        <v/>
      </c>
      <c r="H993" s="368" t="str">
        <f>IFERROR(VLOOKUP(G993,'Client ID Records_v2'!E:F, 2, FALSE), "")</f>
        <v/>
      </c>
      <c r="I993" s="352"/>
      <c r="J993" s="358" t="str">
        <f>IFERROR(VLOOKUP(I993,'Project Records_v2'!F:G, 2, FALSE), "")</f>
        <v/>
      </c>
      <c r="K993" s="143"/>
      <c r="L993" s="390"/>
      <c r="M993" s="419"/>
      <c r="N993" s="370"/>
      <c r="O993" s="370"/>
      <c r="P993" s="371"/>
      <c r="Q993" s="365"/>
    </row>
    <row r="994" ht="22.5" customHeight="1">
      <c r="A994" s="146"/>
      <c r="B994" s="413"/>
      <c r="C994" s="367"/>
      <c r="D994" s="420"/>
      <c r="E994" s="405"/>
      <c r="F994" s="404"/>
      <c r="G994" s="352" t="str">
        <f>IFERROR(VLOOKUP(D994,'Client ID Records_v2'!D:E, 2, FALSE), "")</f>
        <v/>
      </c>
      <c r="H994" s="368" t="str">
        <f>IFERROR(VLOOKUP(G994,'Client ID Records_v2'!E:F, 2, FALSE), "")</f>
        <v/>
      </c>
      <c r="I994" s="352"/>
      <c r="J994" s="358" t="str">
        <f>IFERROR(VLOOKUP(I994,'Project Records_v2'!F:G, 2, FALSE), "")</f>
        <v/>
      </c>
      <c r="K994" s="143"/>
      <c r="L994" s="390"/>
      <c r="M994" s="419"/>
      <c r="N994" s="370"/>
      <c r="O994" s="370"/>
      <c r="P994" s="371"/>
      <c r="Q994" s="365"/>
    </row>
    <row r="995" ht="22.5" customHeight="1">
      <c r="A995" s="146"/>
      <c r="B995" s="413"/>
      <c r="C995" s="367"/>
      <c r="D995" s="420"/>
      <c r="E995" s="405"/>
      <c r="F995" s="404"/>
      <c r="G995" s="352" t="str">
        <f>IFERROR(VLOOKUP(D995,'Client ID Records_v2'!D:E, 2, FALSE), "")</f>
        <v/>
      </c>
      <c r="H995" s="368" t="str">
        <f>IFERROR(VLOOKUP(G995,'Client ID Records_v2'!E:F, 2, FALSE), "")</f>
        <v/>
      </c>
      <c r="I995" s="352"/>
      <c r="J995" s="358" t="str">
        <f>IFERROR(VLOOKUP(I995,'Project Records_v2'!F:G, 2, FALSE), "")</f>
        <v/>
      </c>
      <c r="K995" s="143"/>
      <c r="L995" s="390"/>
      <c r="M995" s="419"/>
      <c r="N995" s="370"/>
      <c r="O995" s="370"/>
      <c r="P995" s="371"/>
      <c r="Q995" s="365"/>
    </row>
    <row r="996" ht="22.5" customHeight="1">
      <c r="A996" s="146"/>
      <c r="B996" s="413"/>
      <c r="C996" s="367"/>
      <c r="D996" s="420"/>
      <c r="E996" s="405"/>
      <c r="F996" s="404"/>
      <c r="G996" s="352" t="str">
        <f>IFERROR(VLOOKUP(D996,'Client ID Records_v2'!D:E, 2, FALSE), "")</f>
        <v/>
      </c>
      <c r="H996" s="368" t="str">
        <f>IFERROR(VLOOKUP(G996,'Client ID Records_v2'!E:F, 2, FALSE), "")</f>
        <v/>
      </c>
      <c r="I996" s="352"/>
      <c r="J996" s="358" t="str">
        <f>IFERROR(VLOOKUP(I996,'Project Records_v2'!F:G, 2, FALSE), "")</f>
        <v/>
      </c>
      <c r="K996" s="143"/>
      <c r="L996" s="390"/>
      <c r="M996" s="419"/>
      <c r="N996" s="370"/>
      <c r="O996" s="370"/>
      <c r="P996" s="371"/>
      <c r="Q996" s="365"/>
    </row>
    <row r="997" ht="22.5" customHeight="1">
      <c r="A997" s="146"/>
      <c r="B997" s="413"/>
      <c r="C997" s="367"/>
      <c r="D997" s="420"/>
      <c r="E997" s="405"/>
      <c r="F997" s="404"/>
      <c r="G997" s="352" t="str">
        <f>IFERROR(VLOOKUP(D997,'Client ID Records_v2'!D:E, 2, FALSE), "")</f>
        <v/>
      </c>
      <c r="H997" s="368" t="str">
        <f>IFERROR(VLOOKUP(G997,'Client ID Records_v2'!E:F, 2, FALSE), "")</f>
        <v/>
      </c>
      <c r="I997" s="352"/>
      <c r="J997" s="358" t="str">
        <f>IFERROR(VLOOKUP(I997,'Project Records_v2'!F:G, 2, FALSE), "")</f>
        <v/>
      </c>
      <c r="K997" s="143"/>
      <c r="L997" s="390"/>
      <c r="M997" s="419"/>
      <c r="N997" s="370"/>
      <c r="O997" s="370"/>
      <c r="P997" s="371"/>
      <c r="Q997" s="365"/>
    </row>
    <row r="998" ht="22.5" customHeight="1">
      <c r="A998" s="146"/>
      <c r="B998" s="413"/>
      <c r="C998" s="367"/>
      <c r="D998" s="420"/>
      <c r="E998" s="405"/>
      <c r="F998" s="404"/>
      <c r="G998" s="352" t="str">
        <f>IFERROR(VLOOKUP(D998,'Client ID Records_v2'!D:E, 2, FALSE), "")</f>
        <v/>
      </c>
      <c r="H998" s="368" t="str">
        <f>IFERROR(VLOOKUP(G998,'Client ID Records_v2'!E:F, 2, FALSE), "")</f>
        <v/>
      </c>
      <c r="I998" s="352"/>
      <c r="J998" s="358" t="str">
        <f>IFERROR(VLOOKUP(I998,'Project Records_v2'!F:G, 2, FALSE), "")</f>
        <v/>
      </c>
      <c r="K998" s="143"/>
      <c r="L998" s="390"/>
      <c r="M998" s="419"/>
      <c r="N998" s="370"/>
      <c r="O998" s="370"/>
      <c r="P998" s="371"/>
      <c r="Q998" s="365"/>
    </row>
    <row r="999" ht="22.5" customHeight="1">
      <c r="A999" s="146"/>
      <c r="B999" s="413"/>
      <c r="C999" s="367"/>
      <c r="D999" s="420"/>
      <c r="E999" s="405"/>
      <c r="F999" s="404"/>
      <c r="G999" s="352" t="str">
        <f>IFERROR(VLOOKUP(D999,'Client ID Records_v2'!D:E, 2, FALSE), "")</f>
        <v/>
      </c>
      <c r="H999" s="368" t="str">
        <f>IFERROR(VLOOKUP(G999,'Client ID Records_v2'!E:F, 2, FALSE), "")</f>
        <v/>
      </c>
      <c r="I999" s="352"/>
      <c r="J999" s="358" t="str">
        <f>IFERROR(VLOOKUP(I999,'Project Records_v2'!F:G, 2, FALSE), "")</f>
        <v/>
      </c>
      <c r="K999" s="143"/>
      <c r="L999" s="390"/>
      <c r="M999" s="419"/>
      <c r="N999" s="370"/>
      <c r="O999" s="370"/>
      <c r="P999" s="371"/>
      <c r="Q999" s="365"/>
    </row>
    <row r="1000" ht="22.5" customHeight="1">
      <c r="A1000" s="146"/>
      <c r="B1000" s="413"/>
      <c r="C1000" s="367"/>
      <c r="D1000" s="420"/>
      <c r="E1000" s="405"/>
      <c r="F1000" s="404"/>
      <c r="G1000" s="352" t="str">
        <f>IFERROR(VLOOKUP(D1000,'Client ID Records_v2'!D:E, 2, FALSE), "")</f>
        <v/>
      </c>
      <c r="H1000" s="368" t="str">
        <f>IFERROR(VLOOKUP(G1000,'Client ID Records_v2'!E:F, 2, FALSE), "")</f>
        <v/>
      </c>
      <c r="I1000" s="352"/>
      <c r="J1000" s="358" t="str">
        <f>IFERROR(VLOOKUP(I1000,'Project Records_v2'!F:G, 2, FALSE), "")</f>
        <v/>
      </c>
      <c r="K1000" s="143"/>
      <c r="L1000" s="390"/>
      <c r="M1000" s="419"/>
      <c r="N1000" s="370"/>
      <c r="O1000" s="370"/>
      <c r="P1000" s="371"/>
      <c r="Q1000" s="365"/>
    </row>
    <row r="1001" ht="22.5" customHeight="1">
      <c r="A1001" s="146"/>
      <c r="B1001" s="413"/>
      <c r="C1001" s="367"/>
      <c r="D1001" s="420"/>
      <c r="E1001" s="405"/>
      <c r="F1001" s="404"/>
      <c r="G1001" s="352" t="str">
        <f>IFERROR(VLOOKUP(D1001,'Client ID Records_v2'!D:E, 2, FALSE), "")</f>
        <v/>
      </c>
      <c r="H1001" s="368" t="str">
        <f>IFERROR(VLOOKUP(G1001,'Client ID Records_v2'!E:F, 2, FALSE), "")</f>
        <v/>
      </c>
      <c r="I1001" s="352"/>
      <c r="J1001" s="358" t="str">
        <f>IFERROR(VLOOKUP(I1001,'Project Records_v2'!F:G, 2, FALSE), "")</f>
        <v/>
      </c>
      <c r="K1001" s="143"/>
      <c r="L1001" s="390"/>
      <c r="M1001" s="419"/>
      <c r="N1001" s="370"/>
      <c r="O1001" s="370"/>
      <c r="P1001" s="371"/>
      <c r="Q1001" s="365"/>
    </row>
    <row r="1002" ht="22.5" customHeight="1">
      <c r="A1002" s="146"/>
      <c r="B1002" s="413"/>
      <c r="C1002" s="367"/>
      <c r="D1002" s="420"/>
      <c r="E1002" s="405"/>
      <c r="F1002" s="404"/>
      <c r="G1002" s="352" t="str">
        <f>IFERROR(VLOOKUP(D1002,'Client ID Records_v2'!D:E, 2, FALSE), "")</f>
        <v/>
      </c>
      <c r="H1002" s="368" t="str">
        <f>IFERROR(VLOOKUP(G1002,'Client ID Records_v2'!E:F, 2, FALSE), "")</f>
        <v/>
      </c>
      <c r="I1002" s="352"/>
      <c r="J1002" s="358" t="str">
        <f>IFERROR(VLOOKUP(I1002,'Project Records_v2'!F:G, 2, FALSE), "")</f>
        <v/>
      </c>
      <c r="K1002" s="143"/>
      <c r="L1002" s="390"/>
      <c r="M1002" s="419"/>
      <c r="N1002" s="370"/>
      <c r="O1002" s="370"/>
      <c r="P1002" s="371"/>
      <c r="Q1002" s="365"/>
    </row>
    <row r="1003" ht="22.5" customHeight="1">
      <c r="A1003" s="146"/>
      <c r="B1003" s="413"/>
      <c r="C1003" s="367"/>
      <c r="D1003" s="420"/>
      <c r="E1003" s="405"/>
      <c r="F1003" s="404"/>
      <c r="G1003" s="352" t="str">
        <f>IFERROR(VLOOKUP(D1003,'Client ID Records_v2'!D:E, 2, FALSE), "")</f>
        <v/>
      </c>
      <c r="H1003" s="368" t="str">
        <f>IFERROR(VLOOKUP(G1003,'Client ID Records_v2'!E:F, 2, FALSE), "")</f>
        <v/>
      </c>
      <c r="I1003" s="352"/>
      <c r="J1003" s="358" t="str">
        <f>IFERROR(VLOOKUP(I1003,'Project Records_v2'!F:G, 2, FALSE), "")</f>
        <v/>
      </c>
      <c r="K1003" s="143"/>
      <c r="L1003" s="390"/>
      <c r="M1003" s="419"/>
      <c r="N1003" s="370"/>
      <c r="O1003" s="370"/>
      <c r="P1003" s="371"/>
      <c r="Q1003" s="365"/>
    </row>
    <row r="1004" ht="22.5" customHeight="1">
      <c r="A1004" s="146"/>
      <c r="B1004" s="413"/>
      <c r="C1004" s="367"/>
      <c r="D1004" s="420"/>
      <c r="E1004" s="405"/>
      <c r="F1004" s="404"/>
      <c r="G1004" s="352" t="str">
        <f>IFERROR(VLOOKUP(D1004,'Client ID Records_v2'!D:E, 2, FALSE), "")</f>
        <v/>
      </c>
      <c r="H1004" s="368" t="str">
        <f>IFERROR(VLOOKUP(G1004,'Client ID Records_v2'!E:F, 2, FALSE), "")</f>
        <v/>
      </c>
      <c r="I1004" s="352"/>
      <c r="J1004" s="358" t="str">
        <f>IFERROR(VLOOKUP(I1004,'Project Records_v2'!F:G, 2, FALSE), "")</f>
        <v/>
      </c>
      <c r="K1004" s="143"/>
      <c r="L1004" s="390"/>
      <c r="M1004" s="419"/>
      <c r="N1004" s="370"/>
      <c r="O1004" s="370"/>
      <c r="P1004" s="371"/>
      <c r="Q1004" s="365"/>
    </row>
    <row r="1005" ht="22.5" customHeight="1">
      <c r="A1005" s="146"/>
      <c r="B1005" s="413"/>
      <c r="C1005" s="367"/>
      <c r="D1005" s="420"/>
      <c r="E1005" s="405"/>
      <c r="F1005" s="404"/>
      <c r="G1005" s="352" t="str">
        <f>IFERROR(VLOOKUP(D1005,'Client ID Records_v2'!D:E, 2, FALSE), "")</f>
        <v/>
      </c>
      <c r="H1005" s="368" t="str">
        <f>IFERROR(VLOOKUP(G1005,'Client ID Records_v2'!E:F, 2, FALSE), "")</f>
        <v/>
      </c>
      <c r="I1005" s="352"/>
      <c r="J1005" s="358" t="str">
        <f>IFERROR(VLOOKUP(I1005,'Project Records_v2'!F:G, 2, FALSE), "")</f>
        <v/>
      </c>
      <c r="K1005" s="143"/>
      <c r="L1005" s="390"/>
      <c r="M1005" s="419"/>
      <c r="N1005" s="370"/>
      <c r="O1005" s="370"/>
      <c r="P1005" s="371"/>
      <c r="Q1005" s="365"/>
    </row>
    <row r="1006" ht="22.5" customHeight="1">
      <c r="A1006" s="146"/>
      <c r="B1006" s="413"/>
      <c r="C1006" s="367"/>
      <c r="D1006" s="420"/>
      <c r="E1006" s="405"/>
      <c r="F1006" s="404"/>
      <c r="G1006" s="352" t="str">
        <f>IFERROR(VLOOKUP(D1006,'Client ID Records_v2'!D:E, 2, FALSE), "")</f>
        <v/>
      </c>
      <c r="H1006" s="368" t="str">
        <f>IFERROR(VLOOKUP(G1006,'Client ID Records_v2'!E:F, 2, FALSE), "")</f>
        <v/>
      </c>
      <c r="I1006" s="352"/>
      <c r="J1006" s="358" t="str">
        <f>IFERROR(VLOOKUP(I1006,'Project Records_v2'!F:G, 2, FALSE), "")</f>
        <v/>
      </c>
      <c r="K1006" s="143"/>
      <c r="L1006" s="390"/>
      <c r="M1006" s="419"/>
      <c r="N1006" s="370"/>
      <c r="O1006" s="370"/>
      <c r="P1006" s="371"/>
      <c r="Q1006" s="365"/>
    </row>
    <row r="1007" ht="22.5" customHeight="1">
      <c r="A1007" s="146"/>
      <c r="B1007" s="413"/>
      <c r="C1007" s="367"/>
      <c r="D1007" s="420"/>
      <c r="E1007" s="405"/>
      <c r="F1007" s="404"/>
      <c r="G1007" s="352" t="str">
        <f>IFERROR(VLOOKUP(D1007,'Client ID Records_v2'!D:E, 2, FALSE), "")</f>
        <v/>
      </c>
      <c r="H1007" s="368" t="str">
        <f>IFERROR(VLOOKUP(G1007,'Client ID Records_v2'!E:F, 2, FALSE), "")</f>
        <v/>
      </c>
      <c r="I1007" s="352"/>
      <c r="J1007" s="358" t="str">
        <f>IFERROR(VLOOKUP(I1007,'Project Records_v2'!F:G, 2, FALSE), "")</f>
        <v/>
      </c>
      <c r="K1007" s="143"/>
      <c r="L1007" s="390"/>
      <c r="M1007" s="419"/>
      <c r="N1007" s="370"/>
      <c r="O1007" s="370"/>
      <c r="P1007" s="371"/>
      <c r="Q1007" s="365"/>
    </row>
    <row r="1008" ht="22.5" customHeight="1">
      <c r="A1008" s="146"/>
      <c r="B1008" s="413"/>
      <c r="C1008" s="367"/>
      <c r="D1008" s="420"/>
      <c r="E1008" s="405"/>
      <c r="F1008" s="404"/>
      <c r="G1008" s="352" t="str">
        <f>IFERROR(VLOOKUP(D1008,'Client ID Records_v2'!D:E, 2, FALSE), "")</f>
        <v/>
      </c>
      <c r="H1008" s="368" t="str">
        <f>IFERROR(VLOOKUP(G1008,'Client ID Records_v2'!E:F, 2, FALSE), "")</f>
        <v/>
      </c>
      <c r="I1008" s="352"/>
      <c r="J1008" s="358" t="str">
        <f>IFERROR(VLOOKUP(I1008,'Project Records_v2'!F:G, 2, FALSE), "")</f>
        <v/>
      </c>
      <c r="K1008" s="143"/>
      <c r="L1008" s="390"/>
      <c r="M1008" s="419"/>
      <c r="N1008" s="370"/>
      <c r="O1008" s="370"/>
      <c r="P1008" s="371"/>
      <c r="Q1008" s="365"/>
    </row>
    <row r="1009" ht="22.5" customHeight="1">
      <c r="A1009" s="146"/>
      <c r="B1009" s="413"/>
      <c r="C1009" s="367"/>
      <c r="D1009" s="420"/>
      <c r="E1009" s="405"/>
      <c r="F1009" s="404"/>
      <c r="G1009" s="352" t="str">
        <f>IFERROR(VLOOKUP(D1009,'Client ID Records_v2'!D:E, 2, FALSE), "")</f>
        <v/>
      </c>
      <c r="H1009" s="368" t="str">
        <f>IFERROR(VLOOKUP(G1009,'Client ID Records_v2'!E:F, 2, FALSE), "")</f>
        <v/>
      </c>
      <c r="I1009" s="352"/>
      <c r="J1009" s="358" t="str">
        <f>IFERROR(VLOOKUP(I1009,'Project Records_v2'!F:G, 2, FALSE), "")</f>
        <v/>
      </c>
      <c r="K1009" s="143"/>
      <c r="L1009" s="390"/>
      <c r="M1009" s="419"/>
      <c r="N1009" s="370"/>
      <c r="O1009" s="370"/>
      <c r="P1009" s="371"/>
      <c r="Q1009" s="365"/>
    </row>
    <row r="1010" ht="22.5" customHeight="1">
      <c r="A1010" s="146"/>
      <c r="B1010" s="413"/>
      <c r="C1010" s="367"/>
      <c r="D1010" s="420"/>
      <c r="E1010" s="405"/>
      <c r="F1010" s="404"/>
      <c r="G1010" s="352" t="str">
        <f>IFERROR(VLOOKUP(D1010,'Client ID Records_v2'!D:E, 2, FALSE), "")</f>
        <v/>
      </c>
      <c r="H1010" s="368" t="str">
        <f>IFERROR(VLOOKUP(G1010,'Client ID Records_v2'!E:F, 2, FALSE), "")</f>
        <v/>
      </c>
      <c r="I1010" s="352"/>
      <c r="J1010" s="358" t="str">
        <f>IFERROR(VLOOKUP(I1010,'Project Records_v2'!F:G, 2, FALSE), "")</f>
        <v/>
      </c>
      <c r="K1010" s="143"/>
      <c r="L1010" s="390"/>
      <c r="M1010" s="419"/>
      <c r="N1010" s="370"/>
      <c r="O1010" s="370"/>
      <c r="P1010" s="371"/>
      <c r="Q1010" s="365"/>
    </row>
    <row r="1011" ht="22.5" customHeight="1">
      <c r="A1011" s="146"/>
      <c r="B1011" s="413"/>
      <c r="C1011" s="367"/>
      <c r="D1011" s="420"/>
      <c r="E1011" s="405"/>
      <c r="F1011" s="404"/>
      <c r="G1011" s="352" t="str">
        <f>IFERROR(VLOOKUP(D1011,'Client ID Records_v2'!D:E, 2, FALSE), "")</f>
        <v/>
      </c>
      <c r="H1011" s="368" t="str">
        <f>IFERROR(VLOOKUP(G1011,'Client ID Records_v2'!E:F, 2, FALSE), "")</f>
        <v/>
      </c>
      <c r="I1011" s="352"/>
      <c r="J1011" s="358" t="str">
        <f>IFERROR(VLOOKUP(I1011,'Project Records_v2'!F:G, 2, FALSE), "")</f>
        <v/>
      </c>
      <c r="K1011" s="143"/>
      <c r="L1011" s="390"/>
      <c r="M1011" s="419"/>
      <c r="N1011" s="370"/>
      <c r="O1011" s="370"/>
      <c r="P1011" s="371"/>
      <c r="Q1011" s="365"/>
    </row>
    <row r="1012" ht="22.5" customHeight="1">
      <c r="A1012" s="146"/>
      <c r="B1012" s="413"/>
      <c r="C1012" s="367"/>
      <c r="D1012" s="420"/>
      <c r="E1012" s="405"/>
      <c r="F1012" s="404"/>
      <c r="G1012" s="352" t="str">
        <f>IFERROR(VLOOKUP(D1012,'Client ID Records_v2'!D:E, 2, FALSE), "")</f>
        <v/>
      </c>
      <c r="H1012" s="368" t="str">
        <f>IFERROR(VLOOKUP(G1012,'Client ID Records_v2'!E:F, 2, FALSE), "")</f>
        <v/>
      </c>
      <c r="I1012" s="352"/>
      <c r="J1012" s="358" t="str">
        <f>IFERROR(VLOOKUP(I1012,'Project Records_v2'!F:G, 2, FALSE), "")</f>
        <v/>
      </c>
      <c r="K1012" s="143"/>
      <c r="L1012" s="390"/>
      <c r="M1012" s="419"/>
      <c r="N1012" s="370"/>
      <c r="O1012" s="370"/>
      <c r="P1012" s="371"/>
      <c r="Q1012" s="365"/>
    </row>
    <row r="1013" ht="22.5" customHeight="1">
      <c r="A1013" s="146"/>
      <c r="B1013" s="413"/>
      <c r="C1013" s="367"/>
      <c r="D1013" s="420"/>
      <c r="E1013" s="405"/>
      <c r="F1013" s="404"/>
      <c r="G1013" s="352" t="str">
        <f>IFERROR(VLOOKUP(D1013,'Client ID Records_v2'!D:E, 2, FALSE), "")</f>
        <v/>
      </c>
      <c r="H1013" s="368" t="str">
        <f>IFERROR(VLOOKUP(G1013,'Client ID Records_v2'!E:F, 2, FALSE), "")</f>
        <v/>
      </c>
      <c r="I1013" s="352"/>
      <c r="J1013" s="358" t="str">
        <f>IFERROR(VLOOKUP(I1013,'Project Records_v2'!F:G, 2, FALSE), "")</f>
        <v/>
      </c>
      <c r="K1013" s="143"/>
      <c r="L1013" s="390"/>
      <c r="M1013" s="419"/>
      <c r="N1013" s="370"/>
      <c r="O1013" s="370"/>
      <c r="P1013" s="371"/>
      <c r="Q1013" s="365"/>
    </row>
    <row r="1014" ht="22.5" customHeight="1">
      <c r="A1014" s="146"/>
      <c r="B1014" s="413"/>
      <c r="C1014" s="367"/>
      <c r="D1014" s="420"/>
      <c r="E1014" s="405"/>
      <c r="F1014" s="404"/>
      <c r="G1014" s="352" t="str">
        <f>IFERROR(VLOOKUP(D1014,'Client ID Records_v2'!D:E, 2, FALSE), "")</f>
        <v/>
      </c>
      <c r="H1014" s="368" t="str">
        <f>IFERROR(VLOOKUP(G1014,'Client ID Records_v2'!E:F, 2, FALSE), "")</f>
        <v/>
      </c>
      <c r="I1014" s="352"/>
      <c r="J1014" s="358" t="str">
        <f>IFERROR(VLOOKUP(I1014,'Project Records_v2'!F:G, 2, FALSE), "")</f>
        <v/>
      </c>
      <c r="K1014" s="143"/>
      <c r="L1014" s="390"/>
      <c r="M1014" s="419"/>
      <c r="N1014" s="370"/>
      <c r="O1014" s="370"/>
      <c r="P1014" s="371"/>
      <c r="Q1014" s="365"/>
    </row>
    <row r="1015" ht="22.5" customHeight="1">
      <c r="A1015" s="146"/>
      <c r="B1015" s="413"/>
      <c r="C1015" s="367"/>
      <c r="D1015" s="420"/>
      <c r="E1015" s="405"/>
      <c r="F1015" s="404"/>
      <c r="G1015" s="352" t="str">
        <f>IFERROR(VLOOKUP(D1015,'Client ID Records_v2'!D:E, 2, FALSE), "")</f>
        <v/>
      </c>
      <c r="H1015" s="368" t="str">
        <f>IFERROR(VLOOKUP(G1015,'Client ID Records_v2'!E:F, 2, FALSE), "")</f>
        <v/>
      </c>
      <c r="I1015" s="352"/>
      <c r="J1015" s="358" t="str">
        <f>IFERROR(VLOOKUP(I1015,'Project Records_v2'!F:G, 2, FALSE), "")</f>
        <v/>
      </c>
      <c r="K1015" s="143"/>
      <c r="L1015" s="390"/>
      <c r="M1015" s="419"/>
      <c r="N1015" s="370"/>
      <c r="O1015" s="370"/>
      <c r="P1015" s="371"/>
      <c r="Q1015" s="365"/>
    </row>
    <row r="1016" ht="22.5" customHeight="1">
      <c r="A1016" s="146"/>
      <c r="B1016" s="413"/>
      <c r="C1016" s="367"/>
      <c r="D1016" s="420"/>
      <c r="E1016" s="405"/>
      <c r="F1016" s="404"/>
      <c r="G1016" s="352" t="str">
        <f>IFERROR(VLOOKUP(D1016,'Client ID Records_v2'!D:E, 2, FALSE), "")</f>
        <v/>
      </c>
      <c r="H1016" s="368" t="str">
        <f>IFERROR(VLOOKUP(G1016,'Client ID Records_v2'!E:F, 2, FALSE), "")</f>
        <v/>
      </c>
      <c r="I1016" s="352"/>
      <c r="J1016" s="358" t="str">
        <f>IFERROR(VLOOKUP(I1016,'Project Records_v2'!F:G, 2, FALSE), "")</f>
        <v/>
      </c>
      <c r="K1016" s="143"/>
      <c r="L1016" s="390"/>
      <c r="M1016" s="419"/>
      <c r="N1016" s="370"/>
      <c r="O1016" s="370"/>
      <c r="P1016" s="371"/>
      <c r="Q1016" s="365"/>
    </row>
    <row r="1017" ht="22.5" customHeight="1">
      <c r="A1017" s="146"/>
      <c r="B1017" s="413"/>
      <c r="C1017" s="367"/>
      <c r="D1017" s="420"/>
      <c r="E1017" s="405"/>
      <c r="F1017" s="404"/>
      <c r="G1017" s="352" t="str">
        <f>IFERROR(VLOOKUP(D1017,'Client ID Records_v2'!D:E, 2, FALSE), "")</f>
        <v/>
      </c>
      <c r="H1017" s="368" t="str">
        <f>IFERROR(VLOOKUP(G1017,'Client ID Records_v2'!E:F, 2, FALSE), "")</f>
        <v/>
      </c>
      <c r="I1017" s="352"/>
      <c r="J1017" s="358" t="str">
        <f>IFERROR(VLOOKUP(I1017,'Project Records_v2'!F:G, 2, FALSE), "")</f>
        <v/>
      </c>
      <c r="K1017" s="143"/>
      <c r="L1017" s="390"/>
      <c r="M1017" s="419"/>
      <c r="N1017" s="370"/>
      <c r="O1017" s="370"/>
      <c r="P1017" s="371"/>
      <c r="Q1017" s="365"/>
    </row>
    <row r="1018" ht="22.5" customHeight="1">
      <c r="A1018" s="146"/>
      <c r="B1018" s="413"/>
      <c r="C1018" s="367"/>
      <c r="D1018" s="420"/>
      <c r="E1018" s="405"/>
      <c r="F1018" s="404"/>
      <c r="G1018" s="352" t="str">
        <f>IFERROR(VLOOKUP(D1018,'Client ID Records_v2'!D:E, 2, FALSE), "")</f>
        <v/>
      </c>
      <c r="H1018" s="368" t="str">
        <f>IFERROR(VLOOKUP(G1018,'Client ID Records_v2'!E:F, 2, FALSE), "")</f>
        <v/>
      </c>
      <c r="I1018" s="352"/>
      <c r="J1018" s="358" t="str">
        <f>IFERROR(VLOOKUP(I1018,'Project Records_v2'!F:G, 2, FALSE), "")</f>
        <v/>
      </c>
      <c r="K1018" s="143"/>
      <c r="L1018" s="390"/>
      <c r="M1018" s="419"/>
      <c r="N1018" s="370"/>
      <c r="O1018" s="370"/>
      <c r="P1018" s="371"/>
      <c r="Q1018" s="365"/>
    </row>
    <row r="1019" ht="22.5" customHeight="1">
      <c r="A1019" s="146"/>
      <c r="B1019" s="413"/>
      <c r="C1019" s="367"/>
      <c r="D1019" s="420"/>
      <c r="E1019" s="405"/>
      <c r="F1019" s="404"/>
      <c r="G1019" s="352" t="str">
        <f>IFERROR(VLOOKUP(D1019,'Client ID Records_v2'!D:E, 2, FALSE), "")</f>
        <v/>
      </c>
      <c r="H1019" s="368" t="str">
        <f>IFERROR(VLOOKUP(G1019,'Client ID Records_v2'!E:F, 2, FALSE), "")</f>
        <v/>
      </c>
      <c r="I1019" s="352"/>
      <c r="J1019" s="358" t="str">
        <f>IFERROR(VLOOKUP(I1019,'Project Records_v2'!F:G, 2, FALSE), "")</f>
        <v/>
      </c>
      <c r="K1019" s="143"/>
      <c r="L1019" s="390"/>
      <c r="M1019" s="419"/>
      <c r="N1019" s="370"/>
      <c r="O1019" s="370"/>
      <c r="P1019" s="371"/>
      <c r="Q1019" s="365"/>
    </row>
    <row r="1020" ht="22.5" customHeight="1">
      <c r="A1020" s="146"/>
      <c r="B1020" s="413"/>
      <c r="C1020" s="367"/>
      <c r="D1020" s="420"/>
      <c r="E1020" s="405"/>
      <c r="F1020" s="404"/>
      <c r="G1020" s="352" t="str">
        <f>IFERROR(VLOOKUP(D1020,'Client ID Records_v2'!D:E, 2, FALSE), "")</f>
        <v/>
      </c>
      <c r="H1020" s="368" t="str">
        <f>IFERROR(VLOOKUP(G1020,'Client ID Records_v2'!E:F, 2, FALSE), "")</f>
        <v/>
      </c>
      <c r="I1020" s="352"/>
      <c r="J1020" s="358" t="str">
        <f>IFERROR(VLOOKUP(I1020,'Project Records_v2'!F:G, 2, FALSE), "")</f>
        <v/>
      </c>
      <c r="K1020" s="143"/>
      <c r="L1020" s="390"/>
      <c r="M1020" s="419"/>
      <c r="N1020" s="370"/>
      <c r="O1020" s="370"/>
      <c r="P1020" s="371"/>
      <c r="Q1020" s="365"/>
    </row>
    <row r="1021" ht="22.5" customHeight="1">
      <c r="A1021" s="146"/>
      <c r="B1021" s="413"/>
      <c r="C1021" s="367"/>
      <c r="D1021" s="420"/>
      <c r="E1021" s="405"/>
      <c r="F1021" s="404"/>
      <c r="G1021" s="352" t="str">
        <f>IFERROR(VLOOKUP(D1021,'Client ID Records_v2'!D:E, 2, FALSE), "")</f>
        <v/>
      </c>
      <c r="H1021" s="368" t="str">
        <f>IFERROR(VLOOKUP(G1021,'Client ID Records_v2'!E:F, 2, FALSE), "")</f>
        <v/>
      </c>
      <c r="I1021" s="352"/>
      <c r="J1021" s="358" t="str">
        <f>IFERROR(VLOOKUP(I1021,'Project Records_v2'!F:G, 2, FALSE), "")</f>
        <v/>
      </c>
      <c r="K1021" s="143"/>
      <c r="L1021" s="390"/>
      <c r="M1021" s="419"/>
      <c r="N1021" s="370"/>
      <c r="O1021" s="370"/>
      <c r="P1021" s="371"/>
      <c r="Q1021" s="365"/>
    </row>
    <row r="1022" ht="22.5" customHeight="1">
      <c r="A1022" s="146"/>
      <c r="B1022" s="413"/>
      <c r="C1022" s="367"/>
      <c r="D1022" s="420"/>
      <c r="E1022" s="405"/>
      <c r="F1022" s="404"/>
      <c r="G1022" s="352" t="str">
        <f>IFERROR(VLOOKUP(D1022,'Client ID Records_v2'!D:E, 2, FALSE), "")</f>
        <v/>
      </c>
      <c r="H1022" s="368" t="str">
        <f>IFERROR(VLOOKUP(G1022,'Client ID Records_v2'!E:F, 2, FALSE), "")</f>
        <v/>
      </c>
      <c r="I1022" s="352"/>
      <c r="J1022" s="358" t="str">
        <f>IFERROR(VLOOKUP(I1022,'Project Records_v2'!F:G, 2, FALSE), "")</f>
        <v/>
      </c>
      <c r="K1022" s="143"/>
      <c r="L1022" s="390"/>
      <c r="M1022" s="419"/>
      <c r="N1022" s="370"/>
      <c r="O1022" s="370"/>
      <c r="P1022" s="371"/>
      <c r="Q1022" s="365"/>
    </row>
    <row r="1023" ht="22.5" customHeight="1">
      <c r="A1023" s="146"/>
      <c r="B1023" s="413"/>
      <c r="C1023" s="367"/>
      <c r="D1023" s="420"/>
      <c r="E1023" s="405"/>
      <c r="F1023" s="404"/>
      <c r="G1023" s="352" t="str">
        <f>IFERROR(VLOOKUP(D1023,'Client ID Records_v2'!D:E, 2, FALSE), "")</f>
        <v/>
      </c>
      <c r="H1023" s="368" t="str">
        <f>IFERROR(VLOOKUP(G1023,'Client ID Records_v2'!E:F, 2, FALSE), "")</f>
        <v/>
      </c>
      <c r="I1023" s="352"/>
      <c r="J1023" s="358" t="str">
        <f>IFERROR(VLOOKUP(I1023,'Project Records_v2'!F:G, 2, FALSE), "")</f>
        <v/>
      </c>
      <c r="K1023" s="143"/>
      <c r="L1023" s="390"/>
      <c r="M1023" s="419"/>
      <c r="N1023" s="370"/>
      <c r="O1023" s="370"/>
      <c r="P1023" s="371"/>
      <c r="Q1023" s="365"/>
    </row>
    <row r="1024" ht="22.5" customHeight="1">
      <c r="A1024" s="146"/>
      <c r="B1024" s="413"/>
      <c r="C1024" s="367"/>
      <c r="D1024" s="420"/>
      <c r="E1024" s="405"/>
      <c r="F1024" s="404"/>
      <c r="G1024" s="352" t="str">
        <f>IFERROR(VLOOKUP(D1024,'Client ID Records_v2'!D:E, 2, FALSE), "")</f>
        <v/>
      </c>
      <c r="H1024" s="368" t="str">
        <f>IFERROR(VLOOKUP(G1024,'Client ID Records_v2'!E:F, 2, FALSE), "")</f>
        <v/>
      </c>
      <c r="I1024" s="352"/>
      <c r="J1024" s="358" t="str">
        <f>IFERROR(VLOOKUP(I1024,'Project Records_v2'!F:G, 2, FALSE), "")</f>
        <v/>
      </c>
      <c r="K1024" s="143"/>
      <c r="L1024" s="390"/>
      <c r="M1024" s="419"/>
      <c r="N1024" s="370"/>
      <c r="O1024" s="370"/>
      <c r="P1024" s="371"/>
      <c r="Q1024" s="365"/>
    </row>
    <row r="1025" ht="22.5" customHeight="1">
      <c r="A1025" s="146"/>
      <c r="B1025" s="413"/>
      <c r="C1025" s="367"/>
      <c r="D1025" s="420"/>
      <c r="E1025" s="405"/>
      <c r="F1025" s="404"/>
      <c r="G1025" s="352" t="str">
        <f>IFERROR(VLOOKUP(D1025,'Client ID Records_v2'!D:E, 2, FALSE), "")</f>
        <v/>
      </c>
      <c r="H1025" s="368" t="str">
        <f>IFERROR(VLOOKUP(G1025,'Client ID Records_v2'!E:F, 2, FALSE), "")</f>
        <v/>
      </c>
      <c r="I1025" s="352"/>
      <c r="J1025" s="358" t="str">
        <f>IFERROR(VLOOKUP(I1025,'Project Records_v2'!F:G, 2, FALSE), "")</f>
        <v/>
      </c>
      <c r="K1025" s="143"/>
      <c r="L1025" s="390"/>
      <c r="M1025" s="419"/>
      <c r="N1025" s="370"/>
      <c r="O1025" s="370"/>
      <c r="P1025" s="371"/>
      <c r="Q1025" s="365"/>
    </row>
    <row r="1026" ht="22.5" customHeight="1">
      <c r="A1026" s="146"/>
      <c r="B1026" s="413"/>
      <c r="C1026" s="367"/>
      <c r="D1026" s="420"/>
      <c r="E1026" s="405"/>
      <c r="F1026" s="404"/>
      <c r="G1026" s="352" t="str">
        <f>IFERROR(VLOOKUP(D1026,'Client ID Records_v2'!D:E, 2, FALSE), "")</f>
        <v/>
      </c>
      <c r="H1026" s="368" t="str">
        <f>IFERROR(VLOOKUP(G1026,'Client ID Records_v2'!E:F, 2, FALSE), "")</f>
        <v/>
      </c>
      <c r="I1026" s="352"/>
      <c r="J1026" s="358" t="str">
        <f>IFERROR(VLOOKUP(I1026,'Project Records_v2'!F:G, 2, FALSE), "")</f>
        <v/>
      </c>
      <c r="K1026" s="143"/>
      <c r="L1026" s="390"/>
      <c r="M1026" s="419"/>
      <c r="N1026" s="370"/>
      <c r="O1026" s="370"/>
      <c r="P1026" s="371"/>
      <c r="Q1026" s="365"/>
    </row>
    <row r="1027" ht="22.5" customHeight="1">
      <c r="A1027" s="146"/>
      <c r="B1027" s="413"/>
      <c r="C1027" s="367"/>
      <c r="D1027" s="420"/>
      <c r="E1027" s="405"/>
      <c r="F1027" s="404"/>
      <c r="G1027" s="352" t="str">
        <f>IFERROR(VLOOKUP(D1027,'Client ID Records_v2'!D:E, 2, FALSE), "")</f>
        <v/>
      </c>
      <c r="H1027" s="368" t="str">
        <f>IFERROR(VLOOKUP(G1027,'Client ID Records_v2'!E:F, 2, FALSE), "")</f>
        <v/>
      </c>
      <c r="I1027" s="352"/>
      <c r="J1027" s="358" t="str">
        <f>IFERROR(VLOOKUP(I1027,'Project Records_v2'!F:G, 2, FALSE), "")</f>
        <v/>
      </c>
      <c r="K1027" s="143"/>
      <c r="L1027" s="390"/>
      <c r="M1027" s="419"/>
      <c r="N1027" s="370"/>
      <c r="O1027" s="370"/>
      <c r="P1027" s="371"/>
      <c r="Q1027" s="365"/>
    </row>
    <row r="1028" ht="22.5" customHeight="1">
      <c r="A1028" s="146"/>
      <c r="B1028" s="413"/>
      <c r="C1028" s="367"/>
      <c r="D1028" s="420"/>
      <c r="E1028" s="405"/>
      <c r="F1028" s="404"/>
      <c r="G1028" s="352" t="str">
        <f>IFERROR(VLOOKUP(D1028,'Client ID Records_v2'!D:E, 2, FALSE), "")</f>
        <v/>
      </c>
      <c r="H1028" s="368" t="str">
        <f>IFERROR(VLOOKUP(G1028,'Client ID Records_v2'!E:F, 2, FALSE), "")</f>
        <v/>
      </c>
      <c r="I1028" s="352"/>
      <c r="J1028" s="358" t="str">
        <f>IFERROR(VLOOKUP(I1028,'Project Records_v2'!F:G, 2, FALSE), "")</f>
        <v/>
      </c>
      <c r="K1028" s="143"/>
      <c r="L1028" s="390"/>
      <c r="M1028" s="419"/>
      <c r="N1028" s="370"/>
      <c r="O1028" s="370"/>
      <c r="P1028" s="371"/>
      <c r="Q1028" s="365"/>
    </row>
    <row r="1029" ht="22.5" customHeight="1">
      <c r="A1029" s="146"/>
      <c r="B1029" s="413"/>
      <c r="C1029" s="367"/>
      <c r="D1029" s="420"/>
      <c r="E1029" s="405"/>
      <c r="F1029" s="404"/>
      <c r="G1029" s="352" t="str">
        <f>IFERROR(VLOOKUP(D1029,'Client ID Records_v2'!D:E, 2, FALSE), "")</f>
        <v/>
      </c>
      <c r="H1029" s="368" t="str">
        <f>IFERROR(VLOOKUP(G1029,'Client ID Records_v2'!E:F, 2, FALSE), "")</f>
        <v/>
      </c>
      <c r="I1029" s="352"/>
      <c r="J1029" s="358" t="str">
        <f>IFERROR(VLOOKUP(I1029,'Project Records_v2'!F:G, 2, FALSE), "")</f>
        <v/>
      </c>
      <c r="K1029" s="143"/>
      <c r="L1029" s="390"/>
      <c r="M1029" s="419"/>
      <c r="N1029" s="370"/>
      <c r="O1029" s="370"/>
      <c r="P1029" s="371"/>
      <c r="Q1029" s="365"/>
    </row>
    <row r="1030" ht="22.5" customHeight="1">
      <c r="A1030" s="146"/>
      <c r="B1030" s="413"/>
      <c r="C1030" s="367"/>
      <c r="D1030" s="420"/>
      <c r="E1030" s="405"/>
      <c r="F1030" s="404"/>
      <c r="G1030" s="352" t="str">
        <f>IFERROR(VLOOKUP(D1030,'Client ID Records_v2'!D:E, 2, FALSE), "")</f>
        <v/>
      </c>
      <c r="H1030" s="368" t="str">
        <f>IFERROR(VLOOKUP(G1030,'Client ID Records_v2'!E:F, 2, FALSE), "")</f>
        <v/>
      </c>
      <c r="I1030" s="352"/>
      <c r="J1030" s="358" t="str">
        <f>IFERROR(VLOOKUP(I1030,'Project Records_v2'!F:G, 2, FALSE), "")</f>
        <v/>
      </c>
      <c r="K1030" s="143"/>
      <c r="L1030" s="390"/>
      <c r="M1030" s="419"/>
      <c r="N1030" s="370"/>
      <c r="O1030" s="370"/>
      <c r="P1030" s="371"/>
      <c r="Q1030" s="365"/>
    </row>
    <row r="1031" ht="22.5" customHeight="1">
      <c r="A1031" s="146"/>
      <c r="B1031" s="413"/>
      <c r="C1031" s="367"/>
      <c r="D1031" s="420"/>
      <c r="E1031" s="405"/>
      <c r="F1031" s="404"/>
      <c r="G1031" s="352" t="str">
        <f>IFERROR(VLOOKUP(D1031,'Client ID Records_v2'!D:E, 2, FALSE), "")</f>
        <v/>
      </c>
      <c r="H1031" s="368" t="str">
        <f>IFERROR(VLOOKUP(G1031,'Client ID Records_v2'!E:F, 2, FALSE), "")</f>
        <v/>
      </c>
      <c r="I1031" s="352"/>
      <c r="J1031" s="358" t="str">
        <f>IFERROR(VLOOKUP(I1031,'Project Records_v2'!F:G, 2, FALSE), "")</f>
        <v/>
      </c>
      <c r="K1031" s="143"/>
      <c r="L1031" s="390"/>
      <c r="M1031" s="419"/>
      <c r="N1031" s="370"/>
      <c r="O1031" s="370"/>
      <c r="P1031" s="371"/>
      <c r="Q1031" s="365"/>
    </row>
    <row r="1032" ht="22.5" customHeight="1">
      <c r="A1032" s="146"/>
      <c r="B1032" s="413"/>
      <c r="C1032" s="367"/>
      <c r="D1032" s="420"/>
      <c r="E1032" s="405"/>
      <c r="F1032" s="404"/>
      <c r="G1032" s="352" t="str">
        <f>IFERROR(VLOOKUP(D1032,'Client ID Records_v2'!D:E, 2, FALSE), "")</f>
        <v/>
      </c>
      <c r="H1032" s="368" t="str">
        <f>IFERROR(VLOOKUP(G1032,'Client ID Records_v2'!E:F, 2, FALSE), "")</f>
        <v/>
      </c>
      <c r="I1032" s="352"/>
      <c r="J1032" s="358" t="str">
        <f>IFERROR(VLOOKUP(I1032,'Project Records_v2'!F:G, 2, FALSE), "")</f>
        <v/>
      </c>
      <c r="K1032" s="143"/>
      <c r="L1032" s="390"/>
      <c r="M1032" s="419"/>
      <c r="N1032" s="370"/>
      <c r="O1032" s="370"/>
      <c r="P1032" s="371"/>
      <c r="Q1032" s="365"/>
    </row>
    <row r="1033" ht="22.5" customHeight="1">
      <c r="A1033" s="146"/>
      <c r="B1033" s="413"/>
      <c r="C1033" s="367"/>
      <c r="D1033" s="420"/>
      <c r="E1033" s="405"/>
      <c r="F1033" s="404"/>
      <c r="G1033" s="352" t="str">
        <f>IFERROR(VLOOKUP(D1033,'Client ID Records_v2'!D:E, 2, FALSE), "")</f>
        <v/>
      </c>
      <c r="H1033" s="368" t="str">
        <f>IFERROR(VLOOKUP(G1033,'Client ID Records_v2'!E:F, 2, FALSE), "")</f>
        <v/>
      </c>
      <c r="I1033" s="352"/>
      <c r="J1033" s="358" t="str">
        <f>IFERROR(VLOOKUP(I1033,'Project Records_v2'!F:G, 2, FALSE), "")</f>
        <v/>
      </c>
      <c r="K1033" s="143"/>
      <c r="L1033" s="390"/>
      <c r="M1033" s="419"/>
      <c r="N1033" s="370"/>
      <c r="O1033" s="370"/>
      <c r="P1033" s="371"/>
      <c r="Q1033" s="365"/>
    </row>
    <row r="1034" ht="22.5" customHeight="1">
      <c r="A1034" s="146"/>
      <c r="B1034" s="413"/>
      <c r="C1034" s="367"/>
      <c r="D1034" s="420"/>
      <c r="E1034" s="405"/>
      <c r="F1034" s="404"/>
      <c r="G1034" s="352" t="str">
        <f>IFERROR(VLOOKUP(D1034,'Client ID Records_v2'!D:E, 2, FALSE), "")</f>
        <v/>
      </c>
      <c r="H1034" s="368" t="str">
        <f>IFERROR(VLOOKUP(G1034,'Client ID Records_v2'!E:F, 2, FALSE), "")</f>
        <v/>
      </c>
      <c r="I1034" s="352"/>
      <c r="J1034" s="358" t="str">
        <f>IFERROR(VLOOKUP(I1034,'Project Records_v2'!F:G, 2, FALSE), "")</f>
        <v/>
      </c>
      <c r="K1034" s="143"/>
      <c r="L1034" s="390"/>
      <c r="M1034" s="419"/>
      <c r="N1034" s="370"/>
      <c r="O1034" s="370"/>
      <c r="P1034" s="371"/>
      <c r="Q1034" s="365"/>
    </row>
    <row r="1035" ht="22.5" customHeight="1">
      <c r="A1035" s="146"/>
      <c r="B1035" s="413"/>
      <c r="C1035" s="367"/>
      <c r="D1035" s="420"/>
      <c r="E1035" s="405"/>
      <c r="F1035" s="404"/>
      <c r="G1035" s="352" t="str">
        <f>IFERROR(VLOOKUP(D1035,'Client ID Records_v2'!D:E, 2, FALSE), "")</f>
        <v/>
      </c>
      <c r="H1035" s="368" t="str">
        <f>IFERROR(VLOOKUP(G1035,'Client ID Records_v2'!E:F, 2, FALSE), "")</f>
        <v/>
      </c>
      <c r="I1035" s="352"/>
      <c r="J1035" s="358" t="str">
        <f>IFERROR(VLOOKUP(I1035,'Project Records_v2'!F:G, 2, FALSE), "")</f>
        <v/>
      </c>
      <c r="K1035" s="143"/>
      <c r="L1035" s="390"/>
      <c r="M1035" s="419"/>
      <c r="N1035" s="370"/>
      <c r="O1035" s="370"/>
      <c r="P1035" s="371"/>
      <c r="Q1035" s="365"/>
    </row>
    <row r="1036" ht="22.5" customHeight="1">
      <c r="A1036" s="146"/>
      <c r="B1036" s="413"/>
      <c r="C1036" s="367"/>
      <c r="D1036" s="420"/>
      <c r="E1036" s="405"/>
      <c r="F1036" s="404"/>
      <c r="G1036" s="352" t="str">
        <f>IFERROR(VLOOKUP(D1036,'Client ID Records_v2'!D:E, 2, FALSE), "")</f>
        <v/>
      </c>
      <c r="H1036" s="368" t="str">
        <f>IFERROR(VLOOKUP(G1036,'Client ID Records_v2'!E:F, 2, FALSE), "")</f>
        <v/>
      </c>
      <c r="I1036" s="352"/>
      <c r="J1036" s="358" t="str">
        <f>IFERROR(VLOOKUP(I1036,'Project Records_v2'!F:G, 2, FALSE), "")</f>
        <v/>
      </c>
      <c r="K1036" s="143"/>
      <c r="L1036" s="390"/>
      <c r="M1036" s="419"/>
      <c r="N1036" s="370"/>
      <c r="O1036" s="370"/>
      <c r="P1036" s="371"/>
      <c r="Q1036" s="365"/>
    </row>
    <row r="1037" ht="22.5" customHeight="1">
      <c r="A1037" s="146"/>
      <c r="B1037" s="413"/>
      <c r="C1037" s="367"/>
      <c r="D1037" s="420"/>
      <c r="E1037" s="405"/>
      <c r="F1037" s="404"/>
      <c r="G1037" s="352" t="str">
        <f>IFERROR(VLOOKUP(D1037,'Client ID Records_v2'!D:E, 2, FALSE), "")</f>
        <v/>
      </c>
      <c r="H1037" s="368" t="str">
        <f>IFERROR(VLOOKUP(G1037,'Client ID Records_v2'!E:F, 2, FALSE), "")</f>
        <v/>
      </c>
      <c r="I1037" s="352"/>
      <c r="J1037" s="358" t="str">
        <f>IFERROR(VLOOKUP(I1037,'Project Records_v2'!F:G, 2, FALSE), "")</f>
        <v/>
      </c>
      <c r="K1037" s="143"/>
      <c r="L1037" s="390"/>
      <c r="M1037" s="419"/>
      <c r="N1037" s="370"/>
      <c r="O1037" s="370"/>
      <c r="P1037" s="371"/>
      <c r="Q1037" s="365"/>
    </row>
    <row r="1038" ht="22.5" customHeight="1">
      <c r="A1038" s="146"/>
      <c r="B1038" s="413"/>
      <c r="C1038" s="367"/>
      <c r="D1038" s="420"/>
      <c r="E1038" s="405"/>
      <c r="F1038" s="404"/>
      <c r="G1038" s="352" t="str">
        <f>IFERROR(VLOOKUP(D1038,'Client ID Records_v2'!D:E, 2, FALSE), "")</f>
        <v/>
      </c>
      <c r="H1038" s="368" t="str">
        <f>IFERROR(VLOOKUP(G1038,'Client ID Records_v2'!E:F, 2, FALSE), "")</f>
        <v/>
      </c>
      <c r="I1038" s="352"/>
      <c r="J1038" s="358" t="str">
        <f>IFERROR(VLOOKUP(I1038,'Project Records_v2'!F:G, 2, FALSE), "")</f>
        <v/>
      </c>
      <c r="K1038" s="143"/>
      <c r="L1038" s="390"/>
      <c r="M1038" s="419"/>
      <c r="N1038" s="370"/>
      <c r="O1038" s="370"/>
      <c r="P1038" s="371"/>
      <c r="Q1038" s="365"/>
    </row>
    <row r="1039" ht="22.5" customHeight="1">
      <c r="A1039" s="146"/>
      <c r="B1039" s="413"/>
      <c r="C1039" s="367"/>
      <c r="D1039" s="420"/>
      <c r="E1039" s="405"/>
      <c r="F1039" s="404"/>
      <c r="G1039" s="352" t="str">
        <f>IFERROR(VLOOKUP(D1039,'Client ID Records_v2'!D:E, 2, FALSE), "")</f>
        <v/>
      </c>
      <c r="H1039" s="368" t="str">
        <f>IFERROR(VLOOKUP(G1039,'Client ID Records_v2'!E:F, 2, FALSE), "")</f>
        <v/>
      </c>
      <c r="I1039" s="352"/>
      <c r="J1039" s="358" t="str">
        <f>IFERROR(VLOOKUP(I1039,'Project Records_v2'!F:G, 2, FALSE), "")</f>
        <v/>
      </c>
      <c r="K1039" s="143"/>
      <c r="L1039" s="390"/>
      <c r="M1039" s="419"/>
      <c r="N1039" s="370"/>
      <c r="O1039" s="370"/>
      <c r="P1039" s="371"/>
      <c r="Q1039" s="365"/>
    </row>
    <row r="1040" ht="22.5" customHeight="1">
      <c r="A1040" s="146"/>
      <c r="B1040" s="413"/>
      <c r="C1040" s="367"/>
      <c r="D1040" s="420"/>
      <c r="E1040" s="405"/>
      <c r="F1040" s="404"/>
      <c r="G1040" s="352" t="str">
        <f>IFERROR(VLOOKUP(D1040,'Client ID Records_v2'!D:E, 2, FALSE), "")</f>
        <v/>
      </c>
      <c r="H1040" s="368" t="str">
        <f>IFERROR(VLOOKUP(G1040,'Client ID Records_v2'!E:F, 2, FALSE), "")</f>
        <v/>
      </c>
      <c r="I1040" s="352"/>
      <c r="J1040" s="358" t="str">
        <f>IFERROR(VLOOKUP(I1040,'Project Records_v2'!F:G, 2, FALSE), "")</f>
        <v/>
      </c>
      <c r="K1040" s="143"/>
      <c r="L1040" s="390"/>
      <c r="M1040" s="419"/>
      <c r="N1040" s="370"/>
      <c r="O1040" s="370"/>
      <c r="P1040" s="371"/>
      <c r="Q1040" s="365"/>
    </row>
    <row r="1041" ht="22.5" customHeight="1">
      <c r="A1041" s="146"/>
      <c r="B1041" s="413"/>
      <c r="C1041" s="367"/>
      <c r="D1041" s="420"/>
      <c r="E1041" s="405"/>
      <c r="F1041" s="404"/>
      <c r="G1041" s="352" t="str">
        <f>IFERROR(VLOOKUP(D1041,'Client ID Records_v2'!D:E, 2, FALSE), "")</f>
        <v/>
      </c>
      <c r="H1041" s="368" t="str">
        <f>IFERROR(VLOOKUP(G1041,'Client ID Records_v2'!E:F, 2, FALSE), "")</f>
        <v/>
      </c>
      <c r="I1041" s="352"/>
      <c r="J1041" s="358" t="str">
        <f>IFERROR(VLOOKUP(I1041,'Project Records_v2'!F:G, 2, FALSE), "")</f>
        <v/>
      </c>
      <c r="K1041" s="143"/>
      <c r="L1041" s="390"/>
      <c r="M1041" s="419"/>
      <c r="N1041" s="370"/>
      <c r="O1041" s="370"/>
      <c r="P1041" s="371"/>
      <c r="Q1041" s="365"/>
    </row>
    <row r="1042" ht="22.5" customHeight="1">
      <c r="A1042" s="146"/>
      <c r="B1042" s="413"/>
      <c r="C1042" s="367"/>
      <c r="D1042" s="420"/>
      <c r="E1042" s="405"/>
      <c r="F1042" s="404"/>
      <c r="G1042" s="352" t="str">
        <f>IFERROR(VLOOKUP(D1042,'Client ID Records_v2'!D:E, 2, FALSE), "")</f>
        <v/>
      </c>
      <c r="H1042" s="368" t="str">
        <f>IFERROR(VLOOKUP(G1042,'Client ID Records_v2'!E:F, 2, FALSE), "")</f>
        <v/>
      </c>
      <c r="I1042" s="352"/>
      <c r="J1042" s="358" t="str">
        <f>IFERROR(VLOOKUP(I1042,'Project Records_v2'!F:G, 2, FALSE), "")</f>
        <v/>
      </c>
      <c r="K1042" s="143"/>
      <c r="L1042" s="390"/>
      <c r="M1042" s="419"/>
      <c r="N1042" s="370"/>
      <c r="O1042" s="370"/>
      <c r="P1042" s="371"/>
      <c r="Q1042" s="365"/>
    </row>
    <row r="1043" ht="22.5" customHeight="1">
      <c r="A1043" s="146"/>
      <c r="B1043" s="413"/>
      <c r="C1043" s="367"/>
      <c r="D1043" s="420"/>
      <c r="E1043" s="405"/>
      <c r="F1043" s="404"/>
      <c r="G1043" s="352" t="str">
        <f>IFERROR(VLOOKUP(D1043,'Client ID Records_v2'!D:E, 2, FALSE), "")</f>
        <v/>
      </c>
      <c r="H1043" s="368" t="str">
        <f>IFERROR(VLOOKUP(G1043,'Client ID Records_v2'!E:F, 2, FALSE), "")</f>
        <v/>
      </c>
      <c r="I1043" s="352"/>
      <c r="J1043" s="358" t="str">
        <f>IFERROR(VLOOKUP(I1043,'Project Records_v2'!F:G, 2, FALSE), "")</f>
        <v/>
      </c>
      <c r="K1043" s="143"/>
      <c r="L1043" s="390"/>
      <c r="M1043" s="419"/>
      <c r="N1043" s="370"/>
      <c r="O1043" s="370"/>
      <c r="P1043" s="371"/>
      <c r="Q1043" s="365"/>
    </row>
    <row r="1044" ht="22.5" customHeight="1">
      <c r="A1044" s="146"/>
      <c r="B1044" s="413"/>
      <c r="C1044" s="367"/>
      <c r="D1044" s="420"/>
      <c r="E1044" s="405"/>
      <c r="F1044" s="404"/>
      <c r="G1044" s="352" t="str">
        <f>IFERROR(VLOOKUP(D1044,'Client ID Records_v2'!D:E, 2, FALSE), "")</f>
        <v/>
      </c>
      <c r="H1044" s="368" t="str">
        <f>IFERROR(VLOOKUP(G1044,'Client ID Records_v2'!E:F, 2, FALSE), "")</f>
        <v/>
      </c>
      <c r="I1044" s="352"/>
      <c r="J1044" s="358" t="str">
        <f>IFERROR(VLOOKUP(I1044,'Project Records_v2'!F:G, 2, FALSE), "")</f>
        <v/>
      </c>
      <c r="K1044" s="143"/>
      <c r="L1044" s="390"/>
      <c r="M1044" s="419"/>
      <c r="N1044" s="370"/>
      <c r="O1044" s="370"/>
      <c r="P1044" s="371"/>
      <c r="Q1044" s="365"/>
    </row>
    <row r="1045" ht="22.5" customHeight="1">
      <c r="A1045" s="146"/>
      <c r="B1045" s="413"/>
      <c r="C1045" s="367"/>
      <c r="D1045" s="420"/>
      <c r="E1045" s="405"/>
      <c r="F1045" s="404"/>
      <c r="G1045" s="352" t="str">
        <f>IFERROR(VLOOKUP(D1045,'Client ID Records_v2'!D:E, 2, FALSE), "")</f>
        <v/>
      </c>
      <c r="H1045" s="368" t="str">
        <f>IFERROR(VLOOKUP(G1045,'Client ID Records_v2'!E:F, 2, FALSE), "")</f>
        <v/>
      </c>
      <c r="I1045" s="352"/>
      <c r="J1045" s="358" t="str">
        <f>IFERROR(VLOOKUP(I1045,'Project Records_v2'!F:G, 2, FALSE), "")</f>
        <v/>
      </c>
      <c r="K1045" s="143"/>
      <c r="L1045" s="390"/>
      <c r="M1045" s="419"/>
      <c r="N1045" s="370"/>
      <c r="O1045" s="370"/>
      <c r="P1045" s="371"/>
      <c r="Q1045" s="365"/>
    </row>
    <row r="1046" ht="22.5" customHeight="1">
      <c r="A1046" s="146"/>
      <c r="B1046" s="413"/>
      <c r="C1046" s="367"/>
      <c r="D1046" s="420"/>
      <c r="E1046" s="405"/>
      <c r="F1046" s="404"/>
      <c r="G1046" s="352" t="str">
        <f>IFERROR(VLOOKUP(D1046,'Client ID Records_v2'!D:E, 2, FALSE), "")</f>
        <v/>
      </c>
      <c r="H1046" s="368" t="str">
        <f>IFERROR(VLOOKUP(G1046,'Client ID Records_v2'!E:F, 2, FALSE), "")</f>
        <v/>
      </c>
      <c r="I1046" s="352"/>
      <c r="J1046" s="358" t="str">
        <f>IFERROR(VLOOKUP(I1046,'Project Records_v2'!F:G, 2, FALSE), "")</f>
        <v/>
      </c>
      <c r="K1046" s="143"/>
      <c r="L1046" s="390"/>
      <c r="M1046" s="419"/>
      <c r="N1046" s="370"/>
      <c r="O1046" s="370"/>
      <c r="P1046" s="371"/>
      <c r="Q1046" s="365"/>
    </row>
    <row r="1047" ht="22.5" customHeight="1">
      <c r="A1047" s="146"/>
      <c r="B1047" s="413"/>
      <c r="C1047" s="367"/>
      <c r="D1047" s="420"/>
      <c r="E1047" s="405"/>
      <c r="F1047" s="404"/>
      <c r="G1047" s="352" t="str">
        <f>IFERROR(VLOOKUP(D1047,'Client ID Records_v2'!D:E, 2, FALSE), "")</f>
        <v/>
      </c>
      <c r="H1047" s="368" t="str">
        <f>IFERROR(VLOOKUP(G1047,'Client ID Records_v2'!E:F, 2, FALSE), "")</f>
        <v/>
      </c>
      <c r="I1047" s="352"/>
      <c r="J1047" s="358" t="str">
        <f>IFERROR(VLOOKUP(I1047,'Project Records_v2'!F:G, 2, FALSE), "")</f>
        <v/>
      </c>
      <c r="K1047" s="143"/>
      <c r="L1047" s="390"/>
      <c r="M1047" s="419"/>
      <c r="N1047" s="370"/>
      <c r="O1047" s="370"/>
      <c r="P1047" s="371"/>
      <c r="Q1047" s="365"/>
    </row>
    <row r="1048" ht="22.5" customHeight="1">
      <c r="A1048" s="146"/>
      <c r="B1048" s="413"/>
      <c r="C1048" s="367"/>
      <c r="D1048" s="420"/>
      <c r="E1048" s="405"/>
      <c r="F1048" s="404"/>
      <c r="G1048" s="352" t="str">
        <f>IFERROR(VLOOKUP(D1048,'Client ID Records_v2'!D:E, 2, FALSE), "")</f>
        <v/>
      </c>
      <c r="H1048" s="368" t="str">
        <f>IFERROR(VLOOKUP(G1048,'Client ID Records_v2'!E:F, 2, FALSE), "")</f>
        <v/>
      </c>
      <c r="I1048" s="352"/>
      <c r="J1048" s="358" t="str">
        <f>IFERROR(VLOOKUP(I1048,'Project Records_v2'!F:G, 2, FALSE), "")</f>
        <v/>
      </c>
      <c r="K1048" s="143"/>
      <c r="L1048" s="390"/>
      <c r="M1048" s="419"/>
      <c r="N1048" s="370"/>
      <c r="O1048" s="370"/>
      <c r="P1048" s="371"/>
      <c r="Q1048" s="365"/>
    </row>
    <row r="1049" ht="22.5" customHeight="1">
      <c r="A1049" s="146"/>
      <c r="B1049" s="413"/>
      <c r="C1049" s="367"/>
      <c r="D1049" s="420"/>
      <c r="E1049" s="405"/>
      <c r="F1049" s="404"/>
      <c r="G1049" s="352" t="str">
        <f>IFERROR(VLOOKUP(D1049,'Client ID Records_v2'!D:E, 2, FALSE), "")</f>
        <v/>
      </c>
      <c r="H1049" s="368" t="str">
        <f>IFERROR(VLOOKUP(G1049,'Client ID Records_v2'!E:F, 2, FALSE), "")</f>
        <v/>
      </c>
      <c r="I1049" s="352"/>
      <c r="J1049" s="358" t="str">
        <f>IFERROR(VLOOKUP(I1049,'Project Records_v2'!F:G, 2, FALSE), "")</f>
        <v/>
      </c>
      <c r="K1049" s="143"/>
      <c r="L1049" s="390"/>
      <c r="M1049" s="419"/>
      <c r="N1049" s="370"/>
      <c r="O1049" s="370"/>
      <c r="P1049" s="371"/>
      <c r="Q1049" s="365"/>
    </row>
    <row r="1050" ht="22.5" customHeight="1">
      <c r="A1050" s="146"/>
      <c r="B1050" s="413"/>
      <c r="C1050" s="367"/>
      <c r="D1050" s="420"/>
      <c r="E1050" s="405"/>
      <c r="F1050" s="404"/>
      <c r="G1050" s="352" t="str">
        <f>IFERROR(VLOOKUP(D1050,'Client ID Records_v2'!D:E, 2, FALSE), "")</f>
        <v/>
      </c>
      <c r="H1050" s="368" t="str">
        <f>IFERROR(VLOOKUP(G1050,'Client ID Records_v2'!E:F, 2, FALSE), "")</f>
        <v/>
      </c>
      <c r="I1050" s="352"/>
      <c r="J1050" s="358" t="str">
        <f>IFERROR(VLOOKUP(I1050,'Project Records_v2'!F:G, 2, FALSE), "")</f>
        <v/>
      </c>
      <c r="K1050" s="143"/>
      <c r="L1050" s="390"/>
      <c r="M1050" s="419"/>
      <c r="N1050" s="370"/>
      <c r="O1050" s="370"/>
      <c r="P1050" s="371"/>
      <c r="Q1050" s="365"/>
    </row>
    <row r="1051" ht="22.5" customHeight="1">
      <c r="A1051" s="146"/>
      <c r="B1051" s="413"/>
      <c r="C1051" s="367"/>
      <c r="D1051" s="420"/>
      <c r="E1051" s="405"/>
      <c r="F1051" s="404"/>
      <c r="G1051" s="352" t="str">
        <f>IFERROR(VLOOKUP(D1051,'Client ID Records_v2'!D:E, 2, FALSE), "")</f>
        <v/>
      </c>
      <c r="H1051" s="368" t="str">
        <f>IFERROR(VLOOKUP(G1051,'Client ID Records_v2'!E:F, 2, FALSE), "")</f>
        <v/>
      </c>
      <c r="I1051" s="352"/>
      <c r="J1051" s="358" t="str">
        <f>IFERROR(VLOOKUP(I1051,'Project Records_v2'!F:G, 2, FALSE), "")</f>
        <v/>
      </c>
      <c r="K1051" s="143"/>
      <c r="L1051" s="390"/>
      <c r="M1051" s="419"/>
      <c r="N1051" s="370"/>
      <c r="O1051" s="370"/>
      <c r="P1051" s="371"/>
      <c r="Q1051" s="365"/>
    </row>
    <row r="1052" ht="22.5" customHeight="1">
      <c r="A1052" s="146"/>
      <c r="B1052" s="413"/>
      <c r="C1052" s="367"/>
      <c r="D1052" s="420"/>
      <c r="E1052" s="405"/>
      <c r="F1052" s="404"/>
      <c r="G1052" s="352" t="str">
        <f>IFERROR(VLOOKUP(D1052,'Client ID Records_v2'!D:E, 2, FALSE), "")</f>
        <v/>
      </c>
      <c r="H1052" s="368" t="str">
        <f>IFERROR(VLOOKUP(G1052,'Client ID Records_v2'!E:F, 2, FALSE), "")</f>
        <v/>
      </c>
      <c r="I1052" s="352"/>
      <c r="J1052" s="358" t="str">
        <f>IFERROR(VLOOKUP(I1052,'Project Records_v2'!F:G, 2, FALSE), "")</f>
        <v/>
      </c>
      <c r="K1052" s="143"/>
      <c r="L1052" s="390"/>
      <c r="M1052" s="419"/>
      <c r="N1052" s="370"/>
      <c r="O1052" s="370"/>
      <c r="P1052" s="371"/>
      <c r="Q1052" s="365"/>
    </row>
    <row r="1053" ht="22.5" customHeight="1">
      <c r="A1053" s="146"/>
      <c r="B1053" s="413"/>
      <c r="C1053" s="367"/>
      <c r="D1053" s="420"/>
      <c r="E1053" s="405"/>
      <c r="F1053" s="404"/>
      <c r="G1053" s="352" t="str">
        <f>IFERROR(VLOOKUP(D1053,'Client ID Records_v2'!D:E, 2, FALSE), "")</f>
        <v/>
      </c>
      <c r="H1053" s="368" t="str">
        <f>IFERROR(VLOOKUP(G1053,'Client ID Records_v2'!E:F, 2, FALSE), "")</f>
        <v/>
      </c>
      <c r="I1053" s="352"/>
      <c r="J1053" s="358" t="str">
        <f>IFERROR(VLOOKUP(I1053,'Project Records_v2'!F:G, 2, FALSE), "")</f>
        <v/>
      </c>
      <c r="K1053" s="143"/>
      <c r="L1053" s="390"/>
      <c r="M1053" s="419"/>
      <c r="N1053" s="370"/>
      <c r="O1053" s="370"/>
      <c r="P1053" s="371"/>
      <c r="Q1053" s="365"/>
    </row>
    <row r="1054" ht="22.5" customHeight="1">
      <c r="A1054" s="146"/>
      <c r="B1054" s="413"/>
      <c r="C1054" s="367"/>
      <c r="D1054" s="420"/>
      <c r="E1054" s="405"/>
      <c r="F1054" s="404"/>
      <c r="G1054" s="352" t="str">
        <f>IFERROR(VLOOKUP(D1054,'Client ID Records_v2'!D:E, 2, FALSE), "")</f>
        <v/>
      </c>
      <c r="H1054" s="368" t="str">
        <f>IFERROR(VLOOKUP(G1054,'Client ID Records_v2'!E:F, 2, FALSE), "")</f>
        <v/>
      </c>
      <c r="I1054" s="352"/>
      <c r="J1054" s="358" t="str">
        <f>IFERROR(VLOOKUP(I1054,'Project Records_v2'!F:G, 2, FALSE), "")</f>
        <v/>
      </c>
      <c r="K1054" s="143"/>
      <c r="L1054" s="390"/>
      <c r="M1054" s="419"/>
      <c r="N1054" s="370"/>
      <c r="O1054" s="370"/>
      <c r="P1054" s="371"/>
      <c r="Q1054" s="365"/>
    </row>
    <row r="1055" ht="22.5" customHeight="1">
      <c r="A1055" s="146"/>
      <c r="B1055" s="413"/>
      <c r="C1055" s="367"/>
      <c r="D1055" s="420"/>
      <c r="E1055" s="405"/>
      <c r="F1055" s="404"/>
      <c r="G1055" s="352" t="str">
        <f>IFERROR(VLOOKUP(D1055,'Client ID Records_v2'!D:E, 2, FALSE), "")</f>
        <v/>
      </c>
      <c r="H1055" s="368" t="str">
        <f>IFERROR(VLOOKUP(G1055,'Client ID Records_v2'!E:F, 2, FALSE), "")</f>
        <v/>
      </c>
      <c r="I1055" s="352"/>
      <c r="J1055" s="358" t="str">
        <f>IFERROR(VLOOKUP(I1055,'Project Records_v2'!F:G, 2, FALSE), "")</f>
        <v/>
      </c>
      <c r="K1055" s="143"/>
      <c r="L1055" s="390"/>
      <c r="M1055" s="419"/>
      <c r="N1055" s="370"/>
      <c r="O1055" s="370"/>
      <c r="P1055" s="371"/>
      <c r="Q1055" s="365"/>
    </row>
    <row r="1056" ht="22.5" customHeight="1">
      <c r="A1056" s="146"/>
      <c r="B1056" s="413"/>
      <c r="C1056" s="367"/>
      <c r="D1056" s="420"/>
      <c r="E1056" s="405"/>
      <c r="F1056" s="404"/>
      <c r="G1056" s="352" t="str">
        <f>IFERROR(VLOOKUP(D1056,'Client ID Records_v2'!D:E, 2, FALSE), "")</f>
        <v/>
      </c>
      <c r="H1056" s="368" t="str">
        <f>IFERROR(VLOOKUP(G1056,'Client ID Records_v2'!E:F, 2, FALSE), "")</f>
        <v/>
      </c>
      <c r="I1056" s="352"/>
      <c r="J1056" s="358" t="str">
        <f>IFERROR(VLOOKUP(I1056,'Project Records_v2'!F:G, 2, FALSE), "")</f>
        <v/>
      </c>
      <c r="K1056" s="143"/>
      <c r="L1056" s="390"/>
      <c r="M1056" s="419"/>
      <c r="N1056" s="370"/>
      <c r="O1056" s="370"/>
      <c r="P1056" s="371"/>
      <c r="Q1056" s="365"/>
    </row>
    <row r="1057" ht="22.5" customHeight="1">
      <c r="A1057" s="146"/>
      <c r="B1057" s="413"/>
      <c r="C1057" s="367"/>
      <c r="D1057" s="420"/>
      <c r="E1057" s="405"/>
      <c r="F1057" s="404"/>
      <c r="G1057" s="352" t="str">
        <f>IFERROR(VLOOKUP(D1057,'Client ID Records_v2'!D:E, 2, FALSE), "")</f>
        <v/>
      </c>
      <c r="H1057" s="368" t="str">
        <f>IFERROR(VLOOKUP(G1057,'Client ID Records_v2'!E:F, 2, FALSE), "")</f>
        <v/>
      </c>
      <c r="I1057" s="352"/>
      <c r="J1057" s="358" t="str">
        <f>IFERROR(VLOOKUP(I1057,'Project Records_v2'!F:G, 2, FALSE), "")</f>
        <v/>
      </c>
      <c r="K1057" s="143"/>
      <c r="L1057" s="390"/>
      <c r="M1057" s="419"/>
      <c r="N1057" s="370"/>
      <c r="O1057" s="370"/>
      <c r="P1057" s="371"/>
      <c r="Q1057" s="365"/>
    </row>
    <row r="1058" ht="22.5" customHeight="1">
      <c r="A1058" s="146"/>
      <c r="B1058" s="413"/>
      <c r="C1058" s="367"/>
      <c r="D1058" s="420"/>
      <c r="E1058" s="405"/>
      <c r="F1058" s="404"/>
      <c r="G1058" s="352" t="str">
        <f>IFERROR(VLOOKUP(D1058,'Client ID Records_v2'!D:E, 2, FALSE), "")</f>
        <v/>
      </c>
      <c r="H1058" s="368" t="str">
        <f>IFERROR(VLOOKUP(G1058,'Client ID Records_v2'!E:F, 2, FALSE), "")</f>
        <v/>
      </c>
      <c r="I1058" s="352"/>
      <c r="J1058" s="358" t="str">
        <f>IFERROR(VLOOKUP(I1058,'Project Records_v2'!F:G, 2, FALSE), "")</f>
        <v/>
      </c>
      <c r="K1058" s="143"/>
      <c r="L1058" s="390"/>
      <c r="M1058" s="419"/>
      <c r="N1058" s="370"/>
      <c r="O1058" s="370"/>
      <c r="P1058" s="371"/>
      <c r="Q1058" s="365"/>
    </row>
    <row r="1059" ht="22.5" customHeight="1">
      <c r="A1059" s="146"/>
      <c r="B1059" s="413"/>
      <c r="C1059" s="367"/>
      <c r="D1059" s="420"/>
      <c r="E1059" s="405"/>
      <c r="F1059" s="404"/>
      <c r="G1059" s="352" t="str">
        <f>IFERROR(VLOOKUP(D1059,'Client ID Records_v2'!D:E, 2, FALSE), "")</f>
        <v/>
      </c>
      <c r="H1059" s="368" t="str">
        <f>IFERROR(VLOOKUP(G1059,'Client ID Records_v2'!E:F, 2, FALSE), "")</f>
        <v/>
      </c>
      <c r="I1059" s="352"/>
      <c r="J1059" s="358" t="str">
        <f>IFERROR(VLOOKUP(I1059,'Project Records_v2'!F:G, 2, FALSE), "")</f>
        <v/>
      </c>
      <c r="K1059" s="143"/>
      <c r="L1059" s="390"/>
      <c r="M1059" s="419"/>
      <c r="N1059" s="370"/>
      <c r="O1059" s="370"/>
      <c r="P1059" s="371"/>
      <c r="Q1059" s="365"/>
    </row>
    <row r="1060" ht="22.5" customHeight="1">
      <c r="A1060" s="146"/>
      <c r="B1060" s="413"/>
      <c r="C1060" s="367"/>
      <c r="D1060" s="420"/>
      <c r="E1060" s="405"/>
      <c r="F1060" s="404"/>
      <c r="G1060" s="352" t="str">
        <f>IFERROR(VLOOKUP(D1060,'Client ID Records_v2'!D:E, 2, FALSE), "")</f>
        <v/>
      </c>
      <c r="H1060" s="368" t="str">
        <f>IFERROR(VLOOKUP(G1060,'Client ID Records_v2'!E:F, 2, FALSE), "")</f>
        <v/>
      </c>
      <c r="I1060" s="352"/>
      <c r="J1060" s="358" t="str">
        <f>IFERROR(VLOOKUP(I1060,'Project Records_v2'!F:G, 2, FALSE), "")</f>
        <v/>
      </c>
      <c r="K1060" s="143"/>
      <c r="L1060" s="390"/>
      <c r="M1060" s="419"/>
      <c r="N1060" s="370"/>
      <c r="O1060" s="370"/>
      <c r="P1060" s="371"/>
      <c r="Q1060" s="365"/>
    </row>
    <row r="1061" ht="22.5" customHeight="1">
      <c r="A1061" s="146"/>
      <c r="B1061" s="413"/>
      <c r="C1061" s="367"/>
      <c r="D1061" s="420"/>
      <c r="E1061" s="405"/>
      <c r="F1061" s="404"/>
      <c r="G1061" s="352" t="str">
        <f>IFERROR(VLOOKUP(D1061,'Client ID Records_v2'!D:E, 2, FALSE), "")</f>
        <v/>
      </c>
      <c r="H1061" s="368" t="str">
        <f>IFERROR(VLOOKUP(G1061,'Client ID Records_v2'!E:F, 2, FALSE), "")</f>
        <v/>
      </c>
      <c r="I1061" s="352"/>
      <c r="J1061" s="358" t="str">
        <f>IFERROR(VLOOKUP(I1061,'Project Records_v2'!F:G, 2, FALSE), "")</f>
        <v/>
      </c>
      <c r="K1061" s="143"/>
      <c r="L1061" s="390"/>
      <c r="M1061" s="419"/>
      <c r="N1061" s="370"/>
      <c r="O1061" s="370"/>
      <c r="P1061" s="371"/>
      <c r="Q1061" s="365"/>
    </row>
    <row r="1062" ht="22.5" customHeight="1">
      <c r="A1062" s="146"/>
      <c r="B1062" s="413"/>
      <c r="C1062" s="367"/>
      <c r="D1062" s="420"/>
      <c r="E1062" s="405"/>
      <c r="F1062" s="404"/>
      <c r="G1062" s="352" t="str">
        <f>IFERROR(VLOOKUP(D1062,'Client ID Records_v2'!D:E, 2, FALSE), "")</f>
        <v/>
      </c>
      <c r="H1062" s="368" t="str">
        <f>IFERROR(VLOOKUP(G1062,'Client ID Records_v2'!E:F, 2, FALSE), "")</f>
        <v/>
      </c>
      <c r="I1062" s="352"/>
      <c r="J1062" s="358" t="str">
        <f>IFERROR(VLOOKUP(I1062,'Project Records_v2'!F:G, 2, FALSE), "")</f>
        <v/>
      </c>
      <c r="K1062" s="143"/>
      <c r="L1062" s="390"/>
      <c r="M1062" s="419"/>
      <c r="N1062" s="370"/>
      <c r="O1062" s="370"/>
      <c r="P1062" s="371"/>
      <c r="Q1062" s="365"/>
    </row>
    <row r="1063" ht="22.5" customHeight="1">
      <c r="A1063" s="146"/>
      <c r="B1063" s="413"/>
      <c r="C1063" s="367"/>
      <c r="D1063" s="420"/>
      <c r="E1063" s="405"/>
      <c r="F1063" s="404"/>
      <c r="G1063" s="352" t="str">
        <f>IFERROR(VLOOKUP(D1063,'Client ID Records_v2'!D:E, 2, FALSE), "")</f>
        <v/>
      </c>
      <c r="H1063" s="368" t="str">
        <f>IFERROR(VLOOKUP(G1063,'Client ID Records_v2'!E:F, 2, FALSE), "")</f>
        <v/>
      </c>
      <c r="I1063" s="352"/>
      <c r="J1063" s="358" t="str">
        <f>IFERROR(VLOOKUP(I1063,'Project Records_v2'!F:G, 2, FALSE), "")</f>
        <v/>
      </c>
      <c r="K1063" s="143"/>
      <c r="L1063" s="390"/>
      <c r="M1063" s="419"/>
      <c r="N1063" s="370"/>
      <c r="O1063" s="370"/>
      <c r="P1063" s="371"/>
      <c r="Q1063" s="365"/>
    </row>
    <row r="1064" ht="22.5" customHeight="1">
      <c r="A1064" s="146"/>
      <c r="B1064" s="413"/>
      <c r="C1064" s="367"/>
      <c r="D1064" s="420"/>
      <c r="E1064" s="405"/>
      <c r="F1064" s="404"/>
      <c r="G1064" s="352" t="str">
        <f>IFERROR(VLOOKUP(D1064,'Client ID Records_v2'!D:E, 2, FALSE), "")</f>
        <v/>
      </c>
      <c r="H1064" s="368" t="str">
        <f>IFERROR(VLOOKUP(G1064,'Client ID Records_v2'!E:F, 2, FALSE), "")</f>
        <v/>
      </c>
      <c r="I1064" s="352"/>
      <c r="J1064" s="358" t="str">
        <f>IFERROR(VLOOKUP(I1064,'Project Records_v2'!F:G, 2, FALSE), "")</f>
        <v/>
      </c>
      <c r="K1064" s="143"/>
      <c r="L1064" s="390"/>
      <c r="M1064" s="419"/>
      <c r="N1064" s="370"/>
      <c r="O1064" s="370"/>
      <c r="P1064" s="371"/>
      <c r="Q1064" s="365"/>
    </row>
    <row r="1065" ht="22.5" customHeight="1">
      <c r="A1065" s="146"/>
      <c r="B1065" s="413"/>
      <c r="C1065" s="367"/>
      <c r="D1065" s="420"/>
      <c r="E1065" s="405"/>
      <c r="F1065" s="404"/>
      <c r="G1065" s="352" t="str">
        <f>IFERROR(VLOOKUP(D1065,'Client ID Records_v2'!D:E, 2, FALSE), "")</f>
        <v/>
      </c>
      <c r="H1065" s="368" t="str">
        <f>IFERROR(VLOOKUP(G1065,'Client ID Records_v2'!E:F, 2, FALSE), "")</f>
        <v/>
      </c>
      <c r="I1065" s="352"/>
      <c r="J1065" s="358" t="str">
        <f>IFERROR(VLOOKUP(I1065,'Project Records_v2'!F:G, 2, FALSE), "")</f>
        <v/>
      </c>
      <c r="K1065" s="143"/>
      <c r="L1065" s="390"/>
      <c r="M1065" s="419"/>
      <c r="N1065" s="370"/>
      <c r="O1065" s="370"/>
      <c r="P1065" s="371"/>
      <c r="Q1065" s="365"/>
    </row>
    <row r="1066" ht="22.5" customHeight="1">
      <c r="A1066" s="146"/>
      <c r="B1066" s="413"/>
      <c r="C1066" s="367"/>
      <c r="D1066" s="420"/>
      <c r="E1066" s="405"/>
      <c r="F1066" s="404"/>
      <c r="G1066" s="352" t="str">
        <f>IFERROR(VLOOKUP(D1066,'Client ID Records_v2'!D:E, 2, FALSE), "")</f>
        <v/>
      </c>
      <c r="H1066" s="368" t="str">
        <f>IFERROR(VLOOKUP(G1066,'Client ID Records_v2'!E:F, 2, FALSE), "")</f>
        <v/>
      </c>
      <c r="I1066" s="352"/>
      <c r="J1066" s="358" t="str">
        <f>IFERROR(VLOOKUP(I1066,'Project Records_v2'!F:G, 2, FALSE), "")</f>
        <v/>
      </c>
      <c r="K1066" s="143"/>
      <c r="L1066" s="390"/>
      <c r="M1066" s="419"/>
      <c r="N1066" s="370"/>
      <c r="O1066" s="370"/>
      <c r="P1066" s="371"/>
      <c r="Q1066" s="365"/>
    </row>
    <row r="1067" ht="22.5" customHeight="1">
      <c r="A1067" s="146"/>
      <c r="B1067" s="413"/>
      <c r="C1067" s="367"/>
      <c r="D1067" s="420"/>
      <c r="E1067" s="405"/>
      <c r="F1067" s="404"/>
      <c r="G1067" s="352" t="str">
        <f>IFERROR(VLOOKUP(D1067,'Client ID Records_v2'!D:E, 2, FALSE), "")</f>
        <v/>
      </c>
      <c r="H1067" s="368" t="str">
        <f>IFERROR(VLOOKUP(G1067,'Client ID Records_v2'!E:F, 2, FALSE), "")</f>
        <v/>
      </c>
      <c r="I1067" s="352"/>
      <c r="J1067" s="358" t="str">
        <f>IFERROR(VLOOKUP(I1067,'Project Records_v2'!F:G, 2, FALSE), "")</f>
        <v/>
      </c>
      <c r="K1067" s="143"/>
      <c r="L1067" s="390"/>
      <c r="M1067" s="419"/>
      <c r="N1067" s="370"/>
      <c r="O1067" s="370"/>
      <c r="P1067" s="371"/>
      <c r="Q1067" s="365"/>
    </row>
    <row r="1068" ht="22.5" customHeight="1">
      <c r="A1068" s="146"/>
      <c r="B1068" s="413"/>
      <c r="C1068" s="367"/>
      <c r="D1068" s="420"/>
      <c r="E1068" s="405"/>
      <c r="F1068" s="404"/>
      <c r="G1068" s="352" t="str">
        <f>IFERROR(VLOOKUP(D1068,'Client ID Records_v2'!D:E, 2, FALSE), "")</f>
        <v/>
      </c>
      <c r="H1068" s="368" t="str">
        <f>IFERROR(VLOOKUP(G1068,'Client ID Records_v2'!E:F, 2, FALSE), "")</f>
        <v/>
      </c>
      <c r="I1068" s="352"/>
      <c r="J1068" s="358" t="str">
        <f>IFERROR(VLOOKUP(I1068,'Project Records_v2'!F:G, 2, FALSE), "")</f>
        <v/>
      </c>
      <c r="K1068" s="143"/>
      <c r="L1068" s="390"/>
      <c r="M1068" s="419"/>
      <c r="N1068" s="370"/>
      <c r="O1068" s="370"/>
      <c r="P1068" s="371"/>
      <c r="Q1068" s="365"/>
    </row>
    <row r="1069" ht="22.5" customHeight="1">
      <c r="A1069" s="146"/>
      <c r="B1069" s="413"/>
      <c r="C1069" s="367"/>
      <c r="D1069" s="420"/>
      <c r="E1069" s="405"/>
      <c r="F1069" s="404"/>
      <c r="G1069" s="352" t="str">
        <f>IFERROR(VLOOKUP(D1069,'Client ID Records_v2'!D:E, 2, FALSE), "")</f>
        <v/>
      </c>
      <c r="H1069" s="368" t="str">
        <f>IFERROR(VLOOKUP(G1069,'Client ID Records_v2'!E:F, 2, FALSE), "")</f>
        <v/>
      </c>
      <c r="I1069" s="352"/>
      <c r="J1069" s="358" t="str">
        <f>IFERROR(VLOOKUP(I1069,'Project Records_v2'!F:G, 2, FALSE), "")</f>
        <v/>
      </c>
      <c r="K1069" s="143"/>
      <c r="L1069" s="390"/>
      <c r="M1069" s="419"/>
      <c r="N1069" s="370"/>
      <c r="O1069" s="370"/>
      <c r="P1069" s="371"/>
      <c r="Q1069" s="365"/>
    </row>
    <row r="1070" ht="22.5" customHeight="1">
      <c r="A1070" s="146"/>
      <c r="B1070" s="413"/>
      <c r="C1070" s="367"/>
      <c r="D1070" s="420"/>
      <c r="E1070" s="405"/>
      <c r="F1070" s="404"/>
      <c r="G1070" s="352" t="str">
        <f>IFERROR(VLOOKUP(D1070,'Client ID Records_v2'!D:E, 2, FALSE), "")</f>
        <v/>
      </c>
      <c r="H1070" s="368" t="str">
        <f>IFERROR(VLOOKUP(G1070,'Client ID Records_v2'!E:F, 2, FALSE), "")</f>
        <v/>
      </c>
      <c r="I1070" s="352"/>
      <c r="J1070" s="358" t="str">
        <f>IFERROR(VLOOKUP(I1070,'Project Records_v2'!F:G, 2, FALSE), "")</f>
        <v/>
      </c>
      <c r="K1070" s="143"/>
      <c r="L1070" s="390"/>
      <c r="M1070" s="419"/>
      <c r="N1070" s="370"/>
      <c r="O1070" s="370"/>
      <c r="P1070" s="371"/>
      <c r="Q1070" s="365"/>
    </row>
    <row r="1071" ht="22.5" customHeight="1">
      <c r="A1071" s="146"/>
      <c r="B1071" s="413"/>
      <c r="C1071" s="367"/>
      <c r="D1071" s="420"/>
      <c r="E1071" s="405"/>
      <c r="F1071" s="404"/>
      <c r="G1071" s="352" t="str">
        <f>IFERROR(VLOOKUP(D1071,'Client ID Records_v2'!D:E, 2, FALSE), "")</f>
        <v/>
      </c>
      <c r="H1071" s="368" t="str">
        <f>IFERROR(VLOOKUP(G1071,'Client ID Records_v2'!E:F, 2, FALSE), "")</f>
        <v/>
      </c>
      <c r="I1071" s="352"/>
      <c r="J1071" s="358" t="str">
        <f>IFERROR(VLOOKUP(I1071,'Project Records_v2'!F:G, 2, FALSE), "")</f>
        <v/>
      </c>
      <c r="K1071" s="143"/>
      <c r="L1071" s="390"/>
      <c r="M1071" s="419"/>
      <c r="N1071" s="370"/>
      <c r="O1071" s="370"/>
      <c r="P1071" s="371"/>
      <c r="Q1071" s="365"/>
    </row>
    <row r="1072" ht="22.5" customHeight="1">
      <c r="A1072" s="146"/>
      <c r="B1072" s="413"/>
      <c r="C1072" s="367"/>
      <c r="D1072" s="420"/>
      <c r="E1072" s="405"/>
      <c r="F1072" s="404"/>
      <c r="G1072" s="352" t="str">
        <f>IFERROR(VLOOKUP(D1072,'Client ID Records_v2'!D:E, 2, FALSE), "")</f>
        <v/>
      </c>
      <c r="H1072" s="368" t="str">
        <f>IFERROR(VLOOKUP(G1072,'Client ID Records_v2'!E:F, 2, FALSE), "")</f>
        <v/>
      </c>
      <c r="I1072" s="352"/>
      <c r="J1072" s="358" t="str">
        <f>IFERROR(VLOOKUP(I1072,'Project Records_v2'!F:G, 2, FALSE), "")</f>
        <v/>
      </c>
      <c r="K1072" s="143"/>
      <c r="L1072" s="390"/>
      <c r="M1072" s="419"/>
      <c r="N1072" s="370"/>
      <c r="O1072" s="370"/>
      <c r="P1072" s="371"/>
      <c r="Q1072" s="365"/>
    </row>
    <row r="1073" ht="22.5" customHeight="1">
      <c r="A1073" s="146"/>
      <c r="B1073" s="413"/>
      <c r="C1073" s="367"/>
      <c r="D1073" s="420"/>
      <c r="E1073" s="405"/>
      <c r="F1073" s="404"/>
      <c r="G1073" s="352" t="str">
        <f>IFERROR(VLOOKUP(D1073,'Client ID Records_v2'!D:E, 2, FALSE), "")</f>
        <v/>
      </c>
      <c r="H1073" s="368" t="str">
        <f>IFERROR(VLOOKUP(G1073,'Client ID Records_v2'!E:F, 2, FALSE), "")</f>
        <v/>
      </c>
      <c r="I1073" s="352"/>
      <c r="J1073" s="358" t="str">
        <f>IFERROR(VLOOKUP(I1073,'Project Records_v2'!F:G, 2, FALSE), "")</f>
        <v/>
      </c>
      <c r="K1073" s="143"/>
      <c r="L1073" s="390"/>
      <c r="M1073" s="419"/>
      <c r="N1073" s="370"/>
      <c r="O1073" s="370"/>
      <c r="P1073" s="371"/>
      <c r="Q1073" s="365"/>
    </row>
    <row r="1074" ht="22.5" customHeight="1">
      <c r="A1074" s="146"/>
      <c r="B1074" s="413"/>
      <c r="C1074" s="367"/>
      <c r="D1074" s="420"/>
      <c r="E1074" s="405"/>
      <c r="F1074" s="404"/>
      <c r="G1074" s="352" t="str">
        <f>IFERROR(VLOOKUP(D1074,'Client ID Records_v2'!D:E, 2, FALSE), "")</f>
        <v/>
      </c>
      <c r="H1074" s="368" t="str">
        <f>IFERROR(VLOOKUP(G1074,'Client ID Records_v2'!E:F, 2, FALSE), "")</f>
        <v/>
      </c>
      <c r="I1074" s="352"/>
      <c r="J1074" s="358" t="str">
        <f>IFERROR(VLOOKUP(I1074,'Project Records_v2'!F:G, 2, FALSE), "")</f>
        <v/>
      </c>
      <c r="K1074" s="143"/>
      <c r="L1074" s="390"/>
      <c r="M1074" s="419"/>
      <c r="N1074" s="370"/>
      <c r="O1074" s="370"/>
      <c r="P1074" s="371"/>
      <c r="Q1074" s="365"/>
    </row>
    <row r="1075" ht="22.5" customHeight="1">
      <c r="A1075" s="146"/>
      <c r="B1075" s="413"/>
      <c r="C1075" s="367"/>
      <c r="D1075" s="420"/>
      <c r="E1075" s="405"/>
      <c r="F1075" s="404"/>
      <c r="G1075" s="352" t="str">
        <f>IFERROR(VLOOKUP(D1075,'Client ID Records_v2'!D:E, 2, FALSE), "")</f>
        <v/>
      </c>
      <c r="H1075" s="368" t="str">
        <f>IFERROR(VLOOKUP(G1075,'Client ID Records_v2'!E:F, 2, FALSE), "")</f>
        <v/>
      </c>
      <c r="I1075" s="352"/>
      <c r="J1075" s="358" t="str">
        <f>IFERROR(VLOOKUP(I1075,'Project Records_v2'!F:G, 2, FALSE), "")</f>
        <v/>
      </c>
      <c r="K1075" s="143"/>
      <c r="L1075" s="390"/>
      <c r="M1075" s="419"/>
      <c r="N1075" s="370"/>
      <c r="O1075" s="370"/>
      <c r="P1075" s="371"/>
      <c r="Q1075" s="365"/>
    </row>
    <row r="1076" ht="22.5" customHeight="1">
      <c r="A1076" s="146"/>
      <c r="B1076" s="413"/>
      <c r="C1076" s="367"/>
      <c r="D1076" s="420"/>
      <c r="E1076" s="405"/>
      <c r="F1076" s="404"/>
      <c r="G1076" s="352" t="str">
        <f>IFERROR(VLOOKUP(D1076,'Client ID Records_v2'!D:E, 2, FALSE), "")</f>
        <v/>
      </c>
      <c r="H1076" s="368" t="str">
        <f>IFERROR(VLOOKUP(G1076,'Client ID Records_v2'!E:F, 2, FALSE), "")</f>
        <v/>
      </c>
      <c r="I1076" s="352"/>
      <c r="J1076" s="358" t="str">
        <f>IFERROR(VLOOKUP(I1076,'Project Records_v2'!F:G, 2, FALSE), "")</f>
        <v/>
      </c>
      <c r="K1076" s="143"/>
      <c r="L1076" s="390"/>
      <c r="M1076" s="419"/>
      <c r="N1076" s="370"/>
      <c r="O1076" s="370"/>
      <c r="P1076" s="371"/>
      <c r="Q1076" s="365"/>
    </row>
    <row r="1077" ht="22.5" customHeight="1">
      <c r="A1077" s="146"/>
      <c r="B1077" s="413"/>
      <c r="C1077" s="367"/>
      <c r="D1077" s="420"/>
      <c r="E1077" s="405"/>
      <c r="F1077" s="404"/>
      <c r="G1077" s="352" t="str">
        <f>IFERROR(VLOOKUP(D1077,'Client ID Records_v2'!D:E, 2, FALSE), "")</f>
        <v/>
      </c>
      <c r="H1077" s="368" t="str">
        <f>IFERROR(VLOOKUP(G1077,'Client ID Records_v2'!E:F, 2, FALSE), "")</f>
        <v/>
      </c>
      <c r="I1077" s="352"/>
      <c r="J1077" s="358" t="str">
        <f>IFERROR(VLOOKUP(I1077,'Project Records_v2'!F:G, 2, FALSE), "")</f>
        <v/>
      </c>
      <c r="K1077" s="143"/>
      <c r="L1077" s="390"/>
      <c r="M1077" s="419"/>
      <c r="N1077" s="370"/>
      <c r="O1077" s="370"/>
      <c r="P1077" s="371"/>
      <c r="Q1077" s="365"/>
    </row>
    <row r="1078" ht="22.5" customHeight="1">
      <c r="A1078" s="146"/>
      <c r="B1078" s="413"/>
      <c r="C1078" s="367"/>
      <c r="D1078" s="420"/>
      <c r="E1078" s="405"/>
      <c r="F1078" s="404"/>
      <c r="G1078" s="352" t="str">
        <f>IFERROR(VLOOKUP(D1078,'Client ID Records_v2'!D:E, 2, FALSE), "")</f>
        <v/>
      </c>
      <c r="H1078" s="368" t="str">
        <f>IFERROR(VLOOKUP(G1078,'Client ID Records_v2'!E:F, 2, FALSE), "")</f>
        <v/>
      </c>
      <c r="I1078" s="352"/>
      <c r="J1078" s="358" t="str">
        <f>IFERROR(VLOOKUP(I1078,'Project Records_v2'!F:G, 2, FALSE), "")</f>
        <v/>
      </c>
      <c r="K1078" s="143"/>
      <c r="L1078" s="390"/>
      <c r="M1078" s="419"/>
      <c r="N1078" s="370"/>
      <c r="O1078" s="370"/>
      <c r="P1078" s="371"/>
      <c r="Q1078" s="365"/>
    </row>
    <row r="1079" ht="22.5" customHeight="1">
      <c r="A1079" s="146"/>
      <c r="B1079" s="413"/>
      <c r="C1079" s="367"/>
      <c r="D1079" s="420"/>
      <c r="E1079" s="405"/>
      <c r="F1079" s="404"/>
      <c r="G1079" s="352" t="str">
        <f>IFERROR(VLOOKUP(D1079,'Client ID Records_v2'!D:E, 2, FALSE), "")</f>
        <v/>
      </c>
      <c r="H1079" s="368" t="str">
        <f>IFERROR(VLOOKUP(G1079,'Client ID Records_v2'!E:F, 2, FALSE), "")</f>
        <v/>
      </c>
      <c r="I1079" s="352"/>
      <c r="J1079" s="358" t="str">
        <f>IFERROR(VLOOKUP(I1079,'Project Records_v2'!F:G, 2, FALSE), "")</f>
        <v/>
      </c>
      <c r="K1079" s="143"/>
      <c r="L1079" s="390"/>
      <c r="M1079" s="419"/>
      <c r="N1079" s="370"/>
      <c r="O1079" s="370"/>
      <c r="P1079" s="371"/>
      <c r="Q1079" s="365"/>
    </row>
    <row r="1080" ht="22.5" customHeight="1">
      <c r="A1080" s="146"/>
      <c r="B1080" s="413"/>
      <c r="C1080" s="367"/>
      <c r="D1080" s="420"/>
      <c r="E1080" s="405"/>
      <c r="F1080" s="404"/>
      <c r="G1080" s="352" t="str">
        <f>IFERROR(VLOOKUP(D1080,'Client ID Records_v2'!D:E, 2, FALSE), "")</f>
        <v/>
      </c>
      <c r="H1080" s="368" t="str">
        <f>IFERROR(VLOOKUP(G1080,'Client ID Records_v2'!E:F, 2, FALSE), "")</f>
        <v/>
      </c>
      <c r="I1080" s="352"/>
      <c r="J1080" s="358" t="str">
        <f>IFERROR(VLOOKUP(I1080,'Project Records_v2'!F:G, 2, FALSE), "")</f>
        <v/>
      </c>
      <c r="K1080" s="143"/>
      <c r="L1080" s="390"/>
      <c r="M1080" s="419"/>
      <c r="N1080" s="370"/>
      <c r="O1080" s="370"/>
      <c r="P1080" s="371"/>
      <c r="Q1080" s="365"/>
    </row>
    <row r="1081" ht="22.5" customHeight="1">
      <c r="A1081" s="146"/>
      <c r="B1081" s="413"/>
      <c r="C1081" s="367"/>
      <c r="D1081" s="420"/>
      <c r="E1081" s="405"/>
      <c r="F1081" s="404"/>
      <c r="G1081" s="352" t="str">
        <f>IFERROR(VLOOKUP(D1081,'Client ID Records_v2'!D:E, 2, FALSE), "")</f>
        <v/>
      </c>
      <c r="H1081" s="368" t="str">
        <f>IFERROR(VLOOKUP(G1081,'Client ID Records_v2'!E:F, 2, FALSE), "")</f>
        <v/>
      </c>
      <c r="I1081" s="352"/>
      <c r="J1081" s="358" t="str">
        <f>IFERROR(VLOOKUP(I1081,'Project Records_v2'!F:G, 2, FALSE), "")</f>
        <v/>
      </c>
      <c r="K1081" s="143"/>
      <c r="L1081" s="390"/>
      <c r="M1081" s="419"/>
      <c r="N1081" s="370"/>
      <c r="O1081" s="370"/>
      <c r="P1081" s="371"/>
      <c r="Q1081" s="365"/>
    </row>
    <row r="1082" ht="22.5" customHeight="1">
      <c r="A1082" s="146"/>
      <c r="B1082" s="413"/>
      <c r="C1082" s="367"/>
      <c r="D1082" s="420"/>
      <c r="E1082" s="405"/>
      <c r="F1082" s="404"/>
      <c r="G1082" s="352" t="str">
        <f>IFERROR(VLOOKUP(D1082,'Client ID Records_v2'!D:E, 2, FALSE), "")</f>
        <v/>
      </c>
      <c r="H1082" s="368" t="str">
        <f>IFERROR(VLOOKUP(G1082,'Client ID Records_v2'!E:F, 2, FALSE), "")</f>
        <v/>
      </c>
      <c r="I1082" s="352"/>
      <c r="J1082" s="358" t="str">
        <f>IFERROR(VLOOKUP(I1082,'Project Records_v2'!F:G, 2, FALSE), "")</f>
        <v/>
      </c>
      <c r="K1082" s="143"/>
      <c r="L1082" s="390"/>
      <c r="M1082" s="419"/>
      <c r="N1082" s="370"/>
      <c r="O1082" s="370"/>
      <c r="P1082" s="371"/>
      <c r="Q1082" s="365"/>
    </row>
    <row r="1083" ht="22.5" customHeight="1">
      <c r="A1083" s="146"/>
      <c r="B1083" s="413"/>
      <c r="C1083" s="367"/>
      <c r="D1083" s="420"/>
      <c r="E1083" s="405"/>
      <c r="F1083" s="404"/>
      <c r="G1083" s="352" t="str">
        <f>IFERROR(VLOOKUP(D1083,'Client ID Records_v2'!D:E, 2, FALSE), "")</f>
        <v/>
      </c>
      <c r="H1083" s="368" t="str">
        <f>IFERROR(VLOOKUP(G1083,'Client ID Records_v2'!E:F, 2, FALSE), "")</f>
        <v/>
      </c>
      <c r="I1083" s="352"/>
      <c r="J1083" s="358" t="str">
        <f>IFERROR(VLOOKUP(I1083,'Project Records_v2'!F:G, 2, FALSE), "")</f>
        <v/>
      </c>
      <c r="K1083" s="143"/>
      <c r="L1083" s="390"/>
      <c r="M1083" s="419"/>
      <c r="N1083" s="370"/>
      <c r="O1083" s="370"/>
      <c r="P1083" s="371"/>
      <c r="Q1083" s="365"/>
    </row>
    <row r="1084" ht="22.5" customHeight="1">
      <c r="A1084" s="146"/>
      <c r="B1084" s="413"/>
      <c r="C1084" s="367"/>
      <c r="D1084" s="420"/>
      <c r="E1084" s="405"/>
      <c r="F1084" s="404"/>
      <c r="G1084" s="352" t="str">
        <f>IFERROR(VLOOKUP(D1084,'Client ID Records_v2'!D:E, 2, FALSE), "")</f>
        <v/>
      </c>
      <c r="H1084" s="368" t="str">
        <f>IFERROR(VLOOKUP(G1084,'Client ID Records_v2'!E:F, 2, FALSE), "")</f>
        <v/>
      </c>
      <c r="I1084" s="352"/>
      <c r="J1084" s="358" t="str">
        <f>IFERROR(VLOOKUP(I1084,'Project Records_v2'!F:G, 2, FALSE), "")</f>
        <v/>
      </c>
      <c r="K1084" s="143"/>
      <c r="L1084" s="390"/>
      <c r="M1084" s="419"/>
      <c r="N1084" s="370"/>
      <c r="O1084" s="370"/>
      <c r="P1084" s="371"/>
      <c r="Q1084" s="365"/>
    </row>
    <row r="1085" ht="22.5" customHeight="1">
      <c r="A1085" s="146"/>
      <c r="B1085" s="413"/>
      <c r="C1085" s="367"/>
      <c r="D1085" s="420"/>
      <c r="E1085" s="405"/>
      <c r="F1085" s="404"/>
      <c r="G1085" s="352" t="str">
        <f>IFERROR(VLOOKUP(D1085,'Client ID Records_v2'!D:E, 2, FALSE), "")</f>
        <v/>
      </c>
      <c r="H1085" s="368" t="str">
        <f>IFERROR(VLOOKUP(G1085,'Client ID Records_v2'!E:F, 2, FALSE), "")</f>
        <v/>
      </c>
      <c r="I1085" s="352"/>
      <c r="J1085" s="358" t="str">
        <f>IFERROR(VLOOKUP(I1085,'Project Records_v2'!F:G, 2, FALSE), "")</f>
        <v/>
      </c>
      <c r="K1085" s="143"/>
      <c r="L1085" s="390"/>
      <c r="M1085" s="419"/>
      <c r="N1085" s="370"/>
      <c r="O1085" s="370"/>
      <c r="P1085" s="371"/>
      <c r="Q1085" s="365"/>
    </row>
    <row r="1086" ht="22.5" customHeight="1">
      <c r="A1086" s="146"/>
      <c r="B1086" s="413"/>
      <c r="C1086" s="367"/>
      <c r="D1086" s="420"/>
      <c r="E1086" s="405"/>
      <c r="F1086" s="404"/>
      <c r="G1086" s="352" t="str">
        <f>IFERROR(VLOOKUP(D1086,'Client ID Records_v2'!D:E, 2, FALSE), "")</f>
        <v/>
      </c>
      <c r="H1086" s="368" t="str">
        <f>IFERROR(VLOOKUP(G1086,'Client ID Records_v2'!E:F, 2, FALSE), "")</f>
        <v/>
      </c>
      <c r="I1086" s="352"/>
      <c r="J1086" s="358" t="str">
        <f>IFERROR(VLOOKUP(I1086,'Project Records_v2'!F:G, 2, FALSE), "")</f>
        <v/>
      </c>
      <c r="K1086" s="143"/>
      <c r="L1086" s="390"/>
      <c r="M1086" s="419"/>
      <c r="N1086" s="370"/>
      <c r="O1086" s="370"/>
      <c r="P1086" s="371"/>
      <c r="Q1086" s="365"/>
    </row>
    <row r="1087" ht="22.5" customHeight="1">
      <c r="A1087" s="146"/>
      <c r="B1087" s="413"/>
      <c r="C1087" s="367"/>
      <c r="D1087" s="420"/>
      <c r="E1087" s="405"/>
      <c r="F1087" s="404"/>
      <c r="G1087" s="352" t="str">
        <f>IFERROR(VLOOKUP(D1087,'Client ID Records_v2'!D:E, 2, FALSE), "")</f>
        <v/>
      </c>
      <c r="H1087" s="368" t="str">
        <f>IFERROR(VLOOKUP(G1087,'Client ID Records_v2'!E:F, 2, FALSE), "")</f>
        <v/>
      </c>
      <c r="I1087" s="352"/>
      <c r="J1087" s="358" t="str">
        <f>IFERROR(VLOOKUP(I1087,'Project Records_v2'!F:G, 2, FALSE), "")</f>
        <v/>
      </c>
      <c r="K1087" s="143"/>
      <c r="L1087" s="390"/>
      <c r="M1087" s="419"/>
      <c r="N1087" s="370"/>
      <c r="O1087" s="370"/>
      <c r="P1087" s="371"/>
      <c r="Q1087" s="365"/>
    </row>
    <row r="1088" ht="22.5" customHeight="1">
      <c r="A1088" s="146"/>
      <c r="B1088" s="413"/>
      <c r="C1088" s="367"/>
      <c r="D1088" s="420"/>
      <c r="E1088" s="405"/>
      <c r="F1088" s="404"/>
      <c r="G1088" s="352" t="str">
        <f>IFERROR(VLOOKUP(D1088,'Client ID Records_v2'!D:E, 2, FALSE), "")</f>
        <v/>
      </c>
      <c r="H1088" s="368" t="str">
        <f>IFERROR(VLOOKUP(G1088,'Client ID Records_v2'!E:F, 2, FALSE), "")</f>
        <v/>
      </c>
      <c r="I1088" s="352"/>
      <c r="J1088" s="358" t="str">
        <f>IFERROR(VLOOKUP(I1088,'Project Records_v2'!F:G, 2, FALSE), "")</f>
        <v/>
      </c>
      <c r="K1088" s="143"/>
      <c r="L1088" s="390"/>
      <c r="M1088" s="419"/>
      <c r="N1088" s="370"/>
      <c r="O1088" s="370"/>
      <c r="P1088" s="371"/>
      <c r="Q1088" s="365"/>
    </row>
    <row r="1089" ht="22.5" customHeight="1">
      <c r="A1089" s="146"/>
      <c r="B1089" s="413"/>
      <c r="C1089" s="367"/>
      <c r="D1089" s="420"/>
      <c r="E1089" s="405"/>
      <c r="F1089" s="404"/>
      <c r="G1089" s="352" t="str">
        <f>IFERROR(VLOOKUP(D1089,'Client ID Records_v2'!D:E, 2, FALSE), "")</f>
        <v/>
      </c>
      <c r="H1089" s="368" t="str">
        <f>IFERROR(VLOOKUP(G1089,'Client ID Records_v2'!E:F, 2, FALSE), "")</f>
        <v/>
      </c>
      <c r="I1089" s="352"/>
      <c r="J1089" s="358" t="str">
        <f>IFERROR(VLOOKUP(I1089,'Project Records_v2'!F:G, 2, FALSE), "")</f>
        <v/>
      </c>
      <c r="K1089" s="143"/>
      <c r="L1089" s="390"/>
      <c r="M1089" s="419"/>
      <c r="N1089" s="370"/>
      <c r="O1089" s="370"/>
      <c r="P1089" s="371"/>
      <c r="Q1089" s="365"/>
    </row>
    <row r="1090" ht="22.5" customHeight="1">
      <c r="A1090" s="146"/>
      <c r="B1090" s="413"/>
      <c r="C1090" s="367"/>
      <c r="D1090" s="420"/>
      <c r="E1090" s="405"/>
      <c r="F1090" s="404"/>
      <c r="G1090" s="352" t="str">
        <f>IFERROR(VLOOKUP(D1090,'Client ID Records_v2'!D:E, 2, FALSE), "")</f>
        <v/>
      </c>
      <c r="H1090" s="368" t="str">
        <f>IFERROR(VLOOKUP(G1090,'Client ID Records_v2'!E:F, 2, FALSE), "")</f>
        <v/>
      </c>
      <c r="I1090" s="352"/>
      <c r="J1090" s="358" t="str">
        <f>IFERROR(VLOOKUP(I1090,'Project Records_v2'!F:G, 2, FALSE), "")</f>
        <v/>
      </c>
      <c r="K1090" s="143"/>
      <c r="L1090" s="390"/>
      <c r="M1090" s="419"/>
      <c r="N1090" s="370"/>
      <c r="O1090" s="370"/>
      <c r="P1090" s="371"/>
      <c r="Q1090" s="365"/>
    </row>
    <row r="1091" ht="22.5" customHeight="1">
      <c r="A1091" s="146"/>
      <c r="B1091" s="413"/>
      <c r="C1091" s="367"/>
      <c r="D1091" s="420"/>
      <c r="E1091" s="405"/>
      <c r="F1091" s="404"/>
      <c r="G1091" s="352" t="str">
        <f>IFERROR(VLOOKUP(D1091,'Client ID Records_v2'!D:E, 2, FALSE), "")</f>
        <v/>
      </c>
      <c r="H1091" s="368" t="str">
        <f>IFERROR(VLOOKUP(G1091,'Client ID Records_v2'!E:F, 2, FALSE), "")</f>
        <v/>
      </c>
      <c r="I1091" s="352"/>
      <c r="J1091" s="358" t="str">
        <f>IFERROR(VLOOKUP(I1091,'Project Records_v2'!F:G, 2, FALSE), "")</f>
        <v/>
      </c>
      <c r="K1091" s="143"/>
      <c r="L1091" s="390"/>
      <c r="M1091" s="419"/>
      <c r="N1091" s="370"/>
      <c r="O1091" s="370"/>
      <c r="P1091" s="371"/>
      <c r="Q1091" s="365"/>
    </row>
    <row r="1092" ht="22.5" customHeight="1">
      <c r="A1092" s="146"/>
      <c r="B1092" s="413"/>
      <c r="C1092" s="367"/>
      <c r="D1092" s="420"/>
      <c r="E1092" s="405"/>
      <c r="F1092" s="404"/>
      <c r="G1092" s="352" t="str">
        <f>IFERROR(VLOOKUP(D1092,'Client ID Records_v2'!D:E, 2, FALSE), "")</f>
        <v/>
      </c>
      <c r="H1092" s="368" t="str">
        <f>IFERROR(VLOOKUP(G1092,'Client ID Records_v2'!E:F, 2, FALSE), "")</f>
        <v/>
      </c>
      <c r="I1092" s="352"/>
      <c r="J1092" s="358" t="str">
        <f>IFERROR(VLOOKUP(I1092,'Project Records_v2'!F:G, 2, FALSE), "")</f>
        <v/>
      </c>
      <c r="K1092" s="143"/>
      <c r="L1092" s="390"/>
      <c r="M1092" s="419"/>
      <c r="N1092" s="370"/>
      <c r="O1092" s="370"/>
      <c r="P1092" s="371"/>
      <c r="Q1092" s="365"/>
    </row>
    <row r="1093" ht="22.5" customHeight="1">
      <c r="A1093" s="146"/>
      <c r="B1093" s="413"/>
      <c r="C1093" s="367"/>
      <c r="D1093" s="420"/>
      <c r="E1093" s="405"/>
      <c r="F1093" s="404"/>
      <c r="G1093" s="352" t="str">
        <f>IFERROR(VLOOKUP(D1093,'Client ID Records_v2'!D:E, 2, FALSE), "")</f>
        <v/>
      </c>
      <c r="H1093" s="368" t="str">
        <f>IFERROR(VLOOKUP(G1093,'Client ID Records_v2'!E:F, 2, FALSE), "")</f>
        <v/>
      </c>
      <c r="I1093" s="352"/>
      <c r="J1093" s="358" t="str">
        <f>IFERROR(VLOOKUP(I1093,'Project Records_v2'!F:G, 2, FALSE), "")</f>
        <v/>
      </c>
      <c r="K1093" s="143"/>
      <c r="L1093" s="390"/>
      <c r="M1093" s="419"/>
      <c r="N1093" s="370"/>
      <c r="O1093" s="370"/>
      <c r="P1093" s="371"/>
      <c r="Q1093" s="365"/>
    </row>
    <row r="1094" ht="22.5" customHeight="1">
      <c r="A1094" s="146"/>
      <c r="B1094" s="413"/>
      <c r="C1094" s="367"/>
      <c r="D1094" s="420"/>
      <c r="E1094" s="405"/>
      <c r="F1094" s="404"/>
      <c r="G1094" s="352" t="str">
        <f>IFERROR(VLOOKUP(D1094,'Client ID Records_v2'!D:E, 2, FALSE), "")</f>
        <v/>
      </c>
      <c r="H1094" s="368" t="str">
        <f>IFERROR(VLOOKUP(G1094,'Client ID Records_v2'!E:F, 2, FALSE), "")</f>
        <v/>
      </c>
      <c r="I1094" s="352"/>
      <c r="J1094" s="358" t="str">
        <f>IFERROR(VLOOKUP(I1094,'Project Records_v2'!F:G, 2, FALSE), "")</f>
        <v/>
      </c>
      <c r="K1094" s="143"/>
      <c r="L1094" s="390"/>
      <c r="M1094" s="419"/>
      <c r="N1094" s="370"/>
      <c r="O1094" s="370"/>
      <c r="P1094" s="371"/>
      <c r="Q1094" s="365"/>
    </row>
    <row r="1095" ht="22.5" customHeight="1">
      <c r="A1095" s="146"/>
      <c r="B1095" s="413"/>
      <c r="C1095" s="367"/>
      <c r="D1095" s="420"/>
      <c r="E1095" s="405"/>
      <c r="F1095" s="404"/>
      <c r="G1095" s="352" t="str">
        <f>IFERROR(VLOOKUP(D1095,'Client ID Records_v2'!D:E, 2, FALSE), "")</f>
        <v/>
      </c>
      <c r="H1095" s="368" t="str">
        <f>IFERROR(VLOOKUP(G1095,'Client ID Records_v2'!E:F, 2, FALSE), "")</f>
        <v/>
      </c>
      <c r="I1095" s="352"/>
      <c r="J1095" s="358" t="str">
        <f>IFERROR(VLOOKUP(I1095,'Project Records_v2'!F:G, 2, FALSE), "")</f>
        <v/>
      </c>
      <c r="K1095" s="143"/>
      <c r="L1095" s="390"/>
      <c r="M1095" s="419"/>
      <c r="N1095" s="370"/>
      <c r="O1095" s="370"/>
      <c r="P1095" s="371"/>
      <c r="Q1095" s="365"/>
    </row>
    <row r="1096" ht="22.5" customHeight="1">
      <c r="A1096" s="146"/>
      <c r="B1096" s="413"/>
      <c r="C1096" s="367"/>
      <c r="D1096" s="420"/>
      <c r="E1096" s="405"/>
      <c r="F1096" s="404"/>
      <c r="G1096" s="352" t="str">
        <f>IFERROR(VLOOKUP(D1096,'Client ID Records_v2'!D:E, 2, FALSE), "")</f>
        <v/>
      </c>
      <c r="H1096" s="368" t="str">
        <f>IFERROR(VLOOKUP(G1096,'Client ID Records_v2'!E:F, 2, FALSE), "")</f>
        <v/>
      </c>
      <c r="I1096" s="352"/>
      <c r="J1096" s="358" t="str">
        <f>IFERROR(VLOOKUP(I1096,'Project Records_v2'!F:G, 2, FALSE), "")</f>
        <v/>
      </c>
      <c r="K1096" s="143"/>
      <c r="L1096" s="390"/>
      <c r="M1096" s="419"/>
      <c r="N1096" s="370"/>
      <c r="O1096" s="370"/>
      <c r="P1096" s="371"/>
      <c r="Q1096" s="365"/>
    </row>
    <row r="1097" ht="22.5" customHeight="1">
      <c r="A1097" s="146"/>
      <c r="B1097" s="413"/>
      <c r="C1097" s="367"/>
      <c r="D1097" s="420"/>
      <c r="E1097" s="405"/>
      <c r="F1097" s="404"/>
      <c r="G1097" s="352" t="str">
        <f>IFERROR(VLOOKUP(D1097,'Client ID Records_v2'!D:E, 2, FALSE), "")</f>
        <v/>
      </c>
      <c r="H1097" s="368" t="str">
        <f>IFERROR(VLOOKUP(G1097,'Client ID Records_v2'!E:F, 2, FALSE), "")</f>
        <v/>
      </c>
      <c r="I1097" s="352"/>
      <c r="J1097" s="358" t="str">
        <f>IFERROR(VLOOKUP(I1097,'Project Records_v2'!F:G, 2, FALSE), "")</f>
        <v/>
      </c>
      <c r="K1097" s="143"/>
      <c r="L1097" s="390"/>
      <c r="M1097" s="419"/>
      <c r="N1097" s="370"/>
      <c r="O1097" s="370"/>
      <c r="P1097" s="371"/>
      <c r="Q1097" s="365"/>
    </row>
    <row r="1098" ht="22.5" customHeight="1">
      <c r="A1098" s="146"/>
      <c r="B1098" s="413"/>
      <c r="C1098" s="367"/>
      <c r="D1098" s="420"/>
      <c r="E1098" s="405"/>
      <c r="F1098" s="404"/>
      <c r="G1098" s="352" t="str">
        <f>IFERROR(VLOOKUP(D1098,'Client ID Records_v2'!D:E, 2, FALSE), "")</f>
        <v/>
      </c>
      <c r="H1098" s="368" t="str">
        <f>IFERROR(VLOOKUP(G1098,'Client ID Records_v2'!E:F, 2, FALSE), "")</f>
        <v/>
      </c>
      <c r="I1098" s="352"/>
      <c r="J1098" s="358" t="str">
        <f>IFERROR(VLOOKUP(I1098,'Project Records_v2'!F:G, 2, FALSE), "")</f>
        <v/>
      </c>
      <c r="K1098" s="143"/>
      <c r="L1098" s="390"/>
      <c r="M1098" s="419"/>
      <c r="N1098" s="370"/>
      <c r="O1098" s="370"/>
      <c r="P1098" s="371"/>
      <c r="Q1098" s="365"/>
    </row>
    <row r="1099" ht="22.5" customHeight="1">
      <c r="A1099" s="146"/>
      <c r="B1099" s="413"/>
      <c r="C1099" s="367"/>
      <c r="D1099" s="420"/>
      <c r="E1099" s="405"/>
      <c r="F1099" s="404"/>
      <c r="G1099" s="352" t="str">
        <f>IFERROR(VLOOKUP(D1099,'Client ID Records_v2'!D:E, 2, FALSE), "")</f>
        <v/>
      </c>
      <c r="H1099" s="368" t="str">
        <f>IFERROR(VLOOKUP(G1099,'Client ID Records_v2'!E:F, 2, FALSE), "")</f>
        <v/>
      </c>
      <c r="I1099" s="352"/>
      <c r="J1099" s="358" t="str">
        <f>IFERROR(VLOOKUP(I1099,'Project Records_v2'!F:G, 2, FALSE), "")</f>
        <v/>
      </c>
      <c r="K1099" s="143"/>
      <c r="L1099" s="390"/>
      <c r="M1099" s="419"/>
      <c r="N1099" s="370"/>
      <c r="O1099" s="370"/>
      <c r="P1099" s="371"/>
      <c r="Q1099" s="365"/>
    </row>
    <row r="1100" ht="22.5" customHeight="1">
      <c r="A1100" s="146"/>
      <c r="B1100" s="413"/>
      <c r="C1100" s="367"/>
      <c r="D1100" s="420"/>
      <c r="E1100" s="405"/>
      <c r="F1100" s="404"/>
      <c r="G1100" s="352" t="str">
        <f>IFERROR(VLOOKUP(D1100,'Client ID Records_v2'!D:E, 2, FALSE), "")</f>
        <v/>
      </c>
      <c r="H1100" s="368" t="str">
        <f>IFERROR(VLOOKUP(G1100,'Client ID Records_v2'!E:F, 2, FALSE), "")</f>
        <v/>
      </c>
      <c r="I1100" s="352"/>
      <c r="J1100" s="358" t="str">
        <f>IFERROR(VLOOKUP(I1100,'Project Records_v2'!F:G, 2, FALSE), "")</f>
        <v/>
      </c>
      <c r="K1100" s="143"/>
      <c r="L1100" s="390"/>
      <c r="M1100" s="419"/>
      <c r="N1100" s="370"/>
      <c r="O1100" s="370"/>
      <c r="P1100" s="371"/>
      <c r="Q1100" s="365"/>
    </row>
    <row r="1101" ht="22.5" customHeight="1">
      <c r="A1101" s="146"/>
      <c r="B1101" s="413"/>
      <c r="C1101" s="367"/>
      <c r="D1101" s="420"/>
      <c r="E1101" s="405"/>
      <c r="F1101" s="404"/>
      <c r="G1101" s="352" t="str">
        <f>IFERROR(VLOOKUP(D1101,'Client ID Records_v2'!D:E, 2, FALSE), "")</f>
        <v/>
      </c>
      <c r="H1101" s="368" t="str">
        <f>IFERROR(VLOOKUP(G1101,'Client ID Records_v2'!E:F, 2, FALSE), "")</f>
        <v/>
      </c>
      <c r="I1101" s="352"/>
      <c r="J1101" s="358" t="str">
        <f>IFERROR(VLOOKUP(I1101,'Project Records_v2'!F:G, 2, FALSE), "")</f>
        <v/>
      </c>
      <c r="K1101" s="143"/>
      <c r="L1101" s="390"/>
      <c r="M1101" s="419"/>
      <c r="N1101" s="370"/>
      <c r="O1101" s="370"/>
      <c r="P1101" s="371"/>
      <c r="Q1101" s="365"/>
    </row>
    <row r="1102" ht="22.5" customHeight="1">
      <c r="A1102" s="146"/>
      <c r="B1102" s="413"/>
      <c r="C1102" s="367"/>
      <c r="D1102" s="420"/>
      <c r="E1102" s="405"/>
      <c r="F1102" s="404"/>
      <c r="G1102" s="352" t="str">
        <f>IFERROR(VLOOKUP(D1102,'Client ID Records_v2'!D:E, 2, FALSE), "")</f>
        <v/>
      </c>
      <c r="H1102" s="368" t="str">
        <f>IFERROR(VLOOKUP(G1102,'Client ID Records_v2'!E:F, 2, FALSE), "")</f>
        <v/>
      </c>
      <c r="I1102" s="352"/>
      <c r="J1102" s="358" t="str">
        <f>IFERROR(VLOOKUP(I1102,'Project Records_v2'!F:G, 2, FALSE), "")</f>
        <v/>
      </c>
      <c r="K1102" s="143"/>
      <c r="L1102" s="390"/>
      <c r="M1102" s="419"/>
      <c r="N1102" s="370"/>
      <c r="O1102" s="370"/>
      <c r="P1102" s="371"/>
      <c r="Q1102" s="365"/>
    </row>
  </sheetData>
  <dataValidations>
    <dataValidation type="list" allowBlank="1" sqref="K2:K1102">
      <formula1>"Equipment Use,Laboratory Service,Retail Sales,Bioinformatics Analysis,Training,Omics + Bioinfo"</formula1>
    </dataValidation>
    <dataValidation type="list" allowBlank="1" sqref="M2:M1102">
      <formula1>"R&amp;D,Laboratory Service,Cancelled"</formula1>
    </dataValidation>
    <dataValidation type="list" allowBlank="1" sqref="F2:F1102">
      <formula1>"PAID,PROCESSING,CANCELLED"</formula1>
    </dataValidation>
    <dataValidation type="custom" allowBlank="1" showDropDown="1" sqref="P2:P1102">
      <formula1>OR(NOT(ISERROR(DATEVALUE(P2))), AND(ISNUMBER(P2), LEFT(CELL("format", P2))="D"))</formula1>
    </dataValidation>
    <dataValidation type="custom" allowBlank="1" showDropDown="1" sqref="E2:E1102">
      <formula1>AND(ISNUMBER(E2),(NOT(OR(NOT(ISERROR(DATEVALUE(E2))), AND(ISNUMBER(E2), LEFT(CELL("format", E2))="D")))))</formula1>
    </dataValidation>
    <dataValidation allowBlank="1" showDropDown="1" sqref="N2:N1102"/>
    <dataValidation type="custom" allowBlank="1" showDropDown="1" sqref="B2:B1102">
      <formula1>OR(NOT(ISERROR(DATEVALUE(B2))), AND(ISNUMBER(B2), LEFT(CELL("format", B2))="D"))</formula1>
    </dataValidation>
    <dataValidation allowBlank="1" showDropDown="1" sqref="C2:C1102 Q2:Q1102"/>
    <dataValidation allowBlank="1" showDropDown="1" sqref="G2:G1102 I2:I1102"/>
    <dataValidation type="list" allowBlank="1" sqref="D2:D1102">
      <formula1>#REF!</formula1>
    </dataValidation>
  </dataValidations>
  <hyperlinks>
    <hyperlink r:id="rId1" ref="Q67"/>
    <hyperlink r:id="rId2" ref="Q70"/>
    <hyperlink r:id="rId3" ref="Q73"/>
    <hyperlink r:id="rId4" ref="N78"/>
    <hyperlink r:id="rId5" ref="Q97"/>
    <hyperlink r:id="rId6" ref="O107"/>
    <hyperlink r:id="rId7" ref="Q109"/>
    <hyperlink r:id="rId8" ref="Q115"/>
    <hyperlink r:id="rId9" ref="Q117"/>
    <hyperlink r:id="rId10" ref="Q119"/>
    <hyperlink r:id="rId11" ref="Q122"/>
    <hyperlink r:id="rId12" ref="Q124"/>
    <hyperlink r:id="rId13" ref="Q126"/>
    <hyperlink r:id="rId14" ref="Q127"/>
    <hyperlink r:id="rId15" ref="Q128"/>
  </hyperlinks>
  <drawing r:id="rId16"/>
  <tableParts count="1">
    <tablePart r:id="rId18"/>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0"/>
    <col customWidth="1" min="2" max="2" width="18.38"/>
    <col customWidth="1" min="4" max="4" width="36.13"/>
  </cols>
  <sheetData>
    <row r="1">
      <c r="B1" s="421"/>
    </row>
    <row r="2" ht="22.5" customHeight="1">
      <c r="A2" s="422" t="s">
        <v>2261</v>
      </c>
      <c r="B2" s="423" t="s">
        <v>2262</v>
      </c>
    </row>
    <row r="3" ht="22.5" customHeight="1">
      <c r="A3" s="167" t="s">
        <v>1929</v>
      </c>
      <c r="B3" s="424">
        <f>SUMIF('Charge SlipBilling'!M:M, "R&amp;D",'Charge SlipBilling'!E:E)</f>
        <v>4710518.569</v>
      </c>
      <c r="D3" s="425">
        <f>B3/B5</f>
        <v>0.5182048888</v>
      </c>
      <c r="E3" s="421">
        <f>B8*D3</f>
        <v>2019645.334</v>
      </c>
    </row>
    <row r="4" ht="22.5" customHeight="1">
      <c r="A4" s="167" t="s">
        <v>1919</v>
      </c>
      <c r="B4" s="424">
        <f>SUMIF('Charge SlipBilling'!M:M, "Laboratory Service",'Charge SlipBilling'!E:E)</f>
        <v>4379551.152</v>
      </c>
      <c r="D4" s="425">
        <f>B4/B5</f>
        <v>0.4817951112</v>
      </c>
      <c r="E4" s="421">
        <f>B8*D4</f>
        <v>1877742.316</v>
      </c>
    </row>
    <row r="5" ht="22.5" customHeight="1">
      <c r="A5" s="426" t="s">
        <v>2263</v>
      </c>
      <c r="B5" s="427">
        <f>sum(B3:B4)</f>
        <v>9090069.721</v>
      </c>
      <c r="D5" s="428" t="s">
        <v>2264</v>
      </c>
    </row>
    <row r="6" ht="22.5" customHeight="1">
      <c r="A6" s="194" t="s">
        <v>101</v>
      </c>
      <c r="B6" s="429">
        <f>SUMIF('Charge SlipBilling'!F:F, "Cancelled",'Charge SlipBilling'!E:E)</f>
        <v>2420707.88</v>
      </c>
      <c r="D6" s="44" t="s">
        <v>2265</v>
      </c>
      <c r="E6" s="430">
        <v>3621502.71</v>
      </c>
    </row>
    <row r="7" ht="22.5" customHeight="1">
      <c r="A7" s="194" t="s">
        <v>2266</v>
      </c>
      <c r="B7" s="429">
        <f>SUMIF('Charge SlipBilling'!F:F, "Processing",'Charge SlipBilling'!E:E)</f>
        <v>2771974.19</v>
      </c>
      <c r="D7" s="44" t="s">
        <v>2267</v>
      </c>
      <c r="E7" s="431">
        <f>(sum('Charge SlipBilling'!E96,'Charge SlipBilling'!E98:E141)*60%)</f>
        <v>1001143.59</v>
      </c>
      <c r="F7" s="432">
        <f>sum('Charge SlipBilling'!E124:E142)</f>
        <v>889545.25</v>
      </c>
    </row>
    <row r="8" ht="22.5" customHeight="1">
      <c r="A8" s="194"/>
      <c r="B8" s="427">
        <f>B5-(B6+B7)</f>
        <v>3897387.651</v>
      </c>
      <c r="D8" s="44" t="s">
        <v>2268</v>
      </c>
      <c r="E8" s="433">
        <f>SUM(E6:E7)</f>
        <v>4622646.3</v>
      </c>
    </row>
    <row r="9" ht="22.5" customHeight="1">
      <c r="A9" s="194" t="s">
        <v>2269</v>
      </c>
      <c r="B9" s="434">
        <v>524686.04</v>
      </c>
      <c r="D9" s="44" t="s">
        <v>2270</v>
      </c>
      <c r="E9" s="435">
        <f>E7/E6</f>
        <v>0.2764442471</v>
      </c>
    </row>
    <row r="10" ht="22.5" customHeight="1">
      <c r="A10" s="194"/>
      <c r="B10" s="434">
        <f>B8-B9</f>
        <v>3372701.611</v>
      </c>
    </row>
    <row r="11">
      <c r="B11" s="421"/>
    </row>
    <row r="12">
      <c r="B12" s="421"/>
    </row>
    <row r="13">
      <c r="B13" s="421"/>
    </row>
    <row r="14">
      <c r="B14" s="421"/>
    </row>
    <row r="15">
      <c r="B15" s="421"/>
    </row>
    <row r="16">
      <c r="B16" s="421"/>
    </row>
    <row r="17">
      <c r="B17" s="421"/>
    </row>
    <row r="18">
      <c r="B18" s="421"/>
    </row>
    <row r="19">
      <c r="B19" s="421"/>
    </row>
    <row r="20">
      <c r="B20" s="421"/>
    </row>
    <row r="21">
      <c r="B21" s="421"/>
    </row>
    <row r="22">
      <c r="B22" s="421"/>
    </row>
    <row r="23">
      <c r="B23" s="421"/>
    </row>
    <row r="24">
      <c r="B24" s="421"/>
    </row>
    <row r="25">
      <c r="B25" s="421"/>
    </row>
    <row r="26">
      <c r="B26" s="421"/>
    </row>
    <row r="27">
      <c r="B27" s="421"/>
    </row>
    <row r="28">
      <c r="B28" s="421"/>
    </row>
    <row r="29">
      <c r="B29" s="421"/>
    </row>
    <row r="30">
      <c r="B30" s="421"/>
    </row>
    <row r="31">
      <c r="B31" s="421"/>
    </row>
    <row r="32">
      <c r="B32" s="421"/>
    </row>
    <row r="33">
      <c r="B33" s="421"/>
    </row>
    <row r="34">
      <c r="B34" s="421"/>
    </row>
    <row r="35">
      <c r="B35" s="421"/>
    </row>
    <row r="36">
      <c r="B36" s="421"/>
    </row>
    <row r="37">
      <c r="B37" s="421"/>
    </row>
    <row r="38">
      <c r="B38" s="421"/>
    </row>
    <row r="39">
      <c r="B39" s="421"/>
    </row>
    <row r="40">
      <c r="B40" s="421"/>
    </row>
    <row r="41">
      <c r="B41" s="421"/>
    </row>
    <row r="42">
      <c r="B42" s="421"/>
    </row>
    <row r="43">
      <c r="B43" s="421"/>
    </row>
    <row r="44">
      <c r="B44" s="421"/>
    </row>
    <row r="45">
      <c r="B45" s="421"/>
    </row>
    <row r="46">
      <c r="B46" s="421"/>
    </row>
    <row r="47">
      <c r="B47" s="421"/>
    </row>
    <row r="48">
      <c r="B48" s="421"/>
    </row>
    <row r="49">
      <c r="B49" s="421"/>
    </row>
    <row r="50">
      <c r="B50" s="421"/>
    </row>
    <row r="51">
      <c r="B51" s="421"/>
    </row>
    <row r="52">
      <c r="B52" s="421"/>
    </row>
    <row r="53">
      <c r="B53" s="421"/>
    </row>
    <row r="54">
      <c r="B54" s="421"/>
    </row>
    <row r="55">
      <c r="B55" s="421"/>
    </row>
    <row r="56">
      <c r="B56" s="421"/>
    </row>
    <row r="57">
      <c r="B57" s="421"/>
    </row>
    <row r="58">
      <c r="B58" s="421"/>
    </row>
    <row r="59">
      <c r="B59" s="421"/>
    </row>
    <row r="60">
      <c r="B60" s="421"/>
    </row>
    <row r="61">
      <c r="B61" s="421"/>
    </row>
    <row r="62">
      <c r="B62" s="421"/>
    </row>
    <row r="63">
      <c r="B63" s="421"/>
    </row>
    <row r="64">
      <c r="B64" s="421"/>
    </row>
    <row r="65">
      <c r="B65" s="421"/>
    </row>
    <row r="66">
      <c r="B66" s="421"/>
    </row>
    <row r="67">
      <c r="B67" s="421"/>
    </row>
    <row r="68">
      <c r="B68" s="421"/>
    </row>
    <row r="69">
      <c r="B69" s="421"/>
    </row>
    <row r="70">
      <c r="B70" s="421"/>
    </row>
    <row r="71">
      <c r="B71" s="421"/>
    </row>
    <row r="72">
      <c r="B72" s="421"/>
    </row>
    <row r="73">
      <c r="B73" s="421"/>
    </row>
    <row r="74">
      <c r="B74" s="421"/>
    </row>
    <row r="75">
      <c r="B75" s="421"/>
    </row>
    <row r="76">
      <c r="B76" s="421"/>
    </row>
    <row r="77">
      <c r="B77" s="421"/>
    </row>
    <row r="78">
      <c r="B78" s="421"/>
    </row>
    <row r="79">
      <c r="B79" s="421"/>
    </row>
    <row r="80">
      <c r="B80" s="421"/>
    </row>
    <row r="81">
      <c r="B81" s="421"/>
    </row>
    <row r="82">
      <c r="B82" s="421"/>
    </row>
    <row r="83">
      <c r="B83" s="421"/>
    </row>
    <row r="84">
      <c r="B84" s="421"/>
    </row>
    <row r="85">
      <c r="B85" s="421"/>
    </row>
    <row r="86">
      <c r="B86" s="421"/>
    </row>
    <row r="87">
      <c r="B87" s="421"/>
    </row>
    <row r="88">
      <c r="B88" s="421"/>
    </row>
    <row r="89">
      <c r="B89" s="421"/>
    </row>
    <row r="90">
      <c r="B90" s="421"/>
    </row>
    <row r="91">
      <c r="B91" s="421"/>
    </row>
    <row r="92">
      <c r="B92" s="421"/>
    </row>
    <row r="93">
      <c r="B93" s="421"/>
    </row>
    <row r="94">
      <c r="B94" s="421"/>
    </row>
    <row r="95">
      <c r="B95" s="421"/>
    </row>
    <row r="96">
      <c r="B96" s="421"/>
    </row>
    <row r="97">
      <c r="B97" s="421"/>
    </row>
    <row r="98">
      <c r="B98" s="421"/>
    </row>
    <row r="99">
      <c r="B99" s="421"/>
    </row>
    <row r="100">
      <c r="B100" s="421"/>
    </row>
    <row r="101">
      <c r="B101" s="421"/>
    </row>
    <row r="102">
      <c r="B102" s="421"/>
    </row>
    <row r="103">
      <c r="B103" s="421"/>
    </row>
    <row r="104">
      <c r="B104" s="421"/>
    </row>
    <row r="105">
      <c r="B105" s="421"/>
    </row>
    <row r="106">
      <c r="B106" s="421"/>
    </row>
    <row r="107">
      <c r="B107" s="421"/>
    </row>
    <row r="108">
      <c r="B108" s="421"/>
    </row>
    <row r="109">
      <c r="B109" s="421"/>
    </row>
    <row r="110">
      <c r="B110" s="421"/>
    </row>
    <row r="111">
      <c r="B111" s="421"/>
    </row>
    <row r="112">
      <c r="B112" s="421"/>
    </row>
    <row r="113">
      <c r="B113" s="421"/>
    </row>
    <row r="114">
      <c r="B114" s="421"/>
    </row>
    <row r="115">
      <c r="B115" s="421"/>
    </row>
    <row r="116">
      <c r="B116" s="421"/>
    </row>
    <row r="117">
      <c r="B117" s="421"/>
    </row>
    <row r="118">
      <c r="B118" s="421"/>
    </row>
    <row r="119">
      <c r="B119" s="421"/>
    </row>
    <row r="120">
      <c r="B120" s="421"/>
    </row>
    <row r="121">
      <c r="B121" s="421"/>
    </row>
    <row r="122">
      <c r="B122" s="421"/>
    </row>
    <row r="123">
      <c r="B123" s="421"/>
    </row>
    <row r="124">
      <c r="B124" s="421"/>
    </row>
    <row r="125">
      <c r="B125" s="421"/>
    </row>
    <row r="126">
      <c r="B126" s="421"/>
    </row>
    <row r="127">
      <c r="B127" s="421"/>
    </row>
    <row r="128">
      <c r="B128" s="421"/>
    </row>
    <row r="129">
      <c r="B129" s="421"/>
    </row>
    <row r="130">
      <c r="B130" s="421"/>
    </row>
    <row r="131">
      <c r="B131" s="421"/>
    </row>
    <row r="132">
      <c r="B132" s="421"/>
    </row>
    <row r="133">
      <c r="B133" s="421"/>
    </row>
    <row r="134">
      <c r="B134" s="421"/>
    </row>
    <row r="135">
      <c r="B135" s="421"/>
    </row>
    <row r="136">
      <c r="B136" s="421"/>
    </row>
    <row r="137">
      <c r="B137" s="421"/>
    </row>
    <row r="138">
      <c r="B138" s="421"/>
    </row>
    <row r="139">
      <c r="B139" s="421"/>
    </row>
    <row r="140">
      <c r="B140" s="421"/>
    </row>
    <row r="141">
      <c r="B141" s="421"/>
    </row>
    <row r="142">
      <c r="B142" s="421"/>
    </row>
    <row r="143">
      <c r="B143" s="421"/>
    </row>
    <row r="144">
      <c r="B144" s="421"/>
    </row>
    <row r="145">
      <c r="B145" s="421"/>
    </row>
    <row r="146">
      <c r="B146" s="421"/>
    </row>
    <row r="147">
      <c r="B147" s="421"/>
    </row>
    <row r="148">
      <c r="B148" s="421"/>
    </row>
    <row r="149">
      <c r="B149" s="421"/>
    </row>
    <row r="150">
      <c r="B150" s="421"/>
    </row>
    <row r="151">
      <c r="B151" s="421"/>
    </row>
    <row r="152">
      <c r="B152" s="421"/>
    </row>
    <row r="153">
      <c r="B153" s="421"/>
    </row>
    <row r="154">
      <c r="B154" s="421"/>
    </row>
    <row r="155">
      <c r="B155" s="421"/>
    </row>
    <row r="156">
      <c r="B156" s="421"/>
    </row>
    <row r="157">
      <c r="B157" s="421"/>
    </row>
    <row r="158">
      <c r="B158" s="421"/>
    </row>
    <row r="159">
      <c r="B159" s="421"/>
    </row>
    <row r="160">
      <c r="B160" s="421"/>
    </row>
    <row r="161">
      <c r="B161" s="421"/>
    </row>
    <row r="162">
      <c r="B162" s="421"/>
    </row>
    <row r="163">
      <c r="B163" s="421"/>
    </row>
    <row r="164">
      <c r="B164" s="421"/>
    </row>
    <row r="165">
      <c r="B165" s="421"/>
    </row>
    <row r="166">
      <c r="B166" s="421"/>
    </row>
    <row r="167">
      <c r="B167" s="421"/>
    </row>
    <row r="168">
      <c r="B168" s="421"/>
    </row>
    <row r="169">
      <c r="B169" s="421"/>
    </row>
    <row r="170">
      <c r="B170" s="421"/>
    </row>
    <row r="171">
      <c r="B171" s="421"/>
    </row>
    <row r="172">
      <c r="B172" s="421"/>
    </row>
    <row r="173">
      <c r="B173" s="421"/>
    </row>
    <row r="174">
      <c r="B174" s="421"/>
    </row>
    <row r="175">
      <c r="B175" s="421"/>
    </row>
    <row r="176">
      <c r="B176" s="421"/>
    </row>
    <row r="177">
      <c r="B177" s="421"/>
    </row>
    <row r="178">
      <c r="B178" s="421"/>
    </row>
    <row r="179">
      <c r="B179" s="421"/>
    </row>
    <row r="180">
      <c r="B180" s="421"/>
    </row>
    <row r="181">
      <c r="B181" s="421"/>
    </row>
    <row r="182">
      <c r="B182" s="421"/>
    </row>
    <row r="183">
      <c r="B183" s="421"/>
    </row>
    <row r="184">
      <c r="B184" s="421"/>
    </row>
    <row r="185">
      <c r="B185" s="421"/>
    </row>
    <row r="186">
      <c r="B186" s="421"/>
    </row>
    <row r="187">
      <c r="B187" s="421"/>
    </row>
    <row r="188">
      <c r="B188" s="421"/>
    </row>
    <row r="189">
      <c r="B189" s="421"/>
    </row>
    <row r="190">
      <c r="B190" s="421"/>
    </row>
    <row r="191">
      <c r="B191" s="421"/>
    </row>
    <row r="192">
      <c r="B192" s="421"/>
    </row>
    <row r="193">
      <c r="B193" s="421"/>
    </row>
    <row r="194">
      <c r="B194" s="421"/>
    </row>
    <row r="195">
      <c r="B195" s="421"/>
    </row>
    <row r="196">
      <c r="B196" s="421"/>
    </row>
    <row r="197">
      <c r="B197" s="421"/>
    </row>
    <row r="198">
      <c r="B198" s="421"/>
    </row>
    <row r="199">
      <c r="B199" s="421"/>
    </row>
    <row r="200">
      <c r="B200" s="421"/>
    </row>
    <row r="201">
      <c r="B201" s="421"/>
    </row>
    <row r="202">
      <c r="B202" s="421"/>
    </row>
    <row r="203">
      <c r="B203" s="421"/>
    </row>
    <row r="204">
      <c r="B204" s="421"/>
    </row>
    <row r="205">
      <c r="B205" s="421"/>
    </row>
    <row r="206">
      <c r="B206" s="421"/>
    </row>
    <row r="207">
      <c r="B207" s="421"/>
    </row>
    <row r="208">
      <c r="B208" s="421"/>
    </row>
    <row r="209">
      <c r="B209" s="421"/>
    </row>
    <row r="210">
      <c r="B210" s="421"/>
    </row>
    <row r="211">
      <c r="B211" s="421"/>
    </row>
    <row r="212">
      <c r="B212" s="421"/>
    </row>
    <row r="213">
      <c r="B213" s="421"/>
    </row>
    <row r="214">
      <c r="B214" s="421"/>
    </row>
    <row r="215">
      <c r="B215" s="421"/>
    </row>
    <row r="216">
      <c r="B216" s="421"/>
    </row>
    <row r="217">
      <c r="B217" s="421"/>
    </row>
    <row r="218">
      <c r="B218" s="421"/>
    </row>
    <row r="219">
      <c r="B219" s="421"/>
    </row>
    <row r="220">
      <c r="B220" s="421"/>
    </row>
    <row r="221">
      <c r="B221" s="421"/>
    </row>
    <row r="222">
      <c r="B222" s="421"/>
    </row>
    <row r="223">
      <c r="B223" s="421"/>
    </row>
    <row r="224">
      <c r="B224" s="421"/>
    </row>
    <row r="225">
      <c r="B225" s="421"/>
    </row>
    <row r="226">
      <c r="B226" s="421"/>
    </row>
    <row r="227">
      <c r="B227" s="421"/>
    </row>
    <row r="228">
      <c r="B228" s="421"/>
    </row>
    <row r="229">
      <c r="B229" s="421"/>
    </row>
    <row r="230">
      <c r="B230" s="421"/>
    </row>
    <row r="231">
      <c r="B231" s="421"/>
    </row>
    <row r="232">
      <c r="B232" s="421"/>
    </row>
    <row r="233">
      <c r="B233" s="421"/>
    </row>
    <row r="234">
      <c r="B234" s="421"/>
    </row>
    <row r="235">
      <c r="B235" s="421"/>
    </row>
    <row r="236">
      <c r="B236" s="421"/>
    </row>
    <row r="237">
      <c r="B237" s="421"/>
    </row>
    <row r="238">
      <c r="B238" s="421"/>
    </row>
    <row r="239">
      <c r="B239" s="421"/>
    </row>
    <row r="240">
      <c r="B240" s="421"/>
    </row>
    <row r="241">
      <c r="B241" s="421"/>
    </row>
    <row r="242">
      <c r="B242" s="421"/>
    </row>
    <row r="243">
      <c r="B243" s="421"/>
    </row>
    <row r="244">
      <c r="B244" s="421"/>
    </row>
    <row r="245">
      <c r="B245" s="421"/>
    </row>
    <row r="246">
      <c r="B246" s="421"/>
    </row>
    <row r="247">
      <c r="B247" s="421"/>
    </row>
    <row r="248">
      <c r="B248" s="421"/>
    </row>
    <row r="249">
      <c r="B249" s="421"/>
    </row>
    <row r="250">
      <c r="B250" s="421"/>
    </row>
    <row r="251">
      <c r="B251" s="421"/>
    </row>
    <row r="252">
      <c r="B252" s="421"/>
    </row>
    <row r="253">
      <c r="B253" s="421"/>
    </row>
    <row r="254">
      <c r="B254" s="421"/>
    </row>
    <row r="255">
      <c r="B255" s="421"/>
    </row>
    <row r="256">
      <c r="B256" s="421"/>
    </row>
    <row r="257">
      <c r="B257" s="421"/>
    </row>
    <row r="258">
      <c r="B258" s="421"/>
    </row>
    <row r="259">
      <c r="B259" s="421"/>
    </row>
    <row r="260">
      <c r="B260" s="421"/>
    </row>
    <row r="261">
      <c r="B261" s="421"/>
    </row>
    <row r="262">
      <c r="B262" s="421"/>
    </row>
    <row r="263">
      <c r="B263" s="421"/>
    </row>
    <row r="264">
      <c r="B264" s="421"/>
    </row>
    <row r="265">
      <c r="B265" s="421"/>
    </row>
    <row r="266">
      <c r="B266" s="421"/>
    </row>
    <row r="267">
      <c r="B267" s="421"/>
    </row>
    <row r="268">
      <c r="B268" s="421"/>
    </row>
    <row r="269">
      <c r="B269" s="421"/>
    </row>
    <row r="270">
      <c r="B270" s="421"/>
    </row>
    <row r="271">
      <c r="B271" s="421"/>
    </row>
    <row r="272">
      <c r="B272" s="421"/>
    </row>
    <row r="273">
      <c r="B273" s="421"/>
    </row>
    <row r="274">
      <c r="B274" s="421"/>
    </row>
    <row r="275">
      <c r="B275" s="421"/>
    </row>
    <row r="276">
      <c r="B276" s="421"/>
    </row>
    <row r="277">
      <c r="B277" s="421"/>
    </row>
    <row r="278">
      <c r="B278" s="421"/>
    </row>
    <row r="279">
      <c r="B279" s="421"/>
    </row>
    <row r="280">
      <c r="B280" s="421"/>
    </row>
    <row r="281">
      <c r="B281" s="421"/>
    </row>
    <row r="282">
      <c r="B282" s="421"/>
    </row>
    <row r="283">
      <c r="B283" s="421"/>
    </row>
    <row r="284">
      <c r="B284" s="421"/>
    </row>
    <row r="285">
      <c r="B285" s="421"/>
    </row>
    <row r="286">
      <c r="B286" s="421"/>
    </row>
    <row r="287">
      <c r="B287" s="421"/>
    </row>
    <row r="288">
      <c r="B288" s="421"/>
    </row>
    <row r="289">
      <c r="B289" s="421"/>
    </row>
    <row r="290">
      <c r="B290" s="421"/>
    </row>
    <row r="291">
      <c r="B291" s="421"/>
    </row>
    <row r="292">
      <c r="B292" s="421"/>
    </row>
    <row r="293">
      <c r="B293" s="421"/>
    </row>
    <row r="294">
      <c r="B294" s="421"/>
    </row>
    <row r="295">
      <c r="B295" s="421"/>
    </row>
    <row r="296">
      <c r="B296" s="421"/>
    </row>
    <row r="297">
      <c r="B297" s="421"/>
    </row>
    <row r="298">
      <c r="B298" s="421"/>
    </row>
    <row r="299">
      <c r="B299" s="421"/>
    </row>
    <row r="300">
      <c r="B300" s="421"/>
    </row>
    <row r="301">
      <c r="B301" s="421"/>
    </row>
    <row r="302">
      <c r="B302" s="421"/>
    </row>
    <row r="303">
      <c r="B303" s="421"/>
    </row>
    <row r="304">
      <c r="B304" s="421"/>
    </row>
    <row r="305">
      <c r="B305" s="421"/>
    </row>
    <row r="306">
      <c r="B306" s="421"/>
    </row>
    <row r="307">
      <c r="B307" s="421"/>
    </row>
    <row r="308">
      <c r="B308" s="421"/>
    </row>
    <row r="309">
      <c r="B309" s="421"/>
    </row>
    <row r="310">
      <c r="B310" s="421"/>
    </row>
    <row r="311">
      <c r="B311" s="421"/>
    </row>
    <row r="312">
      <c r="B312" s="421"/>
    </row>
    <row r="313">
      <c r="B313" s="421"/>
    </row>
    <row r="314">
      <c r="B314" s="421"/>
    </row>
    <row r="315">
      <c r="B315" s="421"/>
    </row>
    <row r="316">
      <c r="B316" s="421"/>
    </row>
    <row r="317">
      <c r="B317" s="421"/>
    </row>
    <row r="318">
      <c r="B318" s="421"/>
    </row>
    <row r="319">
      <c r="B319" s="421"/>
    </row>
    <row r="320">
      <c r="B320" s="421"/>
    </row>
    <row r="321">
      <c r="B321" s="421"/>
    </row>
    <row r="322">
      <c r="B322" s="421"/>
    </row>
    <row r="323">
      <c r="B323" s="421"/>
    </row>
    <row r="324">
      <c r="B324" s="421"/>
    </row>
    <row r="325">
      <c r="B325" s="421"/>
    </row>
    <row r="326">
      <c r="B326" s="421"/>
    </row>
    <row r="327">
      <c r="B327" s="421"/>
    </row>
    <row r="328">
      <c r="B328" s="421"/>
    </row>
    <row r="329">
      <c r="B329" s="421"/>
    </row>
    <row r="330">
      <c r="B330" s="421"/>
    </row>
    <row r="331">
      <c r="B331" s="421"/>
    </row>
    <row r="332">
      <c r="B332" s="421"/>
    </row>
    <row r="333">
      <c r="B333" s="421"/>
    </row>
    <row r="334">
      <c r="B334" s="421"/>
    </row>
    <row r="335">
      <c r="B335" s="421"/>
    </row>
    <row r="336">
      <c r="B336" s="421"/>
    </row>
    <row r="337">
      <c r="B337" s="421"/>
    </row>
    <row r="338">
      <c r="B338" s="421"/>
    </row>
    <row r="339">
      <c r="B339" s="421"/>
    </row>
    <row r="340">
      <c r="B340" s="421"/>
    </row>
    <row r="341">
      <c r="B341" s="421"/>
    </row>
    <row r="342">
      <c r="B342" s="421"/>
    </row>
    <row r="343">
      <c r="B343" s="421"/>
    </row>
    <row r="344">
      <c r="B344" s="421"/>
    </row>
    <row r="345">
      <c r="B345" s="421"/>
    </row>
    <row r="346">
      <c r="B346" s="421"/>
    </row>
    <row r="347">
      <c r="B347" s="421"/>
    </row>
    <row r="348">
      <c r="B348" s="421"/>
    </row>
    <row r="349">
      <c r="B349" s="421"/>
    </row>
    <row r="350">
      <c r="B350" s="421"/>
    </row>
    <row r="351">
      <c r="B351" s="421"/>
    </row>
    <row r="352">
      <c r="B352" s="421"/>
    </row>
    <row r="353">
      <c r="B353" s="421"/>
    </row>
    <row r="354">
      <c r="B354" s="421"/>
    </row>
    <row r="355">
      <c r="B355" s="421"/>
    </row>
    <row r="356">
      <c r="B356" s="421"/>
    </row>
    <row r="357">
      <c r="B357" s="421"/>
    </row>
    <row r="358">
      <c r="B358" s="421"/>
    </row>
    <row r="359">
      <c r="B359" s="421"/>
    </row>
    <row r="360">
      <c r="B360" s="421"/>
    </row>
    <row r="361">
      <c r="B361" s="421"/>
    </row>
    <row r="362">
      <c r="B362" s="421"/>
    </row>
    <row r="363">
      <c r="B363" s="421"/>
    </row>
    <row r="364">
      <c r="B364" s="421"/>
    </row>
    <row r="365">
      <c r="B365" s="421"/>
    </row>
    <row r="366">
      <c r="B366" s="421"/>
    </row>
    <row r="367">
      <c r="B367" s="421"/>
    </row>
    <row r="368">
      <c r="B368" s="421"/>
    </row>
    <row r="369">
      <c r="B369" s="421"/>
    </row>
    <row r="370">
      <c r="B370" s="421"/>
    </row>
    <row r="371">
      <c r="B371" s="421"/>
    </row>
    <row r="372">
      <c r="B372" s="421"/>
    </row>
    <row r="373">
      <c r="B373" s="421"/>
    </row>
    <row r="374">
      <c r="B374" s="421"/>
    </row>
    <row r="375">
      <c r="B375" s="421"/>
    </row>
    <row r="376">
      <c r="B376" s="421"/>
    </row>
    <row r="377">
      <c r="B377" s="421"/>
    </row>
    <row r="378">
      <c r="B378" s="421"/>
    </row>
    <row r="379">
      <c r="B379" s="421"/>
    </row>
    <row r="380">
      <c r="B380" s="421"/>
    </row>
    <row r="381">
      <c r="B381" s="421"/>
    </row>
    <row r="382">
      <c r="B382" s="421"/>
    </row>
    <row r="383">
      <c r="B383" s="421"/>
    </row>
    <row r="384">
      <c r="B384" s="421"/>
    </row>
    <row r="385">
      <c r="B385" s="421"/>
    </row>
    <row r="386">
      <c r="B386" s="421"/>
    </row>
    <row r="387">
      <c r="B387" s="421"/>
    </row>
    <row r="388">
      <c r="B388" s="421"/>
    </row>
    <row r="389">
      <c r="B389" s="421"/>
    </row>
    <row r="390">
      <c r="B390" s="421"/>
    </row>
    <row r="391">
      <c r="B391" s="421"/>
    </row>
    <row r="392">
      <c r="B392" s="421"/>
    </row>
    <row r="393">
      <c r="B393" s="421"/>
    </row>
    <row r="394">
      <c r="B394" s="421"/>
    </row>
    <row r="395">
      <c r="B395" s="421"/>
    </row>
    <row r="396">
      <c r="B396" s="421"/>
    </row>
    <row r="397">
      <c r="B397" s="421"/>
    </row>
    <row r="398">
      <c r="B398" s="421"/>
    </row>
    <row r="399">
      <c r="B399" s="421"/>
    </row>
    <row r="400">
      <c r="B400" s="421"/>
    </row>
    <row r="401">
      <c r="B401" s="421"/>
    </row>
    <row r="402">
      <c r="B402" s="421"/>
    </row>
    <row r="403">
      <c r="B403" s="421"/>
    </row>
    <row r="404">
      <c r="B404" s="421"/>
    </row>
    <row r="405">
      <c r="B405" s="421"/>
    </row>
    <row r="406">
      <c r="B406" s="421"/>
    </row>
    <row r="407">
      <c r="B407" s="421"/>
    </row>
    <row r="408">
      <c r="B408" s="421"/>
    </row>
    <row r="409">
      <c r="B409" s="421"/>
    </row>
    <row r="410">
      <c r="B410" s="421"/>
    </row>
    <row r="411">
      <c r="B411" s="421"/>
    </row>
    <row r="412">
      <c r="B412" s="421"/>
    </row>
    <row r="413">
      <c r="B413" s="421"/>
    </row>
    <row r="414">
      <c r="B414" s="421"/>
    </row>
    <row r="415">
      <c r="B415" s="421"/>
    </row>
    <row r="416">
      <c r="B416" s="421"/>
    </row>
    <row r="417">
      <c r="B417" s="421"/>
    </row>
    <row r="418">
      <c r="B418" s="421"/>
    </row>
    <row r="419">
      <c r="B419" s="421"/>
    </row>
    <row r="420">
      <c r="B420" s="421"/>
    </row>
    <row r="421">
      <c r="B421" s="421"/>
    </row>
    <row r="422">
      <c r="B422" s="421"/>
    </row>
    <row r="423">
      <c r="B423" s="421"/>
    </row>
    <row r="424">
      <c r="B424" s="421"/>
    </row>
    <row r="425">
      <c r="B425" s="421"/>
    </row>
    <row r="426">
      <c r="B426" s="421"/>
    </row>
    <row r="427">
      <c r="B427" s="421"/>
    </row>
    <row r="428">
      <c r="B428" s="421"/>
    </row>
    <row r="429">
      <c r="B429" s="421"/>
    </row>
    <row r="430">
      <c r="B430" s="421"/>
    </row>
    <row r="431">
      <c r="B431" s="421"/>
    </row>
    <row r="432">
      <c r="B432" s="421"/>
    </row>
    <row r="433">
      <c r="B433" s="421"/>
    </row>
    <row r="434">
      <c r="B434" s="421"/>
    </row>
    <row r="435">
      <c r="B435" s="421"/>
    </row>
    <row r="436">
      <c r="B436" s="421"/>
    </row>
    <row r="437">
      <c r="B437" s="421"/>
    </row>
    <row r="438">
      <c r="B438" s="421"/>
    </row>
    <row r="439">
      <c r="B439" s="421"/>
    </row>
    <row r="440">
      <c r="B440" s="421"/>
    </row>
    <row r="441">
      <c r="B441" s="421"/>
    </row>
    <row r="442">
      <c r="B442" s="421"/>
    </row>
    <row r="443">
      <c r="B443" s="421"/>
    </row>
    <row r="444">
      <c r="B444" s="421"/>
    </row>
    <row r="445">
      <c r="B445" s="421"/>
    </row>
    <row r="446">
      <c r="B446" s="421"/>
    </row>
    <row r="447">
      <c r="B447" s="421"/>
    </row>
    <row r="448">
      <c r="B448" s="421"/>
    </row>
    <row r="449">
      <c r="B449" s="421"/>
    </row>
    <row r="450">
      <c r="B450" s="421"/>
    </row>
    <row r="451">
      <c r="B451" s="421"/>
    </row>
    <row r="452">
      <c r="B452" s="421"/>
    </row>
    <row r="453">
      <c r="B453" s="421"/>
    </row>
    <row r="454">
      <c r="B454" s="421"/>
    </row>
    <row r="455">
      <c r="B455" s="421"/>
    </row>
    <row r="456">
      <c r="B456" s="421"/>
    </row>
    <row r="457">
      <c r="B457" s="421"/>
    </row>
    <row r="458">
      <c r="B458" s="421"/>
    </row>
    <row r="459">
      <c r="B459" s="421"/>
    </row>
    <row r="460">
      <c r="B460" s="421"/>
    </row>
    <row r="461">
      <c r="B461" s="421"/>
    </row>
    <row r="462">
      <c r="B462" s="421"/>
    </row>
    <row r="463">
      <c r="B463" s="421"/>
    </row>
    <row r="464">
      <c r="B464" s="421"/>
    </row>
    <row r="465">
      <c r="B465" s="421"/>
    </row>
    <row r="466">
      <c r="B466" s="421"/>
    </row>
    <row r="467">
      <c r="B467" s="421"/>
    </row>
    <row r="468">
      <c r="B468" s="421"/>
    </row>
    <row r="469">
      <c r="B469" s="421"/>
    </row>
    <row r="470">
      <c r="B470" s="421"/>
    </row>
    <row r="471">
      <c r="B471" s="421"/>
    </row>
    <row r="472">
      <c r="B472" s="421"/>
    </row>
    <row r="473">
      <c r="B473" s="421"/>
    </row>
    <row r="474">
      <c r="B474" s="421"/>
    </row>
    <row r="475">
      <c r="B475" s="421"/>
    </row>
    <row r="476">
      <c r="B476" s="421"/>
    </row>
    <row r="477">
      <c r="B477" s="421"/>
    </row>
    <row r="478">
      <c r="B478" s="421"/>
    </row>
    <row r="479">
      <c r="B479" s="421"/>
    </row>
    <row r="480">
      <c r="B480" s="421"/>
    </row>
    <row r="481">
      <c r="B481" s="421"/>
    </row>
    <row r="482">
      <c r="B482" s="421"/>
    </row>
    <row r="483">
      <c r="B483" s="421"/>
    </row>
    <row r="484">
      <c r="B484" s="421"/>
    </row>
    <row r="485">
      <c r="B485" s="421"/>
    </row>
    <row r="486">
      <c r="B486" s="421"/>
    </row>
    <row r="487">
      <c r="B487" s="421"/>
    </row>
    <row r="488">
      <c r="B488" s="421"/>
    </row>
    <row r="489">
      <c r="B489" s="421"/>
    </row>
    <row r="490">
      <c r="B490" s="421"/>
    </row>
    <row r="491">
      <c r="B491" s="421"/>
    </row>
    <row r="492">
      <c r="B492" s="421"/>
    </row>
    <row r="493">
      <c r="B493" s="421"/>
    </row>
    <row r="494">
      <c r="B494" s="421"/>
    </row>
    <row r="495">
      <c r="B495" s="421"/>
    </row>
    <row r="496">
      <c r="B496" s="421"/>
    </row>
    <row r="497">
      <c r="B497" s="421"/>
    </row>
    <row r="498">
      <c r="B498" s="421"/>
    </row>
    <row r="499">
      <c r="B499" s="421"/>
    </row>
    <row r="500">
      <c r="B500" s="421"/>
    </row>
    <row r="501">
      <c r="B501" s="421"/>
    </row>
    <row r="502">
      <c r="B502" s="421"/>
    </row>
    <row r="503">
      <c r="B503" s="421"/>
    </row>
    <row r="504">
      <c r="B504" s="421"/>
    </row>
    <row r="505">
      <c r="B505" s="421"/>
    </row>
    <row r="506">
      <c r="B506" s="421"/>
    </row>
    <row r="507">
      <c r="B507" s="421"/>
    </row>
    <row r="508">
      <c r="B508" s="421"/>
    </row>
    <row r="509">
      <c r="B509" s="421"/>
    </row>
    <row r="510">
      <c r="B510" s="421"/>
    </row>
    <row r="511">
      <c r="B511" s="421"/>
    </row>
    <row r="512">
      <c r="B512" s="421"/>
    </row>
    <row r="513">
      <c r="B513" s="421"/>
    </row>
    <row r="514">
      <c r="B514" s="421"/>
    </row>
    <row r="515">
      <c r="B515" s="421"/>
    </row>
    <row r="516">
      <c r="B516" s="421"/>
    </row>
    <row r="517">
      <c r="B517" s="421"/>
    </row>
    <row r="518">
      <c r="B518" s="421"/>
    </row>
    <row r="519">
      <c r="B519" s="421"/>
    </row>
    <row r="520">
      <c r="B520" s="421"/>
    </row>
    <row r="521">
      <c r="B521" s="421"/>
    </row>
    <row r="522">
      <c r="B522" s="421"/>
    </row>
    <row r="523">
      <c r="B523" s="421"/>
    </row>
    <row r="524">
      <c r="B524" s="421"/>
    </row>
    <row r="525">
      <c r="B525" s="421"/>
    </row>
    <row r="526">
      <c r="B526" s="421"/>
    </row>
    <row r="527">
      <c r="B527" s="421"/>
    </row>
    <row r="528">
      <c r="B528" s="421"/>
    </row>
    <row r="529">
      <c r="B529" s="421"/>
    </row>
    <row r="530">
      <c r="B530" s="421"/>
    </row>
    <row r="531">
      <c r="B531" s="421"/>
    </row>
    <row r="532">
      <c r="B532" s="421"/>
    </row>
    <row r="533">
      <c r="B533" s="421"/>
    </row>
    <row r="534">
      <c r="B534" s="421"/>
    </row>
    <row r="535">
      <c r="B535" s="421"/>
    </row>
    <row r="536">
      <c r="B536" s="421"/>
    </row>
    <row r="537">
      <c r="B537" s="421"/>
    </row>
    <row r="538">
      <c r="B538" s="421"/>
    </row>
    <row r="539">
      <c r="B539" s="421"/>
    </row>
    <row r="540">
      <c r="B540" s="421"/>
    </row>
    <row r="541">
      <c r="B541" s="421"/>
    </row>
    <row r="542">
      <c r="B542" s="421"/>
    </row>
    <row r="543">
      <c r="B543" s="421"/>
    </row>
    <row r="544">
      <c r="B544" s="421"/>
    </row>
    <row r="545">
      <c r="B545" s="421"/>
    </row>
    <row r="546">
      <c r="B546" s="421"/>
    </row>
    <row r="547">
      <c r="B547" s="421"/>
    </row>
    <row r="548">
      <c r="B548" s="421"/>
    </row>
    <row r="549">
      <c r="B549" s="421"/>
    </row>
    <row r="550">
      <c r="B550" s="421"/>
    </row>
    <row r="551">
      <c r="B551" s="421"/>
    </row>
    <row r="552">
      <c r="B552" s="421"/>
    </row>
    <row r="553">
      <c r="B553" s="421"/>
    </row>
    <row r="554">
      <c r="B554" s="421"/>
    </row>
    <row r="555">
      <c r="B555" s="421"/>
    </row>
    <row r="556">
      <c r="B556" s="421"/>
    </row>
    <row r="557">
      <c r="B557" s="421"/>
    </row>
    <row r="558">
      <c r="B558" s="421"/>
    </row>
    <row r="559">
      <c r="B559" s="421"/>
    </row>
    <row r="560">
      <c r="B560" s="421"/>
    </row>
    <row r="561">
      <c r="B561" s="421"/>
    </row>
    <row r="562">
      <c r="B562" s="421"/>
    </row>
    <row r="563">
      <c r="B563" s="421"/>
    </row>
    <row r="564">
      <c r="B564" s="421"/>
    </row>
    <row r="565">
      <c r="B565" s="421"/>
    </row>
    <row r="566">
      <c r="B566" s="421"/>
    </row>
    <row r="567">
      <c r="B567" s="421"/>
    </row>
    <row r="568">
      <c r="B568" s="421"/>
    </row>
    <row r="569">
      <c r="B569" s="421"/>
    </row>
    <row r="570">
      <c r="B570" s="421"/>
    </row>
    <row r="571">
      <c r="B571" s="421"/>
    </row>
    <row r="572">
      <c r="B572" s="421"/>
    </row>
    <row r="573">
      <c r="B573" s="421"/>
    </row>
    <row r="574">
      <c r="B574" s="421"/>
    </row>
    <row r="575">
      <c r="B575" s="421"/>
    </row>
    <row r="576">
      <c r="B576" s="421"/>
    </row>
    <row r="577">
      <c r="B577" s="421"/>
    </row>
    <row r="578">
      <c r="B578" s="421"/>
    </row>
    <row r="579">
      <c r="B579" s="421"/>
    </row>
    <row r="580">
      <c r="B580" s="421"/>
    </row>
    <row r="581">
      <c r="B581" s="421"/>
    </row>
    <row r="582">
      <c r="B582" s="421"/>
    </row>
    <row r="583">
      <c r="B583" s="421"/>
    </row>
    <row r="584">
      <c r="B584" s="421"/>
    </row>
    <row r="585">
      <c r="B585" s="421"/>
    </row>
    <row r="586">
      <c r="B586" s="421"/>
    </row>
    <row r="587">
      <c r="B587" s="421"/>
    </row>
    <row r="588">
      <c r="B588" s="421"/>
    </row>
    <row r="589">
      <c r="B589" s="421"/>
    </row>
    <row r="590">
      <c r="B590" s="421"/>
    </row>
    <row r="591">
      <c r="B591" s="421"/>
    </row>
    <row r="592">
      <c r="B592" s="421"/>
    </row>
    <row r="593">
      <c r="B593" s="421"/>
    </row>
    <row r="594">
      <c r="B594" s="421"/>
    </row>
    <row r="595">
      <c r="B595" s="421"/>
    </row>
    <row r="596">
      <c r="B596" s="421"/>
    </row>
    <row r="597">
      <c r="B597" s="421"/>
    </row>
    <row r="598">
      <c r="B598" s="421"/>
    </row>
    <row r="599">
      <c r="B599" s="421"/>
    </row>
    <row r="600">
      <c r="B600" s="421"/>
    </row>
    <row r="601">
      <c r="B601" s="421"/>
    </row>
    <row r="602">
      <c r="B602" s="421"/>
    </row>
    <row r="603">
      <c r="B603" s="421"/>
    </row>
    <row r="604">
      <c r="B604" s="421"/>
    </row>
    <row r="605">
      <c r="B605" s="421"/>
    </row>
    <row r="606">
      <c r="B606" s="421"/>
    </row>
    <row r="607">
      <c r="B607" s="421"/>
    </row>
    <row r="608">
      <c r="B608" s="421"/>
    </row>
    <row r="609">
      <c r="B609" s="421"/>
    </row>
    <row r="610">
      <c r="B610" s="421"/>
    </row>
    <row r="611">
      <c r="B611" s="421"/>
    </row>
    <row r="612">
      <c r="B612" s="421"/>
    </row>
    <row r="613">
      <c r="B613" s="421"/>
    </row>
    <row r="614">
      <c r="B614" s="421"/>
    </row>
    <row r="615">
      <c r="B615" s="421"/>
    </row>
    <row r="616">
      <c r="B616" s="421"/>
    </row>
    <row r="617">
      <c r="B617" s="421"/>
    </row>
    <row r="618">
      <c r="B618" s="421"/>
    </row>
    <row r="619">
      <c r="B619" s="421"/>
    </row>
    <row r="620">
      <c r="B620" s="421"/>
    </row>
    <row r="621">
      <c r="B621" s="421"/>
    </row>
    <row r="622">
      <c r="B622" s="421"/>
    </row>
    <row r="623">
      <c r="B623" s="421"/>
    </row>
    <row r="624">
      <c r="B624" s="421"/>
    </row>
    <row r="625">
      <c r="B625" s="421"/>
    </row>
    <row r="626">
      <c r="B626" s="421"/>
    </row>
    <row r="627">
      <c r="B627" s="421"/>
    </row>
    <row r="628">
      <c r="B628" s="421"/>
    </row>
    <row r="629">
      <c r="B629" s="421"/>
    </row>
    <row r="630">
      <c r="B630" s="421"/>
    </row>
    <row r="631">
      <c r="B631" s="421"/>
    </row>
    <row r="632">
      <c r="B632" s="421"/>
    </row>
    <row r="633">
      <c r="B633" s="421"/>
    </row>
    <row r="634">
      <c r="B634" s="421"/>
    </row>
    <row r="635">
      <c r="B635" s="421"/>
    </row>
    <row r="636">
      <c r="B636" s="421"/>
    </row>
    <row r="637">
      <c r="B637" s="421"/>
    </row>
    <row r="638">
      <c r="B638" s="421"/>
    </row>
    <row r="639">
      <c r="B639" s="421"/>
    </row>
    <row r="640">
      <c r="B640" s="421"/>
    </row>
    <row r="641">
      <c r="B641" s="421"/>
    </row>
    <row r="642">
      <c r="B642" s="421"/>
    </row>
    <row r="643">
      <c r="B643" s="421"/>
    </row>
    <row r="644">
      <c r="B644" s="421"/>
    </row>
    <row r="645">
      <c r="B645" s="421"/>
    </row>
    <row r="646">
      <c r="B646" s="421"/>
    </row>
    <row r="647">
      <c r="B647" s="421"/>
    </row>
    <row r="648">
      <c r="B648" s="421"/>
    </row>
    <row r="649">
      <c r="B649" s="421"/>
    </row>
    <row r="650">
      <c r="B650" s="421"/>
    </row>
    <row r="651">
      <c r="B651" s="421"/>
    </row>
    <row r="652">
      <c r="B652" s="421"/>
    </row>
    <row r="653">
      <c r="B653" s="421"/>
    </row>
    <row r="654">
      <c r="B654" s="421"/>
    </row>
    <row r="655">
      <c r="B655" s="421"/>
    </row>
    <row r="656">
      <c r="B656" s="421"/>
    </row>
    <row r="657">
      <c r="B657" s="421"/>
    </row>
    <row r="658">
      <c r="B658" s="421"/>
    </row>
    <row r="659">
      <c r="B659" s="421"/>
    </row>
    <row r="660">
      <c r="B660" s="421"/>
    </row>
    <row r="661">
      <c r="B661" s="421"/>
    </row>
    <row r="662">
      <c r="B662" s="421"/>
    </row>
    <row r="663">
      <c r="B663" s="421"/>
    </row>
    <row r="664">
      <c r="B664" s="421"/>
    </row>
    <row r="665">
      <c r="B665" s="421"/>
    </row>
    <row r="666">
      <c r="B666" s="421"/>
    </row>
    <row r="667">
      <c r="B667" s="421"/>
    </row>
    <row r="668">
      <c r="B668" s="421"/>
    </row>
    <row r="669">
      <c r="B669" s="421"/>
    </row>
    <row r="670">
      <c r="B670" s="421"/>
    </row>
    <row r="671">
      <c r="B671" s="421"/>
    </row>
    <row r="672">
      <c r="B672" s="421"/>
    </row>
    <row r="673">
      <c r="B673" s="421"/>
    </row>
    <row r="674">
      <c r="B674" s="421"/>
    </row>
    <row r="675">
      <c r="B675" s="421"/>
    </row>
    <row r="676">
      <c r="B676" s="421"/>
    </row>
    <row r="677">
      <c r="B677" s="421"/>
    </row>
    <row r="678">
      <c r="B678" s="421"/>
    </row>
    <row r="679">
      <c r="B679" s="421"/>
    </row>
    <row r="680">
      <c r="B680" s="421"/>
    </row>
    <row r="681">
      <c r="B681" s="421"/>
    </row>
    <row r="682">
      <c r="B682" s="421"/>
    </row>
    <row r="683">
      <c r="B683" s="421"/>
    </row>
    <row r="684">
      <c r="B684" s="421"/>
    </row>
    <row r="685">
      <c r="B685" s="421"/>
    </row>
    <row r="686">
      <c r="B686" s="421"/>
    </row>
    <row r="687">
      <c r="B687" s="421"/>
    </row>
    <row r="688">
      <c r="B688" s="421"/>
    </row>
    <row r="689">
      <c r="B689" s="421"/>
    </row>
    <row r="690">
      <c r="B690" s="421"/>
    </row>
    <row r="691">
      <c r="B691" s="421"/>
    </row>
    <row r="692">
      <c r="B692" s="421"/>
    </row>
    <row r="693">
      <c r="B693" s="421"/>
    </row>
    <row r="694">
      <c r="B694" s="421"/>
    </row>
    <row r="695">
      <c r="B695" s="421"/>
    </row>
    <row r="696">
      <c r="B696" s="421"/>
    </row>
    <row r="697">
      <c r="B697" s="421"/>
    </row>
    <row r="698">
      <c r="B698" s="421"/>
    </row>
    <row r="699">
      <c r="B699" s="421"/>
    </row>
    <row r="700">
      <c r="B700" s="421"/>
    </row>
    <row r="701">
      <c r="B701" s="421"/>
    </row>
    <row r="702">
      <c r="B702" s="421"/>
    </row>
    <row r="703">
      <c r="B703" s="421"/>
    </row>
    <row r="704">
      <c r="B704" s="421"/>
    </row>
    <row r="705">
      <c r="B705" s="421"/>
    </row>
    <row r="706">
      <c r="B706" s="421"/>
    </row>
    <row r="707">
      <c r="B707" s="421"/>
    </row>
    <row r="708">
      <c r="B708" s="421"/>
    </row>
    <row r="709">
      <c r="B709" s="421"/>
    </row>
    <row r="710">
      <c r="B710" s="421"/>
    </row>
    <row r="711">
      <c r="B711" s="421"/>
    </row>
    <row r="712">
      <c r="B712" s="421"/>
    </row>
    <row r="713">
      <c r="B713" s="421"/>
    </row>
    <row r="714">
      <c r="B714" s="421"/>
    </row>
    <row r="715">
      <c r="B715" s="421"/>
    </row>
    <row r="716">
      <c r="B716" s="421"/>
    </row>
    <row r="717">
      <c r="B717" s="421"/>
    </row>
    <row r="718">
      <c r="B718" s="421"/>
    </row>
    <row r="719">
      <c r="B719" s="421"/>
    </row>
    <row r="720">
      <c r="B720" s="421"/>
    </row>
    <row r="721">
      <c r="B721" s="421"/>
    </row>
    <row r="722">
      <c r="B722" s="421"/>
    </row>
    <row r="723">
      <c r="B723" s="421"/>
    </row>
    <row r="724">
      <c r="B724" s="421"/>
    </row>
    <row r="725">
      <c r="B725" s="421"/>
    </row>
    <row r="726">
      <c r="B726" s="421"/>
    </row>
    <row r="727">
      <c r="B727" s="421"/>
    </row>
    <row r="728">
      <c r="B728" s="421"/>
    </row>
    <row r="729">
      <c r="B729" s="421"/>
    </row>
    <row r="730">
      <c r="B730" s="421"/>
    </row>
    <row r="731">
      <c r="B731" s="421"/>
    </row>
    <row r="732">
      <c r="B732" s="421"/>
    </row>
    <row r="733">
      <c r="B733" s="421"/>
    </row>
    <row r="734">
      <c r="B734" s="421"/>
    </row>
    <row r="735">
      <c r="B735" s="421"/>
    </row>
    <row r="736">
      <c r="B736" s="421"/>
    </row>
    <row r="737">
      <c r="B737" s="421"/>
    </row>
    <row r="738">
      <c r="B738" s="421"/>
    </row>
    <row r="739">
      <c r="B739" s="421"/>
    </row>
    <row r="740">
      <c r="B740" s="421"/>
    </row>
    <row r="741">
      <c r="B741" s="421"/>
    </row>
    <row r="742">
      <c r="B742" s="421"/>
    </row>
    <row r="743">
      <c r="B743" s="421"/>
    </row>
    <row r="744">
      <c r="B744" s="421"/>
    </row>
    <row r="745">
      <c r="B745" s="421"/>
    </row>
    <row r="746">
      <c r="B746" s="421"/>
    </row>
    <row r="747">
      <c r="B747" s="421"/>
    </row>
    <row r="748">
      <c r="B748" s="421"/>
    </row>
    <row r="749">
      <c r="B749" s="421"/>
    </row>
    <row r="750">
      <c r="B750" s="421"/>
    </row>
    <row r="751">
      <c r="B751" s="421"/>
    </row>
    <row r="752">
      <c r="B752" s="421"/>
    </row>
    <row r="753">
      <c r="B753" s="421"/>
    </row>
    <row r="754">
      <c r="B754" s="421"/>
    </row>
    <row r="755">
      <c r="B755" s="421"/>
    </row>
    <row r="756">
      <c r="B756" s="421"/>
    </row>
    <row r="757">
      <c r="B757" s="421"/>
    </row>
    <row r="758">
      <c r="B758" s="421"/>
    </row>
    <row r="759">
      <c r="B759" s="421"/>
    </row>
    <row r="760">
      <c r="B760" s="421"/>
    </row>
    <row r="761">
      <c r="B761" s="421"/>
    </row>
    <row r="762">
      <c r="B762" s="421"/>
    </row>
    <row r="763">
      <c r="B763" s="421"/>
    </row>
    <row r="764">
      <c r="B764" s="421"/>
    </row>
    <row r="765">
      <c r="B765" s="421"/>
    </row>
    <row r="766">
      <c r="B766" s="421"/>
    </row>
    <row r="767">
      <c r="B767" s="421"/>
    </row>
    <row r="768">
      <c r="B768" s="421"/>
    </row>
    <row r="769">
      <c r="B769" s="421"/>
    </row>
    <row r="770">
      <c r="B770" s="421"/>
    </row>
    <row r="771">
      <c r="B771" s="421"/>
    </row>
    <row r="772">
      <c r="B772" s="421"/>
    </row>
    <row r="773">
      <c r="B773" s="421"/>
    </row>
    <row r="774">
      <c r="B774" s="421"/>
    </row>
    <row r="775">
      <c r="B775" s="421"/>
    </row>
    <row r="776">
      <c r="B776" s="421"/>
    </row>
    <row r="777">
      <c r="B777" s="421"/>
    </row>
    <row r="778">
      <c r="B778" s="421"/>
    </row>
    <row r="779">
      <c r="B779" s="421"/>
    </row>
    <row r="780">
      <c r="B780" s="421"/>
    </row>
    <row r="781">
      <c r="B781" s="421"/>
    </row>
    <row r="782">
      <c r="B782" s="421"/>
    </row>
    <row r="783">
      <c r="B783" s="421"/>
    </row>
    <row r="784">
      <c r="B784" s="421"/>
    </row>
    <row r="785">
      <c r="B785" s="421"/>
    </row>
    <row r="786">
      <c r="B786" s="421"/>
    </row>
    <row r="787">
      <c r="B787" s="421"/>
    </row>
    <row r="788">
      <c r="B788" s="421"/>
    </row>
    <row r="789">
      <c r="B789" s="421"/>
    </row>
    <row r="790">
      <c r="B790" s="421"/>
    </row>
    <row r="791">
      <c r="B791" s="421"/>
    </row>
    <row r="792">
      <c r="B792" s="421"/>
    </row>
    <row r="793">
      <c r="B793" s="421"/>
    </row>
    <row r="794">
      <c r="B794" s="421"/>
    </row>
    <row r="795">
      <c r="B795" s="421"/>
    </row>
    <row r="796">
      <c r="B796" s="421"/>
    </row>
    <row r="797">
      <c r="B797" s="421"/>
    </row>
    <row r="798">
      <c r="B798" s="421"/>
    </row>
    <row r="799">
      <c r="B799" s="421"/>
    </row>
    <row r="800">
      <c r="B800" s="421"/>
    </row>
    <row r="801">
      <c r="B801" s="421"/>
    </row>
    <row r="802">
      <c r="B802" s="421"/>
    </row>
    <row r="803">
      <c r="B803" s="421"/>
    </row>
    <row r="804">
      <c r="B804" s="421"/>
    </row>
    <row r="805">
      <c r="B805" s="421"/>
    </row>
    <row r="806">
      <c r="B806" s="421"/>
    </row>
    <row r="807">
      <c r="B807" s="421"/>
    </row>
    <row r="808">
      <c r="B808" s="421"/>
    </row>
    <row r="809">
      <c r="B809" s="421"/>
    </row>
    <row r="810">
      <c r="B810" s="421"/>
    </row>
    <row r="811">
      <c r="B811" s="421"/>
    </row>
    <row r="812">
      <c r="B812" s="421"/>
    </row>
    <row r="813">
      <c r="B813" s="421"/>
    </row>
    <row r="814">
      <c r="B814" s="421"/>
    </row>
    <row r="815">
      <c r="B815" s="421"/>
    </row>
    <row r="816">
      <c r="B816" s="421"/>
    </row>
    <row r="817">
      <c r="B817" s="421"/>
    </row>
    <row r="818">
      <c r="B818" s="421"/>
    </row>
    <row r="819">
      <c r="B819" s="421"/>
    </row>
    <row r="820">
      <c r="B820" s="421"/>
    </row>
    <row r="821">
      <c r="B821" s="421"/>
    </row>
    <row r="822">
      <c r="B822" s="421"/>
    </row>
    <row r="823">
      <c r="B823" s="421"/>
    </row>
    <row r="824">
      <c r="B824" s="421"/>
    </row>
    <row r="825">
      <c r="B825" s="421"/>
    </row>
    <row r="826">
      <c r="B826" s="421"/>
    </row>
    <row r="827">
      <c r="B827" s="421"/>
    </row>
    <row r="828">
      <c r="B828" s="421"/>
    </row>
    <row r="829">
      <c r="B829" s="421"/>
    </row>
    <row r="830">
      <c r="B830" s="421"/>
    </row>
    <row r="831">
      <c r="B831" s="421"/>
    </row>
    <row r="832">
      <c r="B832" s="421"/>
    </row>
    <row r="833">
      <c r="B833" s="421"/>
    </row>
    <row r="834">
      <c r="B834" s="421"/>
    </row>
    <row r="835">
      <c r="B835" s="421"/>
    </row>
    <row r="836">
      <c r="B836" s="421"/>
    </row>
    <row r="837">
      <c r="B837" s="421"/>
    </row>
    <row r="838">
      <c r="B838" s="421"/>
    </row>
    <row r="839">
      <c r="B839" s="421"/>
    </row>
    <row r="840">
      <c r="B840" s="421"/>
    </row>
    <row r="841">
      <c r="B841" s="421"/>
    </row>
    <row r="842">
      <c r="B842" s="421"/>
    </row>
    <row r="843">
      <c r="B843" s="421"/>
    </row>
    <row r="844">
      <c r="B844" s="421"/>
    </row>
    <row r="845">
      <c r="B845" s="421"/>
    </row>
    <row r="846">
      <c r="B846" s="421"/>
    </row>
    <row r="847">
      <c r="B847" s="421"/>
    </row>
    <row r="848">
      <c r="B848" s="421"/>
    </row>
    <row r="849">
      <c r="B849" s="421"/>
    </row>
    <row r="850">
      <c r="B850" s="421"/>
    </row>
    <row r="851">
      <c r="B851" s="421"/>
    </row>
    <row r="852">
      <c r="B852" s="421"/>
    </row>
    <row r="853">
      <c r="B853" s="421"/>
    </row>
    <row r="854">
      <c r="B854" s="421"/>
    </row>
    <row r="855">
      <c r="B855" s="421"/>
    </row>
    <row r="856">
      <c r="B856" s="421"/>
    </row>
    <row r="857">
      <c r="B857" s="421"/>
    </row>
    <row r="858">
      <c r="B858" s="421"/>
    </row>
    <row r="859">
      <c r="B859" s="421"/>
    </row>
    <row r="860">
      <c r="B860" s="421"/>
    </row>
    <row r="861">
      <c r="B861" s="421"/>
    </row>
    <row r="862">
      <c r="B862" s="421"/>
    </row>
    <row r="863">
      <c r="B863" s="421"/>
    </row>
    <row r="864">
      <c r="B864" s="421"/>
    </row>
    <row r="865">
      <c r="B865" s="421"/>
    </row>
    <row r="866">
      <c r="B866" s="421"/>
    </row>
    <row r="867">
      <c r="B867" s="421"/>
    </row>
    <row r="868">
      <c r="B868" s="421"/>
    </row>
    <row r="869">
      <c r="B869" s="421"/>
    </row>
    <row r="870">
      <c r="B870" s="421"/>
    </row>
    <row r="871">
      <c r="B871" s="421"/>
    </row>
    <row r="872">
      <c r="B872" s="421"/>
    </row>
    <row r="873">
      <c r="B873" s="421"/>
    </row>
    <row r="874">
      <c r="B874" s="421"/>
    </row>
    <row r="875">
      <c r="B875" s="421"/>
    </row>
    <row r="876">
      <c r="B876" s="421"/>
    </row>
    <row r="877">
      <c r="B877" s="421"/>
    </row>
    <row r="878">
      <c r="B878" s="421"/>
    </row>
    <row r="879">
      <c r="B879" s="421"/>
    </row>
    <row r="880">
      <c r="B880" s="421"/>
    </row>
    <row r="881">
      <c r="B881" s="421"/>
    </row>
    <row r="882">
      <c r="B882" s="421"/>
    </row>
    <row r="883">
      <c r="B883" s="421"/>
    </row>
    <row r="884">
      <c r="B884" s="421"/>
    </row>
    <row r="885">
      <c r="B885" s="421"/>
    </row>
    <row r="886">
      <c r="B886" s="421"/>
    </row>
    <row r="887">
      <c r="B887" s="421"/>
    </row>
    <row r="888">
      <c r="B888" s="421"/>
    </row>
    <row r="889">
      <c r="B889" s="421"/>
    </row>
    <row r="890">
      <c r="B890" s="421"/>
    </row>
    <row r="891">
      <c r="B891" s="421"/>
    </row>
    <row r="892">
      <c r="B892" s="421"/>
    </row>
    <row r="893">
      <c r="B893" s="421"/>
    </row>
    <row r="894">
      <c r="B894" s="421"/>
    </row>
    <row r="895">
      <c r="B895" s="421"/>
    </row>
    <row r="896">
      <c r="B896" s="421"/>
    </row>
    <row r="897">
      <c r="B897" s="421"/>
    </row>
    <row r="898">
      <c r="B898" s="421"/>
    </row>
    <row r="899">
      <c r="B899" s="421"/>
    </row>
    <row r="900">
      <c r="B900" s="421"/>
    </row>
    <row r="901">
      <c r="B901" s="421"/>
    </row>
    <row r="902">
      <c r="B902" s="421"/>
    </row>
    <row r="903">
      <c r="B903" s="421"/>
    </row>
    <row r="904">
      <c r="B904" s="421"/>
    </row>
    <row r="905">
      <c r="B905" s="421"/>
    </row>
    <row r="906">
      <c r="B906" s="421"/>
    </row>
    <row r="907">
      <c r="B907" s="421"/>
    </row>
    <row r="908">
      <c r="B908" s="421"/>
    </row>
    <row r="909">
      <c r="B909" s="421"/>
    </row>
    <row r="910">
      <c r="B910" s="421"/>
    </row>
    <row r="911">
      <c r="B911" s="421"/>
    </row>
    <row r="912">
      <c r="B912" s="421"/>
    </row>
    <row r="913">
      <c r="B913" s="421"/>
    </row>
    <row r="914">
      <c r="B914" s="421"/>
    </row>
    <row r="915">
      <c r="B915" s="421"/>
    </row>
    <row r="916">
      <c r="B916" s="421"/>
    </row>
    <row r="917">
      <c r="B917" s="421"/>
    </row>
    <row r="918">
      <c r="B918" s="421"/>
    </row>
    <row r="919">
      <c r="B919" s="421"/>
    </row>
    <row r="920">
      <c r="B920" s="421"/>
    </row>
    <row r="921">
      <c r="B921" s="421"/>
    </row>
    <row r="922">
      <c r="B922" s="421"/>
    </row>
    <row r="923">
      <c r="B923" s="421"/>
    </row>
    <row r="924">
      <c r="B924" s="421"/>
    </row>
    <row r="925">
      <c r="B925" s="421"/>
    </row>
    <row r="926">
      <c r="B926" s="421"/>
    </row>
    <row r="927">
      <c r="B927" s="421"/>
    </row>
    <row r="928">
      <c r="B928" s="421"/>
    </row>
    <row r="929">
      <c r="B929" s="421"/>
    </row>
    <row r="930">
      <c r="B930" s="421"/>
    </row>
    <row r="931">
      <c r="B931" s="421"/>
    </row>
    <row r="932">
      <c r="B932" s="421"/>
    </row>
    <row r="933">
      <c r="B933" s="421"/>
    </row>
    <row r="934">
      <c r="B934" s="421"/>
    </row>
    <row r="935">
      <c r="B935" s="421"/>
    </row>
    <row r="936">
      <c r="B936" s="421"/>
    </row>
    <row r="937">
      <c r="B937" s="421"/>
    </row>
    <row r="938">
      <c r="B938" s="421"/>
    </row>
    <row r="939">
      <c r="B939" s="421"/>
    </row>
    <row r="940">
      <c r="B940" s="421"/>
    </row>
    <row r="941">
      <c r="B941" s="421"/>
    </row>
    <row r="942">
      <c r="B942" s="421"/>
    </row>
    <row r="943">
      <c r="B943" s="421"/>
    </row>
    <row r="944">
      <c r="B944" s="421"/>
    </row>
    <row r="945">
      <c r="B945" s="421"/>
    </row>
    <row r="946">
      <c r="B946" s="421"/>
    </row>
    <row r="947">
      <c r="B947" s="421"/>
    </row>
    <row r="948">
      <c r="B948" s="421"/>
    </row>
    <row r="949">
      <c r="B949" s="421"/>
    </row>
    <row r="950">
      <c r="B950" s="421"/>
    </row>
    <row r="951">
      <c r="B951" s="421"/>
    </row>
    <row r="952">
      <c r="B952" s="421"/>
    </row>
    <row r="953">
      <c r="B953" s="421"/>
    </row>
    <row r="954">
      <c r="B954" s="421"/>
    </row>
    <row r="955">
      <c r="B955" s="421"/>
    </row>
    <row r="956">
      <c r="B956" s="421"/>
    </row>
    <row r="957">
      <c r="B957" s="421"/>
    </row>
    <row r="958">
      <c r="B958" s="421"/>
    </row>
    <row r="959">
      <c r="B959" s="421"/>
    </row>
    <row r="960">
      <c r="B960" s="421"/>
    </row>
    <row r="961">
      <c r="B961" s="421"/>
    </row>
    <row r="962">
      <c r="B962" s="421"/>
    </row>
    <row r="963">
      <c r="B963" s="421"/>
    </row>
    <row r="964">
      <c r="B964" s="421"/>
    </row>
    <row r="965">
      <c r="B965" s="421"/>
    </row>
    <row r="966">
      <c r="B966" s="421"/>
    </row>
    <row r="967">
      <c r="B967" s="421"/>
    </row>
    <row r="968">
      <c r="B968" s="421"/>
    </row>
    <row r="969">
      <c r="B969" s="421"/>
    </row>
    <row r="970">
      <c r="B970" s="421"/>
    </row>
    <row r="971">
      <c r="B971" s="421"/>
    </row>
    <row r="972">
      <c r="B972" s="421"/>
    </row>
    <row r="973">
      <c r="B973" s="421"/>
    </row>
    <row r="974">
      <c r="B974" s="421"/>
    </row>
    <row r="975">
      <c r="B975" s="421"/>
    </row>
    <row r="976">
      <c r="B976" s="421"/>
    </row>
    <row r="977">
      <c r="B977" s="421"/>
    </row>
    <row r="978">
      <c r="B978" s="421"/>
    </row>
    <row r="979">
      <c r="B979" s="421"/>
    </row>
    <row r="980">
      <c r="B980" s="421"/>
    </row>
    <row r="981">
      <c r="B981" s="421"/>
    </row>
    <row r="982">
      <c r="B982" s="421"/>
    </row>
    <row r="983">
      <c r="B983" s="421"/>
    </row>
    <row r="984">
      <c r="B984" s="421"/>
    </row>
    <row r="985">
      <c r="B985" s="421"/>
    </row>
    <row r="986">
      <c r="B986" s="421"/>
    </row>
    <row r="987">
      <c r="B987" s="421"/>
    </row>
    <row r="988">
      <c r="B988" s="421"/>
    </row>
    <row r="989">
      <c r="B989" s="421"/>
    </row>
    <row r="990">
      <c r="B990" s="421"/>
    </row>
    <row r="991">
      <c r="B991" s="421"/>
    </row>
    <row r="992">
      <c r="B992" s="421"/>
    </row>
    <row r="993">
      <c r="B993" s="421"/>
    </row>
    <row r="994">
      <c r="B994" s="421"/>
    </row>
    <row r="995">
      <c r="B995" s="421"/>
    </row>
    <row r="996">
      <c r="B996" s="421"/>
    </row>
    <row r="997">
      <c r="B997" s="421"/>
    </row>
    <row r="998">
      <c r="B998" s="421"/>
    </row>
    <row r="999">
      <c r="B999" s="421"/>
    </row>
    <row r="1000">
      <c r="B1000" s="421"/>
    </row>
  </sheetData>
  <dataValidations>
    <dataValidation type="custom" allowBlank="1" showDropDown="1" sqref="B3:B10">
      <formula1>AND(ISNUMBER(B3),(NOT(OR(NOT(ISERROR(DATEVALUE(B3))), AND(ISNUMBER(B3), LEFT(CELL("format", B3))="D")))))</formula1>
    </dataValidation>
  </dataValidations>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9.0" topLeftCell="J1" activePane="topRight" state="frozen"/>
      <selection activeCell="K2" sqref="K2" pane="topRight"/>
    </sheetView>
  </sheetViews>
  <sheetFormatPr customHeight="1" defaultColWidth="12.63" defaultRowHeight="15.75"/>
  <cols>
    <col customWidth="1" min="1" max="1" width="23.0"/>
    <col customWidth="1" min="2" max="2" width="8.13"/>
    <col customWidth="1" min="3" max="3" width="7.88"/>
    <col customWidth="1" min="4" max="4" width="4.25"/>
    <col customWidth="1" min="5" max="5" width="15.88"/>
    <col customWidth="1" min="6" max="6" width="15.63"/>
    <col customWidth="1" min="7" max="7" width="14.38"/>
    <col customWidth="1" min="8" max="8" width="8.88"/>
    <col customWidth="1" min="9" max="9" width="10.25"/>
    <col customWidth="1" min="10" max="10" width="28.38"/>
    <col customWidth="1" min="11" max="11" width="51.5"/>
    <col customWidth="1" min="12" max="12" width="19.75"/>
    <col customWidth="1" min="13" max="14" width="20.5"/>
    <col customWidth="1" min="15" max="16" width="23.25"/>
    <col customWidth="1" min="17" max="17" width="79.0"/>
    <col customWidth="1" min="18" max="18" width="18.5"/>
    <col customWidth="1" min="19" max="19" width="17.38"/>
    <col customWidth="1" min="20" max="20" width="8.63"/>
    <col customWidth="1" min="21" max="21" width="30.38"/>
    <col customWidth="1" min="22" max="29" width="8.63"/>
  </cols>
  <sheetData>
    <row r="1" ht="12.75" customHeight="1">
      <c r="A1" s="436" t="s">
        <v>1</v>
      </c>
      <c r="B1" s="437" t="s">
        <v>3</v>
      </c>
      <c r="C1" s="438"/>
      <c r="D1" s="439" t="s">
        <v>833</v>
      </c>
      <c r="E1" s="440" t="s">
        <v>2271</v>
      </c>
      <c r="F1" s="439" t="s">
        <v>2272</v>
      </c>
      <c r="G1" s="440" t="s">
        <v>2273</v>
      </c>
      <c r="H1" s="437" t="s">
        <v>835</v>
      </c>
      <c r="I1" s="438"/>
      <c r="J1" s="436" t="s">
        <v>2274</v>
      </c>
      <c r="K1" s="439" t="s">
        <v>836</v>
      </c>
      <c r="L1" s="440" t="s">
        <v>1401</v>
      </c>
      <c r="M1" s="440" t="s">
        <v>1402</v>
      </c>
      <c r="N1" s="439" t="s">
        <v>2275</v>
      </c>
      <c r="O1" s="440" t="s">
        <v>1404</v>
      </c>
      <c r="P1" s="440" t="s">
        <v>1912</v>
      </c>
      <c r="Q1" s="440" t="s">
        <v>2276</v>
      </c>
      <c r="R1" s="440" t="s">
        <v>2277</v>
      </c>
      <c r="S1" s="85" t="s">
        <v>2278</v>
      </c>
      <c r="T1" s="86" t="s">
        <v>2279</v>
      </c>
    </row>
    <row r="2" ht="12.75" customHeight="1">
      <c r="A2" s="441" t="s">
        <v>841</v>
      </c>
      <c r="B2" s="442" t="s">
        <v>15</v>
      </c>
      <c r="C2" s="443">
        <v>0.0</v>
      </c>
      <c r="D2" s="444"/>
      <c r="E2" s="445">
        <v>43525.0</v>
      </c>
      <c r="F2" s="446"/>
      <c r="G2" s="447" t="s">
        <v>17</v>
      </c>
      <c r="H2" s="442" t="s">
        <v>2280</v>
      </c>
      <c r="I2" s="443">
        <v>0.0</v>
      </c>
      <c r="J2" s="448" t="s">
        <v>1409</v>
      </c>
      <c r="K2" s="449" t="s">
        <v>1408</v>
      </c>
      <c r="L2" s="449" t="s">
        <v>1593</v>
      </c>
      <c r="M2" s="450" t="s">
        <v>1410</v>
      </c>
      <c r="N2" s="450" t="s">
        <v>1602</v>
      </c>
      <c r="O2" s="441"/>
      <c r="P2" s="441"/>
      <c r="Q2" s="451"/>
      <c r="R2" s="447"/>
      <c r="S2" s="86" t="s">
        <v>2281</v>
      </c>
      <c r="T2" s="86"/>
      <c r="U2" s="44"/>
    </row>
    <row r="3" ht="12.75" customHeight="1">
      <c r="A3" s="452" t="s">
        <v>64</v>
      </c>
      <c r="B3" s="453" t="s">
        <v>21</v>
      </c>
      <c r="C3" s="454">
        <v>10.0</v>
      </c>
      <c r="D3" s="444" t="s">
        <v>20</v>
      </c>
      <c r="E3" s="455">
        <v>43903.0</v>
      </c>
      <c r="F3" s="446">
        <v>44196.0</v>
      </c>
      <c r="G3" s="447" t="s">
        <v>22</v>
      </c>
      <c r="H3" s="453" t="s">
        <v>2282</v>
      </c>
      <c r="I3" s="454">
        <v>1.0</v>
      </c>
      <c r="J3" s="456" t="s">
        <v>1414</v>
      </c>
      <c r="K3" s="457" t="s">
        <v>1413</v>
      </c>
      <c r="L3" s="449" t="s">
        <v>1415</v>
      </c>
      <c r="M3" s="450" t="s">
        <v>1416</v>
      </c>
      <c r="N3" s="458" t="s">
        <v>1417</v>
      </c>
      <c r="O3" s="441" t="s">
        <v>1418</v>
      </c>
      <c r="P3" s="441" t="s">
        <v>2283</v>
      </c>
      <c r="Q3" s="451" t="s">
        <v>2284</v>
      </c>
      <c r="R3" s="447" t="s">
        <v>2285</v>
      </c>
      <c r="S3" s="86" t="s">
        <v>2281</v>
      </c>
      <c r="T3" s="86" t="s">
        <v>2286</v>
      </c>
      <c r="U3" s="44" t="s">
        <v>2287</v>
      </c>
    </row>
    <row r="4" ht="20.25" customHeight="1">
      <c r="A4" s="452" t="s">
        <v>70</v>
      </c>
      <c r="B4" s="453" t="s">
        <v>21</v>
      </c>
      <c r="C4" s="454">
        <v>11.0</v>
      </c>
      <c r="D4" s="444" t="s">
        <v>20</v>
      </c>
      <c r="E4" s="459">
        <v>43903.0</v>
      </c>
      <c r="F4" s="460">
        <v>44408.0</v>
      </c>
      <c r="G4" s="461" t="s">
        <v>22</v>
      </c>
      <c r="H4" s="462" t="s">
        <v>2282</v>
      </c>
      <c r="I4" s="463">
        <v>2.0</v>
      </c>
      <c r="J4" s="464" t="s">
        <v>1422</v>
      </c>
      <c r="K4" s="465" t="s">
        <v>1421</v>
      </c>
      <c r="L4" s="449" t="s">
        <v>1415</v>
      </c>
      <c r="M4" s="466" t="s">
        <v>1416</v>
      </c>
      <c r="N4" s="466" t="s">
        <v>2288</v>
      </c>
      <c r="O4" s="467" t="s">
        <v>1418</v>
      </c>
      <c r="P4" s="441" t="s">
        <v>2283</v>
      </c>
      <c r="Q4" s="468" t="s">
        <v>2289</v>
      </c>
      <c r="R4" s="461" t="s">
        <v>2285</v>
      </c>
      <c r="S4" s="86" t="s">
        <v>2281</v>
      </c>
      <c r="T4" s="469" t="s">
        <v>2290</v>
      </c>
      <c r="U4" s="44" t="s">
        <v>2291</v>
      </c>
    </row>
    <row r="5" ht="25.5" customHeight="1">
      <c r="A5" s="452" t="s">
        <v>118</v>
      </c>
      <c r="B5" s="453" t="s">
        <v>21</v>
      </c>
      <c r="C5" s="454">
        <v>23.0</v>
      </c>
      <c r="D5" s="444" t="s">
        <v>20</v>
      </c>
      <c r="E5" s="470"/>
      <c r="F5" s="470"/>
      <c r="G5" s="470"/>
      <c r="H5" s="470"/>
      <c r="I5" s="470"/>
      <c r="J5" s="470"/>
      <c r="K5" s="470"/>
      <c r="L5" s="449" t="s">
        <v>1415</v>
      </c>
      <c r="M5" s="470"/>
      <c r="N5" s="470"/>
      <c r="O5" s="470"/>
      <c r="P5" s="441"/>
      <c r="Q5" s="468"/>
      <c r="R5" s="470"/>
      <c r="S5" s="86" t="s">
        <v>2281</v>
      </c>
      <c r="T5" s="471" t="s">
        <v>2292</v>
      </c>
      <c r="U5" s="44" t="s">
        <v>2293</v>
      </c>
    </row>
    <row r="6" ht="13.5" customHeight="1">
      <c r="A6" s="452" t="s">
        <v>79</v>
      </c>
      <c r="B6" s="453" t="s">
        <v>21</v>
      </c>
      <c r="C6" s="454">
        <v>13.0</v>
      </c>
      <c r="D6" s="444" t="s">
        <v>20</v>
      </c>
      <c r="E6" s="459">
        <v>43990.0</v>
      </c>
      <c r="F6" s="472">
        <v>44316.0</v>
      </c>
      <c r="G6" s="461" t="s">
        <v>22</v>
      </c>
      <c r="H6" s="462" t="s">
        <v>2282</v>
      </c>
      <c r="I6" s="463">
        <v>3.0</v>
      </c>
      <c r="J6" s="473" t="s">
        <v>1426</v>
      </c>
      <c r="K6" s="474" t="s">
        <v>1425</v>
      </c>
      <c r="L6" s="449" t="s">
        <v>1415</v>
      </c>
      <c r="M6" s="475" t="s">
        <v>1416</v>
      </c>
      <c r="N6" s="476" t="s">
        <v>1427</v>
      </c>
      <c r="O6" s="467" t="s">
        <v>1418</v>
      </c>
      <c r="P6" s="441" t="s">
        <v>2283</v>
      </c>
      <c r="Q6" s="474" t="s">
        <v>2294</v>
      </c>
      <c r="R6" s="461" t="s">
        <v>2295</v>
      </c>
      <c r="S6" s="86" t="s">
        <v>2281</v>
      </c>
      <c r="T6" s="477"/>
    </row>
    <row r="7" ht="12.75" customHeight="1">
      <c r="A7" s="452" t="s">
        <v>76</v>
      </c>
      <c r="B7" s="453" t="s">
        <v>21</v>
      </c>
      <c r="C7" s="454">
        <v>12.0</v>
      </c>
      <c r="D7" s="444" t="s">
        <v>42</v>
      </c>
      <c r="E7" s="478"/>
      <c r="F7" s="478"/>
      <c r="G7" s="478"/>
      <c r="H7" s="478"/>
      <c r="I7" s="478"/>
      <c r="J7" s="478"/>
      <c r="K7" s="478"/>
      <c r="L7" s="449" t="s">
        <v>1415</v>
      </c>
      <c r="M7" s="478"/>
      <c r="N7" s="478"/>
      <c r="O7" s="478"/>
      <c r="P7" s="441" t="s">
        <v>2283</v>
      </c>
      <c r="Q7" s="478"/>
      <c r="R7" s="478"/>
      <c r="S7" s="86" t="s">
        <v>2281</v>
      </c>
      <c r="T7" s="477"/>
    </row>
    <row r="8" ht="12.75" customHeight="1">
      <c r="A8" s="452" t="s">
        <v>57</v>
      </c>
      <c r="B8" s="453" t="s">
        <v>21</v>
      </c>
      <c r="C8" s="454">
        <v>8.0</v>
      </c>
      <c r="D8" s="444" t="s">
        <v>20</v>
      </c>
      <c r="E8" s="470"/>
      <c r="F8" s="470"/>
      <c r="G8" s="470"/>
      <c r="H8" s="470"/>
      <c r="I8" s="470"/>
      <c r="J8" s="470"/>
      <c r="K8" s="470"/>
      <c r="L8" s="449" t="s">
        <v>1415</v>
      </c>
      <c r="M8" s="470"/>
      <c r="N8" s="470"/>
      <c r="O8" s="470"/>
      <c r="P8" s="441" t="s">
        <v>2283</v>
      </c>
      <c r="Q8" s="470"/>
      <c r="R8" s="470"/>
      <c r="S8" s="86" t="s">
        <v>2281</v>
      </c>
      <c r="T8" s="86" t="s">
        <v>2296</v>
      </c>
    </row>
    <row r="9" ht="12.75" customHeight="1">
      <c r="A9" s="452" t="s">
        <v>83</v>
      </c>
      <c r="B9" s="453" t="s">
        <v>21</v>
      </c>
      <c r="C9" s="454">
        <v>14.0</v>
      </c>
      <c r="D9" s="444" t="s">
        <v>20</v>
      </c>
      <c r="E9" s="455">
        <v>44015.0</v>
      </c>
      <c r="F9" s="446">
        <v>44347.0</v>
      </c>
      <c r="G9" s="447" t="s">
        <v>22</v>
      </c>
      <c r="H9" s="453" t="s">
        <v>2282</v>
      </c>
      <c r="I9" s="454">
        <v>4.0</v>
      </c>
      <c r="J9" s="444" t="s">
        <v>1431</v>
      </c>
      <c r="K9" s="457" t="s">
        <v>1430</v>
      </c>
      <c r="L9" s="449" t="s">
        <v>1415</v>
      </c>
      <c r="M9" s="450" t="s">
        <v>1416</v>
      </c>
      <c r="N9" s="458" t="s">
        <v>1432</v>
      </c>
      <c r="O9" s="441" t="s">
        <v>1418</v>
      </c>
      <c r="P9" s="441" t="s">
        <v>2283</v>
      </c>
      <c r="Q9" s="479" t="s">
        <v>2297</v>
      </c>
      <c r="R9" s="461" t="s">
        <v>2285</v>
      </c>
      <c r="S9" s="86" t="s">
        <v>2281</v>
      </c>
      <c r="T9" s="480"/>
      <c r="U9" s="481" t="s">
        <v>2298</v>
      </c>
    </row>
    <row r="10" ht="12.75" customHeight="1">
      <c r="A10" s="479" t="s">
        <v>88</v>
      </c>
      <c r="B10" s="453" t="s">
        <v>21</v>
      </c>
      <c r="C10" s="454">
        <v>15.0</v>
      </c>
      <c r="D10" s="482" t="s">
        <v>42</v>
      </c>
      <c r="E10" s="459">
        <v>44034.0</v>
      </c>
      <c r="F10" s="483" t="s">
        <v>2299</v>
      </c>
      <c r="G10" s="461" t="s">
        <v>17</v>
      </c>
      <c r="H10" s="462" t="s">
        <v>2282</v>
      </c>
      <c r="I10" s="463">
        <v>5.0</v>
      </c>
      <c r="J10" s="466" t="s">
        <v>2300</v>
      </c>
      <c r="K10" s="474" t="s">
        <v>1434</v>
      </c>
      <c r="L10" s="449" t="s">
        <v>1415</v>
      </c>
      <c r="M10" s="475" t="s">
        <v>1416</v>
      </c>
      <c r="N10" s="476" t="s">
        <v>1427</v>
      </c>
      <c r="O10" s="467" t="s">
        <v>1418</v>
      </c>
      <c r="P10" s="483" t="s">
        <v>2283</v>
      </c>
      <c r="Q10" s="465" t="s">
        <v>2301</v>
      </c>
      <c r="R10" s="461" t="s">
        <v>2285</v>
      </c>
      <c r="S10" s="86" t="s">
        <v>2281</v>
      </c>
      <c r="T10" s="484"/>
      <c r="U10" s="44" t="s">
        <v>2302</v>
      </c>
    </row>
    <row r="11" ht="12.75" customHeight="1">
      <c r="A11" s="479" t="s">
        <v>122</v>
      </c>
      <c r="B11" s="453" t="s">
        <v>21</v>
      </c>
      <c r="C11" s="454">
        <v>24.0</v>
      </c>
      <c r="D11" s="482" t="s">
        <v>20</v>
      </c>
      <c r="E11" s="470"/>
      <c r="F11" s="470"/>
      <c r="G11" s="470"/>
      <c r="H11" s="470"/>
      <c r="I11" s="470"/>
      <c r="J11" s="470"/>
      <c r="K11" s="470"/>
      <c r="L11" s="449" t="s">
        <v>1415</v>
      </c>
      <c r="M11" s="470"/>
      <c r="N11" s="470"/>
      <c r="O11" s="470"/>
      <c r="P11" s="470"/>
      <c r="Q11" s="470"/>
      <c r="R11" s="485" t="s">
        <v>2295</v>
      </c>
      <c r="S11" s="86" t="s">
        <v>2281</v>
      </c>
      <c r="T11" s="486"/>
      <c r="U11" s="44" t="s">
        <v>2303</v>
      </c>
    </row>
    <row r="12" ht="12.75" customHeight="1">
      <c r="A12" s="452" t="s">
        <v>93</v>
      </c>
      <c r="B12" s="453" t="s">
        <v>21</v>
      </c>
      <c r="C12" s="454">
        <v>16.0</v>
      </c>
      <c r="D12" s="444" t="s">
        <v>42</v>
      </c>
      <c r="E12" s="459">
        <v>44034.0</v>
      </c>
      <c r="F12" s="472">
        <v>44742.0</v>
      </c>
      <c r="G12" s="461" t="s">
        <v>22</v>
      </c>
      <c r="H12" s="462" t="s">
        <v>2282</v>
      </c>
      <c r="I12" s="463">
        <v>6.0</v>
      </c>
      <c r="J12" s="464" t="s">
        <v>1438</v>
      </c>
      <c r="K12" s="487" t="s">
        <v>2304</v>
      </c>
      <c r="L12" s="449" t="s">
        <v>1415</v>
      </c>
      <c r="M12" s="475" t="s">
        <v>1416</v>
      </c>
      <c r="N12" s="476" t="s">
        <v>1439</v>
      </c>
      <c r="O12" s="467" t="s">
        <v>1418</v>
      </c>
      <c r="P12" s="441" t="s">
        <v>2283</v>
      </c>
      <c r="Q12" s="465" t="s">
        <v>2305</v>
      </c>
      <c r="R12" s="461" t="s">
        <v>2285</v>
      </c>
      <c r="S12" s="86" t="s">
        <v>2281</v>
      </c>
      <c r="T12" s="488"/>
      <c r="U12" s="44" t="s">
        <v>1428</v>
      </c>
    </row>
    <row r="13" ht="12.75" customHeight="1">
      <c r="A13" s="452" t="s">
        <v>97</v>
      </c>
      <c r="B13" s="453" t="s">
        <v>21</v>
      </c>
      <c r="C13" s="454">
        <v>17.0</v>
      </c>
      <c r="D13" s="444" t="s">
        <v>42</v>
      </c>
      <c r="E13" s="470"/>
      <c r="F13" s="470"/>
      <c r="G13" s="470"/>
      <c r="H13" s="470"/>
      <c r="I13" s="470"/>
      <c r="J13" s="470"/>
      <c r="K13" s="470"/>
      <c r="L13" s="449" t="s">
        <v>1415</v>
      </c>
      <c r="M13" s="470"/>
      <c r="N13" s="470"/>
      <c r="O13" s="470"/>
      <c r="P13" s="441" t="s">
        <v>2283</v>
      </c>
      <c r="Q13" s="470"/>
      <c r="R13" s="478"/>
      <c r="S13" s="86" t="s">
        <v>2281</v>
      </c>
      <c r="T13" s="489"/>
      <c r="U13" s="44" t="s">
        <v>2306</v>
      </c>
    </row>
    <row r="14" ht="12.75" customHeight="1">
      <c r="A14" s="490" t="s">
        <v>2307</v>
      </c>
      <c r="B14" s="453" t="s">
        <v>21</v>
      </c>
      <c r="C14" s="454">
        <v>18.0</v>
      </c>
      <c r="D14" s="482" t="s">
        <v>42</v>
      </c>
      <c r="E14" s="455">
        <v>44035.0</v>
      </c>
      <c r="F14" s="491" t="s">
        <v>26</v>
      </c>
      <c r="G14" s="447" t="s">
        <v>101</v>
      </c>
      <c r="H14" s="453" t="s">
        <v>2282</v>
      </c>
      <c r="I14" s="454">
        <v>7.0</v>
      </c>
      <c r="J14" s="492" t="s">
        <v>1442</v>
      </c>
      <c r="K14" s="493" t="s">
        <v>1441</v>
      </c>
      <c r="L14" s="493"/>
      <c r="M14" s="494" t="s">
        <v>1416</v>
      </c>
      <c r="N14" s="482"/>
      <c r="O14" s="441"/>
      <c r="P14" s="490" t="s">
        <v>1418</v>
      </c>
      <c r="Q14" s="479" t="s">
        <v>2308</v>
      </c>
      <c r="R14" s="485" t="s">
        <v>2295</v>
      </c>
      <c r="S14" s="86" t="s">
        <v>2281</v>
      </c>
      <c r="T14" s="477"/>
    </row>
    <row r="15" ht="12.75" customHeight="1">
      <c r="A15" s="452" t="s">
        <v>104</v>
      </c>
      <c r="B15" s="453" t="s">
        <v>21</v>
      </c>
      <c r="C15" s="454">
        <v>19.0</v>
      </c>
      <c r="D15" s="444" t="s">
        <v>42</v>
      </c>
      <c r="E15" s="459">
        <v>44048.0</v>
      </c>
      <c r="F15" s="495">
        <v>44620.0</v>
      </c>
      <c r="G15" s="461" t="s">
        <v>22</v>
      </c>
      <c r="H15" s="462" t="s">
        <v>2282</v>
      </c>
      <c r="I15" s="463">
        <v>8.0</v>
      </c>
      <c r="J15" s="464" t="s">
        <v>1446</v>
      </c>
      <c r="K15" s="474" t="s">
        <v>1445</v>
      </c>
      <c r="L15" s="487" t="s">
        <v>1415</v>
      </c>
      <c r="M15" s="466" t="s">
        <v>1416</v>
      </c>
      <c r="N15" s="496" t="s">
        <v>1447</v>
      </c>
      <c r="O15" s="467" t="s">
        <v>1418</v>
      </c>
      <c r="P15" s="441" t="s">
        <v>2283</v>
      </c>
      <c r="Q15" s="465" t="s">
        <v>2309</v>
      </c>
      <c r="R15" s="485" t="s">
        <v>2295</v>
      </c>
      <c r="S15" s="86" t="s">
        <v>2281</v>
      </c>
      <c r="T15" s="477"/>
    </row>
    <row r="16" ht="12.75" customHeight="1">
      <c r="A16" s="452" t="s">
        <v>108</v>
      </c>
      <c r="B16" s="453" t="s">
        <v>21</v>
      </c>
      <c r="C16" s="454">
        <v>20.0</v>
      </c>
      <c r="D16" s="444" t="s">
        <v>20</v>
      </c>
      <c r="E16" s="478"/>
      <c r="F16" s="478"/>
      <c r="G16" s="478"/>
      <c r="H16" s="478"/>
      <c r="I16" s="478"/>
      <c r="J16" s="478"/>
      <c r="K16" s="478"/>
      <c r="L16" s="478"/>
      <c r="M16" s="478"/>
      <c r="N16" s="478"/>
      <c r="O16" s="478"/>
      <c r="P16" s="441" t="s">
        <v>2283</v>
      </c>
      <c r="Q16" s="478"/>
      <c r="R16" s="478"/>
      <c r="S16" s="86" t="s">
        <v>2281</v>
      </c>
      <c r="T16" s="477"/>
    </row>
    <row r="17" ht="12.75" customHeight="1">
      <c r="A17" s="452" t="s">
        <v>112</v>
      </c>
      <c r="B17" s="453" t="s">
        <v>21</v>
      </c>
      <c r="C17" s="454">
        <v>21.0</v>
      </c>
      <c r="D17" s="444" t="s">
        <v>42</v>
      </c>
      <c r="E17" s="470"/>
      <c r="F17" s="470"/>
      <c r="G17" s="470"/>
      <c r="H17" s="470"/>
      <c r="I17" s="470"/>
      <c r="J17" s="470"/>
      <c r="K17" s="470"/>
      <c r="L17" s="470"/>
      <c r="M17" s="470"/>
      <c r="N17" s="470"/>
      <c r="O17" s="470"/>
      <c r="P17" s="441" t="s">
        <v>2283</v>
      </c>
      <c r="Q17" s="470"/>
      <c r="R17" s="478"/>
      <c r="S17" s="86" t="s">
        <v>2281</v>
      </c>
      <c r="T17" s="477"/>
    </row>
    <row r="18" ht="12.75" customHeight="1">
      <c r="A18" s="497" t="s">
        <v>116</v>
      </c>
      <c r="B18" s="498" t="s">
        <v>21</v>
      </c>
      <c r="C18" s="499">
        <v>22.0</v>
      </c>
      <c r="D18" s="500" t="s">
        <v>20</v>
      </c>
      <c r="E18" s="501">
        <v>44062.0</v>
      </c>
      <c r="F18" s="502" t="s">
        <v>26</v>
      </c>
      <c r="G18" s="503" t="s">
        <v>101</v>
      </c>
      <c r="H18" s="498" t="s">
        <v>2282</v>
      </c>
      <c r="I18" s="499">
        <v>9.0</v>
      </c>
      <c r="J18" s="504" t="s">
        <v>1450</v>
      </c>
      <c r="K18" s="505" t="s">
        <v>1449</v>
      </c>
      <c r="L18" s="505"/>
      <c r="M18" s="506"/>
      <c r="N18" s="506"/>
      <c r="O18" s="441"/>
      <c r="P18" s="497" t="s">
        <v>2310</v>
      </c>
      <c r="Q18" s="507" t="s">
        <v>26</v>
      </c>
      <c r="R18" s="508" t="s">
        <v>2311</v>
      </c>
      <c r="S18" s="86" t="s">
        <v>2281</v>
      </c>
      <c r="T18" s="477"/>
    </row>
    <row r="19" ht="12.75" customHeight="1">
      <c r="A19" s="509" t="s">
        <v>143</v>
      </c>
      <c r="B19" s="510" t="s">
        <v>130</v>
      </c>
      <c r="C19" s="511">
        <v>27.0</v>
      </c>
      <c r="D19" s="512" t="s">
        <v>20</v>
      </c>
      <c r="E19" s="513">
        <v>44250.0</v>
      </c>
      <c r="F19" s="514">
        <v>44377.0</v>
      </c>
      <c r="G19" s="515" t="s">
        <v>22</v>
      </c>
      <c r="H19" s="510" t="s">
        <v>2312</v>
      </c>
      <c r="I19" s="511">
        <v>10.0</v>
      </c>
      <c r="J19" s="512" t="s">
        <v>1454</v>
      </c>
      <c r="K19" s="516" t="s">
        <v>1453</v>
      </c>
      <c r="L19" s="517" t="s">
        <v>1455</v>
      </c>
      <c r="M19" s="518" t="s">
        <v>1416</v>
      </c>
      <c r="N19" s="519"/>
      <c r="O19" s="520" t="s">
        <v>1919</v>
      </c>
      <c r="P19" s="521" t="s">
        <v>2313</v>
      </c>
      <c r="Q19" s="522" t="s">
        <v>2314</v>
      </c>
      <c r="R19" s="485" t="s">
        <v>2295</v>
      </c>
      <c r="S19" s="86" t="s">
        <v>2281</v>
      </c>
      <c r="T19" s="477"/>
    </row>
    <row r="20" ht="12.75" customHeight="1">
      <c r="A20" s="452" t="s">
        <v>151</v>
      </c>
      <c r="B20" s="453" t="s">
        <v>130</v>
      </c>
      <c r="C20" s="454">
        <v>28.0</v>
      </c>
      <c r="D20" s="444" t="s">
        <v>20</v>
      </c>
      <c r="E20" s="459">
        <v>44280.0</v>
      </c>
      <c r="F20" s="523">
        <v>44882.0</v>
      </c>
      <c r="G20" s="461" t="s">
        <v>22</v>
      </c>
      <c r="H20" s="462" t="s">
        <v>2312</v>
      </c>
      <c r="I20" s="463">
        <v>11.0</v>
      </c>
      <c r="J20" s="464" t="s">
        <v>1459</v>
      </c>
      <c r="K20" s="465" t="s">
        <v>1458</v>
      </c>
      <c r="L20" s="483" t="s">
        <v>1415</v>
      </c>
      <c r="M20" s="466" t="s">
        <v>1416</v>
      </c>
      <c r="N20" s="496" t="s">
        <v>1447</v>
      </c>
      <c r="O20" s="524" t="s">
        <v>1418</v>
      </c>
      <c r="P20" s="524" t="s">
        <v>2283</v>
      </c>
      <c r="Q20" s="474" t="s">
        <v>2315</v>
      </c>
      <c r="R20" s="485" t="s">
        <v>2285</v>
      </c>
      <c r="S20" s="86" t="s">
        <v>2281</v>
      </c>
      <c r="T20" s="477"/>
    </row>
    <row r="21" ht="12.75" customHeight="1">
      <c r="A21" s="452" t="s">
        <v>157</v>
      </c>
      <c r="B21" s="453" t="s">
        <v>130</v>
      </c>
      <c r="C21" s="454">
        <v>29.0</v>
      </c>
      <c r="D21" s="444" t="s">
        <v>20</v>
      </c>
      <c r="E21" s="470"/>
      <c r="F21" s="470"/>
      <c r="G21" s="470"/>
      <c r="H21" s="470"/>
      <c r="I21" s="470"/>
      <c r="J21" s="470"/>
      <c r="K21" s="470"/>
      <c r="L21" s="470"/>
      <c r="M21" s="470"/>
      <c r="N21" s="470"/>
      <c r="O21" s="470"/>
      <c r="P21" s="470"/>
      <c r="Q21" s="470"/>
      <c r="R21" s="478"/>
      <c r="S21" s="86" t="s">
        <v>2281</v>
      </c>
      <c r="T21" s="477"/>
    </row>
    <row r="22" ht="12.75" customHeight="1">
      <c r="A22" s="452" t="s">
        <v>161</v>
      </c>
      <c r="B22" s="453" t="s">
        <v>130</v>
      </c>
      <c r="C22" s="525">
        <v>30.0</v>
      </c>
      <c r="D22" s="444" t="s">
        <v>42</v>
      </c>
      <c r="E22" s="455">
        <v>44302.0</v>
      </c>
      <c r="F22" s="526">
        <v>44681.0</v>
      </c>
      <c r="G22" s="447" t="s">
        <v>22</v>
      </c>
      <c r="H22" s="453" t="s">
        <v>2312</v>
      </c>
      <c r="I22" s="454">
        <v>12.0</v>
      </c>
      <c r="J22" s="444" t="s">
        <v>1462</v>
      </c>
      <c r="K22" s="457" t="s">
        <v>1461</v>
      </c>
      <c r="L22" s="449" t="s">
        <v>1415</v>
      </c>
      <c r="M22" s="527" t="s">
        <v>1416</v>
      </c>
      <c r="N22" s="527" t="s">
        <v>1463</v>
      </c>
      <c r="O22" s="528" t="s">
        <v>1418</v>
      </c>
      <c r="P22" s="441" t="s">
        <v>2283</v>
      </c>
      <c r="Q22" s="451" t="s">
        <v>2315</v>
      </c>
      <c r="R22" s="485" t="s">
        <v>2285</v>
      </c>
      <c r="S22" s="86" t="s">
        <v>2281</v>
      </c>
      <c r="T22" s="477"/>
    </row>
    <row r="23" ht="37.5" customHeight="1">
      <c r="A23" s="479" t="s">
        <v>165</v>
      </c>
      <c r="B23" s="453" t="s">
        <v>130</v>
      </c>
      <c r="C23" s="525">
        <v>31.0</v>
      </c>
      <c r="D23" s="482" t="s">
        <v>20</v>
      </c>
      <c r="E23" s="459">
        <v>44334.0</v>
      </c>
      <c r="F23" s="483" t="s">
        <v>2299</v>
      </c>
      <c r="G23" s="461" t="s">
        <v>17</v>
      </c>
      <c r="H23" s="462" t="s">
        <v>2312</v>
      </c>
      <c r="I23" s="463">
        <v>13.0</v>
      </c>
      <c r="J23" s="496" t="s">
        <v>1467</v>
      </c>
      <c r="K23" s="487" t="s">
        <v>2316</v>
      </c>
      <c r="L23" s="487" t="s">
        <v>1455</v>
      </c>
      <c r="M23" s="475" t="s">
        <v>1416</v>
      </c>
      <c r="N23" s="476" t="s">
        <v>1427</v>
      </c>
      <c r="O23" s="529" t="s">
        <v>1919</v>
      </c>
      <c r="P23" s="529" t="s">
        <v>2317</v>
      </c>
      <c r="Q23" s="479" t="s">
        <v>26</v>
      </c>
      <c r="R23" s="485" t="s">
        <v>2318</v>
      </c>
      <c r="S23" s="86" t="s">
        <v>2319</v>
      </c>
      <c r="T23" s="477"/>
    </row>
    <row r="24" ht="12.75" customHeight="1">
      <c r="A24" s="479" t="s">
        <v>172</v>
      </c>
      <c r="B24" s="453" t="s">
        <v>130</v>
      </c>
      <c r="C24" s="525">
        <v>32.0</v>
      </c>
      <c r="D24" s="482" t="s">
        <v>42</v>
      </c>
      <c r="E24" s="478"/>
      <c r="F24" s="478"/>
      <c r="G24" s="478"/>
      <c r="H24" s="478"/>
      <c r="I24" s="478"/>
      <c r="J24" s="478"/>
      <c r="K24" s="478"/>
      <c r="L24" s="478"/>
      <c r="M24" s="478"/>
      <c r="N24" s="478"/>
      <c r="O24" s="478"/>
      <c r="P24" s="478"/>
      <c r="Q24" s="479" t="s">
        <v>26</v>
      </c>
      <c r="R24" s="478"/>
      <c r="S24" s="86" t="s">
        <v>2319</v>
      </c>
      <c r="T24" s="477"/>
    </row>
    <row r="25" ht="12.75" customHeight="1">
      <c r="A25" s="479" t="s">
        <v>176</v>
      </c>
      <c r="B25" s="453" t="s">
        <v>130</v>
      </c>
      <c r="C25" s="525">
        <v>33.0</v>
      </c>
      <c r="D25" s="482" t="s">
        <v>42</v>
      </c>
      <c r="E25" s="470"/>
      <c r="F25" s="470"/>
      <c r="G25" s="470"/>
      <c r="H25" s="470"/>
      <c r="I25" s="470"/>
      <c r="J25" s="470"/>
      <c r="K25" s="470"/>
      <c r="L25" s="470"/>
      <c r="M25" s="470"/>
      <c r="N25" s="470"/>
      <c r="O25" s="470"/>
      <c r="P25" s="470"/>
      <c r="Q25" s="479" t="s">
        <v>26</v>
      </c>
      <c r="R25" s="478"/>
      <c r="S25" s="86" t="s">
        <v>2319</v>
      </c>
      <c r="T25" s="477"/>
    </row>
    <row r="26" ht="12.75" customHeight="1">
      <c r="A26" s="452" t="s">
        <v>179</v>
      </c>
      <c r="B26" s="453" t="s">
        <v>130</v>
      </c>
      <c r="C26" s="525">
        <v>34.0</v>
      </c>
      <c r="D26" s="444" t="s">
        <v>20</v>
      </c>
      <c r="E26" s="459">
        <v>44382.0</v>
      </c>
      <c r="F26" s="460">
        <v>44553.0</v>
      </c>
      <c r="G26" s="461" t="s">
        <v>22</v>
      </c>
      <c r="H26" s="462" t="s">
        <v>2312</v>
      </c>
      <c r="I26" s="463">
        <v>14.0</v>
      </c>
      <c r="J26" s="464" t="s">
        <v>1471</v>
      </c>
      <c r="K26" s="530" t="s">
        <v>1470</v>
      </c>
      <c r="L26" s="531" t="s">
        <v>1415</v>
      </c>
      <c r="M26" s="466" t="s">
        <v>1416</v>
      </c>
      <c r="N26" s="496" t="s">
        <v>1447</v>
      </c>
      <c r="O26" s="532" t="s">
        <v>1472</v>
      </c>
      <c r="P26" s="533" t="s">
        <v>2320</v>
      </c>
      <c r="Q26" s="479" t="s">
        <v>26</v>
      </c>
      <c r="R26" s="485" t="s">
        <v>2321</v>
      </c>
      <c r="S26" s="477"/>
      <c r="T26" s="477"/>
    </row>
    <row r="27" ht="12.75" customHeight="1">
      <c r="A27" s="452" t="s">
        <v>183</v>
      </c>
      <c r="B27" s="453" t="s">
        <v>130</v>
      </c>
      <c r="C27" s="525">
        <v>35.0</v>
      </c>
      <c r="D27" s="444" t="s">
        <v>20</v>
      </c>
      <c r="E27" s="470"/>
      <c r="F27" s="470"/>
      <c r="G27" s="470"/>
      <c r="H27" s="470"/>
      <c r="I27" s="470"/>
      <c r="J27" s="470"/>
      <c r="K27" s="470"/>
      <c r="L27" s="470"/>
      <c r="M27" s="470"/>
      <c r="N27" s="470"/>
      <c r="O27" s="470"/>
      <c r="P27" s="533" t="s">
        <v>2320</v>
      </c>
      <c r="Q27" s="479" t="s">
        <v>26</v>
      </c>
      <c r="R27" s="478"/>
      <c r="S27" s="477"/>
      <c r="T27" s="477"/>
    </row>
    <row r="28" ht="12.75" customHeight="1">
      <c r="A28" s="497" t="s">
        <v>186</v>
      </c>
      <c r="B28" s="498" t="s">
        <v>130</v>
      </c>
      <c r="C28" s="534">
        <v>36.0</v>
      </c>
      <c r="D28" s="500" t="s">
        <v>20</v>
      </c>
      <c r="E28" s="501">
        <v>44435.0</v>
      </c>
      <c r="F28" s="502" t="s">
        <v>26</v>
      </c>
      <c r="G28" s="503" t="s">
        <v>101</v>
      </c>
      <c r="H28" s="498" t="s">
        <v>2312</v>
      </c>
      <c r="I28" s="499">
        <v>15.0</v>
      </c>
      <c r="J28" s="504" t="s">
        <v>1475</v>
      </c>
      <c r="K28" s="535" t="s">
        <v>1474</v>
      </c>
      <c r="L28" s="535"/>
      <c r="M28" s="506"/>
      <c r="N28" s="506"/>
      <c r="O28" s="536"/>
      <c r="P28" s="536" t="s">
        <v>1418</v>
      </c>
      <c r="Q28" s="537" t="s">
        <v>2305</v>
      </c>
      <c r="R28" s="508" t="s">
        <v>2295</v>
      </c>
      <c r="S28" s="477"/>
      <c r="T28" s="538"/>
      <c r="U28" s="44" t="s">
        <v>2322</v>
      </c>
    </row>
    <row r="29" ht="12.75" customHeight="1">
      <c r="A29" s="539" t="s">
        <v>192</v>
      </c>
      <c r="B29" s="510" t="s">
        <v>193</v>
      </c>
      <c r="C29" s="511">
        <v>37.0</v>
      </c>
      <c r="D29" s="519" t="s">
        <v>20</v>
      </c>
      <c r="E29" s="513">
        <v>44579.0</v>
      </c>
      <c r="F29" s="540" t="s">
        <v>26</v>
      </c>
      <c r="G29" s="515" t="s">
        <v>101</v>
      </c>
      <c r="H29" s="510" t="s">
        <v>2323</v>
      </c>
      <c r="I29" s="511">
        <v>16.0</v>
      </c>
      <c r="J29" s="541" t="s">
        <v>1478</v>
      </c>
      <c r="K29" s="522" t="s">
        <v>1477</v>
      </c>
      <c r="L29" s="522"/>
      <c r="M29" s="519"/>
      <c r="N29" s="519" t="s">
        <v>1427</v>
      </c>
      <c r="O29" s="542"/>
      <c r="P29" s="542" t="s">
        <v>1418</v>
      </c>
      <c r="Q29" s="543" t="s">
        <v>2324</v>
      </c>
      <c r="R29" s="485" t="s">
        <v>2295</v>
      </c>
      <c r="S29" s="477"/>
      <c r="T29" s="485"/>
      <c r="U29" s="44" t="s">
        <v>2325</v>
      </c>
    </row>
    <row r="30" ht="27.75" customHeight="1">
      <c r="A30" s="544" t="s">
        <v>197</v>
      </c>
      <c r="B30" s="453" t="s">
        <v>193</v>
      </c>
      <c r="C30" s="525">
        <v>38.0</v>
      </c>
      <c r="D30" s="482" t="s">
        <v>42</v>
      </c>
      <c r="E30" s="459">
        <v>44622.0</v>
      </c>
      <c r="F30" s="483" t="s">
        <v>2299</v>
      </c>
      <c r="G30" s="461" t="s">
        <v>22</v>
      </c>
      <c r="H30" s="462" t="s">
        <v>2323</v>
      </c>
      <c r="I30" s="463">
        <v>17.0</v>
      </c>
      <c r="J30" s="466" t="s">
        <v>1481</v>
      </c>
      <c r="K30" s="474" t="s">
        <v>1480</v>
      </c>
      <c r="L30" s="487" t="s">
        <v>1415</v>
      </c>
      <c r="M30" s="475" t="s">
        <v>1416</v>
      </c>
      <c r="N30" s="476" t="s">
        <v>1482</v>
      </c>
      <c r="O30" s="483" t="s">
        <v>1418</v>
      </c>
      <c r="P30" s="483" t="s">
        <v>2283</v>
      </c>
      <c r="Q30" s="474" t="s">
        <v>2326</v>
      </c>
      <c r="R30" s="485" t="s">
        <v>2285</v>
      </c>
      <c r="S30" s="477"/>
      <c r="T30" s="477"/>
      <c r="U30" s="44" t="s">
        <v>2327</v>
      </c>
    </row>
    <row r="31" ht="28.5" customHeight="1">
      <c r="A31" s="544" t="s">
        <v>201</v>
      </c>
      <c r="B31" s="453" t="s">
        <v>193</v>
      </c>
      <c r="C31" s="525">
        <v>39.0</v>
      </c>
      <c r="D31" s="482" t="s">
        <v>20</v>
      </c>
      <c r="E31" s="470"/>
      <c r="F31" s="470"/>
      <c r="G31" s="470"/>
      <c r="H31" s="470"/>
      <c r="I31" s="470"/>
      <c r="J31" s="470"/>
      <c r="K31" s="470"/>
      <c r="L31" s="470"/>
      <c r="M31" s="470"/>
      <c r="N31" s="470"/>
      <c r="O31" s="470"/>
      <c r="P31" s="470"/>
      <c r="Q31" s="470"/>
      <c r="R31" s="478"/>
      <c r="S31" s="477"/>
      <c r="T31" s="477"/>
      <c r="U31" s="44" t="s">
        <v>2328</v>
      </c>
    </row>
    <row r="32" ht="12.75" customHeight="1">
      <c r="A32" s="545" t="s">
        <v>205</v>
      </c>
      <c r="B32" s="453" t="s">
        <v>193</v>
      </c>
      <c r="C32" s="525">
        <v>40.0</v>
      </c>
      <c r="D32" s="444" t="s">
        <v>42</v>
      </c>
      <c r="E32" s="455">
        <v>44622.0</v>
      </c>
      <c r="F32" s="546">
        <v>44865.0</v>
      </c>
      <c r="G32" s="447" t="s">
        <v>22</v>
      </c>
      <c r="H32" s="453" t="s">
        <v>2323</v>
      </c>
      <c r="I32" s="454">
        <v>18.0</v>
      </c>
      <c r="J32" s="444" t="s">
        <v>2329</v>
      </c>
      <c r="K32" s="451" t="s">
        <v>1484</v>
      </c>
      <c r="L32" s="487" t="s">
        <v>1415</v>
      </c>
      <c r="M32" s="527" t="s">
        <v>1416</v>
      </c>
      <c r="N32" s="527" t="s">
        <v>1463</v>
      </c>
      <c r="O32" s="468" t="s">
        <v>1418</v>
      </c>
      <c r="P32" s="441" t="s">
        <v>2283</v>
      </c>
      <c r="Q32" s="547" t="s">
        <v>2330</v>
      </c>
      <c r="R32" s="485" t="s">
        <v>2321</v>
      </c>
      <c r="S32" s="477"/>
      <c r="T32" s="477"/>
      <c r="U32" s="44" t="s">
        <v>2331</v>
      </c>
    </row>
    <row r="33" ht="12.75" customHeight="1">
      <c r="A33" s="452" t="s">
        <v>210</v>
      </c>
      <c r="B33" s="453" t="s">
        <v>193</v>
      </c>
      <c r="C33" s="525">
        <v>41.0</v>
      </c>
      <c r="D33" s="444" t="s">
        <v>42</v>
      </c>
      <c r="E33" s="455">
        <v>44624.0</v>
      </c>
      <c r="F33" s="546">
        <v>44687.0</v>
      </c>
      <c r="G33" s="447" t="s">
        <v>22</v>
      </c>
      <c r="H33" s="453" t="s">
        <v>2323</v>
      </c>
      <c r="I33" s="454">
        <v>19.0</v>
      </c>
      <c r="J33" s="444" t="s">
        <v>2332</v>
      </c>
      <c r="K33" s="548" t="s">
        <v>2333</v>
      </c>
      <c r="L33" s="549" t="s">
        <v>1415</v>
      </c>
      <c r="M33" s="527" t="s">
        <v>1416</v>
      </c>
      <c r="N33" s="527" t="s">
        <v>1489</v>
      </c>
      <c r="O33" s="468" t="s">
        <v>1418</v>
      </c>
      <c r="P33" s="441" t="s">
        <v>2283</v>
      </c>
      <c r="Q33" s="479" t="s">
        <v>2334</v>
      </c>
      <c r="R33" s="485" t="s">
        <v>2321</v>
      </c>
      <c r="S33" s="477"/>
      <c r="T33" s="477"/>
    </row>
    <row r="34" ht="12.75" customHeight="1">
      <c r="A34" s="545" t="s">
        <v>215</v>
      </c>
      <c r="B34" s="453" t="s">
        <v>193</v>
      </c>
      <c r="C34" s="525">
        <v>42.0</v>
      </c>
      <c r="D34" s="482" t="s">
        <v>42</v>
      </c>
      <c r="E34" s="455">
        <v>44628.0</v>
      </c>
      <c r="F34" s="546">
        <v>44986.0</v>
      </c>
      <c r="G34" s="447" t="s">
        <v>22</v>
      </c>
      <c r="H34" s="453" t="s">
        <v>2323</v>
      </c>
      <c r="I34" s="454">
        <v>20.0</v>
      </c>
      <c r="J34" s="444" t="s">
        <v>2335</v>
      </c>
      <c r="K34" s="451" t="s">
        <v>1491</v>
      </c>
      <c r="L34" s="548" t="s">
        <v>1415</v>
      </c>
      <c r="M34" s="494" t="s">
        <v>2336</v>
      </c>
      <c r="N34" s="482" t="s">
        <v>26</v>
      </c>
      <c r="O34" s="468" t="s">
        <v>1418</v>
      </c>
      <c r="P34" s="547" t="s">
        <v>2283</v>
      </c>
      <c r="Q34" s="544"/>
      <c r="R34" s="485" t="s">
        <v>2295</v>
      </c>
      <c r="S34" s="477"/>
      <c r="T34" s="477"/>
    </row>
    <row r="35" ht="12.75" customHeight="1">
      <c r="A35" s="550" t="s">
        <v>221</v>
      </c>
      <c r="B35" s="453" t="s">
        <v>193</v>
      </c>
      <c r="C35" s="551">
        <v>43.0</v>
      </c>
      <c r="D35" s="552" t="s">
        <v>42</v>
      </c>
      <c r="E35" s="445">
        <v>44634.0</v>
      </c>
      <c r="F35" s="546">
        <v>44687.0</v>
      </c>
      <c r="G35" s="447" t="s">
        <v>22</v>
      </c>
      <c r="H35" s="442" t="s">
        <v>2323</v>
      </c>
      <c r="I35" s="443">
        <v>21.0</v>
      </c>
      <c r="J35" s="552" t="s">
        <v>1495</v>
      </c>
      <c r="K35" s="553" t="s">
        <v>2337</v>
      </c>
      <c r="L35" s="553" t="s">
        <v>1415</v>
      </c>
      <c r="M35" s="554" t="s">
        <v>1416</v>
      </c>
      <c r="N35" s="554" t="s">
        <v>1496</v>
      </c>
      <c r="O35" s="468" t="s">
        <v>1418</v>
      </c>
      <c r="P35" s="441" t="s">
        <v>2283</v>
      </c>
      <c r="Q35" s="553" t="s">
        <v>2326</v>
      </c>
      <c r="R35" s="485" t="s">
        <v>2295</v>
      </c>
      <c r="S35" s="477"/>
      <c r="T35" s="477"/>
    </row>
    <row r="36" ht="12.75" customHeight="1">
      <c r="A36" s="550" t="s">
        <v>225</v>
      </c>
      <c r="B36" s="453" t="s">
        <v>193</v>
      </c>
      <c r="C36" s="551">
        <v>44.0</v>
      </c>
      <c r="D36" s="552" t="s">
        <v>42</v>
      </c>
      <c r="E36" s="445">
        <v>44644.0</v>
      </c>
      <c r="F36" s="546">
        <v>44712.0</v>
      </c>
      <c r="G36" s="447" t="s">
        <v>22</v>
      </c>
      <c r="H36" s="442" t="s">
        <v>2323</v>
      </c>
      <c r="I36" s="443">
        <v>22.0</v>
      </c>
      <c r="J36" s="552" t="s">
        <v>1499</v>
      </c>
      <c r="K36" s="553" t="s">
        <v>1498</v>
      </c>
      <c r="L36" s="553" t="s">
        <v>1415</v>
      </c>
      <c r="M36" s="527" t="s">
        <v>1416</v>
      </c>
      <c r="N36" s="527" t="s">
        <v>1463</v>
      </c>
      <c r="O36" s="555" t="s">
        <v>1472</v>
      </c>
      <c r="P36" s="533" t="s">
        <v>2320</v>
      </c>
      <c r="Q36" s="479" t="s">
        <v>26</v>
      </c>
      <c r="R36" s="485" t="s">
        <v>2321</v>
      </c>
      <c r="S36" s="477"/>
      <c r="T36" s="477"/>
    </row>
    <row r="37" ht="12.75" customHeight="1">
      <c r="A37" s="550" t="s">
        <v>230</v>
      </c>
      <c r="B37" s="453" t="s">
        <v>193</v>
      </c>
      <c r="C37" s="551">
        <v>45.0</v>
      </c>
      <c r="D37" s="552" t="s">
        <v>42</v>
      </c>
      <c r="E37" s="445">
        <v>44645.0</v>
      </c>
      <c r="F37" s="546">
        <v>44727.0</v>
      </c>
      <c r="G37" s="447" t="s">
        <v>22</v>
      </c>
      <c r="H37" s="442" t="s">
        <v>2323</v>
      </c>
      <c r="I37" s="443">
        <v>23.0</v>
      </c>
      <c r="J37" s="552" t="s">
        <v>1502</v>
      </c>
      <c r="K37" s="553" t="s">
        <v>2338</v>
      </c>
      <c r="L37" s="553" t="s">
        <v>1415</v>
      </c>
      <c r="M37" s="554" t="s">
        <v>1416</v>
      </c>
      <c r="N37" s="554" t="s">
        <v>1503</v>
      </c>
      <c r="O37" s="441" t="s">
        <v>1418</v>
      </c>
      <c r="P37" s="441" t="s">
        <v>2283</v>
      </c>
      <c r="Q37" s="556" t="s">
        <v>2339</v>
      </c>
      <c r="R37" s="485" t="s">
        <v>2295</v>
      </c>
      <c r="S37" s="477"/>
      <c r="T37" s="477"/>
    </row>
    <row r="38" ht="12.75" customHeight="1">
      <c r="A38" s="550" t="s">
        <v>241</v>
      </c>
      <c r="B38" s="557" t="s">
        <v>193</v>
      </c>
      <c r="C38" s="443">
        <v>47.0</v>
      </c>
      <c r="D38" s="552" t="s">
        <v>42</v>
      </c>
      <c r="E38" s="445">
        <v>44680.0</v>
      </c>
      <c r="F38" s="546">
        <v>45016.0</v>
      </c>
      <c r="G38" s="447" t="s">
        <v>22</v>
      </c>
      <c r="H38" s="442" t="s">
        <v>2323</v>
      </c>
      <c r="I38" s="443">
        <v>24.0</v>
      </c>
      <c r="J38" s="558" t="s">
        <v>1506</v>
      </c>
      <c r="K38" s="553" t="s">
        <v>1505</v>
      </c>
      <c r="L38" s="553" t="s">
        <v>1415</v>
      </c>
      <c r="M38" s="554" t="s">
        <v>2336</v>
      </c>
      <c r="N38" s="554" t="s">
        <v>2340</v>
      </c>
      <c r="O38" s="441" t="s">
        <v>1418</v>
      </c>
      <c r="P38" s="550" t="s">
        <v>2283</v>
      </c>
      <c r="Q38" s="556" t="s">
        <v>2341</v>
      </c>
      <c r="R38" s="485" t="s">
        <v>2318</v>
      </c>
      <c r="S38" s="477"/>
      <c r="T38" s="477"/>
    </row>
    <row r="39" ht="12.75" customHeight="1">
      <c r="A39" s="556" t="s">
        <v>2342</v>
      </c>
      <c r="B39" s="557" t="s">
        <v>193</v>
      </c>
      <c r="C39" s="443">
        <v>48.0</v>
      </c>
      <c r="D39" s="554" t="s">
        <v>42</v>
      </c>
      <c r="E39" s="445">
        <v>44680.0</v>
      </c>
      <c r="F39" s="468" t="s">
        <v>2299</v>
      </c>
      <c r="G39" s="447" t="s">
        <v>17</v>
      </c>
      <c r="H39" s="442" t="s">
        <v>2323</v>
      </c>
      <c r="I39" s="443">
        <v>25.0</v>
      </c>
      <c r="J39" s="554" t="s">
        <v>1509</v>
      </c>
      <c r="K39" s="553" t="s">
        <v>1508</v>
      </c>
      <c r="L39" s="553" t="s">
        <v>1415</v>
      </c>
      <c r="M39" s="554" t="s">
        <v>2336</v>
      </c>
      <c r="N39" s="554" t="s">
        <v>2340</v>
      </c>
      <c r="O39" s="441" t="s">
        <v>1418</v>
      </c>
      <c r="P39" s="556" t="s">
        <v>2283</v>
      </c>
      <c r="Q39" s="556" t="s">
        <v>2341</v>
      </c>
      <c r="R39" s="485" t="s">
        <v>2318</v>
      </c>
      <c r="S39" s="477"/>
      <c r="T39" s="477"/>
    </row>
    <row r="40" ht="12.75" customHeight="1">
      <c r="A40" s="559" t="s">
        <v>327</v>
      </c>
      <c r="B40" s="557" t="s">
        <v>328</v>
      </c>
      <c r="C40" s="560">
        <v>70.0</v>
      </c>
      <c r="D40" s="554" t="s">
        <v>42</v>
      </c>
      <c r="E40" s="445">
        <v>44682.0</v>
      </c>
      <c r="F40" s="468" t="s">
        <v>2299</v>
      </c>
      <c r="G40" s="447" t="s">
        <v>17</v>
      </c>
      <c r="H40" s="442" t="s">
        <v>2323</v>
      </c>
      <c r="I40" s="443">
        <v>26.0</v>
      </c>
      <c r="J40" s="554" t="s">
        <v>1512</v>
      </c>
      <c r="K40" s="553" t="s">
        <v>2343</v>
      </c>
      <c r="L40" s="553" t="s">
        <v>1415</v>
      </c>
      <c r="M40" s="554" t="s">
        <v>2336</v>
      </c>
      <c r="N40" s="554" t="s">
        <v>2340</v>
      </c>
      <c r="O40" s="556" t="s">
        <v>1919</v>
      </c>
      <c r="P40" s="556" t="s">
        <v>2344</v>
      </c>
      <c r="Q40" s="556" t="s">
        <v>2341</v>
      </c>
      <c r="R40" s="485" t="s">
        <v>2318</v>
      </c>
      <c r="S40" s="86" t="s">
        <v>2319</v>
      </c>
      <c r="T40" s="477"/>
    </row>
    <row r="41" ht="12.75" customHeight="1">
      <c r="A41" s="561" t="s">
        <v>254</v>
      </c>
      <c r="B41" s="557" t="s">
        <v>193</v>
      </c>
      <c r="C41" s="443">
        <v>51.0</v>
      </c>
      <c r="D41" s="562" t="s">
        <v>20</v>
      </c>
      <c r="E41" s="445">
        <v>44682.0</v>
      </c>
      <c r="F41" s="546">
        <v>45229.0</v>
      </c>
      <c r="G41" s="447" t="s">
        <v>22</v>
      </c>
      <c r="H41" s="442" t="s">
        <v>2323</v>
      </c>
      <c r="I41" s="443">
        <v>27.0</v>
      </c>
      <c r="J41" s="552" t="s">
        <v>1515</v>
      </c>
      <c r="K41" s="553" t="s">
        <v>1514</v>
      </c>
      <c r="L41" s="553" t="s">
        <v>1455</v>
      </c>
      <c r="M41" s="554" t="s">
        <v>1416</v>
      </c>
      <c r="N41" s="554" t="s">
        <v>1516</v>
      </c>
      <c r="O41" s="556" t="s">
        <v>1418</v>
      </c>
      <c r="P41" s="556" t="s">
        <v>2283</v>
      </c>
      <c r="Q41" s="553" t="s">
        <v>2345</v>
      </c>
      <c r="R41" s="485" t="s">
        <v>2285</v>
      </c>
      <c r="S41" s="86" t="s">
        <v>2319</v>
      </c>
      <c r="T41" s="477"/>
    </row>
    <row r="42" ht="19.5" customHeight="1">
      <c r="A42" s="563" t="s">
        <v>247</v>
      </c>
      <c r="B42" s="564" t="s">
        <v>193</v>
      </c>
      <c r="C42" s="565">
        <v>50.0</v>
      </c>
      <c r="D42" s="566" t="s">
        <v>20</v>
      </c>
      <c r="E42" s="567">
        <v>44718.0</v>
      </c>
      <c r="F42" s="523">
        <v>44926.0</v>
      </c>
      <c r="G42" s="447" t="s">
        <v>22</v>
      </c>
      <c r="H42" s="568" t="s">
        <v>2323</v>
      </c>
      <c r="I42" s="443" t="s">
        <v>2346</v>
      </c>
      <c r="J42" s="569" t="s">
        <v>1519</v>
      </c>
      <c r="K42" s="570" t="s">
        <v>2347</v>
      </c>
      <c r="L42" s="570" t="s">
        <v>1415</v>
      </c>
      <c r="M42" s="571" t="s">
        <v>2336</v>
      </c>
      <c r="N42" s="571" t="s">
        <v>2340</v>
      </c>
      <c r="O42" s="556" t="s">
        <v>1418</v>
      </c>
      <c r="P42" s="550" t="s">
        <v>2283</v>
      </c>
      <c r="Q42" s="556" t="s">
        <v>2348</v>
      </c>
      <c r="R42" s="485" t="s">
        <v>2285</v>
      </c>
      <c r="S42" s="477"/>
      <c r="T42" s="477"/>
    </row>
    <row r="43" ht="22.5" customHeight="1">
      <c r="A43" s="470"/>
      <c r="B43" s="470"/>
      <c r="C43" s="470"/>
      <c r="D43" s="470"/>
      <c r="E43" s="470"/>
      <c r="F43" s="470"/>
      <c r="G43" s="447" t="s">
        <v>22</v>
      </c>
      <c r="H43" s="470"/>
      <c r="I43" s="443" t="s">
        <v>2349</v>
      </c>
      <c r="J43" s="470"/>
      <c r="K43" s="470"/>
      <c r="L43" s="470"/>
      <c r="M43" s="470"/>
      <c r="N43" s="470"/>
      <c r="O43" s="572" t="s">
        <v>1919</v>
      </c>
      <c r="P43" s="572" t="s">
        <v>1962</v>
      </c>
      <c r="Q43" s="556" t="s">
        <v>2350</v>
      </c>
      <c r="R43" s="485" t="s">
        <v>2351</v>
      </c>
      <c r="S43" s="477"/>
      <c r="T43" s="477"/>
    </row>
    <row r="44" ht="36.0" customHeight="1">
      <c r="A44" s="550" t="s">
        <v>260</v>
      </c>
      <c r="B44" s="557" t="s">
        <v>193</v>
      </c>
      <c r="C44" s="443">
        <v>53.0</v>
      </c>
      <c r="D44" s="573" t="s">
        <v>20</v>
      </c>
      <c r="E44" s="567">
        <v>44725.0</v>
      </c>
      <c r="F44" s="483" t="s">
        <v>2299</v>
      </c>
      <c r="G44" s="461" t="s">
        <v>17</v>
      </c>
      <c r="H44" s="568" t="s">
        <v>2323</v>
      </c>
      <c r="I44" s="574">
        <v>29.0</v>
      </c>
      <c r="J44" s="571" t="s">
        <v>1522</v>
      </c>
      <c r="K44" s="570" t="s">
        <v>1521</v>
      </c>
      <c r="L44" s="570" t="s">
        <v>1415</v>
      </c>
      <c r="M44" s="571" t="s">
        <v>2336</v>
      </c>
      <c r="N44" s="571" t="s">
        <v>2340</v>
      </c>
      <c r="O44" s="572" t="s">
        <v>1418</v>
      </c>
      <c r="P44" s="572" t="s">
        <v>2283</v>
      </c>
      <c r="Q44" s="553" t="s">
        <v>2352</v>
      </c>
      <c r="R44" s="485" t="s">
        <v>2295</v>
      </c>
      <c r="S44" s="477"/>
      <c r="T44" s="477"/>
    </row>
    <row r="45" ht="36.0" customHeight="1">
      <c r="A45" s="575" t="s">
        <v>635</v>
      </c>
      <c r="B45" s="576" t="s">
        <v>532</v>
      </c>
      <c r="C45" s="443">
        <v>161.0</v>
      </c>
      <c r="D45" s="577" t="s">
        <v>20</v>
      </c>
      <c r="E45" s="470"/>
      <c r="F45" s="470"/>
      <c r="G45" s="470"/>
      <c r="H45" s="470"/>
      <c r="I45" s="470"/>
      <c r="J45" s="470"/>
      <c r="K45" s="470"/>
      <c r="L45" s="470"/>
      <c r="M45" s="470"/>
      <c r="N45" s="470"/>
      <c r="O45" s="572" t="s">
        <v>1418</v>
      </c>
      <c r="P45" s="578" t="s">
        <v>2283</v>
      </c>
      <c r="Q45" s="553" t="s">
        <v>2352</v>
      </c>
      <c r="R45" s="485"/>
      <c r="S45" s="477"/>
      <c r="T45" s="477"/>
    </row>
    <row r="46" ht="12.75" customHeight="1">
      <c r="A46" s="579" t="s">
        <v>258</v>
      </c>
      <c r="B46" s="557" t="s">
        <v>193</v>
      </c>
      <c r="C46" s="443">
        <v>52.0</v>
      </c>
      <c r="D46" s="573" t="s">
        <v>42</v>
      </c>
      <c r="E46" s="580">
        <v>44729.0</v>
      </c>
      <c r="F46" s="546">
        <v>44773.0</v>
      </c>
      <c r="G46" s="447" t="s">
        <v>22</v>
      </c>
      <c r="H46" s="442" t="s">
        <v>2323</v>
      </c>
      <c r="I46" s="443">
        <v>30.0</v>
      </c>
      <c r="J46" s="552" t="s">
        <v>1525</v>
      </c>
      <c r="K46" s="553" t="s">
        <v>1524</v>
      </c>
      <c r="L46" s="553" t="s">
        <v>1415</v>
      </c>
      <c r="M46" s="554" t="s">
        <v>1416</v>
      </c>
      <c r="N46" s="554" t="s">
        <v>1447</v>
      </c>
      <c r="O46" s="581" t="s">
        <v>1418</v>
      </c>
      <c r="P46" s="581" t="s">
        <v>2283</v>
      </c>
      <c r="Q46" s="556" t="s">
        <v>2353</v>
      </c>
      <c r="R46" s="485" t="s">
        <v>2321</v>
      </c>
      <c r="S46" s="477"/>
      <c r="T46" s="477"/>
    </row>
    <row r="47" ht="12.75" customHeight="1">
      <c r="A47" s="579" t="s">
        <v>79</v>
      </c>
      <c r="B47" s="557" t="s">
        <v>21</v>
      </c>
      <c r="C47" s="560">
        <v>13.0</v>
      </c>
      <c r="D47" s="573" t="s">
        <v>20</v>
      </c>
      <c r="E47" s="582">
        <v>44754.0</v>
      </c>
      <c r="F47" s="546">
        <v>44773.0</v>
      </c>
      <c r="G47" s="447" t="s">
        <v>22</v>
      </c>
      <c r="H47" s="576" t="s">
        <v>2323</v>
      </c>
      <c r="I47" s="583">
        <v>31.0</v>
      </c>
      <c r="J47" s="584" t="s">
        <v>1426</v>
      </c>
      <c r="K47" s="585" t="s">
        <v>1425</v>
      </c>
      <c r="L47" s="586" t="s">
        <v>1415</v>
      </c>
      <c r="M47" s="587" t="s">
        <v>1416</v>
      </c>
      <c r="N47" s="588" t="s">
        <v>1427</v>
      </c>
      <c r="O47" s="589" t="s">
        <v>1418</v>
      </c>
      <c r="P47" s="589" t="s">
        <v>2354</v>
      </c>
      <c r="Q47" s="586" t="s">
        <v>2355</v>
      </c>
      <c r="R47" s="485" t="s">
        <v>2351</v>
      </c>
      <c r="S47" s="477"/>
      <c r="T47" s="477"/>
    </row>
    <row r="48" ht="20.25" customHeight="1">
      <c r="A48" s="579" t="s">
        <v>267</v>
      </c>
      <c r="B48" s="557" t="s">
        <v>193</v>
      </c>
      <c r="C48" s="560">
        <v>55.0</v>
      </c>
      <c r="D48" s="552" t="s">
        <v>20</v>
      </c>
      <c r="E48" s="567">
        <v>44763.0</v>
      </c>
      <c r="F48" s="523">
        <v>45107.0</v>
      </c>
      <c r="G48" s="461" t="s">
        <v>22</v>
      </c>
      <c r="H48" s="568" t="s">
        <v>2323</v>
      </c>
      <c r="I48" s="574">
        <v>32.0</v>
      </c>
      <c r="J48" s="569" t="s">
        <v>1529</v>
      </c>
      <c r="K48" s="570" t="s">
        <v>1528</v>
      </c>
      <c r="L48" s="570" t="s">
        <v>1415</v>
      </c>
      <c r="M48" s="590" t="s">
        <v>1416</v>
      </c>
      <c r="N48" s="590" t="s">
        <v>1530</v>
      </c>
      <c r="O48" s="591" t="s">
        <v>1919</v>
      </c>
      <c r="P48" s="591" t="s">
        <v>2356</v>
      </c>
      <c r="Q48" s="592" t="s">
        <v>2357</v>
      </c>
      <c r="R48" s="485" t="s">
        <v>2295</v>
      </c>
      <c r="S48" s="477"/>
      <c r="T48" s="477"/>
    </row>
    <row r="49" ht="18.75" customHeight="1">
      <c r="A49" s="579" t="s">
        <v>243</v>
      </c>
      <c r="B49" s="557" t="s">
        <v>193</v>
      </c>
      <c r="C49" s="560">
        <v>49.0</v>
      </c>
      <c r="D49" s="573" t="s">
        <v>20</v>
      </c>
      <c r="E49" s="470"/>
      <c r="F49" s="470"/>
      <c r="G49" s="470"/>
      <c r="H49" s="470"/>
      <c r="I49" s="470"/>
      <c r="J49" s="470"/>
      <c r="K49" s="470"/>
      <c r="L49" s="470"/>
      <c r="M49" s="470"/>
      <c r="N49" s="470"/>
      <c r="O49" s="470"/>
      <c r="P49" s="470"/>
      <c r="Q49" s="470"/>
      <c r="R49" s="478"/>
      <c r="S49" s="477"/>
      <c r="T49" s="477"/>
    </row>
    <row r="50">
      <c r="A50" s="556" t="s">
        <v>2358</v>
      </c>
      <c r="B50" s="557" t="s">
        <v>193</v>
      </c>
      <c r="C50" s="583">
        <v>60.0</v>
      </c>
      <c r="D50" s="554" t="s">
        <v>42</v>
      </c>
      <c r="E50" s="567">
        <v>44835.0</v>
      </c>
      <c r="F50" s="483" t="s">
        <v>2299</v>
      </c>
      <c r="G50" s="461" t="s">
        <v>17</v>
      </c>
      <c r="H50" s="568" t="s">
        <v>2323</v>
      </c>
      <c r="I50" s="574">
        <v>33.0</v>
      </c>
      <c r="J50" s="571" t="s">
        <v>1533</v>
      </c>
      <c r="K50" s="570" t="s">
        <v>1532</v>
      </c>
      <c r="L50" s="570" t="s">
        <v>1415</v>
      </c>
      <c r="M50" s="571" t="s">
        <v>1416</v>
      </c>
      <c r="N50" s="571" t="s">
        <v>1534</v>
      </c>
      <c r="O50" s="591" t="s">
        <v>1418</v>
      </c>
      <c r="P50" s="592" t="s">
        <v>2283</v>
      </c>
      <c r="Q50" s="570" t="s">
        <v>2359</v>
      </c>
      <c r="R50" s="485" t="s">
        <v>2285</v>
      </c>
      <c r="S50" s="477"/>
      <c r="T50" s="477"/>
    </row>
    <row r="51" ht="32.25" customHeight="1">
      <c r="A51" s="556" t="s">
        <v>294</v>
      </c>
      <c r="B51" s="557" t="s">
        <v>193</v>
      </c>
      <c r="C51" s="583">
        <v>61.0</v>
      </c>
      <c r="D51" s="554" t="s">
        <v>20</v>
      </c>
      <c r="E51" s="470"/>
      <c r="F51" s="470"/>
      <c r="G51" s="470"/>
      <c r="H51" s="470"/>
      <c r="I51" s="470"/>
      <c r="J51" s="470"/>
      <c r="K51" s="470"/>
      <c r="L51" s="470"/>
      <c r="M51" s="470"/>
      <c r="N51" s="470"/>
      <c r="O51" s="470"/>
      <c r="P51" s="470"/>
      <c r="Q51" s="470"/>
      <c r="R51" s="478"/>
      <c r="S51" s="477"/>
      <c r="T51" s="477"/>
    </row>
    <row r="52" ht="12.75" customHeight="1">
      <c r="A52" s="559" t="s">
        <v>297</v>
      </c>
      <c r="B52" s="557" t="s">
        <v>193</v>
      </c>
      <c r="C52" s="583">
        <v>62.0</v>
      </c>
      <c r="D52" s="554" t="s">
        <v>20</v>
      </c>
      <c r="E52" s="593">
        <v>44859.0</v>
      </c>
      <c r="F52" s="483" t="s">
        <v>2299</v>
      </c>
      <c r="G52" s="461" t="s">
        <v>17</v>
      </c>
      <c r="H52" s="594" t="s">
        <v>2323</v>
      </c>
      <c r="I52" s="574">
        <v>34.0</v>
      </c>
      <c r="J52" s="571" t="s">
        <v>1538</v>
      </c>
      <c r="K52" s="570" t="s">
        <v>1537</v>
      </c>
      <c r="L52" s="570" t="s">
        <v>1415</v>
      </c>
      <c r="M52" s="571" t="s">
        <v>1416</v>
      </c>
      <c r="N52" s="571" t="s">
        <v>1602</v>
      </c>
      <c r="O52" s="591" t="s">
        <v>1418</v>
      </c>
      <c r="P52" s="595" t="s">
        <v>2283</v>
      </c>
      <c r="Q52" s="570" t="s">
        <v>2360</v>
      </c>
      <c r="R52" s="485" t="s">
        <v>2295</v>
      </c>
      <c r="S52" s="477"/>
      <c r="T52" s="477"/>
    </row>
    <row r="53" ht="12.75" customHeight="1">
      <c r="A53" s="559" t="s">
        <v>303</v>
      </c>
      <c r="B53" s="557" t="s">
        <v>193</v>
      </c>
      <c r="C53" s="583">
        <v>63.0</v>
      </c>
      <c r="D53" s="554" t="s">
        <v>20</v>
      </c>
      <c r="E53" s="478"/>
      <c r="F53" s="478"/>
      <c r="G53" s="478"/>
      <c r="H53" s="478"/>
      <c r="I53" s="478"/>
      <c r="J53" s="478"/>
      <c r="K53" s="478"/>
      <c r="L53" s="478"/>
      <c r="M53" s="478"/>
      <c r="N53" s="478"/>
      <c r="O53" s="478"/>
      <c r="P53" s="478"/>
      <c r="Q53" s="478"/>
      <c r="R53" s="478"/>
      <c r="S53" s="477"/>
      <c r="T53" s="477"/>
    </row>
    <row r="54" ht="12.75" customHeight="1">
      <c r="A54" s="559" t="s">
        <v>308</v>
      </c>
      <c r="B54" s="557" t="s">
        <v>193</v>
      </c>
      <c r="C54" s="583">
        <v>64.0</v>
      </c>
      <c r="D54" s="554" t="s">
        <v>20</v>
      </c>
      <c r="E54" s="478"/>
      <c r="F54" s="478"/>
      <c r="G54" s="478"/>
      <c r="H54" s="478"/>
      <c r="I54" s="478"/>
      <c r="J54" s="478"/>
      <c r="K54" s="478"/>
      <c r="L54" s="478"/>
      <c r="M54" s="478"/>
      <c r="N54" s="478"/>
      <c r="O54" s="478"/>
      <c r="P54" s="478"/>
      <c r="Q54" s="478"/>
      <c r="R54" s="478"/>
      <c r="S54" s="477"/>
      <c r="T54" s="477"/>
    </row>
    <row r="55" ht="12.75" customHeight="1">
      <c r="A55" s="559" t="s">
        <v>311</v>
      </c>
      <c r="B55" s="557" t="s">
        <v>193</v>
      </c>
      <c r="C55" s="583">
        <v>65.0</v>
      </c>
      <c r="D55" s="554" t="s">
        <v>20</v>
      </c>
      <c r="E55" s="478"/>
      <c r="F55" s="478"/>
      <c r="G55" s="478"/>
      <c r="H55" s="478"/>
      <c r="I55" s="478"/>
      <c r="J55" s="478"/>
      <c r="K55" s="478"/>
      <c r="L55" s="478"/>
      <c r="M55" s="478"/>
      <c r="N55" s="478"/>
      <c r="O55" s="478"/>
      <c r="P55" s="470"/>
      <c r="Q55" s="470"/>
      <c r="R55" s="478"/>
      <c r="S55" s="477"/>
      <c r="T55" s="477"/>
    </row>
    <row r="56" ht="12.75" customHeight="1">
      <c r="A56" s="572" t="s">
        <v>352</v>
      </c>
      <c r="B56" s="576" t="s">
        <v>328</v>
      </c>
      <c r="C56" s="583">
        <v>76.0</v>
      </c>
      <c r="D56" s="554" t="s">
        <v>42</v>
      </c>
      <c r="E56" s="470"/>
      <c r="F56" s="470"/>
      <c r="G56" s="470"/>
      <c r="H56" s="470"/>
      <c r="I56" s="470"/>
      <c r="J56" s="470"/>
      <c r="K56" s="470"/>
      <c r="L56" s="470"/>
      <c r="M56" s="470"/>
      <c r="N56" s="470"/>
      <c r="O56" s="470"/>
      <c r="P56" s="572" t="s">
        <v>2283</v>
      </c>
      <c r="Q56" s="556" t="s">
        <v>2361</v>
      </c>
      <c r="R56" s="470"/>
      <c r="S56" s="477"/>
      <c r="T56" s="477"/>
    </row>
    <row r="57" ht="12.75" customHeight="1">
      <c r="A57" s="572" t="s">
        <v>314</v>
      </c>
      <c r="B57" s="557" t="s">
        <v>193</v>
      </c>
      <c r="C57" s="583">
        <v>66.0</v>
      </c>
      <c r="D57" s="554" t="s">
        <v>20</v>
      </c>
      <c r="E57" s="596">
        <v>44902.0</v>
      </c>
      <c r="F57" s="546">
        <v>45107.0</v>
      </c>
      <c r="G57" s="447" t="s">
        <v>22</v>
      </c>
      <c r="H57" s="442" t="s">
        <v>2323</v>
      </c>
      <c r="I57" s="443">
        <v>35.0</v>
      </c>
      <c r="J57" s="552" t="s">
        <v>1542</v>
      </c>
      <c r="K57" s="553" t="s">
        <v>1541</v>
      </c>
      <c r="L57" s="553" t="s">
        <v>1415</v>
      </c>
      <c r="M57" s="554" t="s">
        <v>1416</v>
      </c>
      <c r="N57" s="597"/>
      <c r="O57" s="598" t="s">
        <v>1919</v>
      </c>
      <c r="P57" s="598" t="s">
        <v>2362</v>
      </c>
      <c r="Q57" s="556" t="s">
        <v>2363</v>
      </c>
      <c r="R57" s="485" t="s">
        <v>2321</v>
      </c>
      <c r="S57" s="477"/>
      <c r="T57" s="477"/>
    </row>
    <row r="58" ht="12.75" customHeight="1">
      <c r="A58" s="579" t="s">
        <v>319</v>
      </c>
      <c r="B58" s="557" t="s">
        <v>193</v>
      </c>
      <c r="C58" s="583">
        <v>67.0</v>
      </c>
      <c r="D58" s="562" t="s">
        <v>42</v>
      </c>
      <c r="E58" s="567">
        <v>44910.0</v>
      </c>
      <c r="F58" s="523">
        <v>45069.0</v>
      </c>
      <c r="G58" s="461" t="s">
        <v>22</v>
      </c>
      <c r="H58" s="568" t="s">
        <v>2323</v>
      </c>
      <c r="I58" s="574">
        <v>36.0</v>
      </c>
      <c r="J58" s="569" t="s">
        <v>1546</v>
      </c>
      <c r="K58" s="592" t="s">
        <v>1545</v>
      </c>
      <c r="L58" s="592" t="s">
        <v>1415</v>
      </c>
      <c r="M58" s="571" t="s">
        <v>2336</v>
      </c>
      <c r="N58" s="599"/>
      <c r="O58" s="600" t="s">
        <v>1919</v>
      </c>
      <c r="P58" s="600" t="s">
        <v>2364</v>
      </c>
      <c r="Q58" s="601" t="s">
        <v>26</v>
      </c>
      <c r="R58" s="485" t="s">
        <v>2295</v>
      </c>
      <c r="S58" s="477"/>
      <c r="T58" s="477"/>
    </row>
    <row r="59" ht="12.75" customHeight="1">
      <c r="A59" s="579" t="s">
        <v>321</v>
      </c>
      <c r="B59" s="557" t="s">
        <v>193</v>
      </c>
      <c r="C59" s="443">
        <v>68.0</v>
      </c>
      <c r="D59" s="562" t="s">
        <v>20</v>
      </c>
      <c r="E59" s="478"/>
      <c r="F59" s="478"/>
      <c r="G59" s="478"/>
      <c r="H59" s="478"/>
      <c r="I59" s="478"/>
      <c r="J59" s="478"/>
      <c r="K59" s="478"/>
      <c r="L59" s="478"/>
      <c r="M59" s="478"/>
      <c r="N59" s="478"/>
      <c r="O59" s="478"/>
      <c r="P59" s="478"/>
      <c r="Q59" s="478"/>
      <c r="R59" s="478"/>
      <c r="S59" s="477"/>
      <c r="T59" s="477"/>
    </row>
    <row r="60" ht="12.75" customHeight="1">
      <c r="A60" s="602" t="s">
        <v>322</v>
      </c>
      <c r="B60" s="603" t="s">
        <v>193</v>
      </c>
      <c r="C60" s="604">
        <v>69.0</v>
      </c>
      <c r="D60" s="605" t="s">
        <v>20</v>
      </c>
      <c r="E60" s="606"/>
      <c r="F60" s="606"/>
      <c r="G60" s="606"/>
      <c r="H60" s="606"/>
      <c r="I60" s="606"/>
      <c r="J60" s="606"/>
      <c r="K60" s="606"/>
      <c r="L60" s="606"/>
      <c r="M60" s="606"/>
      <c r="N60" s="606"/>
      <c r="O60" s="606"/>
      <c r="P60" s="606"/>
      <c r="Q60" s="606"/>
      <c r="R60" s="606"/>
      <c r="S60" s="477"/>
      <c r="T60" s="477"/>
    </row>
    <row r="61" ht="15.75" customHeight="1">
      <c r="A61" s="607" t="s">
        <v>2365</v>
      </c>
      <c r="B61" s="608" t="s">
        <v>328</v>
      </c>
      <c r="C61" s="609">
        <v>71.0</v>
      </c>
      <c r="D61" s="610" t="s">
        <v>20</v>
      </c>
      <c r="E61" s="611">
        <v>44964.0</v>
      </c>
      <c r="F61" s="517" t="s">
        <v>2299</v>
      </c>
      <c r="G61" s="515" t="s">
        <v>17</v>
      </c>
      <c r="H61" s="612" t="s">
        <v>2366</v>
      </c>
      <c r="I61" s="609">
        <v>37.0</v>
      </c>
      <c r="J61" s="610" t="s">
        <v>1549</v>
      </c>
      <c r="K61" s="607" t="s">
        <v>1548</v>
      </c>
      <c r="L61" s="607" t="s">
        <v>1455</v>
      </c>
      <c r="M61" s="610" t="s">
        <v>1416</v>
      </c>
      <c r="N61" s="610" t="s">
        <v>1550</v>
      </c>
      <c r="O61" s="607" t="s">
        <v>1919</v>
      </c>
      <c r="P61" s="607" t="s">
        <v>2367</v>
      </c>
      <c r="Q61" s="543" t="s">
        <v>26</v>
      </c>
      <c r="R61" s="485" t="s">
        <v>2321</v>
      </c>
      <c r="S61" s="477"/>
      <c r="T61" s="477"/>
    </row>
    <row r="62">
      <c r="A62" s="556" t="s">
        <v>1181</v>
      </c>
      <c r="B62" s="613" t="s">
        <v>15</v>
      </c>
      <c r="C62" s="614" t="s">
        <v>16</v>
      </c>
      <c r="D62" s="597"/>
      <c r="E62" s="596">
        <v>44993.0</v>
      </c>
      <c r="F62" s="546">
        <v>45069.0</v>
      </c>
      <c r="G62" s="447" t="s">
        <v>22</v>
      </c>
      <c r="H62" s="613" t="s">
        <v>2366</v>
      </c>
      <c r="I62" s="443">
        <v>38.0</v>
      </c>
      <c r="J62" s="552" t="s">
        <v>1553</v>
      </c>
      <c r="K62" s="556" t="s">
        <v>1552</v>
      </c>
      <c r="L62" s="556" t="s">
        <v>1415</v>
      </c>
      <c r="M62" s="554" t="s">
        <v>2336</v>
      </c>
      <c r="N62" s="554" t="s">
        <v>2340</v>
      </c>
      <c r="O62" s="556" t="s">
        <v>1919</v>
      </c>
      <c r="P62" s="544"/>
      <c r="Q62" s="544"/>
      <c r="R62" s="485" t="s">
        <v>2321</v>
      </c>
      <c r="S62" s="477"/>
      <c r="T62" s="477"/>
    </row>
    <row r="63" ht="12.75" customHeight="1">
      <c r="A63" s="615" t="s">
        <v>284</v>
      </c>
      <c r="B63" s="576" t="s">
        <v>193</v>
      </c>
      <c r="C63" s="583">
        <v>59.0</v>
      </c>
      <c r="D63" s="554" t="s">
        <v>20</v>
      </c>
      <c r="E63" s="616">
        <v>44999.0</v>
      </c>
      <c r="F63" s="617">
        <v>45199.0</v>
      </c>
      <c r="G63" s="461" t="s">
        <v>22</v>
      </c>
      <c r="H63" s="618" t="s">
        <v>2366</v>
      </c>
      <c r="I63" s="574">
        <v>39.0</v>
      </c>
      <c r="J63" s="619" t="s">
        <v>1557</v>
      </c>
      <c r="K63" s="570" t="s">
        <v>1556</v>
      </c>
      <c r="L63" s="570" t="s">
        <v>1415</v>
      </c>
      <c r="M63" s="571" t="s">
        <v>2336</v>
      </c>
      <c r="N63" s="571" t="s">
        <v>2340</v>
      </c>
      <c r="O63" s="592" t="s">
        <v>1418</v>
      </c>
      <c r="P63" s="592" t="s">
        <v>2283</v>
      </c>
      <c r="Q63" s="570" t="s">
        <v>2352</v>
      </c>
      <c r="R63" s="485" t="s">
        <v>2285</v>
      </c>
      <c r="S63" s="477"/>
      <c r="T63" s="477"/>
    </row>
    <row r="64" ht="12.75" customHeight="1">
      <c r="A64" s="620" t="s">
        <v>354</v>
      </c>
      <c r="B64" s="557" t="s">
        <v>328</v>
      </c>
      <c r="C64" s="583">
        <v>77.0</v>
      </c>
      <c r="D64" s="554" t="s">
        <v>20</v>
      </c>
      <c r="E64" s="470"/>
      <c r="F64" s="470"/>
      <c r="G64" s="470"/>
      <c r="H64" s="470"/>
      <c r="I64" s="470"/>
      <c r="J64" s="470"/>
      <c r="K64" s="470"/>
      <c r="L64" s="470"/>
      <c r="M64" s="470"/>
      <c r="N64" s="470"/>
      <c r="O64" s="470"/>
      <c r="P64" s="470"/>
      <c r="Q64" s="470"/>
      <c r="R64" s="478"/>
      <c r="S64" s="477"/>
      <c r="T64" s="477"/>
    </row>
    <row r="65" ht="12.75" customHeight="1">
      <c r="A65" s="621" t="s">
        <v>354</v>
      </c>
      <c r="B65" s="557" t="s">
        <v>328</v>
      </c>
      <c r="C65" s="583">
        <v>77.0</v>
      </c>
      <c r="D65" s="554" t="s">
        <v>20</v>
      </c>
      <c r="E65" s="616">
        <v>44999.0</v>
      </c>
      <c r="F65" s="622" t="s">
        <v>2299</v>
      </c>
      <c r="G65" s="461" t="s">
        <v>17</v>
      </c>
      <c r="H65" s="618" t="s">
        <v>2366</v>
      </c>
      <c r="I65" s="574">
        <v>40.0</v>
      </c>
      <c r="J65" s="623" t="s">
        <v>1560</v>
      </c>
      <c r="K65" s="570" t="s">
        <v>1559</v>
      </c>
      <c r="L65" s="570" t="s">
        <v>1415</v>
      </c>
      <c r="M65" s="571" t="s">
        <v>2336</v>
      </c>
      <c r="N65" s="571" t="s">
        <v>2340</v>
      </c>
      <c r="O65" s="592" t="s">
        <v>1418</v>
      </c>
      <c r="P65" s="592" t="s">
        <v>2283</v>
      </c>
      <c r="Q65" s="570" t="s">
        <v>2352</v>
      </c>
      <c r="R65" s="485" t="s">
        <v>2295</v>
      </c>
      <c r="S65" s="477"/>
      <c r="T65" s="477"/>
    </row>
    <row r="66" ht="12.75" customHeight="1">
      <c r="A66" s="579" t="s">
        <v>356</v>
      </c>
      <c r="B66" s="557" t="s">
        <v>328</v>
      </c>
      <c r="C66" s="583">
        <v>79.0</v>
      </c>
      <c r="D66" s="552" t="s">
        <v>20</v>
      </c>
      <c r="E66" s="567">
        <v>45007.0</v>
      </c>
      <c r="F66" s="523">
        <v>45072.0</v>
      </c>
      <c r="G66" s="461" t="s">
        <v>22</v>
      </c>
      <c r="H66" s="568" t="s">
        <v>2366</v>
      </c>
      <c r="I66" s="574">
        <v>41.0</v>
      </c>
      <c r="J66" s="569" t="s">
        <v>1563</v>
      </c>
      <c r="K66" s="592" t="s">
        <v>1562</v>
      </c>
      <c r="L66" s="592" t="s">
        <v>1415</v>
      </c>
      <c r="M66" s="571" t="s">
        <v>2336</v>
      </c>
      <c r="N66" s="571" t="s">
        <v>26</v>
      </c>
      <c r="O66" s="624" t="s">
        <v>1418</v>
      </c>
      <c r="P66" s="624" t="s">
        <v>2283</v>
      </c>
      <c r="Q66" s="592" t="s">
        <v>2368</v>
      </c>
      <c r="R66" s="485" t="s">
        <v>2321</v>
      </c>
      <c r="S66" s="477"/>
      <c r="T66" s="477"/>
    </row>
    <row r="67" ht="12.75" customHeight="1">
      <c r="A67" s="579" t="s">
        <v>362</v>
      </c>
      <c r="B67" s="557" t="s">
        <v>328</v>
      </c>
      <c r="C67" s="583">
        <v>80.0</v>
      </c>
      <c r="D67" s="552" t="s">
        <v>20</v>
      </c>
      <c r="E67" s="470"/>
      <c r="F67" s="470"/>
      <c r="G67" s="470"/>
      <c r="H67" s="470"/>
      <c r="I67" s="470"/>
      <c r="J67" s="470"/>
      <c r="K67" s="470"/>
      <c r="L67" s="470"/>
      <c r="M67" s="470"/>
      <c r="N67" s="470"/>
      <c r="O67" s="470"/>
      <c r="P67" s="470"/>
      <c r="Q67" s="470"/>
      <c r="R67" s="478"/>
      <c r="S67" s="477"/>
      <c r="T67" s="477"/>
    </row>
    <row r="68" ht="12.75" customHeight="1">
      <c r="A68" s="550" t="s">
        <v>367</v>
      </c>
      <c r="B68" s="613" t="s">
        <v>328</v>
      </c>
      <c r="C68" s="443">
        <v>81.0</v>
      </c>
      <c r="D68" s="552" t="s">
        <v>20</v>
      </c>
      <c r="E68" s="445">
        <v>45035.0</v>
      </c>
      <c r="F68" s="546">
        <v>45083.0</v>
      </c>
      <c r="G68" s="447" t="s">
        <v>22</v>
      </c>
      <c r="H68" s="442" t="s">
        <v>2366</v>
      </c>
      <c r="I68" s="443">
        <v>42.0</v>
      </c>
      <c r="J68" s="552" t="s">
        <v>1566</v>
      </c>
      <c r="K68" s="553" t="s">
        <v>1565</v>
      </c>
      <c r="L68" s="553" t="s">
        <v>1415</v>
      </c>
      <c r="M68" s="554" t="s">
        <v>1416</v>
      </c>
      <c r="N68" s="554" t="s">
        <v>26</v>
      </c>
      <c r="O68" s="550" t="s">
        <v>1418</v>
      </c>
      <c r="P68" s="550" t="s">
        <v>2369</v>
      </c>
      <c r="Q68" s="556" t="s">
        <v>2370</v>
      </c>
      <c r="R68" s="485" t="s">
        <v>2295</v>
      </c>
      <c r="S68" s="477"/>
      <c r="T68" s="477"/>
    </row>
    <row r="69" ht="12.75" customHeight="1">
      <c r="A69" s="550" t="s">
        <v>371</v>
      </c>
      <c r="B69" s="613" t="s">
        <v>328</v>
      </c>
      <c r="C69" s="443">
        <v>82.0</v>
      </c>
      <c r="D69" s="552" t="s">
        <v>20</v>
      </c>
      <c r="E69" s="445">
        <v>45035.0</v>
      </c>
      <c r="F69" s="546">
        <v>45083.0</v>
      </c>
      <c r="G69" s="447" t="s">
        <v>22</v>
      </c>
      <c r="H69" s="442" t="s">
        <v>2366</v>
      </c>
      <c r="I69" s="443">
        <v>43.0</v>
      </c>
      <c r="J69" s="552" t="s">
        <v>1570</v>
      </c>
      <c r="K69" s="553" t="s">
        <v>1569</v>
      </c>
      <c r="L69" s="553" t="s">
        <v>1415</v>
      </c>
      <c r="M69" s="554" t="s">
        <v>1416</v>
      </c>
      <c r="N69" s="554" t="s">
        <v>26</v>
      </c>
      <c r="O69" s="550" t="s">
        <v>1418</v>
      </c>
      <c r="P69" s="550" t="s">
        <v>2369</v>
      </c>
      <c r="Q69" s="556" t="s">
        <v>2370</v>
      </c>
      <c r="R69" s="485" t="s">
        <v>2295</v>
      </c>
      <c r="S69" s="477"/>
      <c r="T69" s="477"/>
    </row>
    <row r="70" ht="12.75" customHeight="1">
      <c r="A70" s="579" t="s">
        <v>373</v>
      </c>
      <c r="B70" s="557" t="s">
        <v>328</v>
      </c>
      <c r="C70" s="560">
        <v>83.0</v>
      </c>
      <c r="D70" s="573" t="s">
        <v>20</v>
      </c>
      <c r="E70" s="445">
        <v>45036.0</v>
      </c>
      <c r="F70" s="546">
        <v>45083.0</v>
      </c>
      <c r="G70" s="447" t="s">
        <v>22</v>
      </c>
      <c r="H70" s="442" t="s">
        <v>2366</v>
      </c>
      <c r="I70" s="443">
        <v>44.0</v>
      </c>
      <c r="J70" s="552" t="s">
        <v>1572</v>
      </c>
      <c r="K70" s="553" t="s">
        <v>2371</v>
      </c>
      <c r="L70" s="553" t="s">
        <v>1415</v>
      </c>
      <c r="M70" s="554" t="s">
        <v>1416</v>
      </c>
      <c r="N70" s="554" t="s">
        <v>26</v>
      </c>
      <c r="O70" s="550" t="s">
        <v>1418</v>
      </c>
      <c r="P70" s="550" t="s">
        <v>2369</v>
      </c>
      <c r="Q70" s="556" t="s">
        <v>2370</v>
      </c>
      <c r="R70" s="485" t="s">
        <v>2295</v>
      </c>
      <c r="S70" s="477"/>
      <c r="T70" s="477"/>
    </row>
    <row r="71" ht="12.75" customHeight="1">
      <c r="A71" s="579" t="s">
        <v>375</v>
      </c>
      <c r="B71" s="557" t="s">
        <v>328</v>
      </c>
      <c r="C71" s="560">
        <v>84.0</v>
      </c>
      <c r="D71" s="573" t="s">
        <v>20</v>
      </c>
      <c r="E71" s="445">
        <v>45051.0</v>
      </c>
      <c r="F71" s="546">
        <v>45079.0</v>
      </c>
      <c r="G71" s="447" t="s">
        <v>22</v>
      </c>
      <c r="H71" s="613" t="s">
        <v>2366</v>
      </c>
      <c r="I71" s="443">
        <v>45.0</v>
      </c>
      <c r="J71" s="552" t="s">
        <v>1575</v>
      </c>
      <c r="K71" s="553" t="s">
        <v>1574</v>
      </c>
      <c r="L71" s="553" t="s">
        <v>1415</v>
      </c>
      <c r="M71" s="554" t="s">
        <v>2336</v>
      </c>
      <c r="N71" s="554" t="s">
        <v>26</v>
      </c>
      <c r="O71" s="550" t="s">
        <v>1418</v>
      </c>
      <c r="P71" s="589" t="s">
        <v>2283</v>
      </c>
      <c r="Q71" s="556" t="s">
        <v>2368</v>
      </c>
      <c r="R71" s="485" t="s">
        <v>2321</v>
      </c>
      <c r="S71" s="477"/>
      <c r="T71" s="477"/>
    </row>
    <row r="72" ht="12.75" customHeight="1">
      <c r="A72" s="579" t="s">
        <v>378</v>
      </c>
      <c r="B72" s="557" t="s">
        <v>328</v>
      </c>
      <c r="C72" s="560">
        <v>85.0</v>
      </c>
      <c r="D72" s="573" t="s">
        <v>20</v>
      </c>
      <c r="E72" s="445">
        <v>45051.0</v>
      </c>
      <c r="F72" s="546">
        <v>45079.0</v>
      </c>
      <c r="G72" s="447" t="s">
        <v>22</v>
      </c>
      <c r="H72" s="613" t="s">
        <v>2366</v>
      </c>
      <c r="I72" s="443">
        <v>46.0</v>
      </c>
      <c r="J72" s="552" t="s">
        <v>1579</v>
      </c>
      <c r="K72" s="553" t="s">
        <v>1578</v>
      </c>
      <c r="L72" s="553" t="s">
        <v>1415</v>
      </c>
      <c r="M72" s="554" t="s">
        <v>2336</v>
      </c>
      <c r="N72" s="597"/>
      <c r="O72" s="589" t="s">
        <v>1418</v>
      </c>
      <c r="P72" s="589" t="s">
        <v>2283</v>
      </c>
      <c r="Q72" s="556" t="s">
        <v>2368</v>
      </c>
      <c r="R72" s="485" t="s">
        <v>2321</v>
      </c>
      <c r="S72" s="477"/>
      <c r="T72" s="477"/>
    </row>
    <row r="73" ht="12.75" customHeight="1">
      <c r="A73" s="579" t="s">
        <v>382</v>
      </c>
      <c r="B73" s="557" t="s">
        <v>328</v>
      </c>
      <c r="C73" s="560">
        <v>86.0</v>
      </c>
      <c r="D73" s="573" t="s">
        <v>42</v>
      </c>
      <c r="E73" s="567">
        <v>45062.0</v>
      </c>
      <c r="F73" s="523">
        <v>45107.0</v>
      </c>
      <c r="G73" s="461" t="s">
        <v>22</v>
      </c>
      <c r="H73" s="568" t="s">
        <v>2366</v>
      </c>
      <c r="I73" s="574">
        <v>47.0</v>
      </c>
      <c r="J73" s="569" t="s">
        <v>1582</v>
      </c>
      <c r="K73" s="553" t="s">
        <v>2372</v>
      </c>
      <c r="L73" s="570" t="s">
        <v>1415</v>
      </c>
      <c r="M73" s="554" t="s">
        <v>1416</v>
      </c>
      <c r="N73" s="571" t="s">
        <v>1432</v>
      </c>
      <c r="O73" s="625" t="s">
        <v>1472</v>
      </c>
      <c r="P73" s="589" t="s">
        <v>2320</v>
      </c>
      <c r="Q73" s="601" t="s">
        <v>26</v>
      </c>
      <c r="R73" s="485" t="s">
        <v>2321</v>
      </c>
      <c r="S73" s="477"/>
      <c r="T73" s="477"/>
    </row>
    <row r="74" ht="43.5" customHeight="1">
      <c r="A74" s="581" t="s">
        <v>386</v>
      </c>
      <c r="B74" s="557" t="s">
        <v>328</v>
      </c>
      <c r="C74" s="583">
        <v>87.0</v>
      </c>
      <c r="D74" s="573" t="s">
        <v>20</v>
      </c>
      <c r="E74" s="470"/>
      <c r="F74" s="470"/>
      <c r="G74" s="470"/>
      <c r="H74" s="470"/>
      <c r="I74" s="470"/>
      <c r="J74" s="470"/>
      <c r="K74" s="553" t="s">
        <v>2373</v>
      </c>
      <c r="L74" s="626" t="s">
        <v>1415</v>
      </c>
      <c r="M74" s="554" t="s">
        <v>1416</v>
      </c>
      <c r="N74" s="470"/>
      <c r="O74" s="470"/>
      <c r="P74" s="589" t="s">
        <v>2320</v>
      </c>
      <c r="Q74" s="470"/>
      <c r="R74" s="478"/>
      <c r="S74" s="477"/>
      <c r="T74" s="477"/>
    </row>
    <row r="75" ht="12.75" customHeight="1">
      <c r="A75" s="550" t="s">
        <v>404</v>
      </c>
      <c r="B75" s="576" t="s">
        <v>328</v>
      </c>
      <c r="C75" s="583">
        <v>91.0</v>
      </c>
      <c r="D75" s="552" t="s">
        <v>20</v>
      </c>
      <c r="E75" s="445">
        <v>45082.0</v>
      </c>
      <c r="F75" s="546">
        <v>45229.0</v>
      </c>
      <c r="G75" s="447" t="s">
        <v>22</v>
      </c>
      <c r="H75" s="442" t="s">
        <v>2366</v>
      </c>
      <c r="I75" s="443">
        <v>48.0</v>
      </c>
      <c r="J75" s="552" t="s">
        <v>1586</v>
      </c>
      <c r="K75" s="556" t="s">
        <v>1585</v>
      </c>
      <c r="L75" s="556" t="s">
        <v>2374</v>
      </c>
      <c r="M75" s="554" t="s">
        <v>2336</v>
      </c>
      <c r="N75" s="554" t="s">
        <v>2340</v>
      </c>
      <c r="O75" s="598" t="s">
        <v>1919</v>
      </c>
      <c r="P75" s="598" t="s">
        <v>2375</v>
      </c>
      <c r="Q75" s="479" t="s">
        <v>26</v>
      </c>
      <c r="R75" s="485" t="s">
        <v>2285</v>
      </c>
      <c r="S75" s="477"/>
      <c r="T75" s="477"/>
    </row>
    <row r="76" ht="12.75" customHeight="1">
      <c r="A76" s="579" t="s">
        <v>389</v>
      </c>
      <c r="B76" s="557" t="s">
        <v>328</v>
      </c>
      <c r="C76" s="583">
        <v>88.0</v>
      </c>
      <c r="D76" s="573" t="s">
        <v>20</v>
      </c>
      <c r="E76" s="445">
        <v>45083.0</v>
      </c>
      <c r="F76" s="546">
        <v>45107.0</v>
      </c>
      <c r="G76" s="447" t="s">
        <v>22</v>
      </c>
      <c r="H76" s="442" t="s">
        <v>2366</v>
      </c>
      <c r="I76" s="443">
        <v>49.0</v>
      </c>
      <c r="J76" s="552" t="s">
        <v>1589</v>
      </c>
      <c r="K76" s="553" t="s">
        <v>1588</v>
      </c>
      <c r="L76" s="553" t="s">
        <v>1415</v>
      </c>
      <c r="M76" s="554" t="s">
        <v>1416</v>
      </c>
      <c r="N76" s="554" t="s">
        <v>26</v>
      </c>
      <c r="O76" s="589" t="s">
        <v>1472</v>
      </c>
      <c r="P76" s="589" t="s">
        <v>2320</v>
      </c>
      <c r="Q76" s="556" t="s">
        <v>26</v>
      </c>
      <c r="R76" s="485" t="s">
        <v>2311</v>
      </c>
      <c r="S76" s="477"/>
      <c r="T76" s="477"/>
    </row>
    <row r="77" ht="12.75" customHeight="1">
      <c r="A77" s="579" t="s">
        <v>393</v>
      </c>
      <c r="B77" s="557" t="s">
        <v>328</v>
      </c>
      <c r="C77" s="583">
        <v>89.0</v>
      </c>
      <c r="D77" s="562" t="s">
        <v>20</v>
      </c>
      <c r="E77" s="567">
        <v>45083.0</v>
      </c>
      <c r="F77" s="523">
        <v>45229.0</v>
      </c>
      <c r="G77" s="461" t="s">
        <v>22</v>
      </c>
      <c r="H77" s="568" t="s">
        <v>2366</v>
      </c>
      <c r="I77" s="574">
        <v>50.0</v>
      </c>
      <c r="J77" s="627"/>
      <c r="K77" s="592" t="s">
        <v>1591</v>
      </c>
      <c r="L77" s="592" t="s">
        <v>1415</v>
      </c>
      <c r="M77" s="571" t="s">
        <v>2336</v>
      </c>
      <c r="N77" s="571" t="s">
        <v>2340</v>
      </c>
      <c r="O77" s="628" t="s">
        <v>1919</v>
      </c>
      <c r="P77" s="586" t="s">
        <v>2376</v>
      </c>
      <c r="Q77" s="592" t="s">
        <v>26</v>
      </c>
      <c r="R77" s="485" t="s">
        <v>2321</v>
      </c>
      <c r="S77" s="477"/>
      <c r="T77" s="477"/>
    </row>
    <row r="78" ht="12.75" customHeight="1">
      <c r="A78" s="579" t="s">
        <v>400</v>
      </c>
      <c r="B78" s="557" t="s">
        <v>328</v>
      </c>
      <c r="C78" s="583">
        <v>90.0</v>
      </c>
      <c r="D78" s="562" t="s">
        <v>20</v>
      </c>
      <c r="E78" s="470"/>
      <c r="F78" s="470"/>
      <c r="G78" s="470"/>
      <c r="H78" s="470"/>
      <c r="I78" s="470"/>
      <c r="J78" s="470"/>
      <c r="K78" s="470"/>
      <c r="L78" s="470"/>
      <c r="M78" s="470"/>
      <c r="N78" s="470"/>
      <c r="O78" s="470"/>
      <c r="P78" s="586" t="s">
        <v>2376</v>
      </c>
      <c r="Q78" s="470"/>
      <c r="R78" s="478"/>
      <c r="S78" s="477"/>
      <c r="T78" s="477"/>
    </row>
    <row r="79">
      <c r="A79" s="629" t="s">
        <v>408</v>
      </c>
      <c r="B79" s="630" t="s">
        <v>328</v>
      </c>
      <c r="C79" s="631">
        <v>92.0</v>
      </c>
      <c r="D79" s="577" t="s">
        <v>20</v>
      </c>
      <c r="E79" s="445">
        <v>45091.0</v>
      </c>
      <c r="F79" s="546">
        <v>45199.0</v>
      </c>
      <c r="G79" s="447" t="s">
        <v>22</v>
      </c>
      <c r="H79" s="442" t="s">
        <v>2366</v>
      </c>
      <c r="I79" s="443">
        <v>51.0</v>
      </c>
      <c r="J79" s="552" t="s">
        <v>1596</v>
      </c>
      <c r="K79" s="553" t="s">
        <v>1595</v>
      </c>
      <c r="L79" s="553" t="s">
        <v>1606</v>
      </c>
      <c r="M79" s="527" t="s">
        <v>1416</v>
      </c>
      <c r="N79" s="527" t="s">
        <v>1597</v>
      </c>
      <c r="O79" s="556" t="s">
        <v>1418</v>
      </c>
      <c r="P79" s="556" t="s">
        <v>2283</v>
      </c>
      <c r="Q79" s="556" t="s">
        <v>2377</v>
      </c>
      <c r="R79" s="485" t="s">
        <v>2285</v>
      </c>
      <c r="S79" s="477"/>
      <c r="T79" s="477"/>
      <c r="U79" s="477"/>
      <c r="V79" s="477"/>
      <c r="W79" s="477"/>
      <c r="X79" s="477"/>
      <c r="Y79" s="477"/>
      <c r="Z79" s="477"/>
      <c r="AA79" s="477"/>
      <c r="AB79" s="477"/>
      <c r="AC79" s="477"/>
    </row>
    <row r="80" ht="30.0" customHeight="1">
      <c r="A80" s="632" t="s">
        <v>428</v>
      </c>
      <c r="B80" s="630" t="s">
        <v>328</v>
      </c>
      <c r="C80" s="631">
        <v>96.0</v>
      </c>
      <c r="D80" s="577" t="s">
        <v>42</v>
      </c>
      <c r="E80" s="567">
        <v>45119.0</v>
      </c>
      <c r="F80" s="483" t="s">
        <v>2299</v>
      </c>
      <c r="G80" s="461" t="s">
        <v>17</v>
      </c>
      <c r="H80" s="568" t="s">
        <v>2366</v>
      </c>
      <c r="I80" s="574">
        <v>52.0</v>
      </c>
      <c r="J80" s="571" t="s">
        <v>2378</v>
      </c>
      <c r="K80" s="570" t="s">
        <v>1600</v>
      </c>
      <c r="L80" s="570" t="s">
        <v>1415</v>
      </c>
      <c r="M80" s="571" t="s">
        <v>1416</v>
      </c>
      <c r="N80" s="571" t="s">
        <v>1602</v>
      </c>
      <c r="O80" s="280" t="s">
        <v>1919</v>
      </c>
      <c r="P80" s="280" t="s">
        <v>2379</v>
      </c>
      <c r="Q80" s="592"/>
      <c r="R80" s="485" t="s">
        <v>2295</v>
      </c>
      <c r="S80" s="477"/>
      <c r="T80" s="477"/>
    </row>
    <row r="81" ht="22.5" customHeight="1">
      <c r="A81" s="632" t="s">
        <v>430</v>
      </c>
      <c r="B81" s="630" t="s">
        <v>328</v>
      </c>
      <c r="C81" s="631">
        <v>97.0</v>
      </c>
      <c r="D81" s="577" t="s">
        <v>42</v>
      </c>
      <c r="E81" s="470"/>
      <c r="F81" s="478"/>
      <c r="G81" s="478"/>
      <c r="H81" s="478"/>
      <c r="I81" s="478"/>
      <c r="J81" s="478"/>
      <c r="K81" s="478"/>
      <c r="L81" s="478"/>
      <c r="M81" s="478"/>
      <c r="N81" s="478"/>
      <c r="Q81" s="470"/>
      <c r="R81" s="478"/>
      <c r="S81" s="477"/>
      <c r="T81" s="477"/>
    </row>
    <row r="82" ht="12.75" customHeight="1">
      <c r="A82" s="86" t="s">
        <v>494</v>
      </c>
      <c r="B82" s="630" t="s">
        <v>328</v>
      </c>
      <c r="C82" s="633">
        <v>115.0</v>
      </c>
      <c r="D82" s="634" t="s">
        <v>20</v>
      </c>
      <c r="E82" s="445">
        <v>45209.0</v>
      </c>
      <c r="F82" s="470"/>
      <c r="G82" s="470"/>
      <c r="H82" s="470"/>
      <c r="I82" s="470"/>
      <c r="J82" s="470"/>
      <c r="K82" s="470"/>
      <c r="L82" s="470"/>
      <c r="M82" s="470"/>
      <c r="N82" s="470"/>
      <c r="Q82" s="556"/>
      <c r="R82" s="478"/>
      <c r="S82" s="477"/>
      <c r="T82" s="477"/>
    </row>
    <row r="83" ht="12.75" customHeight="1">
      <c r="A83" s="632" t="s">
        <v>432</v>
      </c>
      <c r="B83" s="630" t="s">
        <v>328</v>
      </c>
      <c r="C83" s="631">
        <v>98.0</v>
      </c>
      <c r="D83" s="577" t="s">
        <v>20</v>
      </c>
      <c r="E83" s="445">
        <v>45125.0</v>
      </c>
      <c r="F83" s="546">
        <v>45229.0</v>
      </c>
      <c r="G83" s="447" t="s">
        <v>22</v>
      </c>
      <c r="H83" s="442" t="s">
        <v>2366</v>
      </c>
      <c r="I83" s="443">
        <v>53.0</v>
      </c>
      <c r="J83" s="552" t="s">
        <v>1605</v>
      </c>
      <c r="K83" s="553" t="s">
        <v>1604</v>
      </c>
      <c r="L83" s="553" t="s">
        <v>1593</v>
      </c>
      <c r="M83" s="554" t="s">
        <v>2336</v>
      </c>
      <c r="N83" s="554" t="s">
        <v>2340</v>
      </c>
      <c r="O83" s="586" t="s">
        <v>1919</v>
      </c>
      <c r="P83" s="586" t="s">
        <v>2376</v>
      </c>
      <c r="Q83" s="556" t="s">
        <v>26</v>
      </c>
      <c r="R83" s="485" t="s">
        <v>2321</v>
      </c>
      <c r="S83" s="477"/>
      <c r="T83" s="477"/>
    </row>
    <row r="84" ht="12.75" customHeight="1">
      <c r="A84" s="629" t="s">
        <v>438</v>
      </c>
      <c r="B84" s="630" t="s">
        <v>328</v>
      </c>
      <c r="C84" s="631">
        <v>100.0</v>
      </c>
      <c r="D84" s="635" t="s">
        <v>20</v>
      </c>
      <c r="E84" s="445">
        <v>45140.0</v>
      </c>
      <c r="F84" s="546">
        <v>45149.0</v>
      </c>
      <c r="G84" s="447" t="s">
        <v>22</v>
      </c>
      <c r="H84" s="442" t="s">
        <v>2366</v>
      </c>
      <c r="I84" s="443">
        <v>54.0</v>
      </c>
      <c r="J84" s="636" t="s">
        <v>1609</v>
      </c>
      <c r="K84" s="553" t="s">
        <v>1608</v>
      </c>
      <c r="L84" s="553" t="s">
        <v>1455</v>
      </c>
      <c r="M84" s="554" t="s">
        <v>1416</v>
      </c>
      <c r="N84" s="554" t="s">
        <v>26</v>
      </c>
      <c r="O84" s="637" t="s">
        <v>1472</v>
      </c>
      <c r="P84" s="637" t="s">
        <v>2320</v>
      </c>
      <c r="Q84" s="556" t="s">
        <v>26</v>
      </c>
      <c r="R84" s="485" t="s">
        <v>2311</v>
      </c>
      <c r="S84" s="477"/>
      <c r="T84" s="477"/>
    </row>
    <row r="85" ht="12.75" customHeight="1">
      <c r="A85" s="629" t="s">
        <v>1611</v>
      </c>
      <c r="B85" s="630" t="s">
        <v>328</v>
      </c>
      <c r="C85" s="631">
        <v>101.0</v>
      </c>
      <c r="D85" s="635" t="s">
        <v>42</v>
      </c>
      <c r="E85" s="638">
        <v>45154.0</v>
      </c>
      <c r="F85" s="523">
        <v>45301.0</v>
      </c>
      <c r="G85" s="461" t="s">
        <v>22</v>
      </c>
      <c r="H85" s="568" t="s">
        <v>2366</v>
      </c>
      <c r="I85" s="574">
        <v>55.0</v>
      </c>
      <c r="J85" s="569" t="s">
        <v>1614</v>
      </c>
      <c r="K85" s="570" t="s">
        <v>2380</v>
      </c>
      <c r="L85" s="570" t="s">
        <v>1455</v>
      </c>
      <c r="M85" s="571" t="s">
        <v>1416</v>
      </c>
      <c r="N85" s="571" t="s">
        <v>26</v>
      </c>
      <c r="O85" s="624" t="s">
        <v>1919</v>
      </c>
      <c r="P85" s="624" t="s">
        <v>2381</v>
      </c>
      <c r="Q85" s="592" t="s">
        <v>26</v>
      </c>
      <c r="R85" s="485" t="s">
        <v>2295</v>
      </c>
      <c r="S85" s="477"/>
      <c r="T85" s="477"/>
    </row>
    <row r="86" ht="12.75" customHeight="1">
      <c r="A86" s="629" t="s">
        <v>448</v>
      </c>
      <c r="B86" s="630" t="s">
        <v>328</v>
      </c>
      <c r="C86" s="631">
        <v>102.0</v>
      </c>
      <c r="D86" s="635" t="s">
        <v>20</v>
      </c>
      <c r="E86" s="478"/>
      <c r="F86" s="478"/>
      <c r="G86" s="478"/>
      <c r="H86" s="478"/>
      <c r="I86" s="478"/>
      <c r="J86" s="478"/>
      <c r="K86" s="478"/>
      <c r="L86" s="478"/>
      <c r="M86" s="478"/>
      <c r="N86" s="478"/>
      <c r="O86" s="478"/>
      <c r="P86" s="478"/>
      <c r="Q86" s="478"/>
      <c r="R86" s="478"/>
      <c r="S86" s="477"/>
      <c r="T86" s="477"/>
    </row>
    <row r="87" ht="12.75" customHeight="1">
      <c r="A87" s="629" t="s">
        <v>451</v>
      </c>
      <c r="B87" s="630" t="s">
        <v>328</v>
      </c>
      <c r="C87" s="631">
        <v>103.0</v>
      </c>
      <c r="D87" s="635" t="s">
        <v>20</v>
      </c>
      <c r="E87" s="478"/>
      <c r="F87" s="478"/>
      <c r="G87" s="478"/>
      <c r="H87" s="478"/>
      <c r="I87" s="478"/>
      <c r="J87" s="478"/>
      <c r="K87" s="478"/>
      <c r="L87" s="478"/>
      <c r="M87" s="478"/>
      <c r="N87" s="478"/>
      <c r="O87" s="478"/>
      <c r="P87" s="478"/>
      <c r="Q87" s="478"/>
      <c r="R87" s="478"/>
      <c r="S87" s="477"/>
      <c r="T87" s="477"/>
    </row>
    <row r="88" ht="12.75" customHeight="1">
      <c r="A88" s="629" t="s">
        <v>454</v>
      </c>
      <c r="B88" s="630" t="s">
        <v>328</v>
      </c>
      <c r="C88" s="631">
        <v>104.0</v>
      </c>
      <c r="D88" s="635" t="s">
        <v>42</v>
      </c>
      <c r="E88" s="478"/>
      <c r="F88" s="478"/>
      <c r="G88" s="478"/>
      <c r="H88" s="478"/>
      <c r="I88" s="478"/>
      <c r="J88" s="478"/>
      <c r="K88" s="478"/>
      <c r="L88" s="478"/>
      <c r="M88" s="478"/>
      <c r="N88" s="478"/>
      <c r="O88" s="478"/>
      <c r="P88" s="478"/>
      <c r="Q88" s="478"/>
      <c r="R88" s="478"/>
      <c r="S88" s="477"/>
      <c r="T88" s="477"/>
    </row>
    <row r="89" ht="12.75" customHeight="1">
      <c r="A89" s="629" t="s">
        <v>457</v>
      </c>
      <c r="B89" s="630" t="s">
        <v>328</v>
      </c>
      <c r="C89" s="631">
        <v>105.0</v>
      </c>
      <c r="D89" s="635" t="s">
        <v>42</v>
      </c>
      <c r="E89" s="478"/>
      <c r="F89" s="478"/>
      <c r="G89" s="478"/>
      <c r="H89" s="478"/>
      <c r="I89" s="478"/>
      <c r="J89" s="478"/>
      <c r="K89" s="478"/>
      <c r="L89" s="478"/>
      <c r="M89" s="478"/>
      <c r="N89" s="478"/>
      <c r="O89" s="478"/>
      <c r="P89" s="478"/>
      <c r="Q89" s="478"/>
      <c r="R89" s="478"/>
      <c r="S89" s="477"/>
      <c r="T89" s="477"/>
    </row>
    <row r="90" ht="12.75" customHeight="1">
      <c r="A90" s="629" t="s">
        <v>460</v>
      </c>
      <c r="B90" s="630" t="s">
        <v>328</v>
      </c>
      <c r="C90" s="631">
        <v>106.0</v>
      </c>
      <c r="D90" s="635" t="s">
        <v>20</v>
      </c>
      <c r="E90" s="478"/>
      <c r="F90" s="478"/>
      <c r="G90" s="478"/>
      <c r="H90" s="478"/>
      <c r="I90" s="478"/>
      <c r="J90" s="478"/>
      <c r="K90" s="478"/>
      <c r="L90" s="478"/>
      <c r="M90" s="478"/>
      <c r="N90" s="478"/>
      <c r="O90" s="478"/>
      <c r="P90" s="478"/>
      <c r="Q90" s="478"/>
      <c r="R90" s="478"/>
      <c r="S90" s="477"/>
      <c r="T90" s="477"/>
    </row>
    <row r="91" ht="12.75" customHeight="1">
      <c r="A91" s="629" t="s">
        <v>463</v>
      </c>
      <c r="B91" s="630" t="s">
        <v>328</v>
      </c>
      <c r="C91" s="631">
        <v>107.0</v>
      </c>
      <c r="D91" s="635" t="s">
        <v>42</v>
      </c>
      <c r="E91" s="478"/>
      <c r="F91" s="478"/>
      <c r="G91" s="478"/>
      <c r="H91" s="478"/>
      <c r="I91" s="478"/>
      <c r="J91" s="478"/>
      <c r="K91" s="478"/>
      <c r="L91" s="478"/>
      <c r="M91" s="478"/>
      <c r="N91" s="478"/>
      <c r="O91" s="478"/>
      <c r="P91" s="478"/>
      <c r="Q91" s="478"/>
      <c r="R91" s="478"/>
      <c r="S91" s="477"/>
      <c r="T91" s="477"/>
    </row>
    <row r="92" ht="12.75" customHeight="1">
      <c r="A92" s="629" t="s">
        <v>466</v>
      </c>
      <c r="B92" s="630" t="s">
        <v>328</v>
      </c>
      <c r="C92" s="631">
        <v>108.0</v>
      </c>
      <c r="D92" s="635" t="s">
        <v>20</v>
      </c>
      <c r="E92" s="478"/>
      <c r="F92" s="478"/>
      <c r="G92" s="478"/>
      <c r="H92" s="478"/>
      <c r="I92" s="478"/>
      <c r="J92" s="478"/>
      <c r="K92" s="478"/>
      <c r="L92" s="478"/>
      <c r="M92" s="478"/>
      <c r="N92" s="478"/>
      <c r="O92" s="478"/>
      <c r="P92" s="478"/>
      <c r="Q92" s="478"/>
      <c r="R92" s="478"/>
      <c r="S92" s="477"/>
      <c r="T92" s="477"/>
    </row>
    <row r="93" ht="12.75" customHeight="1">
      <c r="A93" s="629" t="s">
        <v>469</v>
      </c>
      <c r="B93" s="630" t="s">
        <v>328</v>
      </c>
      <c r="C93" s="631">
        <v>109.0</v>
      </c>
      <c r="D93" s="635" t="s">
        <v>20</v>
      </c>
      <c r="E93" s="478"/>
      <c r="F93" s="478"/>
      <c r="G93" s="478"/>
      <c r="H93" s="478"/>
      <c r="I93" s="478"/>
      <c r="J93" s="478"/>
      <c r="K93" s="478"/>
      <c r="L93" s="478"/>
      <c r="M93" s="478"/>
      <c r="N93" s="478"/>
      <c r="O93" s="478"/>
      <c r="P93" s="478"/>
      <c r="Q93" s="478"/>
      <c r="R93" s="478"/>
      <c r="S93" s="477"/>
      <c r="T93" s="477"/>
    </row>
    <row r="94" ht="12.75" customHeight="1">
      <c r="A94" s="629" t="s">
        <v>471</v>
      </c>
      <c r="B94" s="630" t="s">
        <v>328</v>
      </c>
      <c r="C94" s="631">
        <v>110.0</v>
      </c>
      <c r="D94" s="635" t="s">
        <v>20</v>
      </c>
      <c r="E94" s="478"/>
      <c r="F94" s="478"/>
      <c r="G94" s="478"/>
      <c r="H94" s="478"/>
      <c r="I94" s="478"/>
      <c r="J94" s="478"/>
      <c r="K94" s="478"/>
      <c r="L94" s="478"/>
      <c r="M94" s="478"/>
      <c r="N94" s="478"/>
      <c r="O94" s="478"/>
      <c r="P94" s="478"/>
      <c r="Q94" s="478"/>
      <c r="R94" s="478"/>
      <c r="S94" s="477"/>
      <c r="T94" s="477"/>
    </row>
    <row r="95" ht="12.75" customHeight="1">
      <c r="A95" s="639" t="s">
        <v>474</v>
      </c>
      <c r="B95" s="630" t="s">
        <v>328</v>
      </c>
      <c r="C95" s="631">
        <v>111.0</v>
      </c>
      <c r="D95" s="635" t="s">
        <v>20</v>
      </c>
      <c r="E95" s="478"/>
      <c r="F95" s="478"/>
      <c r="G95" s="478"/>
      <c r="H95" s="478"/>
      <c r="I95" s="478"/>
      <c r="J95" s="478"/>
      <c r="K95" s="478"/>
      <c r="L95" s="478"/>
      <c r="M95" s="478"/>
      <c r="N95" s="478"/>
      <c r="O95" s="478"/>
      <c r="P95" s="478"/>
      <c r="Q95" s="478"/>
      <c r="R95" s="478"/>
      <c r="S95" s="477"/>
      <c r="T95" s="477"/>
    </row>
    <row r="96" ht="12.75" customHeight="1">
      <c r="A96" s="629" t="s">
        <v>234</v>
      </c>
      <c r="B96" s="630" t="s">
        <v>193</v>
      </c>
      <c r="C96" s="631">
        <v>46.0</v>
      </c>
      <c r="D96" s="552" t="s">
        <v>42</v>
      </c>
      <c r="E96" s="470"/>
      <c r="F96" s="470"/>
      <c r="G96" s="470"/>
      <c r="H96" s="470"/>
      <c r="I96" s="470"/>
      <c r="J96" s="470"/>
      <c r="K96" s="470"/>
      <c r="L96" s="478"/>
      <c r="M96" s="478"/>
      <c r="N96" s="478"/>
      <c r="O96" s="470"/>
      <c r="P96" s="470"/>
      <c r="Q96" s="470"/>
      <c r="R96" s="470"/>
      <c r="S96" s="477"/>
      <c r="T96" s="477"/>
    </row>
    <row r="97" ht="12.75" customHeight="1">
      <c r="A97" s="550" t="s">
        <v>2382</v>
      </c>
      <c r="B97" s="613" t="s">
        <v>328</v>
      </c>
      <c r="C97" s="443">
        <v>112.0</v>
      </c>
      <c r="D97" s="552" t="s">
        <v>42</v>
      </c>
      <c r="E97" s="445">
        <v>45167.0</v>
      </c>
      <c r="F97" s="640">
        <v>45189.0</v>
      </c>
      <c r="G97" s="447" t="s">
        <v>22</v>
      </c>
      <c r="H97" s="442" t="s">
        <v>2366</v>
      </c>
      <c r="I97" s="443">
        <v>56.0</v>
      </c>
      <c r="J97" s="552" t="s">
        <v>1617</v>
      </c>
      <c r="K97" s="556" t="s">
        <v>1616</v>
      </c>
      <c r="L97" s="607" t="s">
        <v>1606</v>
      </c>
      <c r="M97" s="610" t="s">
        <v>1416</v>
      </c>
      <c r="N97" s="610" t="s">
        <v>26</v>
      </c>
      <c r="O97" s="550" t="s">
        <v>1919</v>
      </c>
      <c r="P97" s="550" t="s">
        <v>2383</v>
      </c>
      <c r="Q97" s="556" t="s">
        <v>26</v>
      </c>
      <c r="R97" s="485" t="s">
        <v>2285</v>
      </c>
      <c r="S97" s="477"/>
      <c r="T97" s="477"/>
    </row>
    <row r="98" ht="12.75" customHeight="1">
      <c r="A98" s="556" t="s">
        <v>485</v>
      </c>
      <c r="B98" s="613" t="s">
        <v>328</v>
      </c>
      <c r="C98" s="443">
        <v>113.0</v>
      </c>
      <c r="D98" s="554" t="s">
        <v>20</v>
      </c>
      <c r="E98" s="445">
        <v>45180.0</v>
      </c>
      <c r="F98" s="468" t="s">
        <v>2299</v>
      </c>
      <c r="G98" s="447" t="s">
        <v>22</v>
      </c>
      <c r="H98" s="442" t="s">
        <v>2366</v>
      </c>
      <c r="I98" s="443">
        <v>57.0</v>
      </c>
      <c r="J98" s="554" t="s">
        <v>1620</v>
      </c>
      <c r="K98" s="85" t="s">
        <v>2384</v>
      </c>
      <c r="L98" s="85" t="s">
        <v>1415</v>
      </c>
      <c r="M98" s="641" t="s">
        <v>2336</v>
      </c>
      <c r="N98" s="610" t="s">
        <v>26</v>
      </c>
      <c r="O98" s="556" t="s">
        <v>1418</v>
      </c>
      <c r="P98" s="556" t="s">
        <v>1418</v>
      </c>
      <c r="Q98" s="556" t="s">
        <v>26</v>
      </c>
      <c r="R98" s="485" t="s">
        <v>2311</v>
      </c>
      <c r="S98" s="477"/>
      <c r="T98" s="477"/>
    </row>
    <row r="99" ht="32.25" customHeight="1">
      <c r="A99" s="556" t="s">
        <v>490</v>
      </c>
      <c r="B99" s="630" t="s">
        <v>328</v>
      </c>
      <c r="C99" s="631">
        <v>114.0</v>
      </c>
      <c r="D99" s="554" t="s">
        <v>20</v>
      </c>
      <c r="E99" s="567">
        <v>45190.0</v>
      </c>
      <c r="F99" s="483" t="s">
        <v>2299</v>
      </c>
      <c r="G99" s="461" t="s">
        <v>17</v>
      </c>
      <c r="H99" s="568" t="s">
        <v>2366</v>
      </c>
      <c r="I99" s="574">
        <v>58.0</v>
      </c>
      <c r="J99" s="571" t="s">
        <v>2385</v>
      </c>
      <c r="K99" s="570" t="s">
        <v>1622</v>
      </c>
      <c r="L99" s="570" t="s">
        <v>1415</v>
      </c>
      <c r="M99" s="571" t="s">
        <v>1416</v>
      </c>
      <c r="N99" s="571" t="s">
        <v>1624</v>
      </c>
      <c r="O99" s="592" t="s">
        <v>1418</v>
      </c>
      <c r="P99" s="592" t="s">
        <v>2386</v>
      </c>
      <c r="Q99" s="86" t="s">
        <v>26</v>
      </c>
      <c r="R99" s="485" t="s">
        <v>2285</v>
      </c>
      <c r="S99" s="477"/>
      <c r="T99" s="477"/>
    </row>
    <row r="100" ht="21.75" customHeight="1">
      <c r="A100" s="544" t="s">
        <v>197</v>
      </c>
      <c r="B100" s="453" t="s">
        <v>193</v>
      </c>
      <c r="C100" s="525">
        <v>38.0</v>
      </c>
      <c r="D100" s="482" t="s">
        <v>42</v>
      </c>
      <c r="E100" s="470"/>
      <c r="F100" s="470"/>
      <c r="G100" s="470"/>
      <c r="H100" s="470"/>
      <c r="I100" s="470"/>
      <c r="J100" s="470"/>
      <c r="K100" s="470"/>
      <c r="L100" s="470"/>
      <c r="M100" s="470"/>
      <c r="N100" s="470"/>
      <c r="O100" s="470"/>
      <c r="P100" s="470"/>
      <c r="R100" s="478"/>
      <c r="S100" s="477"/>
      <c r="T100" s="477"/>
    </row>
    <row r="101" ht="12.75" customHeight="1">
      <c r="A101" s="556" t="s">
        <v>1181</v>
      </c>
      <c r="B101" s="613" t="s">
        <v>15</v>
      </c>
      <c r="C101" s="614" t="s">
        <v>16</v>
      </c>
      <c r="D101" s="554"/>
      <c r="E101" s="445">
        <v>45222.0</v>
      </c>
      <c r="F101" s="546">
        <v>45308.0</v>
      </c>
      <c r="G101" s="447" t="s">
        <v>22</v>
      </c>
      <c r="H101" s="442" t="s">
        <v>2366</v>
      </c>
      <c r="I101" s="443">
        <v>59.0</v>
      </c>
      <c r="J101" s="552" t="s">
        <v>1627</v>
      </c>
      <c r="K101" s="553" t="s">
        <v>1626</v>
      </c>
      <c r="L101" s="553" t="s">
        <v>1415</v>
      </c>
      <c r="M101" s="554" t="s">
        <v>2336</v>
      </c>
      <c r="N101" s="554" t="s">
        <v>2340</v>
      </c>
      <c r="O101" s="556" t="s">
        <v>1919</v>
      </c>
      <c r="P101" s="556"/>
      <c r="Q101" s="544"/>
      <c r="R101" s="485" t="s">
        <v>2285</v>
      </c>
      <c r="S101" s="477"/>
      <c r="T101" s="477"/>
    </row>
    <row r="102" ht="12.75" customHeight="1">
      <c r="A102" s="544"/>
      <c r="B102" s="544"/>
      <c r="C102" s="454"/>
      <c r="D102" s="597"/>
      <c r="E102" s="445">
        <v>45239.0</v>
      </c>
      <c r="F102" s="491" t="s">
        <v>26</v>
      </c>
      <c r="G102" s="447" t="s">
        <v>101</v>
      </c>
      <c r="H102" s="442" t="s">
        <v>2366</v>
      </c>
      <c r="I102" s="443">
        <v>60.0</v>
      </c>
      <c r="J102" s="642" t="s">
        <v>1628</v>
      </c>
      <c r="K102" s="556" t="s">
        <v>1630</v>
      </c>
      <c r="L102" s="556"/>
      <c r="M102" s="597"/>
      <c r="N102" s="597"/>
      <c r="O102" s="544"/>
      <c r="P102" s="544"/>
      <c r="Q102" s="544"/>
      <c r="R102" s="485" t="s">
        <v>2351</v>
      </c>
      <c r="S102" s="477"/>
      <c r="T102" s="477"/>
    </row>
    <row r="103" ht="12.75" customHeight="1">
      <c r="A103" s="629" t="s">
        <v>507</v>
      </c>
      <c r="B103" s="643" t="s">
        <v>328</v>
      </c>
      <c r="C103" s="631">
        <v>119.0</v>
      </c>
      <c r="D103" s="577" t="s">
        <v>42</v>
      </c>
      <c r="E103" s="567">
        <v>45240.0</v>
      </c>
      <c r="F103" s="523">
        <v>45272.0</v>
      </c>
      <c r="G103" s="461" t="s">
        <v>22</v>
      </c>
      <c r="H103" s="568" t="s">
        <v>2366</v>
      </c>
      <c r="I103" s="574">
        <v>61.0</v>
      </c>
      <c r="J103" s="569" t="s">
        <v>1633</v>
      </c>
      <c r="K103" s="570" t="s">
        <v>1632</v>
      </c>
      <c r="L103" s="570" t="s">
        <v>1415</v>
      </c>
      <c r="M103" s="571" t="s">
        <v>1416</v>
      </c>
      <c r="N103" s="571" t="s">
        <v>1634</v>
      </c>
      <c r="O103" s="592" t="s">
        <v>1418</v>
      </c>
      <c r="P103" s="592" t="s">
        <v>1418</v>
      </c>
      <c r="Q103" s="592" t="s">
        <v>2387</v>
      </c>
      <c r="R103" s="485" t="s">
        <v>2321</v>
      </c>
      <c r="S103" s="477"/>
      <c r="T103" s="477"/>
    </row>
    <row r="104" ht="12.75" customHeight="1">
      <c r="A104" s="629" t="s">
        <v>510</v>
      </c>
      <c r="B104" s="630" t="s">
        <v>328</v>
      </c>
      <c r="C104" s="631">
        <v>120.0</v>
      </c>
      <c r="D104" s="577" t="s">
        <v>20</v>
      </c>
      <c r="E104" s="470"/>
      <c r="F104" s="470"/>
      <c r="G104" s="470"/>
      <c r="H104" s="470"/>
      <c r="I104" s="470"/>
      <c r="J104" s="470"/>
      <c r="K104" s="470"/>
      <c r="L104" s="470"/>
      <c r="M104" s="470"/>
      <c r="N104" s="470"/>
      <c r="O104" s="470"/>
      <c r="P104" s="470"/>
      <c r="Q104" s="470"/>
      <c r="R104" s="478"/>
      <c r="S104" s="477"/>
      <c r="T104" s="477"/>
    </row>
    <row r="105" ht="12.75" customHeight="1">
      <c r="A105" s="632" t="s">
        <v>521</v>
      </c>
      <c r="B105" s="630" t="s">
        <v>328</v>
      </c>
      <c r="C105" s="644">
        <v>126.0</v>
      </c>
      <c r="D105" s="641" t="s">
        <v>20</v>
      </c>
      <c r="E105" s="445">
        <v>45247.0</v>
      </c>
      <c r="F105" s="468" t="s">
        <v>2299</v>
      </c>
      <c r="G105" s="447" t="s">
        <v>17</v>
      </c>
      <c r="H105" s="442" t="s">
        <v>2366</v>
      </c>
      <c r="I105" s="443">
        <v>62.0</v>
      </c>
      <c r="J105" s="554" t="s">
        <v>1637</v>
      </c>
      <c r="K105" s="85" t="s">
        <v>2388</v>
      </c>
      <c r="L105" s="85" t="s">
        <v>1415</v>
      </c>
      <c r="M105" s="641" t="s">
        <v>1416</v>
      </c>
      <c r="N105" s="610" t="s">
        <v>1427</v>
      </c>
      <c r="O105" s="86" t="s">
        <v>1919</v>
      </c>
      <c r="P105" s="86" t="s">
        <v>1456</v>
      </c>
      <c r="Q105" s="477"/>
      <c r="R105" s="485" t="s">
        <v>2311</v>
      </c>
      <c r="S105" s="477"/>
      <c r="T105" s="477"/>
    </row>
    <row r="106" ht="12.75" customHeight="1">
      <c r="A106" s="645" t="s">
        <v>400</v>
      </c>
      <c r="B106" s="564" t="s">
        <v>328</v>
      </c>
      <c r="C106" s="646">
        <v>90.0</v>
      </c>
      <c r="D106" s="647" t="s">
        <v>20</v>
      </c>
      <c r="E106" s="567">
        <v>45272.0</v>
      </c>
      <c r="F106" s="523">
        <v>45316.0</v>
      </c>
      <c r="G106" s="461" t="s">
        <v>22</v>
      </c>
      <c r="H106" s="568" t="s">
        <v>2366</v>
      </c>
      <c r="I106" s="574">
        <v>63.0</v>
      </c>
      <c r="J106" s="569" t="s">
        <v>1640</v>
      </c>
      <c r="K106" s="86" t="s">
        <v>1639</v>
      </c>
      <c r="L106" s="86" t="s">
        <v>1593</v>
      </c>
      <c r="M106" s="641" t="s">
        <v>2336</v>
      </c>
      <c r="N106" s="648" t="s">
        <v>26</v>
      </c>
      <c r="O106" s="625" t="s">
        <v>1919</v>
      </c>
      <c r="P106" s="625" t="s">
        <v>2376</v>
      </c>
      <c r="Q106" s="592" t="s">
        <v>26</v>
      </c>
      <c r="R106" s="485" t="s">
        <v>2321</v>
      </c>
      <c r="S106" s="477"/>
      <c r="T106" s="477"/>
    </row>
    <row r="107" ht="12.75" customHeight="1">
      <c r="A107" s="649" t="s">
        <v>531</v>
      </c>
      <c r="B107" s="650" t="s">
        <v>532</v>
      </c>
      <c r="C107" s="651">
        <v>128.0</v>
      </c>
      <c r="D107" s="652" t="s">
        <v>42</v>
      </c>
      <c r="E107" s="653">
        <v>45316.0</v>
      </c>
      <c r="F107" s="654" t="s">
        <v>2299</v>
      </c>
      <c r="G107" s="655" t="s">
        <v>17</v>
      </c>
      <c r="H107" s="656" t="s">
        <v>2389</v>
      </c>
      <c r="I107" s="657">
        <v>64.0</v>
      </c>
      <c r="J107" s="658" t="s">
        <v>1643</v>
      </c>
      <c r="K107" s="659" t="s">
        <v>1642</v>
      </c>
      <c r="L107" s="659" t="s">
        <v>1455</v>
      </c>
      <c r="M107" s="652" t="s">
        <v>1416</v>
      </c>
      <c r="N107" s="660" t="s">
        <v>1644</v>
      </c>
      <c r="O107" s="649" t="s">
        <v>1919</v>
      </c>
      <c r="P107" s="649" t="s">
        <v>2367</v>
      </c>
      <c r="Q107" s="649" t="s">
        <v>26</v>
      </c>
      <c r="R107" s="661" t="s">
        <v>2321</v>
      </c>
      <c r="S107" s="477"/>
      <c r="T107" s="477"/>
    </row>
    <row r="108" ht="12.75" customHeight="1">
      <c r="A108" s="556" t="s">
        <v>1181</v>
      </c>
      <c r="B108" s="613" t="s">
        <v>15</v>
      </c>
      <c r="C108" s="614" t="s">
        <v>16</v>
      </c>
      <c r="D108" s="662" t="s">
        <v>1163</v>
      </c>
      <c r="E108" s="445">
        <v>45321.0</v>
      </c>
      <c r="F108" s="483" t="s">
        <v>2299</v>
      </c>
      <c r="G108" s="447" t="s">
        <v>22</v>
      </c>
      <c r="H108" s="442" t="s">
        <v>2389</v>
      </c>
      <c r="I108" s="443">
        <v>65.0</v>
      </c>
      <c r="J108" s="662" t="s">
        <v>1647</v>
      </c>
      <c r="K108" s="85" t="s">
        <v>1646</v>
      </c>
      <c r="L108" s="85" t="s">
        <v>1415</v>
      </c>
      <c r="M108" s="641" t="s">
        <v>2336</v>
      </c>
      <c r="N108" s="554" t="s">
        <v>2340</v>
      </c>
      <c r="O108" s="85" t="s">
        <v>1919</v>
      </c>
      <c r="P108" s="85" t="s">
        <v>1163</v>
      </c>
      <c r="Q108" s="85" t="s">
        <v>1163</v>
      </c>
      <c r="R108" s="663" t="s">
        <v>2285</v>
      </c>
      <c r="S108" s="477"/>
      <c r="T108" s="664"/>
      <c r="U108" s="37"/>
      <c r="V108" s="37"/>
      <c r="W108" s="37"/>
      <c r="X108" s="37"/>
      <c r="Y108" s="37"/>
      <c r="Z108" s="37"/>
      <c r="AA108" s="37"/>
      <c r="AB108" s="37"/>
      <c r="AC108" s="37"/>
    </row>
    <row r="109" ht="12.75" customHeight="1">
      <c r="A109" s="556" t="s">
        <v>1181</v>
      </c>
      <c r="B109" s="613" t="s">
        <v>15</v>
      </c>
      <c r="C109" s="614" t="s">
        <v>16</v>
      </c>
      <c r="D109" s="662" t="s">
        <v>1163</v>
      </c>
      <c r="E109" s="665">
        <v>45321.0</v>
      </c>
      <c r="F109" s="666" t="s">
        <v>2299</v>
      </c>
      <c r="G109" s="667" t="s">
        <v>17</v>
      </c>
      <c r="H109" s="668" t="s">
        <v>2389</v>
      </c>
      <c r="I109" s="669">
        <v>66.0</v>
      </c>
      <c r="J109" s="662" t="s">
        <v>1650</v>
      </c>
      <c r="K109" s="85" t="s">
        <v>1649</v>
      </c>
      <c r="L109" s="85" t="s">
        <v>1415</v>
      </c>
      <c r="M109" s="662" t="s">
        <v>2336</v>
      </c>
      <c r="N109" s="662" t="s">
        <v>2340</v>
      </c>
      <c r="O109" s="85" t="s">
        <v>1919</v>
      </c>
      <c r="P109" s="85" t="s">
        <v>2390</v>
      </c>
      <c r="Q109" s="664"/>
      <c r="R109" s="663" t="s">
        <v>2295</v>
      </c>
      <c r="S109" s="477"/>
      <c r="T109" s="664"/>
      <c r="U109" s="37"/>
      <c r="V109" s="37"/>
      <c r="W109" s="37"/>
      <c r="X109" s="37"/>
      <c r="Y109" s="37"/>
      <c r="Z109" s="37"/>
      <c r="AA109" s="37"/>
      <c r="AB109" s="37"/>
      <c r="AC109" s="37"/>
    </row>
    <row r="110">
      <c r="A110" s="629" t="s">
        <v>558</v>
      </c>
      <c r="B110" s="630" t="s">
        <v>532</v>
      </c>
      <c r="C110" s="670">
        <v>135.0</v>
      </c>
      <c r="D110" s="641" t="s">
        <v>20</v>
      </c>
      <c r="E110" s="611">
        <v>45329.0</v>
      </c>
      <c r="F110" s="671">
        <v>45329.0</v>
      </c>
      <c r="G110" s="447" t="s">
        <v>22</v>
      </c>
      <c r="H110" s="668" t="s">
        <v>2389</v>
      </c>
      <c r="I110" s="669">
        <v>67.0</v>
      </c>
      <c r="J110" s="636" t="s">
        <v>1653</v>
      </c>
      <c r="K110" s="85" t="s">
        <v>1652</v>
      </c>
      <c r="L110" s="85" t="s">
        <v>1415</v>
      </c>
      <c r="M110" s="641" t="s">
        <v>1416</v>
      </c>
      <c r="N110" s="641" t="s">
        <v>26</v>
      </c>
      <c r="O110" s="469" t="s">
        <v>1472</v>
      </c>
      <c r="P110" s="469" t="s">
        <v>2391</v>
      </c>
      <c r="Q110" s="477"/>
      <c r="R110" s="485" t="s">
        <v>2318</v>
      </c>
      <c r="S110" s="477"/>
      <c r="T110" s="477"/>
    </row>
    <row r="111">
      <c r="A111" s="469" t="s">
        <v>2392</v>
      </c>
      <c r="B111" s="630" t="s">
        <v>532</v>
      </c>
      <c r="C111" s="672">
        <v>139.0</v>
      </c>
      <c r="D111" s="641" t="s">
        <v>42</v>
      </c>
      <c r="E111" s="611">
        <v>45335.0</v>
      </c>
      <c r="F111" s="673">
        <v>45335.0</v>
      </c>
      <c r="G111" s="447" t="s">
        <v>22</v>
      </c>
      <c r="H111" s="668" t="s">
        <v>2389</v>
      </c>
      <c r="I111" s="669">
        <v>68.0</v>
      </c>
      <c r="J111" s="636" t="s">
        <v>1656</v>
      </c>
      <c r="K111" s="85" t="s">
        <v>1655</v>
      </c>
      <c r="L111" s="85" t="s">
        <v>1415</v>
      </c>
      <c r="M111" s="641" t="s">
        <v>1416</v>
      </c>
      <c r="N111" s="641" t="s">
        <v>26</v>
      </c>
      <c r="O111" s="469" t="s">
        <v>1472</v>
      </c>
      <c r="P111" s="469" t="s">
        <v>2391</v>
      </c>
      <c r="Q111" s="477"/>
      <c r="R111" s="485" t="s">
        <v>2318</v>
      </c>
      <c r="S111" s="477"/>
      <c r="T111" s="477"/>
    </row>
    <row r="112">
      <c r="A112" s="632" t="s">
        <v>568</v>
      </c>
      <c r="B112" s="674" t="s">
        <v>532</v>
      </c>
      <c r="C112" s="675">
        <v>140.0</v>
      </c>
      <c r="D112" s="577" t="s">
        <v>42</v>
      </c>
      <c r="E112" s="676">
        <v>45337.0</v>
      </c>
      <c r="F112" s="85" t="s">
        <v>2299</v>
      </c>
      <c r="G112" s="461" t="s">
        <v>22</v>
      </c>
      <c r="H112" s="677" t="s">
        <v>2389</v>
      </c>
      <c r="I112" s="678">
        <v>69.0</v>
      </c>
      <c r="J112" s="641" t="s">
        <v>1659</v>
      </c>
      <c r="K112" s="86" t="s">
        <v>1658</v>
      </c>
      <c r="L112" s="86" t="s">
        <v>1455</v>
      </c>
      <c r="M112" s="662" t="s">
        <v>2336</v>
      </c>
      <c r="N112" s="662" t="s">
        <v>2340</v>
      </c>
      <c r="O112" s="86" t="s">
        <v>1418</v>
      </c>
      <c r="P112" s="86" t="s">
        <v>1418</v>
      </c>
      <c r="Q112" s="85" t="s">
        <v>2393</v>
      </c>
      <c r="R112" s="485" t="s">
        <v>2318</v>
      </c>
      <c r="S112" s="477"/>
      <c r="T112" s="477"/>
    </row>
    <row r="113">
      <c r="A113" s="632" t="s">
        <v>573</v>
      </c>
      <c r="B113" s="674" t="s">
        <v>532</v>
      </c>
      <c r="C113" s="675">
        <v>141.0</v>
      </c>
      <c r="D113" s="577" t="s">
        <v>42</v>
      </c>
      <c r="E113" s="470"/>
      <c r="G113" s="470"/>
      <c r="H113" s="470"/>
      <c r="I113" s="470"/>
      <c r="R113" s="478"/>
      <c r="S113" s="477"/>
      <c r="T113" s="477"/>
    </row>
    <row r="114">
      <c r="A114" s="629" t="s">
        <v>576</v>
      </c>
      <c r="B114" s="674" t="s">
        <v>532</v>
      </c>
      <c r="C114" s="675">
        <v>142.0</v>
      </c>
      <c r="D114" s="577" t="s">
        <v>20</v>
      </c>
      <c r="E114" s="676">
        <v>45344.0</v>
      </c>
      <c r="F114" s="673">
        <v>45352.0</v>
      </c>
      <c r="G114" s="461" t="s">
        <v>22</v>
      </c>
      <c r="H114" s="677" t="s">
        <v>2389</v>
      </c>
      <c r="I114" s="678">
        <v>70.0</v>
      </c>
      <c r="J114" s="636" t="s">
        <v>1662</v>
      </c>
      <c r="K114" s="85" t="s">
        <v>1661</v>
      </c>
      <c r="L114" s="85" t="s">
        <v>1455</v>
      </c>
      <c r="M114" s="641" t="s">
        <v>2336</v>
      </c>
      <c r="N114" s="641" t="s">
        <v>26</v>
      </c>
      <c r="O114" s="86" t="s">
        <v>1919</v>
      </c>
      <c r="P114" s="86" t="s">
        <v>2367</v>
      </c>
      <c r="Q114" s="86" t="s">
        <v>26</v>
      </c>
      <c r="R114" s="485" t="s">
        <v>2321</v>
      </c>
      <c r="S114" s="477"/>
      <c r="T114" s="477"/>
    </row>
    <row r="115">
      <c r="A115" s="629" t="s">
        <v>580</v>
      </c>
      <c r="B115" s="643" t="s">
        <v>532</v>
      </c>
      <c r="C115" s="670">
        <v>143.0</v>
      </c>
      <c r="D115" s="577" t="s">
        <v>20</v>
      </c>
      <c r="E115" s="611"/>
      <c r="F115" s="673"/>
      <c r="G115" s="470"/>
      <c r="H115" s="470"/>
      <c r="I115" s="470"/>
      <c r="R115" s="478"/>
      <c r="S115" s="477"/>
      <c r="T115" s="477"/>
    </row>
    <row r="116">
      <c r="A116" s="629" t="s">
        <v>547</v>
      </c>
      <c r="B116" s="630" t="s">
        <v>532</v>
      </c>
      <c r="C116" s="644">
        <v>131.0</v>
      </c>
      <c r="D116" s="577" t="s">
        <v>20</v>
      </c>
      <c r="E116" s="611">
        <v>45355.0</v>
      </c>
      <c r="F116" s="679">
        <v>45378.0</v>
      </c>
      <c r="G116" s="447" t="s">
        <v>22</v>
      </c>
      <c r="H116" s="442" t="s">
        <v>2389</v>
      </c>
      <c r="I116" s="443">
        <v>71.0</v>
      </c>
      <c r="J116" s="552" t="s">
        <v>1665</v>
      </c>
      <c r="K116" s="85" t="s">
        <v>2394</v>
      </c>
      <c r="L116" s="85" t="s">
        <v>1455</v>
      </c>
      <c r="M116" s="641" t="s">
        <v>1416</v>
      </c>
      <c r="N116" s="641" t="s">
        <v>1666</v>
      </c>
      <c r="O116" s="85" t="s">
        <v>1919</v>
      </c>
      <c r="P116" s="85" t="s">
        <v>2376</v>
      </c>
      <c r="Q116" s="86" t="s">
        <v>26</v>
      </c>
      <c r="R116" s="485" t="s">
        <v>2318</v>
      </c>
      <c r="S116" s="477"/>
      <c r="T116" s="477"/>
    </row>
    <row r="117" ht="12.75" customHeight="1">
      <c r="A117" s="629" t="s">
        <v>547</v>
      </c>
      <c r="B117" s="630" t="s">
        <v>532</v>
      </c>
      <c r="C117" s="644">
        <v>131.0</v>
      </c>
      <c r="D117" s="577" t="s">
        <v>20</v>
      </c>
      <c r="E117" s="611">
        <v>45355.0</v>
      </c>
      <c r="F117" s="671">
        <v>45449.0</v>
      </c>
      <c r="G117" s="447" t="s">
        <v>22</v>
      </c>
      <c r="H117" s="442" t="s">
        <v>2389</v>
      </c>
      <c r="I117" s="443">
        <v>72.0</v>
      </c>
      <c r="J117" s="552" t="s">
        <v>1669</v>
      </c>
      <c r="K117" s="85" t="s">
        <v>2395</v>
      </c>
      <c r="L117" s="85" t="s">
        <v>1455</v>
      </c>
      <c r="M117" s="641" t="s">
        <v>1416</v>
      </c>
      <c r="N117" s="641" t="s">
        <v>1666</v>
      </c>
      <c r="O117" s="85" t="s">
        <v>1919</v>
      </c>
      <c r="P117" s="85" t="s">
        <v>2396</v>
      </c>
      <c r="Q117" s="86" t="s">
        <v>26</v>
      </c>
      <c r="R117" s="485" t="s">
        <v>2318</v>
      </c>
      <c r="S117" s="477"/>
      <c r="T117" s="477"/>
    </row>
    <row r="118" ht="12.75" customHeight="1">
      <c r="A118" s="629" t="s">
        <v>547</v>
      </c>
      <c r="B118" s="630" t="s">
        <v>532</v>
      </c>
      <c r="C118" s="644">
        <v>131.0</v>
      </c>
      <c r="D118" s="577" t="s">
        <v>20</v>
      </c>
      <c r="E118" s="611">
        <v>45355.0</v>
      </c>
      <c r="F118" s="671">
        <v>45449.0</v>
      </c>
      <c r="G118" s="447" t="s">
        <v>22</v>
      </c>
      <c r="H118" s="442" t="s">
        <v>2389</v>
      </c>
      <c r="I118" s="443">
        <v>73.0</v>
      </c>
      <c r="J118" s="552" t="s">
        <v>1671</v>
      </c>
      <c r="K118" s="544"/>
      <c r="L118" s="556" t="s">
        <v>1455</v>
      </c>
      <c r="M118" s="554" t="s">
        <v>1416</v>
      </c>
      <c r="N118" s="554" t="s">
        <v>26</v>
      </c>
      <c r="O118" s="85" t="s">
        <v>1919</v>
      </c>
      <c r="P118" s="85" t="s">
        <v>2396</v>
      </c>
      <c r="Q118" s="86" t="s">
        <v>26</v>
      </c>
      <c r="R118" s="485" t="s">
        <v>2318</v>
      </c>
      <c r="S118" s="477"/>
      <c r="T118" s="477"/>
    </row>
    <row r="119" ht="12.75" customHeight="1">
      <c r="A119" s="629" t="s">
        <v>588</v>
      </c>
      <c r="B119" s="630" t="s">
        <v>532</v>
      </c>
      <c r="C119" s="670">
        <v>146.0</v>
      </c>
      <c r="D119" s="577" t="s">
        <v>20</v>
      </c>
      <c r="E119" s="611">
        <v>45364.0</v>
      </c>
      <c r="F119" s="671">
        <v>45449.0</v>
      </c>
      <c r="G119" s="447" t="s">
        <v>22</v>
      </c>
      <c r="H119" s="442" t="s">
        <v>2389</v>
      </c>
      <c r="I119" s="443">
        <v>74.0</v>
      </c>
      <c r="J119" s="552" t="s">
        <v>1674</v>
      </c>
      <c r="K119" s="85" t="s">
        <v>1673</v>
      </c>
      <c r="L119" s="85" t="s">
        <v>1415</v>
      </c>
      <c r="M119" s="641" t="s">
        <v>2336</v>
      </c>
      <c r="N119" s="554" t="s">
        <v>2340</v>
      </c>
      <c r="O119" s="85" t="s">
        <v>1418</v>
      </c>
      <c r="P119" s="553" t="s">
        <v>1418</v>
      </c>
      <c r="Q119" s="85" t="s">
        <v>2393</v>
      </c>
      <c r="R119" s="485" t="s">
        <v>2318</v>
      </c>
      <c r="S119" s="477"/>
      <c r="T119" s="477"/>
    </row>
    <row r="120" ht="12.75" customHeight="1">
      <c r="A120" s="629" t="s">
        <v>592</v>
      </c>
      <c r="B120" s="630" t="s">
        <v>532</v>
      </c>
      <c r="C120" s="631">
        <v>147.0</v>
      </c>
      <c r="D120" s="577" t="s">
        <v>20</v>
      </c>
      <c r="E120" s="611">
        <v>45364.0</v>
      </c>
      <c r="F120" s="671">
        <v>45449.0</v>
      </c>
      <c r="G120" s="447" t="s">
        <v>22</v>
      </c>
      <c r="H120" s="442" t="s">
        <v>2389</v>
      </c>
      <c r="I120" s="443">
        <v>75.0</v>
      </c>
      <c r="J120" s="552" t="s">
        <v>1678</v>
      </c>
      <c r="K120" s="86" t="s">
        <v>1677</v>
      </c>
      <c r="L120" s="85" t="s">
        <v>1415</v>
      </c>
      <c r="M120" s="641" t="s">
        <v>2336</v>
      </c>
      <c r="N120" s="554" t="s">
        <v>2340</v>
      </c>
      <c r="O120" s="85" t="s">
        <v>1418</v>
      </c>
      <c r="P120" s="553" t="s">
        <v>1418</v>
      </c>
      <c r="Q120" s="85" t="s">
        <v>2393</v>
      </c>
      <c r="R120" s="485" t="s">
        <v>2318</v>
      </c>
      <c r="S120" s="477"/>
      <c r="T120" s="477"/>
    </row>
    <row r="121" ht="12.75" customHeight="1">
      <c r="A121" s="632" t="s">
        <v>595</v>
      </c>
      <c r="B121" s="630" t="s">
        <v>532</v>
      </c>
      <c r="C121" s="631">
        <v>148.0</v>
      </c>
      <c r="D121" s="577" t="s">
        <v>20</v>
      </c>
      <c r="E121" s="611">
        <v>45364.0</v>
      </c>
      <c r="F121" s="85" t="s">
        <v>2299</v>
      </c>
      <c r="G121" s="447" t="s">
        <v>17</v>
      </c>
      <c r="H121" s="442" t="s">
        <v>2389</v>
      </c>
      <c r="I121" s="443">
        <v>76.0</v>
      </c>
      <c r="J121" s="554" t="s">
        <v>1681</v>
      </c>
      <c r="K121" s="85" t="s">
        <v>1680</v>
      </c>
      <c r="L121" s="85" t="s">
        <v>1415</v>
      </c>
      <c r="M121" s="641" t="s">
        <v>2336</v>
      </c>
      <c r="N121" s="554" t="s">
        <v>2340</v>
      </c>
      <c r="O121" s="85" t="s">
        <v>1418</v>
      </c>
      <c r="P121" s="553" t="s">
        <v>1418</v>
      </c>
      <c r="Q121" s="85" t="s">
        <v>2393</v>
      </c>
      <c r="R121" s="485" t="s">
        <v>2318</v>
      </c>
      <c r="S121" s="477"/>
      <c r="T121" s="477"/>
    </row>
    <row r="122" ht="12.75" customHeight="1">
      <c r="A122" s="629" t="s">
        <v>597</v>
      </c>
      <c r="B122" s="630" t="s">
        <v>532</v>
      </c>
      <c r="C122" s="443">
        <v>149.0</v>
      </c>
      <c r="D122" s="577" t="s">
        <v>20</v>
      </c>
      <c r="E122" s="567">
        <v>45364.0</v>
      </c>
      <c r="F122" s="680">
        <v>45444.0</v>
      </c>
      <c r="G122" s="461" t="s">
        <v>22</v>
      </c>
      <c r="H122" s="568" t="s">
        <v>2389</v>
      </c>
      <c r="I122" s="574">
        <v>77.0</v>
      </c>
      <c r="J122" s="569" t="s">
        <v>1684</v>
      </c>
      <c r="K122" s="592" t="s">
        <v>2397</v>
      </c>
      <c r="L122" s="85" t="s">
        <v>1415</v>
      </c>
      <c r="M122" s="641" t="s">
        <v>2336</v>
      </c>
      <c r="N122" s="571" t="s">
        <v>487</v>
      </c>
      <c r="O122" s="85" t="s">
        <v>1418</v>
      </c>
      <c r="P122" s="553" t="s">
        <v>1418</v>
      </c>
      <c r="Q122" s="553" t="s">
        <v>2393</v>
      </c>
      <c r="R122" s="485" t="s">
        <v>2318</v>
      </c>
      <c r="S122" s="477"/>
      <c r="T122" s="477"/>
    </row>
    <row r="123" ht="12.75" customHeight="1">
      <c r="A123" s="629" t="s">
        <v>598</v>
      </c>
      <c r="B123" s="630" t="s">
        <v>532</v>
      </c>
      <c r="C123" s="443">
        <v>150.0</v>
      </c>
      <c r="D123" s="554" t="s">
        <v>42</v>
      </c>
      <c r="E123" s="470"/>
      <c r="F123" s="681"/>
      <c r="G123" s="470"/>
      <c r="H123" s="470"/>
      <c r="I123" s="470"/>
      <c r="J123" s="470"/>
      <c r="K123" s="470"/>
      <c r="N123" s="470"/>
      <c r="O123" s="85" t="s">
        <v>1418</v>
      </c>
      <c r="P123" s="553" t="s">
        <v>1418</v>
      </c>
      <c r="Q123" s="553" t="s">
        <v>2393</v>
      </c>
      <c r="R123" s="485" t="s">
        <v>2318</v>
      </c>
      <c r="S123" s="477"/>
      <c r="T123" s="477"/>
    </row>
    <row r="124" ht="12.75" customHeight="1">
      <c r="A124" s="85" t="s">
        <v>1163</v>
      </c>
      <c r="B124" s="85" t="s">
        <v>1163</v>
      </c>
      <c r="C124" s="56" t="s">
        <v>1163</v>
      </c>
      <c r="D124" s="662" t="s">
        <v>1163</v>
      </c>
      <c r="E124" s="611">
        <v>45364.0</v>
      </c>
      <c r="F124" s="671">
        <v>45412.0</v>
      </c>
      <c r="G124" s="447" t="s">
        <v>22</v>
      </c>
      <c r="H124" s="442" t="s">
        <v>2389</v>
      </c>
      <c r="I124" s="443">
        <v>78.0</v>
      </c>
      <c r="J124" s="552" t="s">
        <v>1687</v>
      </c>
      <c r="K124" s="556" t="s">
        <v>2398</v>
      </c>
      <c r="L124" s="556" t="s">
        <v>1415</v>
      </c>
      <c r="M124" s="554" t="s">
        <v>2336</v>
      </c>
      <c r="N124" s="554" t="s">
        <v>2340</v>
      </c>
      <c r="O124" s="85" t="s">
        <v>1919</v>
      </c>
      <c r="P124" s="85" t="s">
        <v>2376</v>
      </c>
      <c r="Q124" s="556" t="s">
        <v>26</v>
      </c>
      <c r="R124" s="485" t="s">
        <v>2318</v>
      </c>
      <c r="S124" s="477"/>
      <c r="T124" s="477"/>
    </row>
    <row r="125" ht="12.75" customHeight="1">
      <c r="A125" s="629" t="s">
        <v>582</v>
      </c>
      <c r="B125" s="630" t="s">
        <v>532</v>
      </c>
      <c r="C125" s="631">
        <v>144.0</v>
      </c>
      <c r="D125" s="554" t="s">
        <v>20</v>
      </c>
      <c r="E125" s="445">
        <v>45362.0</v>
      </c>
      <c r="F125" s="671">
        <v>45366.0</v>
      </c>
      <c r="G125" s="447" t="s">
        <v>22</v>
      </c>
      <c r="H125" s="442" t="s">
        <v>2389</v>
      </c>
      <c r="I125" s="443">
        <v>79.0</v>
      </c>
      <c r="J125" s="552" t="s">
        <v>1690</v>
      </c>
      <c r="K125" s="553" t="s">
        <v>1689</v>
      </c>
      <c r="L125" s="556" t="s">
        <v>1455</v>
      </c>
      <c r="M125" s="554" t="s">
        <v>1416</v>
      </c>
      <c r="N125" s="554" t="s">
        <v>26</v>
      </c>
      <c r="O125" s="556" t="s">
        <v>1919</v>
      </c>
      <c r="P125" s="556" t="s">
        <v>1962</v>
      </c>
      <c r="Q125" s="556" t="s">
        <v>26</v>
      </c>
      <c r="R125" s="485" t="s">
        <v>2351</v>
      </c>
      <c r="S125" s="477"/>
      <c r="T125" s="477"/>
    </row>
    <row r="126" ht="33.0" customHeight="1">
      <c r="A126" s="469" t="s">
        <v>599</v>
      </c>
      <c r="B126" s="630" t="s">
        <v>532</v>
      </c>
      <c r="C126" s="631">
        <v>151.0</v>
      </c>
      <c r="D126" s="554" t="s">
        <v>20</v>
      </c>
      <c r="E126" s="445">
        <v>45378.0</v>
      </c>
      <c r="F126" s="671">
        <v>45408.0</v>
      </c>
      <c r="G126" s="447" t="s">
        <v>22</v>
      </c>
      <c r="H126" s="442" t="s">
        <v>2389</v>
      </c>
      <c r="I126" s="443">
        <v>80.0</v>
      </c>
      <c r="J126" s="636" t="s">
        <v>1694</v>
      </c>
      <c r="K126" s="553" t="s">
        <v>1693</v>
      </c>
      <c r="L126" s="556" t="s">
        <v>1415</v>
      </c>
      <c r="M126" s="554" t="s">
        <v>1416</v>
      </c>
      <c r="N126" s="554" t="s">
        <v>26</v>
      </c>
      <c r="O126" s="556" t="s">
        <v>1919</v>
      </c>
      <c r="P126" s="553" t="s">
        <v>2399</v>
      </c>
      <c r="Q126" s="544"/>
      <c r="R126" s="485" t="s">
        <v>2318</v>
      </c>
      <c r="S126" s="477"/>
      <c r="T126" s="477"/>
    </row>
    <row r="127" ht="12.75" customHeight="1">
      <c r="A127" s="469" t="s">
        <v>603</v>
      </c>
      <c r="B127" s="630" t="s">
        <v>532</v>
      </c>
      <c r="C127" s="682">
        <v>152.0</v>
      </c>
      <c r="D127" s="554" t="s">
        <v>20</v>
      </c>
      <c r="E127" s="445">
        <v>45378.0</v>
      </c>
      <c r="F127" s="671">
        <v>45393.0</v>
      </c>
      <c r="G127" s="447" t="s">
        <v>22</v>
      </c>
      <c r="H127" s="442" t="s">
        <v>2389</v>
      </c>
      <c r="I127" s="443">
        <v>81.0</v>
      </c>
      <c r="J127" s="552" t="s">
        <v>1697</v>
      </c>
      <c r="K127" s="553" t="s">
        <v>1696</v>
      </c>
      <c r="L127" s="556" t="s">
        <v>1593</v>
      </c>
      <c r="M127" s="554" t="s">
        <v>1416</v>
      </c>
      <c r="N127" s="554" t="s">
        <v>26</v>
      </c>
      <c r="O127" s="556" t="s">
        <v>1919</v>
      </c>
      <c r="P127" s="553" t="s">
        <v>2399</v>
      </c>
      <c r="Q127" s="556" t="s">
        <v>26</v>
      </c>
      <c r="R127" s="485" t="s">
        <v>2351</v>
      </c>
      <c r="S127" s="477"/>
      <c r="T127" s="477"/>
    </row>
    <row r="128" ht="12.75" customHeight="1">
      <c r="A128" s="629" t="s">
        <v>608</v>
      </c>
      <c r="B128" s="630" t="s">
        <v>532</v>
      </c>
      <c r="C128" s="631">
        <v>153.0</v>
      </c>
      <c r="D128" s="577" t="s">
        <v>42</v>
      </c>
      <c r="E128" s="567">
        <v>45385.0</v>
      </c>
      <c r="F128" s="495">
        <v>45399.0</v>
      </c>
      <c r="G128" s="461" t="s">
        <v>22</v>
      </c>
      <c r="H128" s="568" t="s">
        <v>2389</v>
      </c>
      <c r="I128" s="574">
        <v>82.0</v>
      </c>
      <c r="J128" s="569" t="s">
        <v>1701</v>
      </c>
      <c r="K128" s="570" t="s">
        <v>2400</v>
      </c>
      <c r="L128" s="592" t="s">
        <v>1455</v>
      </c>
      <c r="M128" s="571" t="s">
        <v>1416</v>
      </c>
      <c r="N128" s="571" t="s">
        <v>26</v>
      </c>
      <c r="O128" s="592" t="s">
        <v>1418</v>
      </c>
      <c r="P128" s="683" t="s">
        <v>1418</v>
      </c>
      <c r="Q128" s="684"/>
      <c r="R128" s="485" t="s">
        <v>2295</v>
      </c>
      <c r="S128" s="477"/>
      <c r="T128" s="477"/>
    </row>
    <row r="129" ht="12.75" customHeight="1">
      <c r="A129" s="629" t="s">
        <v>614</v>
      </c>
      <c r="B129" s="630" t="s">
        <v>532</v>
      </c>
      <c r="C129" s="631">
        <v>154.0</v>
      </c>
      <c r="D129" s="577" t="s">
        <v>42</v>
      </c>
      <c r="E129" s="478"/>
      <c r="F129" s="478"/>
      <c r="G129" s="478"/>
      <c r="H129" s="478"/>
      <c r="I129" s="478"/>
      <c r="J129" s="478"/>
      <c r="K129" s="478"/>
      <c r="L129" s="478"/>
      <c r="M129" s="478"/>
      <c r="N129" s="478"/>
      <c r="O129" s="478"/>
      <c r="P129" s="685"/>
      <c r="Q129" s="478"/>
      <c r="R129" s="478"/>
      <c r="S129" s="477"/>
      <c r="T129" s="477"/>
    </row>
    <row r="130" ht="12.75" customHeight="1">
      <c r="A130" s="629" t="s">
        <v>617</v>
      </c>
      <c r="B130" s="630" t="s">
        <v>532</v>
      </c>
      <c r="C130" s="631">
        <v>155.0</v>
      </c>
      <c r="D130" s="577" t="s">
        <v>42</v>
      </c>
      <c r="E130" s="478"/>
      <c r="F130" s="478"/>
      <c r="G130" s="478"/>
      <c r="H130" s="478"/>
      <c r="I130" s="478"/>
      <c r="J130" s="478"/>
      <c r="K130" s="478"/>
      <c r="L130" s="478"/>
      <c r="M130" s="478"/>
      <c r="N130" s="478"/>
      <c r="O130" s="478"/>
      <c r="P130" s="685"/>
      <c r="Q130" s="478"/>
      <c r="R130" s="478"/>
      <c r="S130" s="477"/>
      <c r="T130" s="477"/>
    </row>
    <row r="131" ht="12.75" customHeight="1">
      <c r="A131" s="629" t="s">
        <v>620</v>
      </c>
      <c r="B131" s="630" t="s">
        <v>532</v>
      </c>
      <c r="C131" s="631">
        <v>156.0</v>
      </c>
      <c r="D131" s="577" t="s">
        <v>42</v>
      </c>
      <c r="E131" s="470"/>
      <c r="F131" s="470"/>
      <c r="G131" s="470"/>
      <c r="H131" s="470"/>
      <c r="I131" s="470"/>
      <c r="J131" s="470"/>
      <c r="K131" s="470"/>
      <c r="L131" s="470"/>
      <c r="M131" s="470"/>
      <c r="N131" s="470"/>
      <c r="O131" s="470"/>
      <c r="P131" s="681"/>
      <c r="Q131" s="470"/>
      <c r="R131" s="478"/>
      <c r="S131" s="477"/>
      <c r="T131" s="477"/>
    </row>
    <row r="132" ht="12.75" customHeight="1">
      <c r="A132" s="629" t="s">
        <v>623</v>
      </c>
      <c r="B132" s="630" t="s">
        <v>532</v>
      </c>
      <c r="C132" s="631">
        <v>157.0</v>
      </c>
      <c r="D132" s="577" t="s">
        <v>42</v>
      </c>
      <c r="E132" s="567">
        <v>45385.0</v>
      </c>
      <c r="F132" s="495">
        <v>45399.0</v>
      </c>
      <c r="G132" s="461" t="s">
        <v>22</v>
      </c>
      <c r="H132" s="568" t="s">
        <v>2389</v>
      </c>
      <c r="I132" s="574">
        <v>83.0</v>
      </c>
      <c r="J132" s="569" t="s">
        <v>1705</v>
      </c>
      <c r="K132" s="570" t="s">
        <v>1704</v>
      </c>
      <c r="L132" s="592" t="s">
        <v>1455</v>
      </c>
      <c r="M132" s="571" t="s">
        <v>1416</v>
      </c>
      <c r="N132" s="571" t="s">
        <v>26</v>
      </c>
      <c r="O132" s="592" t="s">
        <v>1418</v>
      </c>
      <c r="P132" s="683" t="s">
        <v>1418</v>
      </c>
      <c r="Q132" s="684"/>
      <c r="R132" s="485" t="s">
        <v>2295</v>
      </c>
      <c r="S132" s="477"/>
      <c r="T132" s="477"/>
    </row>
    <row r="133" ht="12.75" customHeight="1">
      <c r="A133" s="629" t="s">
        <v>626</v>
      </c>
      <c r="B133" s="630" t="s">
        <v>532</v>
      </c>
      <c r="C133" s="631">
        <v>158.0</v>
      </c>
      <c r="D133" s="577" t="s">
        <v>20</v>
      </c>
      <c r="E133" s="478"/>
      <c r="F133" s="478"/>
      <c r="G133" s="478"/>
      <c r="H133" s="478"/>
      <c r="I133" s="478"/>
      <c r="J133" s="478"/>
      <c r="K133" s="478"/>
      <c r="L133" s="478"/>
      <c r="M133" s="478"/>
      <c r="N133" s="478"/>
      <c r="O133" s="478"/>
      <c r="P133" s="685"/>
      <c r="Q133" s="478"/>
      <c r="R133" s="478"/>
      <c r="S133" s="477"/>
      <c r="T133" s="477"/>
    </row>
    <row r="134" ht="12.75" customHeight="1">
      <c r="A134" s="629" t="s">
        <v>2401</v>
      </c>
      <c r="B134" s="630" t="s">
        <v>532</v>
      </c>
      <c r="C134" s="631">
        <v>159.0</v>
      </c>
      <c r="D134" s="577" t="s">
        <v>20</v>
      </c>
      <c r="E134" s="478"/>
      <c r="F134" s="478"/>
      <c r="G134" s="478"/>
      <c r="H134" s="478"/>
      <c r="I134" s="478"/>
      <c r="J134" s="478"/>
      <c r="K134" s="478"/>
      <c r="L134" s="478"/>
      <c r="M134" s="478"/>
      <c r="N134" s="478"/>
      <c r="O134" s="478"/>
      <c r="P134" s="685"/>
      <c r="Q134" s="478"/>
      <c r="R134" s="478"/>
      <c r="S134" s="477"/>
      <c r="T134" s="477"/>
    </row>
    <row r="135" ht="12.75" customHeight="1">
      <c r="A135" s="629" t="s">
        <v>631</v>
      </c>
      <c r="B135" s="630" t="s">
        <v>532</v>
      </c>
      <c r="C135" s="631">
        <v>160.0</v>
      </c>
      <c r="D135" s="577" t="s">
        <v>20</v>
      </c>
      <c r="E135" s="470"/>
      <c r="F135" s="470"/>
      <c r="G135" s="470"/>
      <c r="H135" s="470"/>
      <c r="I135" s="470"/>
      <c r="J135" s="470"/>
      <c r="K135" s="470"/>
      <c r="L135" s="470"/>
      <c r="M135" s="470"/>
      <c r="N135" s="470"/>
      <c r="O135" s="470"/>
      <c r="P135" s="681"/>
      <c r="Q135" s="470"/>
      <c r="R135" s="478"/>
      <c r="S135" s="477"/>
      <c r="T135" s="477"/>
    </row>
    <row r="136" ht="18.75" customHeight="1">
      <c r="A136" s="632" t="s">
        <v>112</v>
      </c>
      <c r="B136" s="630" t="s">
        <v>21</v>
      </c>
      <c r="C136" s="631">
        <v>21.0</v>
      </c>
      <c r="D136" s="577" t="s">
        <v>42</v>
      </c>
      <c r="E136" s="567">
        <v>45390.0</v>
      </c>
      <c r="F136" s="483" t="s">
        <v>2299</v>
      </c>
      <c r="G136" s="461" t="s">
        <v>17</v>
      </c>
      <c r="H136" s="568" t="s">
        <v>2389</v>
      </c>
      <c r="I136" s="574">
        <v>84.0</v>
      </c>
      <c r="J136" s="571" t="s">
        <v>2402</v>
      </c>
      <c r="K136" s="570" t="s">
        <v>1707</v>
      </c>
      <c r="L136" s="592" t="s">
        <v>1415</v>
      </c>
      <c r="M136" s="571" t="s">
        <v>1416</v>
      </c>
      <c r="N136" s="571" t="s">
        <v>1709</v>
      </c>
      <c r="O136" s="592" t="s">
        <v>1919</v>
      </c>
      <c r="P136" s="85" t="s">
        <v>2376</v>
      </c>
      <c r="Q136" s="592" t="s">
        <v>26</v>
      </c>
      <c r="R136" s="485" t="s">
        <v>2318</v>
      </c>
      <c r="S136" s="477"/>
      <c r="T136" s="477"/>
    </row>
    <row r="137" ht="26.25" customHeight="1">
      <c r="A137" s="632" t="s">
        <v>378</v>
      </c>
      <c r="B137" s="630" t="s">
        <v>328</v>
      </c>
      <c r="C137" s="631">
        <v>85.0</v>
      </c>
      <c r="D137" s="577" t="s">
        <v>20</v>
      </c>
      <c r="E137" s="470"/>
      <c r="F137" s="470"/>
      <c r="G137" s="470"/>
      <c r="H137" s="470"/>
      <c r="I137" s="470"/>
      <c r="J137" s="470"/>
      <c r="K137" s="470"/>
      <c r="L137" s="470"/>
      <c r="M137" s="470"/>
      <c r="N137" s="470"/>
      <c r="O137" s="470"/>
      <c r="Q137" s="470"/>
      <c r="R137" s="478"/>
      <c r="S137" s="477"/>
      <c r="T137" s="477"/>
    </row>
    <row r="138" ht="12.75" customHeight="1">
      <c r="A138" s="86" t="s">
        <v>638</v>
      </c>
      <c r="B138" s="630" t="s">
        <v>532</v>
      </c>
      <c r="C138" s="682">
        <v>162.0</v>
      </c>
      <c r="D138" s="554" t="s">
        <v>20</v>
      </c>
      <c r="E138" s="445">
        <v>45399.0</v>
      </c>
      <c r="F138" s="468" t="s">
        <v>2299</v>
      </c>
      <c r="G138" s="447" t="s">
        <v>22</v>
      </c>
      <c r="H138" s="442" t="s">
        <v>2389</v>
      </c>
      <c r="I138" s="443">
        <v>85.0</v>
      </c>
      <c r="J138" s="554" t="s">
        <v>1712</v>
      </c>
      <c r="K138" s="553" t="s">
        <v>2403</v>
      </c>
      <c r="L138" s="556" t="s">
        <v>1415</v>
      </c>
      <c r="M138" s="554" t="s">
        <v>2336</v>
      </c>
      <c r="N138" s="554" t="s">
        <v>26</v>
      </c>
      <c r="O138" s="556" t="s">
        <v>1418</v>
      </c>
      <c r="P138" s="544"/>
      <c r="Q138" s="544"/>
      <c r="R138" s="485" t="s">
        <v>2318</v>
      </c>
      <c r="S138" s="477"/>
      <c r="T138" s="477"/>
    </row>
    <row r="139" ht="12.75" customHeight="1">
      <c r="A139" s="686" t="s">
        <v>651</v>
      </c>
      <c r="B139" s="687" t="s">
        <v>532</v>
      </c>
      <c r="C139" s="688">
        <v>167.0</v>
      </c>
      <c r="D139" s="554" t="s">
        <v>20</v>
      </c>
      <c r="E139" s="445">
        <v>45414.0</v>
      </c>
      <c r="F139" s="546">
        <v>45469.0</v>
      </c>
      <c r="G139" s="447" t="s">
        <v>22</v>
      </c>
      <c r="H139" s="442" t="s">
        <v>2389</v>
      </c>
      <c r="I139" s="443">
        <v>86.0</v>
      </c>
      <c r="J139" s="552" t="s">
        <v>1715</v>
      </c>
      <c r="K139" s="689" t="s">
        <v>1714</v>
      </c>
      <c r="L139" s="556" t="s">
        <v>1455</v>
      </c>
      <c r="M139" s="554" t="s">
        <v>1416</v>
      </c>
      <c r="N139" s="597"/>
      <c r="O139" s="556" t="s">
        <v>1919</v>
      </c>
      <c r="P139" s="556" t="s">
        <v>2404</v>
      </c>
      <c r="Q139" s="556" t="s">
        <v>26</v>
      </c>
      <c r="R139" s="485" t="s">
        <v>2318</v>
      </c>
      <c r="S139" s="477"/>
      <c r="T139" s="477"/>
    </row>
    <row r="140" ht="12.75" customHeight="1">
      <c r="A140" s="632" t="s">
        <v>657</v>
      </c>
      <c r="B140" s="630" t="s">
        <v>532</v>
      </c>
      <c r="C140" s="633" t="s">
        <v>658</v>
      </c>
      <c r="D140" s="554" t="s">
        <v>42</v>
      </c>
      <c r="E140" s="567">
        <v>45415.0</v>
      </c>
      <c r="F140" s="483" t="s">
        <v>2299</v>
      </c>
      <c r="G140" s="461" t="s">
        <v>17</v>
      </c>
      <c r="H140" s="568" t="s">
        <v>2389</v>
      </c>
      <c r="I140" s="574">
        <v>87.0</v>
      </c>
      <c r="J140" s="571" t="s">
        <v>2405</v>
      </c>
      <c r="K140" s="570" t="s">
        <v>1719</v>
      </c>
      <c r="L140" s="592" t="s">
        <v>1415</v>
      </c>
      <c r="M140" s="571" t="s">
        <v>1416</v>
      </c>
      <c r="N140" s="571" t="s">
        <v>1709</v>
      </c>
      <c r="O140" s="556" t="s">
        <v>1418</v>
      </c>
      <c r="P140" s="570" t="s">
        <v>2406</v>
      </c>
      <c r="Q140" s="544"/>
      <c r="R140" s="485" t="s">
        <v>2318</v>
      </c>
      <c r="S140" s="86" t="s">
        <v>2319</v>
      </c>
      <c r="T140" s="477"/>
    </row>
    <row r="141" ht="12.75" customHeight="1">
      <c r="A141" s="632" t="s">
        <v>660</v>
      </c>
      <c r="B141" s="630" t="s">
        <v>532</v>
      </c>
      <c r="C141" s="633" t="s">
        <v>661</v>
      </c>
      <c r="D141" s="554" t="s">
        <v>20</v>
      </c>
      <c r="E141" s="478"/>
      <c r="F141" s="478"/>
      <c r="G141" s="478"/>
      <c r="H141" s="478"/>
      <c r="I141" s="478"/>
      <c r="J141" s="478"/>
      <c r="K141" s="478"/>
      <c r="L141" s="478"/>
      <c r="M141" s="478"/>
      <c r="N141" s="478"/>
      <c r="O141" s="556" t="s">
        <v>1418</v>
      </c>
      <c r="P141" s="478"/>
      <c r="Q141" s="544"/>
      <c r="R141" s="478"/>
      <c r="S141" s="477"/>
      <c r="T141" s="477"/>
    </row>
    <row r="142" ht="12.75" customHeight="1">
      <c r="A142" s="632" t="s">
        <v>664</v>
      </c>
      <c r="B142" s="630" t="s">
        <v>532</v>
      </c>
      <c r="C142" s="631">
        <v>169.0</v>
      </c>
      <c r="D142" s="554" t="s">
        <v>42</v>
      </c>
      <c r="E142" s="470"/>
      <c r="F142" s="470"/>
      <c r="G142" s="470"/>
      <c r="H142" s="470"/>
      <c r="I142" s="470"/>
      <c r="J142" s="470"/>
      <c r="K142" s="470"/>
      <c r="L142" s="470"/>
      <c r="M142" s="470"/>
      <c r="N142" s="470"/>
      <c r="O142" s="556" t="s">
        <v>1418</v>
      </c>
      <c r="P142" s="470"/>
      <c r="Q142" s="544"/>
      <c r="R142" s="470"/>
      <c r="S142" s="477"/>
      <c r="T142" s="477"/>
    </row>
    <row r="143">
      <c r="A143" s="686" t="s">
        <v>667</v>
      </c>
      <c r="B143" s="630" t="s">
        <v>532</v>
      </c>
      <c r="C143" s="633">
        <v>170.0</v>
      </c>
      <c r="D143" s="554" t="s">
        <v>42</v>
      </c>
      <c r="E143" s="445">
        <v>45418.0</v>
      </c>
      <c r="F143" s="546">
        <v>45469.0</v>
      </c>
      <c r="G143" s="447" t="s">
        <v>22</v>
      </c>
      <c r="H143" s="442" t="s">
        <v>2389</v>
      </c>
      <c r="I143" s="443">
        <v>88.0</v>
      </c>
      <c r="J143" s="552" t="s">
        <v>1724</v>
      </c>
      <c r="K143" s="689" t="s">
        <v>1723</v>
      </c>
      <c r="L143" s="556" t="s">
        <v>1455</v>
      </c>
      <c r="M143" s="554" t="s">
        <v>1416</v>
      </c>
      <c r="N143" s="554" t="s">
        <v>26</v>
      </c>
      <c r="O143" s="556" t="s">
        <v>1919</v>
      </c>
      <c r="P143" s="556" t="s">
        <v>2407</v>
      </c>
      <c r="Q143" s="544"/>
      <c r="R143" s="515" t="s">
        <v>2318</v>
      </c>
      <c r="S143" s="477"/>
      <c r="T143" s="477"/>
    </row>
    <row r="144" ht="12.75" customHeight="1">
      <c r="A144" s="686" t="s">
        <v>671</v>
      </c>
      <c r="B144" s="630" t="s">
        <v>532</v>
      </c>
      <c r="C144" s="682">
        <v>171.0</v>
      </c>
      <c r="D144" s="554" t="s">
        <v>42</v>
      </c>
      <c r="E144" s="445">
        <v>45419.0</v>
      </c>
      <c r="F144" s="671">
        <v>45447.0</v>
      </c>
      <c r="G144" s="447" t="s">
        <v>22</v>
      </c>
      <c r="H144" s="442" t="s">
        <v>2389</v>
      </c>
      <c r="I144" s="443">
        <v>89.0</v>
      </c>
      <c r="J144" s="552" t="s">
        <v>1727</v>
      </c>
      <c r="K144" s="553" t="s">
        <v>1726</v>
      </c>
      <c r="L144" s="556" t="s">
        <v>1455</v>
      </c>
      <c r="M144" s="554" t="s">
        <v>1416</v>
      </c>
      <c r="N144" s="554" t="s">
        <v>26</v>
      </c>
      <c r="O144" s="556" t="s">
        <v>1919</v>
      </c>
      <c r="P144" s="556" t="s">
        <v>2407</v>
      </c>
      <c r="Q144" s="544"/>
      <c r="R144" s="515" t="s">
        <v>2295</v>
      </c>
      <c r="S144" s="477"/>
      <c r="T144" s="477"/>
    </row>
    <row r="145" ht="23.25" customHeight="1">
      <c r="A145" s="68" t="s">
        <v>674</v>
      </c>
      <c r="B145" s="687" t="s">
        <v>532</v>
      </c>
      <c r="C145" s="690">
        <v>172.0</v>
      </c>
      <c r="D145" s="691" t="s">
        <v>20</v>
      </c>
      <c r="E145" s="692">
        <v>45427.0</v>
      </c>
      <c r="F145" s="693" t="s">
        <v>2299</v>
      </c>
      <c r="G145" s="447" t="s">
        <v>17</v>
      </c>
      <c r="H145" s="568" t="s">
        <v>2389</v>
      </c>
      <c r="I145" s="574">
        <v>90.0</v>
      </c>
      <c r="J145" s="571" t="s">
        <v>1730</v>
      </c>
      <c r="K145" s="694" t="s">
        <v>1729</v>
      </c>
      <c r="L145" s="592" t="s">
        <v>1455</v>
      </c>
      <c r="M145" s="571" t="s">
        <v>1416</v>
      </c>
      <c r="N145" s="571" t="s">
        <v>1731</v>
      </c>
      <c r="O145" s="592" t="s">
        <v>1919</v>
      </c>
      <c r="P145" s="570" t="s">
        <v>2376</v>
      </c>
      <c r="Q145" s="592" t="s">
        <v>26</v>
      </c>
      <c r="R145" s="485" t="s">
        <v>2318</v>
      </c>
      <c r="S145" s="477"/>
      <c r="T145" s="477"/>
    </row>
    <row r="146" ht="28.5" customHeight="1">
      <c r="A146" s="695" t="s">
        <v>678</v>
      </c>
      <c r="B146" s="687" t="s">
        <v>532</v>
      </c>
      <c r="C146" s="690">
        <v>173.0</v>
      </c>
      <c r="D146" s="691" t="s">
        <v>20</v>
      </c>
      <c r="E146" s="470"/>
      <c r="F146" s="681"/>
      <c r="G146" s="447" t="s">
        <v>17</v>
      </c>
      <c r="H146" s="470"/>
      <c r="I146" s="470"/>
      <c r="J146" s="470"/>
      <c r="K146" s="470"/>
      <c r="L146" s="470"/>
      <c r="M146" s="470"/>
      <c r="N146" s="610"/>
      <c r="O146" s="470"/>
      <c r="P146" s="470"/>
      <c r="Q146" s="470"/>
      <c r="R146" s="470"/>
      <c r="S146" s="477"/>
      <c r="T146" s="477"/>
    </row>
    <row r="147" ht="23.25" customHeight="1">
      <c r="A147" s="632" t="s">
        <v>112</v>
      </c>
      <c r="B147" s="630" t="s">
        <v>21</v>
      </c>
      <c r="C147" s="631">
        <v>21.0</v>
      </c>
      <c r="D147" s="577" t="s">
        <v>42</v>
      </c>
      <c r="E147" s="567">
        <v>45414.0</v>
      </c>
      <c r="F147" s="483" t="s">
        <v>2299</v>
      </c>
      <c r="G147" s="461" t="s">
        <v>17</v>
      </c>
      <c r="H147" s="568" t="s">
        <v>2389</v>
      </c>
      <c r="I147" s="574">
        <v>91.0</v>
      </c>
      <c r="J147" s="571" t="s">
        <v>1734</v>
      </c>
      <c r="K147" s="570" t="s">
        <v>1733</v>
      </c>
      <c r="L147" s="592" t="s">
        <v>1415</v>
      </c>
      <c r="M147" s="571" t="s">
        <v>1416</v>
      </c>
      <c r="N147" s="571" t="s">
        <v>1709</v>
      </c>
      <c r="O147" s="592" t="s">
        <v>1919</v>
      </c>
      <c r="P147" s="592" t="s">
        <v>2408</v>
      </c>
      <c r="Q147" s="592" t="s">
        <v>26</v>
      </c>
      <c r="R147" s="485" t="s">
        <v>2318</v>
      </c>
      <c r="S147" s="477"/>
      <c r="T147" s="477"/>
    </row>
    <row r="148" ht="21.75" customHeight="1">
      <c r="A148" s="68" t="s">
        <v>681</v>
      </c>
      <c r="B148" s="687" t="s">
        <v>532</v>
      </c>
      <c r="C148" s="688">
        <v>174.0</v>
      </c>
      <c r="D148" s="691" t="s">
        <v>20</v>
      </c>
      <c r="E148" s="470"/>
      <c r="F148" s="470"/>
      <c r="G148" s="470"/>
      <c r="H148" s="470"/>
      <c r="I148" s="470"/>
      <c r="J148" s="470"/>
      <c r="K148" s="470"/>
      <c r="L148" s="470"/>
      <c r="M148" s="470"/>
      <c r="N148" s="610"/>
      <c r="O148" s="470"/>
      <c r="P148" s="470"/>
      <c r="Q148" s="470"/>
      <c r="R148" s="470"/>
      <c r="S148" s="477"/>
      <c r="T148" s="477"/>
    </row>
    <row r="149" ht="12.75" customHeight="1">
      <c r="A149" s="68" t="s">
        <v>684</v>
      </c>
      <c r="B149" s="696" t="s">
        <v>532</v>
      </c>
      <c r="C149" s="688">
        <v>174.0</v>
      </c>
      <c r="D149" s="691" t="s">
        <v>42</v>
      </c>
      <c r="E149" s="445">
        <v>45456.0</v>
      </c>
      <c r="F149" s="468" t="s">
        <v>2299</v>
      </c>
      <c r="G149" s="447" t="s">
        <v>22</v>
      </c>
      <c r="H149" s="442" t="s">
        <v>2389</v>
      </c>
      <c r="I149" s="443">
        <v>92.0</v>
      </c>
      <c r="J149" s="554" t="s">
        <v>1737</v>
      </c>
      <c r="K149" s="556" t="s">
        <v>1736</v>
      </c>
      <c r="L149" s="556" t="s">
        <v>1606</v>
      </c>
      <c r="M149" s="554" t="s">
        <v>1416</v>
      </c>
      <c r="N149" s="554" t="s">
        <v>26</v>
      </c>
      <c r="O149" s="556" t="s">
        <v>1919</v>
      </c>
      <c r="P149" s="556" t="s">
        <v>2367</v>
      </c>
      <c r="Q149" s="556" t="s">
        <v>26</v>
      </c>
      <c r="R149" s="515" t="s">
        <v>2295</v>
      </c>
      <c r="S149" s="477"/>
      <c r="T149" s="477"/>
    </row>
    <row r="150" ht="12.75" customHeight="1">
      <c r="A150" s="86" t="s">
        <v>2409</v>
      </c>
      <c r="B150" s="687" t="s">
        <v>328</v>
      </c>
      <c r="C150" s="690">
        <v>127.0</v>
      </c>
      <c r="D150" s="554" t="s">
        <v>20</v>
      </c>
      <c r="E150" s="445">
        <v>45483.0</v>
      </c>
      <c r="F150" s="468" t="s">
        <v>2299</v>
      </c>
      <c r="G150" s="447" t="s">
        <v>17</v>
      </c>
      <c r="H150" s="442" t="s">
        <v>2389</v>
      </c>
      <c r="I150" s="443">
        <v>93.0</v>
      </c>
      <c r="J150" s="554" t="s">
        <v>1740</v>
      </c>
      <c r="K150" s="556" t="s">
        <v>1739</v>
      </c>
      <c r="L150" s="556" t="s">
        <v>1593</v>
      </c>
      <c r="M150" s="554" t="s">
        <v>1416</v>
      </c>
      <c r="N150" s="554" t="s">
        <v>1741</v>
      </c>
      <c r="O150" s="556" t="s">
        <v>1919</v>
      </c>
      <c r="P150" s="556" t="s">
        <v>2367</v>
      </c>
      <c r="Q150" s="544"/>
      <c r="R150" s="515"/>
      <c r="S150" s="477"/>
      <c r="T150" s="477"/>
    </row>
    <row r="151" ht="12.75" customHeight="1">
      <c r="A151" s="68" t="s">
        <v>693</v>
      </c>
      <c r="B151" s="696" t="s">
        <v>532</v>
      </c>
      <c r="C151" s="682">
        <v>177.0</v>
      </c>
      <c r="D151" s="691" t="s">
        <v>20</v>
      </c>
      <c r="E151" s="445">
        <v>45491.0</v>
      </c>
      <c r="F151" s="468" t="s">
        <v>2299</v>
      </c>
      <c r="G151" s="447" t="s">
        <v>17</v>
      </c>
      <c r="H151" s="442" t="s">
        <v>2389</v>
      </c>
      <c r="I151" s="443">
        <v>94.0</v>
      </c>
      <c r="J151" s="554" t="s">
        <v>1744</v>
      </c>
      <c r="K151" s="553" t="s">
        <v>1743</v>
      </c>
      <c r="L151" s="556" t="s">
        <v>1415</v>
      </c>
      <c r="M151" s="554" t="s">
        <v>1416</v>
      </c>
      <c r="N151" s="554" t="s">
        <v>1432</v>
      </c>
      <c r="O151" s="556" t="s">
        <v>1919</v>
      </c>
      <c r="P151" s="570" t="s">
        <v>2410</v>
      </c>
      <c r="Q151" s="544"/>
      <c r="R151" s="515"/>
      <c r="S151" s="477"/>
      <c r="T151" s="477"/>
    </row>
    <row r="152" ht="12.75" customHeight="1">
      <c r="A152" s="86" t="s">
        <v>704</v>
      </c>
      <c r="B152" s="696" t="s">
        <v>532</v>
      </c>
      <c r="C152" s="682">
        <v>180.0</v>
      </c>
      <c r="D152" s="641" t="s">
        <v>20</v>
      </c>
      <c r="E152" s="445">
        <v>45518.0</v>
      </c>
      <c r="F152" s="468" t="s">
        <v>2299</v>
      </c>
      <c r="G152" s="447" t="s">
        <v>17</v>
      </c>
      <c r="H152" s="442" t="s">
        <v>2389</v>
      </c>
      <c r="I152" s="443">
        <v>95.0</v>
      </c>
      <c r="J152" s="554" t="s">
        <v>1747</v>
      </c>
      <c r="K152" s="556" t="s">
        <v>1746</v>
      </c>
      <c r="L152" s="556" t="s">
        <v>1455</v>
      </c>
      <c r="M152" s="554" t="s">
        <v>1416</v>
      </c>
      <c r="N152" s="554" t="s">
        <v>699</v>
      </c>
      <c r="O152" s="556" t="s">
        <v>1919</v>
      </c>
      <c r="P152" s="697" t="s">
        <v>2411</v>
      </c>
      <c r="Q152" s="556" t="s">
        <v>699</v>
      </c>
      <c r="R152" s="515" t="s">
        <v>2318</v>
      </c>
      <c r="S152" s="477"/>
      <c r="T152" s="477"/>
    </row>
    <row r="153" ht="12.75" customHeight="1">
      <c r="A153" s="86" t="s">
        <v>709</v>
      </c>
      <c r="B153" s="86" t="s">
        <v>532</v>
      </c>
      <c r="C153" s="682">
        <v>181.0</v>
      </c>
      <c r="D153" s="641" t="s">
        <v>20</v>
      </c>
      <c r="E153" s="445">
        <v>45531.0</v>
      </c>
      <c r="F153" s="468" t="s">
        <v>2299</v>
      </c>
      <c r="G153" s="447" t="s">
        <v>22</v>
      </c>
      <c r="H153" s="442" t="s">
        <v>2389</v>
      </c>
      <c r="I153" s="443">
        <v>96.0</v>
      </c>
      <c r="J153" s="554" t="s">
        <v>1750</v>
      </c>
      <c r="K153" s="553" t="s">
        <v>1749</v>
      </c>
      <c r="L153" s="556" t="s">
        <v>1455</v>
      </c>
      <c r="M153" s="554" t="s">
        <v>1416</v>
      </c>
      <c r="N153" s="597"/>
      <c r="O153" s="556" t="s">
        <v>1919</v>
      </c>
      <c r="P153" s="697" t="s">
        <v>2412</v>
      </c>
      <c r="Q153" s="544"/>
      <c r="R153" s="515"/>
      <c r="S153" s="477"/>
      <c r="T153" s="477"/>
    </row>
    <row r="154" ht="12.75" customHeight="1">
      <c r="A154" s="556" t="s">
        <v>1752</v>
      </c>
      <c r="B154" s="556" t="s">
        <v>1163</v>
      </c>
      <c r="C154" s="443" t="s">
        <v>1163</v>
      </c>
      <c r="D154" s="554" t="s">
        <v>1163</v>
      </c>
      <c r="E154" s="442" t="s">
        <v>2413</v>
      </c>
      <c r="F154" s="468" t="s">
        <v>2299</v>
      </c>
      <c r="G154" s="447" t="s">
        <v>17</v>
      </c>
      <c r="H154" s="442" t="s">
        <v>2389</v>
      </c>
      <c r="I154" s="443">
        <v>97.0</v>
      </c>
      <c r="J154" s="48" t="s">
        <v>1755</v>
      </c>
      <c r="K154" s="556" t="s">
        <v>1754</v>
      </c>
      <c r="L154" s="556" t="s">
        <v>1593</v>
      </c>
      <c r="M154" s="554" t="s">
        <v>2336</v>
      </c>
      <c r="N154" s="554" t="s">
        <v>1756</v>
      </c>
      <c r="O154" s="556" t="s">
        <v>1919</v>
      </c>
      <c r="P154" s="626" t="s">
        <v>2414</v>
      </c>
      <c r="Q154" s="544"/>
      <c r="R154" s="515"/>
      <c r="S154" s="477"/>
      <c r="T154" s="477"/>
    </row>
    <row r="155" ht="12.75" customHeight="1">
      <c r="A155" s="556" t="s">
        <v>717</v>
      </c>
      <c r="B155" s="86" t="s">
        <v>532</v>
      </c>
      <c r="C155" s="443">
        <v>183.0</v>
      </c>
      <c r="D155" s="641" t="s">
        <v>20</v>
      </c>
      <c r="E155" s="79">
        <v>45540.0</v>
      </c>
      <c r="F155" s="468" t="s">
        <v>2299</v>
      </c>
      <c r="G155" s="447" t="s">
        <v>17</v>
      </c>
      <c r="H155" s="442" t="s">
        <v>2389</v>
      </c>
      <c r="I155" s="443">
        <v>98.0</v>
      </c>
      <c r="J155" s="554" t="s">
        <v>1759</v>
      </c>
      <c r="K155" s="556" t="s">
        <v>1758</v>
      </c>
      <c r="L155" s="556" t="s">
        <v>1415</v>
      </c>
      <c r="M155" s="554" t="s">
        <v>1416</v>
      </c>
      <c r="N155" s="554"/>
      <c r="O155" s="556" t="s">
        <v>1418</v>
      </c>
      <c r="P155" s="556" t="s">
        <v>2415</v>
      </c>
      <c r="Q155" s="556" t="s">
        <v>699</v>
      </c>
      <c r="R155" s="544"/>
      <c r="S155" s="477"/>
      <c r="T155" s="477"/>
    </row>
    <row r="156" ht="12.75" customHeight="1">
      <c r="A156" s="556" t="s">
        <v>723</v>
      </c>
      <c r="B156" s="86" t="s">
        <v>532</v>
      </c>
      <c r="C156" s="443">
        <v>184.0</v>
      </c>
      <c r="D156" s="554" t="s">
        <v>42</v>
      </c>
      <c r="E156" s="445">
        <v>45531.0</v>
      </c>
      <c r="F156" s="468" t="s">
        <v>2299</v>
      </c>
      <c r="G156" s="447" t="s">
        <v>17</v>
      </c>
      <c r="H156" s="442" t="s">
        <v>2389</v>
      </c>
      <c r="I156" s="443">
        <v>99.0</v>
      </c>
      <c r="J156" s="554" t="s">
        <v>1762</v>
      </c>
      <c r="K156" s="556" t="s">
        <v>2416</v>
      </c>
      <c r="L156" s="556" t="s">
        <v>1415</v>
      </c>
      <c r="M156" s="554" t="s">
        <v>2336</v>
      </c>
      <c r="N156" s="554" t="s">
        <v>26</v>
      </c>
      <c r="O156" s="556" t="s">
        <v>1919</v>
      </c>
      <c r="P156" s="544"/>
      <c r="Q156" s="544"/>
      <c r="R156" s="544"/>
      <c r="S156" s="477"/>
      <c r="T156" s="477"/>
    </row>
    <row r="157" ht="12.75" customHeight="1">
      <c r="A157" s="556" t="s">
        <v>724</v>
      </c>
      <c r="B157" s="86" t="s">
        <v>532</v>
      </c>
      <c r="C157" s="443">
        <v>185.0</v>
      </c>
      <c r="D157" s="554" t="s">
        <v>20</v>
      </c>
      <c r="E157" s="445">
        <v>45545.0</v>
      </c>
      <c r="F157" s="468" t="s">
        <v>2299</v>
      </c>
      <c r="G157" s="447" t="s">
        <v>17</v>
      </c>
      <c r="H157" s="442" t="s">
        <v>2389</v>
      </c>
      <c r="I157" s="443">
        <v>100.0</v>
      </c>
      <c r="J157" s="554" t="s">
        <v>1764</v>
      </c>
      <c r="K157" s="556" t="s">
        <v>1418</v>
      </c>
      <c r="L157" s="556" t="s">
        <v>1415</v>
      </c>
      <c r="M157" s="554" t="s">
        <v>1416</v>
      </c>
      <c r="N157" s="597"/>
      <c r="O157" s="556" t="s">
        <v>1418</v>
      </c>
      <c r="P157" s="556" t="s">
        <v>2417</v>
      </c>
      <c r="Q157" s="544"/>
      <c r="R157" s="544"/>
      <c r="S157" s="477"/>
      <c r="T157" s="477"/>
    </row>
    <row r="158" ht="12.75" customHeight="1">
      <c r="A158" s="632" t="s">
        <v>112</v>
      </c>
      <c r="B158" s="630" t="s">
        <v>21</v>
      </c>
      <c r="C158" s="631">
        <v>21.0</v>
      </c>
      <c r="D158" s="577" t="s">
        <v>42</v>
      </c>
      <c r="E158" s="442" t="s">
        <v>2418</v>
      </c>
      <c r="F158" s="468" t="s">
        <v>2299</v>
      </c>
      <c r="G158" s="447" t="s">
        <v>17</v>
      </c>
      <c r="H158" s="442" t="s">
        <v>2389</v>
      </c>
      <c r="I158" s="443">
        <v>101.0</v>
      </c>
      <c r="J158" s="554" t="s">
        <v>1767</v>
      </c>
      <c r="K158" s="556" t="s">
        <v>1766</v>
      </c>
      <c r="L158" s="544"/>
      <c r="M158" s="597"/>
      <c r="N158" s="597"/>
      <c r="O158" s="544"/>
      <c r="P158" s="544"/>
      <c r="Q158" s="544"/>
      <c r="R158" s="544"/>
      <c r="S158" s="477"/>
      <c r="T158" s="477"/>
    </row>
    <row r="159" ht="12.75" customHeight="1">
      <c r="A159" s="556" t="s">
        <v>1409</v>
      </c>
      <c r="B159" s="442" t="s">
        <v>15</v>
      </c>
      <c r="C159" s="443">
        <v>0.0</v>
      </c>
      <c r="D159" s="554" t="s">
        <v>1163</v>
      </c>
      <c r="E159" s="442" t="s">
        <v>2419</v>
      </c>
      <c r="F159" s="468" t="s">
        <v>2299</v>
      </c>
      <c r="G159" s="447" t="s">
        <v>17</v>
      </c>
      <c r="H159" s="442" t="s">
        <v>2389</v>
      </c>
      <c r="I159" s="443">
        <v>102.0</v>
      </c>
      <c r="J159" s="527" t="s">
        <v>2420</v>
      </c>
      <c r="K159" s="556"/>
      <c r="L159" s="556" t="s">
        <v>1415</v>
      </c>
      <c r="M159" s="554" t="s">
        <v>1416</v>
      </c>
      <c r="N159" s="554"/>
      <c r="O159" s="556" t="s">
        <v>1919</v>
      </c>
      <c r="P159" s="556" t="s">
        <v>2421</v>
      </c>
      <c r="Q159" s="544"/>
      <c r="R159" s="544"/>
      <c r="S159" s="477"/>
      <c r="T159" s="477"/>
    </row>
    <row r="160" ht="12.75" customHeight="1">
      <c r="A160" s="556" t="s">
        <v>1181</v>
      </c>
      <c r="B160" s="442" t="s">
        <v>15</v>
      </c>
      <c r="C160" s="443">
        <v>0.0</v>
      </c>
      <c r="D160" s="554" t="s">
        <v>1163</v>
      </c>
      <c r="E160" s="445">
        <v>45567.0</v>
      </c>
      <c r="F160" s="468" t="s">
        <v>2299</v>
      </c>
      <c r="G160" s="447" t="s">
        <v>17</v>
      </c>
      <c r="H160" s="442" t="s">
        <v>2389</v>
      </c>
      <c r="I160" s="443">
        <v>103.0</v>
      </c>
      <c r="J160" s="527" t="s">
        <v>1773</v>
      </c>
      <c r="K160" s="556" t="s">
        <v>1772</v>
      </c>
      <c r="L160" s="556" t="s">
        <v>1415</v>
      </c>
      <c r="M160" s="554" t="s">
        <v>2336</v>
      </c>
      <c r="N160" s="554" t="s">
        <v>1409</v>
      </c>
      <c r="O160" s="544"/>
      <c r="P160" s="544"/>
      <c r="Q160" s="544"/>
      <c r="R160" s="544"/>
      <c r="S160" s="477"/>
      <c r="T160" s="477"/>
    </row>
    <row r="161" ht="12.75" customHeight="1">
      <c r="A161" s="44" t="s">
        <v>2422</v>
      </c>
      <c r="B161" s="687" t="s">
        <v>532</v>
      </c>
      <c r="C161" s="68">
        <v>202.0</v>
      </c>
      <c r="E161" s="79">
        <v>45579.0</v>
      </c>
      <c r="F161" s="44" t="s">
        <v>2299</v>
      </c>
      <c r="G161" s="447" t="s">
        <v>17</v>
      </c>
      <c r="H161" s="442" t="s">
        <v>2389</v>
      </c>
      <c r="I161" s="443">
        <v>104.0</v>
      </c>
      <c r="J161" s="698" t="s">
        <v>1777</v>
      </c>
      <c r="K161" s="570" t="s">
        <v>2423</v>
      </c>
      <c r="L161" s="556" t="s">
        <v>1415</v>
      </c>
      <c r="M161" s="554" t="s">
        <v>1416</v>
      </c>
      <c r="N161" s="554" t="s">
        <v>1539</v>
      </c>
      <c r="O161" s="556" t="s">
        <v>1919</v>
      </c>
      <c r="P161" s="544"/>
      <c r="Q161" s="544"/>
      <c r="R161" s="544"/>
      <c r="S161" s="477"/>
      <c r="T161" s="477"/>
    </row>
    <row r="162" ht="12.75" customHeight="1">
      <c r="A162" s="544"/>
      <c r="B162" s="687" t="s">
        <v>532</v>
      </c>
      <c r="C162" s="699">
        <v>203.0</v>
      </c>
      <c r="D162" s="597"/>
      <c r="E162" s="455"/>
      <c r="F162" s="446"/>
      <c r="G162" s="700"/>
      <c r="H162" s="453"/>
      <c r="I162" s="454"/>
      <c r="J162" s="698"/>
      <c r="K162" s="697"/>
      <c r="L162" s="544"/>
      <c r="M162" s="597"/>
      <c r="N162" s="597"/>
      <c r="O162" s="544"/>
      <c r="P162" s="544"/>
      <c r="Q162" s="544"/>
      <c r="R162" s="544"/>
      <c r="S162" s="477"/>
      <c r="T162" s="477"/>
    </row>
    <row r="163" ht="12.75" customHeight="1">
      <c r="A163" s="544"/>
      <c r="B163" s="687" t="s">
        <v>532</v>
      </c>
      <c r="C163" s="699">
        <v>204.0</v>
      </c>
      <c r="D163" s="597"/>
      <c r="E163" s="455"/>
      <c r="F163" s="446"/>
      <c r="G163" s="700"/>
      <c r="H163" s="453"/>
      <c r="I163" s="454"/>
      <c r="J163" s="701"/>
      <c r="K163" s="626"/>
      <c r="L163" s="544"/>
      <c r="M163" s="597"/>
      <c r="N163" s="597"/>
      <c r="O163" s="544"/>
      <c r="P163" s="544"/>
      <c r="Q163" s="544"/>
      <c r="R163" s="544"/>
      <c r="S163" s="477"/>
      <c r="T163" s="477"/>
    </row>
    <row r="164" ht="12.75" customHeight="1">
      <c r="A164" s="556" t="s">
        <v>795</v>
      </c>
      <c r="B164" s="687" t="s">
        <v>532</v>
      </c>
      <c r="C164" s="443">
        <v>219.0</v>
      </c>
      <c r="D164" s="554" t="s">
        <v>20</v>
      </c>
      <c r="E164" s="79">
        <v>45609.0</v>
      </c>
      <c r="F164" s="44" t="s">
        <v>2299</v>
      </c>
      <c r="G164" s="447" t="s">
        <v>17</v>
      </c>
      <c r="H164" s="442" t="s">
        <v>2389</v>
      </c>
      <c r="I164" s="443">
        <v>105.0</v>
      </c>
      <c r="J164" s="554" t="s">
        <v>2424</v>
      </c>
      <c r="K164" s="544"/>
      <c r="L164" s="556" t="s">
        <v>1415</v>
      </c>
      <c r="M164" s="554" t="s">
        <v>1416</v>
      </c>
      <c r="N164" s="554" t="s">
        <v>1602</v>
      </c>
      <c r="O164" s="556" t="s">
        <v>1919</v>
      </c>
      <c r="P164" s="556" t="s">
        <v>2421</v>
      </c>
      <c r="Q164" s="544"/>
      <c r="R164" s="544"/>
      <c r="S164" s="477"/>
      <c r="T164" s="477"/>
    </row>
    <row r="165" ht="12.75" customHeight="1">
      <c r="A165" s="556" t="s">
        <v>2425</v>
      </c>
      <c r="B165" s="687" t="s">
        <v>532</v>
      </c>
      <c r="C165" s="702" t="s">
        <v>2426</v>
      </c>
      <c r="D165" s="554" t="s">
        <v>20</v>
      </c>
      <c r="E165" s="455"/>
      <c r="F165" s="446"/>
      <c r="G165" s="447" t="s">
        <v>1902</v>
      </c>
      <c r="H165" s="442" t="s">
        <v>2389</v>
      </c>
      <c r="I165" s="443">
        <v>106.0</v>
      </c>
      <c r="J165" s="554" t="s">
        <v>1784</v>
      </c>
      <c r="K165" s="553" t="s">
        <v>1783</v>
      </c>
      <c r="L165" s="556" t="s">
        <v>1415</v>
      </c>
      <c r="M165" s="597"/>
      <c r="N165" s="597"/>
      <c r="O165" s="544"/>
      <c r="P165" s="544"/>
      <c r="Q165" s="544"/>
      <c r="R165" s="544"/>
      <c r="S165" s="477"/>
      <c r="T165" s="477"/>
    </row>
    <row r="166" ht="12.75" customHeight="1">
      <c r="A166" s="556"/>
      <c r="B166" s="453"/>
      <c r="C166" s="525"/>
      <c r="D166" s="554"/>
      <c r="E166" s="455"/>
      <c r="F166" s="446"/>
      <c r="G166" s="447"/>
      <c r="H166" s="453"/>
      <c r="I166" s="454"/>
      <c r="J166" s="597"/>
      <c r="K166" s="544"/>
      <c r="L166" s="544"/>
      <c r="M166" s="597"/>
      <c r="N166" s="597"/>
      <c r="O166" s="544"/>
      <c r="P166" s="544"/>
      <c r="Q166" s="544"/>
      <c r="R166" s="544"/>
      <c r="S166" s="477"/>
      <c r="T166" s="477"/>
    </row>
    <row r="167" ht="12.75" customHeight="1">
      <c r="A167" s="544"/>
      <c r="B167" s="544"/>
      <c r="C167" s="454"/>
      <c r="D167" s="597"/>
      <c r="E167" s="455"/>
      <c r="F167" s="446"/>
      <c r="G167" s="700"/>
      <c r="H167" s="453"/>
      <c r="I167" s="454"/>
      <c r="J167" s="597"/>
      <c r="K167" s="544"/>
      <c r="L167" s="544"/>
      <c r="M167" s="597"/>
      <c r="N167" s="597"/>
      <c r="O167" s="544"/>
      <c r="P167" s="544"/>
      <c r="Q167" s="544"/>
      <c r="R167" s="544"/>
      <c r="S167" s="477"/>
      <c r="T167" s="477"/>
    </row>
    <row r="168" ht="12.75" customHeight="1">
      <c r="A168" s="544"/>
      <c r="B168" s="544"/>
      <c r="C168" s="454"/>
      <c r="D168" s="597"/>
      <c r="E168" s="455"/>
      <c r="F168" s="446"/>
      <c r="G168" s="700"/>
      <c r="H168" s="453"/>
      <c r="I168" s="454"/>
      <c r="J168" s="597"/>
      <c r="K168" s="544"/>
      <c r="L168" s="544"/>
      <c r="M168" s="597"/>
      <c r="N168" s="597"/>
      <c r="O168" s="544"/>
      <c r="P168" s="544"/>
      <c r="Q168" s="544"/>
      <c r="R168" s="544"/>
      <c r="S168" s="477"/>
      <c r="T168" s="477"/>
    </row>
    <row r="169" ht="12.75" customHeight="1">
      <c r="A169" s="544"/>
      <c r="B169" s="544"/>
      <c r="C169" s="454"/>
      <c r="D169" s="597"/>
      <c r="E169" s="455"/>
      <c r="F169" s="446"/>
      <c r="G169" s="700"/>
      <c r="H169" s="453"/>
      <c r="I169" s="454"/>
      <c r="J169" s="597"/>
      <c r="K169" s="544"/>
      <c r="L169" s="544"/>
      <c r="M169" s="597"/>
      <c r="N169" s="597"/>
      <c r="O169" s="544"/>
      <c r="P169" s="544"/>
      <c r="Q169" s="544"/>
      <c r="R169" s="544"/>
      <c r="S169" s="477"/>
      <c r="T169" s="477"/>
    </row>
    <row r="170" ht="12.75" customHeight="1">
      <c r="A170" s="544"/>
      <c r="B170" s="544"/>
      <c r="C170" s="454"/>
      <c r="D170" s="597"/>
      <c r="E170" s="455"/>
      <c r="F170" s="446"/>
      <c r="G170" s="700"/>
      <c r="H170" s="453"/>
      <c r="I170" s="454"/>
      <c r="J170" s="597"/>
      <c r="K170" s="544"/>
      <c r="L170" s="544"/>
      <c r="M170" s="597"/>
      <c r="N170" s="597"/>
      <c r="O170" s="544"/>
      <c r="P170" s="544"/>
      <c r="Q170" s="544"/>
      <c r="R170" s="544"/>
      <c r="S170" s="477"/>
      <c r="T170" s="477"/>
    </row>
    <row r="171" ht="12.75" customHeight="1">
      <c r="A171" s="544"/>
      <c r="B171" s="544"/>
      <c r="C171" s="454"/>
      <c r="D171" s="597"/>
      <c r="E171" s="455"/>
      <c r="F171" s="446"/>
      <c r="G171" s="700"/>
      <c r="H171" s="453"/>
      <c r="I171" s="454"/>
      <c r="J171" s="597"/>
      <c r="K171" s="544"/>
      <c r="L171" s="544"/>
      <c r="M171" s="597"/>
      <c r="N171" s="597"/>
      <c r="O171" s="544"/>
      <c r="P171" s="544"/>
      <c r="Q171" s="544"/>
      <c r="R171" s="544"/>
      <c r="S171" s="477"/>
      <c r="T171" s="477"/>
    </row>
    <row r="172" ht="12.75" customHeight="1">
      <c r="A172" s="544"/>
      <c r="B172" s="544"/>
      <c r="C172" s="454"/>
      <c r="D172" s="597"/>
      <c r="E172" s="455"/>
      <c r="F172" s="446"/>
      <c r="G172" s="700"/>
      <c r="H172" s="453"/>
      <c r="I172" s="454"/>
      <c r="J172" s="597"/>
      <c r="K172" s="544"/>
      <c r="L172" s="544"/>
      <c r="M172" s="597"/>
      <c r="N172" s="597"/>
      <c r="O172" s="544"/>
      <c r="P172" s="544"/>
      <c r="Q172" s="544"/>
      <c r="R172" s="544"/>
      <c r="S172" s="477"/>
      <c r="T172" s="477"/>
    </row>
    <row r="173" ht="12.75" customHeight="1">
      <c r="A173" s="544"/>
      <c r="B173" s="544"/>
      <c r="C173" s="454"/>
      <c r="D173" s="597"/>
      <c r="E173" s="455"/>
      <c r="F173" s="446"/>
      <c r="G173" s="700"/>
      <c r="H173" s="453"/>
      <c r="I173" s="454"/>
      <c r="J173" s="597"/>
      <c r="K173" s="544"/>
      <c r="L173" s="544"/>
      <c r="M173" s="597"/>
      <c r="N173" s="597"/>
      <c r="O173" s="544"/>
      <c r="P173" s="544"/>
      <c r="Q173" s="544"/>
      <c r="R173" s="544"/>
      <c r="S173" s="477"/>
      <c r="T173" s="477"/>
    </row>
    <row r="174" ht="12.75" customHeight="1">
      <c r="A174" s="544"/>
      <c r="B174" s="544"/>
      <c r="C174" s="454"/>
      <c r="D174" s="597"/>
      <c r="E174" s="455"/>
      <c r="F174" s="446"/>
      <c r="G174" s="700"/>
      <c r="H174" s="453"/>
      <c r="I174" s="454"/>
      <c r="J174" s="597"/>
      <c r="K174" s="544"/>
      <c r="L174" s="544"/>
      <c r="M174" s="597"/>
      <c r="N174" s="597"/>
      <c r="O174" s="544"/>
      <c r="P174" s="544"/>
      <c r="Q174" s="544"/>
      <c r="R174" s="544"/>
      <c r="S174" s="477"/>
      <c r="T174" s="477"/>
    </row>
    <row r="175" ht="12.75" customHeight="1">
      <c r="A175" s="544"/>
      <c r="B175" s="544"/>
      <c r="C175" s="454"/>
      <c r="D175" s="597"/>
      <c r="E175" s="455"/>
      <c r="F175" s="446"/>
      <c r="G175" s="700"/>
      <c r="H175" s="453"/>
      <c r="I175" s="454"/>
      <c r="J175" s="597"/>
      <c r="K175" s="544"/>
      <c r="L175" s="544"/>
      <c r="M175" s="597"/>
      <c r="N175" s="597"/>
      <c r="O175" s="544"/>
      <c r="P175" s="544"/>
      <c r="Q175" s="544"/>
      <c r="R175" s="544"/>
      <c r="S175" s="477"/>
      <c r="T175" s="477"/>
    </row>
    <row r="176" ht="12.75" customHeight="1">
      <c r="A176" s="544"/>
      <c r="B176" s="544"/>
      <c r="C176" s="454"/>
      <c r="D176" s="597"/>
      <c r="E176" s="455"/>
      <c r="F176" s="446"/>
      <c r="G176" s="700"/>
      <c r="H176" s="453"/>
      <c r="I176" s="454"/>
      <c r="J176" s="597"/>
      <c r="K176" s="544"/>
      <c r="L176" s="544"/>
      <c r="M176" s="597"/>
      <c r="N176" s="597"/>
      <c r="O176" s="544"/>
      <c r="P176" s="544"/>
      <c r="Q176" s="544"/>
      <c r="R176" s="544"/>
      <c r="S176" s="477"/>
      <c r="T176" s="477"/>
    </row>
    <row r="177" ht="12.75" customHeight="1">
      <c r="A177" s="544"/>
      <c r="B177" s="544"/>
      <c r="C177" s="454"/>
      <c r="D177" s="597"/>
      <c r="E177" s="455"/>
      <c r="F177" s="446"/>
      <c r="G177" s="700"/>
      <c r="H177" s="453"/>
      <c r="I177" s="454"/>
      <c r="J177" s="597"/>
      <c r="K177" s="544"/>
      <c r="L177" s="544"/>
      <c r="M177" s="597"/>
      <c r="N177" s="597"/>
      <c r="O177" s="544"/>
      <c r="P177" s="544"/>
      <c r="Q177" s="544"/>
      <c r="R177" s="544"/>
      <c r="S177" s="477"/>
      <c r="T177" s="477"/>
    </row>
    <row r="178" ht="12.75" customHeight="1">
      <c r="A178" s="544"/>
      <c r="B178" s="544"/>
      <c r="C178" s="454"/>
      <c r="D178" s="597"/>
      <c r="E178" s="455"/>
      <c r="F178" s="446"/>
      <c r="G178" s="700"/>
      <c r="H178" s="453"/>
      <c r="I178" s="454"/>
      <c r="J178" s="597"/>
      <c r="K178" s="544"/>
      <c r="L178" s="544"/>
      <c r="M178" s="597"/>
      <c r="N178" s="597"/>
      <c r="O178" s="544"/>
      <c r="P178" s="544"/>
      <c r="Q178" s="544"/>
      <c r="R178" s="544"/>
      <c r="S178" s="477"/>
      <c r="T178" s="477"/>
    </row>
    <row r="179" ht="12.75" customHeight="1">
      <c r="A179" s="544"/>
      <c r="B179" s="544"/>
      <c r="C179" s="454"/>
      <c r="D179" s="597"/>
      <c r="E179" s="455"/>
      <c r="F179" s="446"/>
      <c r="G179" s="700"/>
      <c r="H179" s="453"/>
      <c r="I179" s="454"/>
      <c r="J179" s="597"/>
      <c r="K179" s="544"/>
      <c r="L179" s="544"/>
      <c r="M179" s="597"/>
      <c r="N179" s="597"/>
      <c r="O179" s="544"/>
      <c r="P179" s="544"/>
      <c r="Q179" s="544"/>
      <c r="R179" s="544"/>
      <c r="S179" s="477"/>
      <c r="T179" s="477"/>
    </row>
    <row r="180" ht="12.75" customHeight="1">
      <c r="A180" s="544"/>
      <c r="B180" s="544"/>
      <c r="C180" s="454"/>
      <c r="D180" s="597"/>
      <c r="E180" s="455"/>
      <c r="F180" s="446"/>
      <c r="G180" s="700"/>
      <c r="H180" s="453"/>
      <c r="I180" s="454"/>
      <c r="J180" s="597"/>
      <c r="K180" s="544"/>
      <c r="L180" s="544"/>
      <c r="M180" s="597"/>
      <c r="N180" s="597"/>
      <c r="O180" s="544"/>
      <c r="P180" s="544"/>
      <c r="Q180" s="544"/>
      <c r="R180" s="544"/>
      <c r="S180" s="477"/>
      <c r="T180" s="477"/>
    </row>
    <row r="181" ht="12.75" customHeight="1">
      <c r="A181" s="544"/>
      <c r="B181" s="544"/>
      <c r="C181" s="703"/>
      <c r="D181" s="597"/>
      <c r="E181" s="455"/>
      <c r="F181" s="446"/>
      <c r="G181" s="700"/>
      <c r="H181" s="453"/>
      <c r="I181" s="454"/>
      <c r="J181" s="597"/>
      <c r="K181" s="544"/>
      <c r="L181" s="544"/>
      <c r="M181" s="597"/>
      <c r="N181" s="597"/>
      <c r="O181" s="544"/>
      <c r="P181" s="544"/>
      <c r="Q181" s="544"/>
      <c r="R181" s="544"/>
      <c r="S181" s="477"/>
      <c r="T181" s="477"/>
    </row>
    <row r="182" ht="12.75" customHeight="1">
      <c r="A182" s="544"/>
      <c r="B182" s="544"/>
      <c r="C182" s="703"/>
      <c r="D182" s="597"/>
      <c r="E182" s="455"/>
      <c r="F182" s="446"/>
      <c r="G182" s="700"/>
      <c r="H182" s="453"/>
      <c r="I182" s="454"/>
      <c r="J182" s="597"/>
      <c r="K182" s="544"/>
      <c r="L182" s="544"/>
      <c r="M182" s="597"/>
      <c r="N182" s="597"/>
      <c r="O182" s="544"/>
      <c r="P182" s="544"/>
      <c r="Q182" s="544"/>
      <c r="R182" s="544"/>
      <c r="S182" s="477"/>
      <c r="T182" s="477"/>
    </row>
    <row r="183" ht="12.75" customHeight="1">
      <c r="A183" s="544"/>
      <c r="B183" s="544"/>
      <c r="C183" s="703"/>
      <c r="D183" s="597"/>
      <c r="E183" s="455"/>
      <c r="F183" s="446"/>
      <c r="G183" s="700"/>
      <c r="H183" s="453"/>
      <c r="I183" s="454"/>
      <c r="J183" s="597"/>
      <c r="K183" s="544"/>
      <c r="L183" s="544"/>
      <c r="M183" s="597"/>
      <c r="N183" s="597"/>
      <c r="O183" s="544"/>
      <c r="P183" s="544"/>
      <c r="Q183" s="544"/>
      <c r="R183" s="544"/>
      <c r="S183" s="477"/>
      <c r="T183" s="477"/>
    </row>
    <row r="184" ht="12.75" customHeight="1">
      <c r="A184" s="544"/>
      <c r="B184" s="544"/>
      <c r="C184" s="703"/>
      <c r="D184" s="597"/>
      <c r="E184" s="455"/>
      <c r="F184" s="446"/>
      <c r="G184" s="700"/>
      <c r="H184" s="453"/>
      <c r="I184" s="454"/>
      <c r="J184" s="597"/>
      <c r="K184" s="544"/>
      <c r="L184" s="544"/>
      <c r="M184" s="597"/>
      <c r="N184" s="597"/>
      <c r="O184" s="544"/>
      <c r="P184" s="544"/>
      <c r="Q184" s="544"/>
      <c r="R184" s="544"/>
      <c r="S184" s="477"/>
      <c r="T184" s="477"/>
    </row>
    <row r="185" ht="12.75" customHeight="1">
      <c r="A185" s="544"/>
      <c r="B185" s="544"/>
      <c r="C185" s="703"/>
      <c r="D185" s="597"/>
      <c r="E185" s="455"/>
      <c r="F185" s="446"/>
      <c r="G185" s="700"/>
      <c r="H185" s="453"/>
      <c r="I185" s="454"/>
      <c r="J185" s="597"/>
      <c r="K185" s="544"/>
      <c r="L185" s="544"/>
      <c r="M185" s="597"/>
      <c r="N185" s="597"/>
      <c r="O185" s="544"/>
      <c r="P185" s="544"/>
      <c r="Q185" s="544"/>
      <c r="R185" s="544"/>
      <c r="S185" s="477"/>
      <c r="T185" s="477"/>
    </row>
    <row r="186" ht="12.75" customHeight="1">
      <c r="A186" s="544"/>
      <c r="B186" s="544"/>
      <c r="C186" s="703"/>
      <c r="D186" s="597"/>
      <c r="E186" s="455"/>
      <c r="F186" s="446"/>
      <c r="G186" s="700"/>
      <c r="H186" s="453"/>
      <c r="I186" s="454"/>
      <c r="J186" s="597"/>
      <c r="K186" s="544"/>
      <c r="L186" s="544"/>
      <c r="M186" s="597"/>
      <c r="N186" s="597"/>
      <c r="O186" s="544"/>
      <c r="P186" s="544"/>
      <c r="Q186" s="544"/>
      <c r="R186" s="544"/>
      <c r="S186" s="477"/>
      <c r="T186" s="477"/>
    </row>
    <row r="187" ht="12.75" customHeight="1">
      <c r="A187" s="544"/>
      <c r="B187" s="544"/>
      <c r="C187" s="703"/>
      <c r="D187" s="597"/>
      <c r="E187" s="455"/>
      <c r="F187" s="446"/>
      <c r="G187" s="700"/>
      <c r="H187" s="453"/>
      <c r="I187" s="454"/>
      <c r="J187" s="597"/>
      <c r="K187" s="544"/>
      <c r="L187" s="544"/>
      <c r="M187" s="597"/>
      <c r="N187" s="597"/>
      <c r="O187" s="544"/>
      <c r="P187" s="544"/>
      <c r="Q187" s="544"/>
      <c r="R187" s="544"/>
      <c r="S187" s="477"/>
      <c r="T187" s="477"/>
    </row>
    <row r="188" ht="12.75" customHeight="1">
      <c r="A188" s="544"/>
      <c r="B188" s="544"/>
      <c r="C188" s="703"/>
      <c r="D188" s="597"/>
      <c r="E188" s="455"/>
      <c r="F188" s="446"/>
      <c r="G188" s="700"/>
      <c r="H188" s="453"/>
      <c r="I188" s="454"/>
      <c r="J188" s="597"/>
      <c r="K188" s="544"/>
      <c r="L188" s="544"/>
      <c r="M188" s="597"/>
      <c r="N188" s="597"/>
      <c r="O188" s="544"/>
      <c r="P188" s="544"/>
      <c r="Q188" s="544"/>
      <c r="R188" s="544"/>
      <c r="S188" s="477"/>
      <c r="T188" s="477"/>
    </row>
    <row r="189" ht="12.75" customHeight="1">
      <c r="A189" s="544"/>
      <c r="B189" s="544"/>
      <c r="C189" s="703"/>
      <c r="D189" s="597"/>
      <c r="E189" s="455"/>
      <c r="F189" s="446"/>
      <c r="G189" s="700"/>
      <c r="H189" s="453"/>
      <c r="I189" s="454"/>
      <c r="J189" s="597"/>
      <c r="K189" s="544"/>
      <c r="L189" s="544"/>
      <c r="M189" s="597"/>
      <c r="N189" s="597"/>
      <c r="O189" s="544"/>
      <c r="P189" s="544"/>
      <c r="Q189" s="544"/>
      <c r="R189" s="544"/>
      <c r="S189" s="477"/>
      <c r="T189" s="477"/>
    </row>
    <row r="190" ht="12.75" customHeight="1">
      <c r="A190" s="544"/>
      <c r="B190" s="544"/>
      <c r="C190" s="703"/>
      <c r="D190" s="597"/>
      <c r="E190" s="455"/>
      <c r="F190" s="446"/>
      <c r="G190" s="700"/>
      <c r="H190" s="453"/>
      <c r="I190" s="454"/>
      <c r="J190" s="597"/>
      <c r="K190" s="544"/>
      <c r="L190" s="544"/>
      <c r="M190" s="597"/>
      <c r="N190" s="597"/>
      <c r="O190" s="544"/>
      <c r="P190" s="544"/>
      <c r="Q190" s="544"/>
      <c r="R190" s="544"/>
      <c r="S190" s="477"/>
      <c r="T190" s="477"/>
    </row>
    <row r="191" ht="12.75" customHeight="1">
      <c r="A191" s="544"/>
      <c r="B191" s="544"/>
      <c r="C191" s="703"/>
      <c r="D191" s="597"/>
      <c r="E191" s="455"/>
      <c r="F191" s="446"/>
      <c r="G191" s="700"/>
      <c r="H191" s="453"/>
      <c r="I191" s="454"/>
      <c r="J191" s="597"/>
      <c r="K191" s="544"/>
      <c r="L191" s="544"/>
      <c r="M191" s="597"/>
      <c r="N191" s="597"/>
      <c r="O191" s="544"/>
      <c r="P191" s="544"/>
      <c r="Q191" s="544"/>
      <c r="R191" s="544"/>
      <c r="S191" s="477"/>
      <c r="T191" s="477"/>
    </row>
    <row r="192" ht="12.75" customHeight="1">
      <c r="A192" s="544"/>
      <c r="B192" s="544"/>
      <c r="C192" s="703"/>
      <c r="D192" s="597"/>
      <c r="E192" s="455"/>
      <c r="F192" s="446"/>
      <c r="G192" s="700"/>
      <c r="H192" s="453"/>
      <c r="I192" s="454"/>
      <c r="J192" s="597"/>
      <c r="K192" s="544"/>
      <c r="L192" s="544"/>
      <c r="M192" s="597"/>
      <c r="N192" s="597"/>
      <c r="O192" s="544"/>
      <c r="P192" s="544"/>
      <c r="Q192" s="544"/>
      <c r="R192" s="544"/>
      <c r="S192" s="477"/>
      <c r="T192" s="477"/>
    </row>
    <row r="193" ht="12.75" customHeight="1">
      <c r="A193" s="544"/>
      <c r="B193" s="544"/>
      <c r="C193" s="703"/>
      <c r="D193" s="597"/>
      <c r="E193" s="455"/>
      <c r="F193" s="446"/>
      <c r="G193" s="700"/>
      <c r="H193" s="453"/>
      <c r="I193" s="454"/>
      <c r="J193" s="597"/>
      <c r="K193" s="544"/>
      <c r="L193" s="544"/>
      <c r="M193" s="597"/>
      <c r="N193" s="597"/>
      <c r="O193" s="544"/>
      <c r="P193" s="544"/>
      <c r="Q193" s="544"/>
      <c r="R193" s="544"/>
      <c r="S193" s="477"/>
      <c r="T193" s="477"/>
    </row>
    <row r="194" ht="12.75" customHeight="1">
      <c r="A194" s="544"/>
      <c r="B194" s="544"/>
      <c r="C194" s="703"/>
      <c r="D194" s="597"/>
      <c r="E194" s="455"/>
      <c r="F194" s="446"/>
      <c r="G194" s="700"/>
      <c r="H194" s="453"/>
      <c r="I194" s="454"/>
      <c r="J194" s="597"/>
      <c r="K194" s="544"/>
      <c r="L194" s="544"/>
      <c r="M194" s="597"/>
      <c r="N194" s="597"/>
      <c r="O194" s="544"/>
      <c r="P194" s="544"/>
      <c r="Q194" s="544"/>
      <c r="R194" s="544"/>
      <c r="S194" s="477"/>
      <c r="T194" s="477"/>
    </row>
    <row r="195" ht="12.75" customHeight="1">
      <c r="A195" s="544"/>
      <c r="B195" s="544"/>
      <c r="C195" s="703"/>
      <c r="D195" s="597"/>
      <c r="E195" s="455"/>
      <c r="F195" s="446"/>
      <c r="G195" s="700"/>
      <c r="H195" s="453"/>
      <c r="I195" s="454"/>
      <c r="J195" s="597"/>
      <c r="K195" s="544"/>
      <c r="L195" s="544"/>
      <c r="M195" s="597"/>
      <c r="N195" s="597"/>
      <c r="O195" s="544"/>
      <c r="P195" s="544"/>
      <c r="Q195" s="544"/>
      <c r="R195" s="544"/>
      <c r="S195" s="477"/>
      <c r="T195" s="477"/>
    </row>
    <row r="196" ht="12.75" customHeight="1">
      <c r="A196" s="544"/>
      <c r="B196" s="544"/>
      <c r="C196" s="703"/>
      <c r="D196" s="597"/>
      <c r="E196" s="455"/>
      <c r="F196" s="446"/>
      <c r="G196" s="700"/>
      <c r="H196" s="453"/>
      <c r="I196" s="454"/>
      <c r="J196" s="597"/>
      <c r="K196" s="544"/>
      <c r="L196" s="544"/>
      <c r="M196" s="597"/>
      <c r="N196" s="597"/>
      <c r="O196" s="544"/>
      <c r="P196" s="544"/>
      <c r="Q196" s="544"/>
      <c r="R196" s="544"/>
      <c r="S196" s="477"/>
      <c r="T196" s="477"/>
    </row>
    <row r="197" ht="12.75" customHeight="1">
      <c r="A197" s="544"/>
      <c r="B197" s="544"/>
      <c r="C197" s="703"/>
      <c r="D197" s="597"/>
      <c r="E197" s="455"/>
      <c r="F197" s="446"/>
      <c r="G197" s="700"/>
      <c r="H197" s="453"/>
      <c r="I197" s="454"/>
      <c r="J197" s="597"/>
      <c r="K197" s="544"/>
      <c r="L197" s="544"/>
      <c r="M197" s="597"/>
      <c r="N197" s="597"/>
      <c r="O197" s="544"/>
      <c r="P197" s="544"/>
      <c r="Q197" s="544"/>
      <c r="R197" s="544"/>
      <c r="S197" s="477"/>
      <c r="T197" s="477"/>
    </row>
    <row r="198" ht="12.75" customHeight="1">
      <c r="A198" s="544"/>
      <c r="B198" s="544"/>
      <c r="C198" s="703"/>
      <c r="D198" s="597"/>
      <c r="E198" s="455"/>
      <c r="F198" s="446"/>
      <c r="G198" s="700"/>
      <c r="H198" s="453"/>
      <c r="I198" s="454"/>
      <c r="J198" s="597"/>
      <c r="K198" s="544"/>
      <c r="L198" s="544"/>
      <c r="M198" s="597"/>
      <c r="N198" s="597"/>
      <c r="O198" s="544"/>
      <c r="P198" s="544"/>
      <c r="Q198" s="544"/>
      <c r="R198" s="544"/>
      <c r="S198" s="477"/>
      <c r="T198" s="477"/>
    </row>
    <row r="199" ht="12.75" customHeight="1">
      <c r="A199" s="544"/>
      <c r="B199" s="544"/>
      <c r="C199" s="703"/>
      <c r="D199" s="597"/>
      <c r="E199" s="455"/>
      <c r="F199" s="446"/>
      <c r="G199" s="700"/>
      <c r="H199" s="453"/>
      <c r="I199" s="454"/>
      <c r="J199" s="597"/>
      <c r="K199" s="544"/>
      <c r="L199" s="544"/>
      <c r="M199" s="597"/>
      <c r="N199" s="597"/>
      <c r="O199" s="544"/>
      <c r="P199" s="544"/>
      <c r="Q199" s="544"/>
      <c r="R199" s="544"/>
      <c r="S199" s="477"/>
      <c r="T199" s="477"/>
    </row>
    <row r="200" ht="12.75" customHeight="1">
      <c r="A200" s="544"/>
      <c r="B200" s="544"/>
      <c r="C200" s="703"/>
      <c r="D200" s="597"/>
      <c r="E200" s="455"/>
      <c r="F200" s="446"/>
      <c r="G200" s="700"/>
      <c r="H200" s="453"/>
      <c r="I200" s="454"/>
      <c r="J200" s="597"/>
      <c r="K200" s="544"/>
      <c r="L200" s="544"/>
      <c r="M200" s="597"/>
      <c r="N200" s="597"/>
      <c r="O200" s="544"/>
      <c r="P200" s="544"/>
      <c r="Q200" s="544"/>
      <c r="R200" s="544"/>
      <c r="S200" s="477"/>
      <c r="T200" s="477"/>
    </row>
    <row r="201" ht="12.75" customHeight="1">
      <c r="A201" s="544"/>
      <c r="B201" s="544"/>
      <c r="C201" s="703"/>
      <c r="D201" s="597"/>
      <c r="E201" s="455"/>
      <c r="F201" s="446"/>
      <c r="G201" s="700"/>
      <c r="H201" s="453"/>
      <c r="I201" s="454"/>
      <c r="J201" s="597"/>
      <c r="K201" s="544"/>
      <c r="L201" s="544"/>
      <c r="M201" s="597"/>
      <c r="N201" s="597"/>
      <c r="O201" s="544"/>
      <c r="P201" s="544"/>
      <c r="Q201" s="544"/>
      <c r="R201" s="544"/>
      <c r="S201" s="477"/>
      <c r="T201" s="477"/>
    </row>
    <row r="202" ht="12.75" customHeight="1">
      <c r="A202" s="544"/>
      <c r="B202" s="544"/>
      <c r="C202" s="703"/>
      <c r="D202" s="597"/>
      <c r="E202" s="455"/>
      <c r="F202" s="446"/>
      <c r="G202" s="700"/>
      <c r="H202" s="453"/>
      <c r="I202" s="454"/>
      <c r="J202" s="597"/>
      <c r="K202" s="544"/>
      <c r="L202" s="544"/>
      <c r="M202" s="597"/>
      <c r="N202" s="597"/>
      <c r="O202" s="544"/>
      <c r="P202" s="544"/>
      <c r="Q202" s="544"/>
      <c r="R202" s="544"/>
      <c r="S202" s="477"/>
      <c r="T202" s="477"/>
    </row>
    <row r="203" ht="12.75" customHeight="1">
      <c r="A203" s="544"/>
      <c r="B203" s="544"/>
      <c r="C203" s="703"/>
      <c r="D203" s="597"/>
      <c r="E203" s="455"/>
      <c r="F203" s="446"/>
      <c r="G203" s="700"/>
      <c r="H203" s="453"/>
      <c r="I203" s="454"/>
      <c r="J203" s="597"/>
      <c r="K203" s="544"/>
      <c r="L203" s="544"/>
      <c r="M203" s="597"/>
      <c r="N203" s="597"/>
      <c r="O203" s="544"/>
      <c r="P203" s="544"/>
      <c r="Q203" s="544"/>
      <c r="R203" s="544"/>
      <c r="S203" s="477"/>
      <c r="T203" s="477"/>
    </row>
    <row r="204" ht="12.75" customHeight="1">
      <c r="A204" s="544"/>
      <c r="B204" s="544"/>
      <c r="C204" s="703"/>
      <c r="D204" s="597"/>
      <c r="E204" s="455"/>
      <c r="F204" s="446"/>
      <c r="G204" s="700"/>
      <c r="H204" s="453"/>
      <c r="I204" s="454"/>
      <c r="J204" s="597"/>
      <c r="K204" s="544"/>
      <c r="L204" s="544"/>
      <c r="M204" s="597"/>
      <c r="N204" s="597"/>
      <c r="O204" s="544"/>
      <c r="P204" s="544"/>
      <c r="Q204" s="544"/>
      <c r="R204" s="544"/>
      <c r="S204" s="477"/>
      <c r="T204" s="477"/>
    </row>
    <row r="205" ht="12.75" customHeight="1">
      <c r="A205" s="544"/>
      <c r="B205" s="544"/>
      <c r="C205" s="703"/>
      <c r="D205" s="597"/>
      <c r="E205" s="455"/>
      <c r="F205" s="446"/>
      <c r="G205" s="700"/>
      <c r="H205" s="453"/>
      <c r="I205" s="454"/>
      <c r="J205" s="597"/>
      <c r="K205" s="544"/>
      <c r="L205" s="544"/>
      <c r="M205" s="597"/>
      <c r="N205" s="597"/>
      <c r="O205" s="544"/>
      <c r="P205" s="544"/>
      <c r="Q205" s="544"/>
      <c r="R205" s="544"/>
      <c r="S205" s="477"/>
      <c r="T205" s="477"/>
    </row>
    <row r="206" ht="12.75" customHeight="1">
      <c r="A206" s="544"/>
      <c r="B206" s="544"/>
      <c r="C206" s="703"/>
      <c r="D206" s="597"/>
      <c r="E206" s="455"/>
      <c r="F206" s="446"/>
      <c r="G206" s="700"/>
      <c r="H206" s="453"/>
      <c r="I206" s="454"/>
      <c r="J206" s="597"/>
      <c r="K206" s="544"/>
      <c r="L206" s="544"/>
      <c r="M206" s="597"/>
      <c r="N206" s="597"/>
      <c r="O206" s="544"/>
      <c r="P206" s="544"/>
      <c r="Q206" s="544"/>
      <c r="R206" s="544"/>
      <c r="S206" s="477"/>
      <c r="T206" s="477"/>
    </row>
    <row r="207" ht="12.75" customHeight="1">
      <c r="A207" s="544"/>
      <c r="B207" s="544"/>
      <c r="C207" s="703"/>
      <c r="D207" s="597"/>
      <c r="E207" s="455"/>
      <c r="F207" s="446"/>
      <c r="G207" s="700"/>
      <c r="H207" s="453"/>
      <c r="I207" s="454"/>
      <c r="J207" s="597"/>
      <c r="K207" s="544"/>
      <c r="L207" s="544"/>
      <c r="M207" s="597"/>
      <c r="N207" s="597"/>
      <c r="O207" s="544"/>
      <c r="P207" s="544"/>
      <c r="Q207" s="544"/>
      <c r="R207" s="544"/>
      <c r="S207" s="477"/>
      <c r="T207" s="477"/>
    </row>
    <row r="208" ht="12.75" customHeight="1">
      <c r="A208" s="544"/>
      <c r="B208" s="544"/>
      <c r="C208" s="703"/>
      <c r="D208" s="597"/>
      <c r="E208" s="455"/>
      <c r="F208" s="446"/>
      <c r="G208" s="700"/>
      <c r="H208" s="453"/>
      <c r="I208" s="454"/>
      <c r="J208" s="597"/>
      <c r="K208" s="544"/>
      <c r="L208" s="544"/>
      <c r="M208" s="597"/>
      <c r="N208" s="597"/>
      <c r="O208" s="544"/>
      <c r="P208" s="544"/>
      <c r="Q208" s="544"/>
      <c r="R208" s="544"/>
      <c r="S208" s="477"/>
      <c r="T208" s="477"/>
    </row>
    <row r="209" ht="12.75" customHeight="1">
      <c r="A209" s="544"/>
      <c r="B209" s="544"/>
      <c r="C209" s="703"/>
      <c r="D209" s="597"/>
      <c r="E209" s="455"/>
      <c r="F209" s="446"/>
      <c r="G209" s="700"/>
      <c r="H209" s="453"/>
      <c r="I209" s="454"/>
      <c r="J209" s="597"/>
      <c r="K209" s="544"/>
      <c r="L209" s="544"/>
      <c r="M209" s="597"/>
      <c r="N209" s="597"/>
      <c r="O209" s="544"/>
      <c r="P209" s="544"/>
      <c r="Q209" s="544"/>
      <c r="R209" s="544"/>
      <c r="S209" s="477"/>
      <c r="T209" s="477"/>
    </row>
    <row r="210" ht="12.75" customHeight="1">
      <c r="A210" s="544"/>
      <c r="B210" s="544"/>
      <c r="C210" s="703"/>
      <c r="D210" s="597"/>
      <c r="E210" s="455"/>
      <c r="F210" s="446"/>
      <c r="G210" s="700"/>
      <c r="H210" s="453"/>
      <c r="I210" s="454"/>
      <c r="J210" s="597"/>
      <c r="K210" s="544"/>
      <c r="L210" s="544"/>
      <c r="M210" s="597"/>
      <c r="N210" s="597"/>
      <c r="O210" s="544"/>
      <c r="P210" s="544"/>
      <c r="Q210" s="544"/>
      <c r="R210" s="544"/>
      <c r="S210" s="477"/>
      <c r="T210" s="477"/>
    </row>
    <row r="211" ht="12.75" customHeight="1">
      <c r="A211" s="544"/>
      <c r="B211" s="544"/>
      <c r="C211" s="703"/>
      <c r="D211" s="597"/>
      <c r="E211" s="455"/>
      <c r="F211" s="446"/>
      <c r="G211" s="700"/>
      <c r="H211" s="453"/>
      <c r="I211" s="454"/>
      <c r="J211" s="597"/>
      <c r="K211" s="544"/>
      <c r="L211" s="544"/>
      <c r="M211" s="597"/>
      <c r="N211" s="597"/>
      <c r="O211" s="544"/>
      <c r="P211" s="544"/>
      <c r="Q211" s="544"/>
      <c r="R211" s="544"/>
      <c r="S211" s="477"/>
      <c r="T211" s="477"/>
    </row>
    <row r="212" ht="12.75" customHeight="1">
      <c r="A212" s="544"/>
      <c r="B212" s="544"/>
      <c r="C212" s="703"/>
      <c r="D212" s="597"/>
      <c r="E212" s="455"/>
      <c r="F212" s="446"/>
      <c r="G212" s="700"/>
      <c r="H212" s="453"/>
      <c r="I212" s="454"/>
      <c r="J212" s="597"/>
      <c r="K212" s="544"/>
      <c r="L212" s="544"/>
      <c r="M212" s="597"/>
      <c r="N212" s="597"/>
      <c r="O212" s="544"/>
      <c r="P212" s="544"/>
      <c r="Q212" s="544"/>
      <c r="R212" s="544"/>
      <c r="S212" s="477"/>
      <c r="T212" s="477"/>
    </row>
    <row r="213" ht="12.75" customHeight="1">
      <c r="A213" s="544"/>
      <c r="B213" s="544"/>
      <c r="C213" s="703"/>
      <c r="D213" s="597"/>
      <c r="E213" s="455"/>
      <c r="F213" s="446"/>
      <c r="G213" s="700"/>
      <c r="H213" s="453"/>
      <c r="I213" s="454"/>
      <c r="J213" s="597"/>
      <c r="K213" s="544"/>
      <c r="L213" s="544"/>
      <c r="M213" s="597"/>
      <c r="N213" s="597"/>
      <c r="O213" s="544"/>
      <c r="P213" s="544"/>
      <c r="Q213" s="544"/>
      <c r="R213" s="544"/>
      <c r="S213" s="477"/>
      <c r="T213" s="477"/>
    </row>
    <row r="214" ht="12.75" customHeight="1">
      <c r="A214" s="544"/>
      <c r="B214" s="544"/>
      <c r="C214" s="703"/>
      <c r="D214" s="597"/>
      <c r="E214" s="455"/>
      <c r="F214" s="446"/>
      <c r="G214" s="700"/>
      <c r="H214" s="453"/>
      <c r="I214" s="454"/>
      <c r="J214" s="597"/>
      <c r="K214" s="544"/>
      <c r="L214" s="544"/>
      <c r="M214" s="597"/>
      <c r="N214" s="597"/>
      <c r="O214" s="544"/>
      <c r="P214" s="544"/>
      <c r="Q214" s="544"/>
      <c r="R214" s="544"/>
      <c r="S214" s="477"/>
      <c r="T214" s="477"/>
    </row>
    <row r="215" ht="12.75" customHeight="1">
      <c r="A215" s="544"/>
      <c r="B215" s="544"/>
      <c r="C215" s="703"/>
      <c r="D215" s="597"/>
      <c r="E215" s="455"/>
      <c r="F215" s="446"/>
      <c r="G215" s="700"/>
      <c r="H215" s="453"/>
      <c r="I215" s="454"/>
      <c r="J215" s="597"/>
      <c r="K215" s="544"/>
      <c r="L215" s="544"/>
      <c r="M215" s="597"/>
      <c r="N215" s="597"/>
      <c r="O215" s="544"/>
      <c r="P215" s="544"/>
      <c r="Q215" s="544"/>
      <c r="R215" s="544"/>
      <c r="S215" s="477"/>
      <c r="T215" s="477"/>
    </row>
    <row r="216" ht="12.75" customHeight="1">
      <c r="A216" s="544"/>
      <c r="B216" s="544"/>
      <c r="C216" s="703"/>
      <c r="D216" s="597"/>
      <c r="E216" s="455"/>
      <c r="F216" s="446"/>
      <c r="G216" s="700"/>
      <c r="H216" s="453"/>
      <c r="I216" s="454"/>
      <c r="J216" s="597"/>
      <c r="K216" s="544"/>
      <c r="L216" s="544"/>
      <c r="M216" s="597"/>
      <c r="N216" s="597"/>
      <c r="O216" s="544"/>
      <c r="P216" s="544"/>
      <c r="Q216" s="544"/>
      <c r="R216" s="544"/>
      <c r="S216" s="477"/>
      <c r="T216" s="477"/>
    </row>
    <row r="217" ht="12.75" customHeight="1">
      <c r="A217" s="544"/>
      <c r="B217" s="544"/>
      <c r="C217" s="703"/>
      <c r="D217" s="597"/>
      <c r="E217" s="455"/>
      <c r="F217" s="446"/>
      <c r="G217" s="700"/>
      <c r="H217" s="453"/>
      <c r="I217" s="454"/>
      <c r="J217" s="597"/>
      <c r="K217" s="544"/>
      <c r="L217" s="544"/>
      <c r="M217" s="597"/>
      <c r="N217" s="597"/>
      <c r="O217" s="544"/>
      <c r="P217" s="544"/>
      <c r="Q217" s="544"/>
      <c r="R217" s="544"/>
      <c r="S217" s="477"/>
      <c r="T217" s="477"/>
    </row>
    <row r="218" ht="12.75" customHeight="1">
      <c r="A218" s="544"/>
      <c r="B218" s="544"/>
      <c r="C218" s="703"/>
      <c r="D218" s="597"/>
      <c r="E218" s="455"/>
      <c r="F218" s="446"/>
      <c r="G218" s="700"/>
      <c r="H218" s="453"/>
      <c r="I218" s="454"/>
      <c r="J218" s="597"/>
      <c r="K218" s="544"/>
      <c r="L218" s="544"/>
      <c r="M218" s="597"/>
      <c r="N218" s="597"/>
      <c r="O218" s="544"/>
      <c r="P218" s="544"/>
      <c r="Q218" s="544"/>
      <c r="R218" s="544"/>
      <c r="S218" s="477"/>
      <c r="T218" s="477"/>
    </row>
    <row r="219" ht="12.75" customHeight="1">
      <c r="A219" s="544"/>
      <c r="B219" s="544"/>
      <c r="C219" s="703"/>
      <c r="D219" s="597"/>
      <c r="E219" s="455"/>
      <c r="F219" s="446"/>
      <c r="G219" s="700"/>
      <c r="H219" s="453"/>
      <c r="I219" s="454"/>
      <c r="J219" s="597"/>
      <c r="K219" s="544"/>
      <c r="L219" s="544"/>
      <c r="M219" s="597"/>
      <c r="N219" s="597"/>
      <c r="O219" s="544"/>
      <c r="P219" s="544"/>
      <c r="Q219" s="544"/>
      <c r="R219" s="544"/>
      <c r="S219" s="477"/>
      <c r="T219" s="477"/>
    </row>
    <row r="220" ht="12.75" customHeight="1">
      <c r="A220" s="544"/>
      <c r="B220" s="544"/>
      <c r="C220" s="703"/>
      <c r="D220" s="597"/>
      <c r="E220" s="455"/>
      <c r="F220" s="446"/>
      <c r="G220" s="700"/>
      <c r="H220" s="453"/>
      <c r="I220" s="454"/>
      <c r="J220" s="597"/>
      <c r="K220" s="544"/>
      <c r="L220" s="544"/>
      <c r="M220" s="597"/>
      <c r="N220" s="597"/>
      <c r="O220" s="544"/>
      <c r="P220" s="544"/>
      <c r="Q220" s="544"/>
      <c r="R220" s="544"/>
      <c r="S220" s="477"/>
      <c r="T220" s="477"/>
    </row>
    <row r="221" ht="12.75" customHeight="1">
      <c r="A221" s="544"/>
      <c r="B221" s="544"/>
      <c r="C221" s="703"/>
      <c r="D221" s="597"/>
      <c r="E221" s="455"/>
      <c r="F221" s="446"/>
      <c r="G221" s="700"/>
      <c r="H221" s="453"/>
      <c r="I221" s="454"/>
      <c r="J221" s="597"/>
      <c r="K221" s="544"/>
      <c r="L221" s="544"/>
      <c r="M221" s="597"/>
      <c r="N221" s="597"/>
      <c r="O221" s="544"/>
      <c r="P221" s="544"/>
      <c r="Q221" s="544"/>
      <c r="R221" s="544"/>
      <c r="S221" s="477"/>
      <c r="T221" s="477"/>
    </row>
    <row r="222" ht="12.75" customHeight="1">
      <c r="A222" s="544"/>
      <c r="B222" s="544"/>
      <c r="C222" s="703"/>
      <c r="D222" s="597"/>
      <c r="E222" s="455"/>
      <c r="F222" s="446"/>
      <c r="G222" s="700"/>
      <c r="H222" s="453"/>
      <c r="I222" s="454"/>
      <c r="J222" s="597"/>
      <c r="K222" s="544"/>
      <c r="L222" s="544"/>
      <c r="M222" s="597"/>
      <c r="N222" s="597"/>
      <c r="O222" s="544"/>
      <c r="P222" s="544"/>
      <c r="Q222" s="544"/>
      <c r="R222" s="544"/>
      <c r="S222" s="477"/>
      <c r="T222" s="477"/>
    </row>
    <row r="223" ht="12.75" customHeight="1">
      <c r="A223" s="544"/>
      <c r="B223" s="544"/>
      <c r="C223" s="703"/>
      <c r="D223" s="597"/>
      <c r="E223" s="455"/>
      <c r="F223" s="446"/>
      <c r="G223" s="700"/>
      <c r="H223" s="453"/>
      <c r="I223" s="454"/>
      <c r="J223" s="597"/>
      <c r="K223" s="544"/>
      <c r="L223" s="544"/>
      <c r="M223" s="597"/>
      <c r="N223" s="597"/>
      <c r="O223" s="544"/>
      <c r="P223" s="544"/>
      <c r="Q223" s="544"/>
      <c r="R223" s="544"/>
      <c r="S223" s="477"/>
      <c r="T223" s="477"/>
    </row>
    <row r="224" ht="12.75" customHeight="1">
      <c r="A224" s="544"/>
      <c r="B224" s="544"/>
      <c r="C224" s="703"/>
      <c r="D224" s="597"/>
      <c r="E224" s="455"/>
      <c r="F224" s="446"/>
      <c r="G224" s="700"/>
      <c r="H224" s="453"/>
      <c r="I224" s="454"/>
      <c r="J224" s="597"/>
      <c r="K224" s="544"/>
      <c r="L224" s="544"/>
      <c r="M224" s="597"/>
      <c r="N224" s="597"/>
      <c r="O224" s="544"/>
      <c r="P224" s="544"/>
      <c r="Q224" s="544"/>
      <c r="R224" s="544"/>
      <c r="S224" s="477"/>
      <c r="T224" s="477"/>
    </row>
    <row r="225" ht="12.75" customHeight="1">
      <c r="A225" s="544"/>
      <c r="B225" s="544"/>
      <c r="C225" s="703"/>
      <c r="D225" s="597"/>
      <c r="E225" s="455"/>
      <c r="F225" s="446"/>
      <c r="G225" s="700"/>
      <c r="H225" s="453"/>
      <c r="I225" s="454"/>
      <c r="J225" s="597"/>
      <c r="K225" s="544"/>
      <c r="L225" s="544"/>
      <c r="M225" s="597"/>
      <c r="N225" s="597"/>
      <c r="O225" s="544"/>
      <c r="P225" s="544"/>
      <c r="Q225" s="544"/>
      <c r="R225" s="544"/>
      <c r="S225" s="477"/>
      <c r="T225" s="477"/>
    </row>
    <row r="226" ht="12.75" customHeight="1">
      <c r="A226" s="544"/>
      <c r="B226" s="544"/>
      <c r="C226" s="703"/>
      <c r="D226" s="597"/>
      <c r="E226" s="455"/>
      <c r="F226" s="446"/>
      <c r="G226" s="700"/>
      <c r="H226" s="453"/>
      <c r="I226" s="454"/>
      <c r="J226" s="597"/>
      <c r="K226" s="544"/>
      <c r="L226" s="544"/>
      <c r="M226" s="597"/>
      <c r="N226" s="597"/>
      <c r="O226" s="544"/>
      <c r="P226" s="544"/>
      <c r="Q226" s="544"/>
      <c r="R226" s="544"/>
      <c r="S226" s="477"/>
      <c r="T226" s="477"/>
    </row>
    <row r="227" ht="12.75" customHeight="1">
      <c r="A227" s="544"/>
      <c r="B227" s="544"/>
      <c r="C227" s="703"/>
      <c r="D227" s="597"/>
      <c r="E227" s="455"/>
      <c r="F227" s="446"/>
      <c r="G227" s="700"/>
      <c r="H227" s="453"/>
      <c r="I227" s="454"/>
      <c r="J227" s="597"/>
      <c r="K227" s="544"/>
      <c r="L227" s="544"/>
      <c r="M227" s="597"/>
      <c r="N227" s="597"/>
      <c r="O227" s="544"/>
      <c r="P227" s="544"/>
      <c r="Q227" s="544"/>
      <c r="R227" s="544"/>
      <c r="S227" s="477"/>
      <c r="T227" s="477"/>
    </row>
    <row r="228" ht="12.75" customHeight="1">
      <c r="A228" s="544"/>
      <c r="B228" s="544"/>
      <c r="C228" s="703"/>
      <c r="D228" s="597"/>
      <c r="E228" s="455"/>
      <c r="F228" s="446"/>
      <c r="G228" s="700"/>
      <c r="H228" s="453"/>
      <c r="I228" s="454"/>
      <c r="J228" s="597"/>
      <c r="K228" s="544"/>
      <c r="L228" s="544"/>
      <c r="M228" s="597"/>
      <c r="N228" s="597"/>
      <c r="O228" s="544"/>
      <c r="P228" s="544"/>
      <c r="Q228" s="544"/>
      <c r="R228" s="544"/>
      <c r="S228" s="477"/>
      <c r="T228" s="477"/>
    </row>
    <row r="229" ht="12.75" customHeight="1">
      <c r="A229" s="544"/>
      <c r="B229" s="544"/>
      <c r="C229" s="703"/>
      <c r="D229" s="597"/>
      <c r="E229" s="455"/>
      <c r="F229" s="446"/>
      <c r="G229" s="700"/>
      <c r="H229" s="453"/>
      <c r="I229" s="454"/>
      <c r="J229" s="597"/>
      <c r="K229" s="544"/>
      <c r="L229" s="544"/>
      <c r="M229" s="597"/>
      <c r="N229" s="597"/>
      <c r="O229" s="544"/>
      <c r="P229" s="544"/>
      <c r="Q229" s="544"/>
      <c r="R229" s="544"/>
      <c r="S229" s="477"/>
      <c r="T229" s="477"/>
    </row>
    <row r="230" ht="12.75" customHeight="1">
      <c r="A230" s="544"/>
      <c r="B230" s="544"/>
      <c r="C230" s="703"/>
      <c r="D230" s="597"/>
      <c r="E230" s="455"/>
      <c r="F230" s="446"/>
      <c r="G230" s="700"/>
      <c r="H230" s="453"/>
      <c r="I230" s="454"/>
      <c r="J230" s="597"/>
      <c r="K230" s="544"/>
      <c r="L230" s="544"/>
      <c r="M230" s="597"/>
      <c r="N230" s="597"/>
      <c r="O230" s="544"/>
      <c r="P230" s="544"/>
      <c r="Q230" s="544"/>
      <c r="R230" s="544"/>
      <c r="S230" s="477"/>
      <c r="T230" s="477"/>
    </row>
    <row r="231" ht="12.75" customHeight="1">
      <c r="A231" s="544"/>
      <c r="B231" s="544"/>
      <c r="C231" s="703"/>
      <c r="D231" s="597"/>
      <c r="E231" s="455"/>
      <c r="F231" s="446"/>
      <c r="G231" s="700"/>
      <c r="H231" s="453"/>
      <c r="I231" s="454"/>
      <c r="J231" s="597"/>
      <c r="K231" s="544"/>
      <c r="L231" s="544"/>
      <c r="M231" s="597"/>
      <c r="N231" s="597"/>
      <c r="O231" s="544"/>
      <c r="P231" s="544"/>
      <c r="Q231" s="544"/>
      <c r="R231" s="544"/>
      <c r="S231" s="477"/>
      <c r="T231" s="477"/>
    </row>
    <row r="232" ht="12.75" customHeight="1">
      <c r="A232" s="544"/>
      <c r="B232" s="544"/>
      <c r="C232" s="703"/>
      <c r="D232" s="597"/>
      <c r="E232" s="455"/>
      <c r="F232" s="446"/>
      <c r="G232" s="700"/>
      <c r="H232" s="453"/>
      <c r="I232" s="454"/>
      <c r="J232" s="597"/>
      <c r="K232" s="544"/>
      <c r="L232" s="544"/>
      <c r="M232" s="597"/>
      <c r="N232" s="597"/>
      <c r="O232" s="544"/>
      <c r="P232" s="544"/>
      <c r="Q232" s="544"/>
      <c r="R232" s="544"/>
      <c r="S232" s="477"/>
      <c r="T232" s="477"/>
    </row>
    <row r="233" ht="12.75" customHeight="1">
      <c r="A233" s="544"/>
      <c r="B233" s="544"/>
      <c r="C233" s="703"/>
      <c r="D233" s="597"/>
      <c r="E233" s="455"/>
      <c r="F233" s="446"/>
      <c r="G233" s="700"/>
      <c r="H233" s="453"/>
      <c r="I233" s="454"/>
      <c r="J233" s="597"/>
      <c r="K233" s="544"/>
      <c r="L233" s="544"/>
      <c r="M233" s="597"/>
      <c r="N233" s="597"/>
      <c r="O233" s="544"/>
      <c r="P233" s="544"/>
      <c r="Q233" s="544"/>
      <c r="R233" s="544"/>
      <c r="S233" s="477"/>
      <c r="T233" s="477"/>
    </row>
    <row r="234" ht="12.75" customHeight="1">
      <c r="A234" s="544"/>
      <c r="B234" s="544"/>
      <c r="C234" s="703"/>
      <c r="D234" s="597"/>
      <c r="E234" s="455"/>
      <c r="F234" s="446"/>
      <c r="G234" s="700"/>
      <c r="H234" s="453"/>
      <c r="I234" s="454"/>
      <c r="J234" s="597"/>
      <c r="K234" s="544"/>
      <c r="L234" s="544"/>
      <c r="M234" s="597"/>
      <c r="N234" s="597"/>
      <c r="O234" s="544"/>
      <c r="P234" s="544"/>
      <c r="Q234" s="544"/>
      <c r="R234" s="544"/>
      <c r="S234" s="477"/>
      <c r="T234" s="477"/>
    </row>
    <row r="235" ht="12.75" customHeight="1">
      <c r="A235" s="544"/>
      <c r="B235" s="544"/>
      <c r="C235" s="703"/>
      <c r="D235" s="597"/>
      <c r="E235" s="455"/>
      <c r="F235" s="446"/>
      <c r="G235" s="700"/>
      <c r="H235" s="453"/>
      <c r="I235" s="454"/>
      <c r="J235" s="597"/>
      <c r="K235" s="544"/>
      <c r="L235" s="544"/>
      <c r="M235" s="597"/>
      <c r="N235" s="597"/>
      <c r="O235" s="544"/>
      <c r="P235" s="544"/>
      <c r="Q235" s="544"/>
      <c r="R235" s="544"/>
      <c r="S235" s="477"/>
      <c r="T235" s="477"/>
    </row>
    <row r="236" ht="12.75" customHeight="1">
      <c r="A236" s="544"/>
      <c r="B236" s="544"/>
      <c r="C236" s="703"/>
      <c r="D236" s="597"/>
      <c r="E236" s="455"/>
      <c r="F236" s="446"/>
      <c r="G236" s="700"/>
      <c r="H236" s="453"/>
      <c r="I236" s="454"/>
      <c r="J236" s="597"/>
      <c r="K236" s="544"/>
      <c r="L236" s="544"/>
      <c r="M236" s="597"/>
      <c r="N236" s="597"/>
      <c r="O236" s="544"/>
      <c r="P236" s="544"/>
      <c r="Q236" s="544"/>
      <c r="R236" s="544"/>
      <c r="S236" s="477"/>
      <c r="T236" s="477"/>
    </row>
    <row r="237" ht="12.75" customHeight="1">
      <c r="A237" s="544"/>
      <c r="B237" s="544"/>
      <c r="C237" s="703"/>
      <c r="D237" s="597"/>
      <c r="E237" s="455"/>
      <c r="F237" s="446"/>
      <c r="G237" s="700"/>
      <c r="H237" s="453"/>
      <c r="I237" s="454"/>
      <c r="J237" s="597"/>
      <c r="K237" s="544"/>
      <c r="L237" s="544"/>
      <c r="M237" s="597"/>
      <c r="N237" s="597"/>
      <c r="O237" s="544"/>
      <c r="P237" s="544"/>
      <c r="Q237" s="544"/>
      <c r="R237" s="544"/>
      <c r="S237" s="477"/>
      <c r="T237" s="477"/>
    </row>
    <row r="238" ht="12.75" customHeight="1">
      <c r="A238" s="544"/>
      <c r="B238" s="544"/>
      <c r="C238" s="703"/>
      <c r="D238" s="597"/>
      <c r="E238" s="455"/>
      <c r="F238" s="446"/>
      <c r="G238" s="700"/>
      <c r="H238" s="453"/>
      <c r="I238" s="454"/>
      <c r="J238" s="597"/>
      <c r="K238" s="544"/>
      <c r="L238" s="544"/>
      <c r="M238" s="597"/>
      <c r="N238" s="597"/>
      <c r="O238" s="544"/>
      <c r="P238" s="544"/>
      <c r="Q238" s="544"/>
      <c r="R238" s="544"/>
      <c r="S238" s="477"/>
      <c r="T238" s="477"/>
    </row>
    <row r="239" ht="12.75" customHeight="1">
      <c r="A239" s="544"/>
      <c r="B239" s="544"/>
      <c r="C239" s="703"/>
      <c r="D239" s="597"/>
      <c r="E239" s="455"/>
      <c r="F239" s="446"/>
      <c r="G239" s="700"/>
      <c r="H239" s="453"/>
      <c r="I239" s="454"/>
      <c r="J239" s="597"/>
      <c r="K239" s="544"/>
      <c r="L239" s="544"/>
      <c r="M239" s="597"/>
      <c r="N239" s="597"/>
      <c r="O239" s="544"/>
      <c r="P239" s="544"/>
      <c r="Q239" s="544"/>
      <c r="R239" s="544"/>
      <c r="S239" s="477"/>
      <c r="T239" s="477"/>
    </row>
    <row r="240" ht="12.75" customHeight="1">
      <c r="A240" s="544"/>
      <c r="B240" s="544"/>
      <c r="C240" s="703"/>
      <c r="D240" s="597"/>
      <c r="E240" s="455"/>
      <c r="F240" s="446"/>
      <c r="G240" s="700"/>
      <c r="H240" s="453"/>
      <c r="I240" s="454"/>
      <c r="J240" s="597"/>
      <c r="K240" s="544"/>
      <c r="L240" s="544"/>
      <c r="M240" s="597"/>
      <c r="N240" s="597"/>
      <c r="O240" s="544"/>
      <c r="P240" s="544"/>
      <c r="Q240" s="544"/>
      <c r="R240" s="544"/>
      <c r="S240" s="477"/>
      <c r="T240" s="477"/>
    </row>
    <row r="241" ht="12.75" customHeight="1">
      <c r="A241" s="544"/>
      <c r="B241" s="544"/>
      <c r="C241" s="703"/>
      <c r="D241" s="597"/>
      <c r="E241" s="455"/>
      <c r="F241" s="446"/>
      <c r="G241" s="700"/>
      <c r="H241" s="453"/>
      <c r="I241" s="454"/>
      <c r="J241" s="597"/>
      <c r="K241" s="544"/>
      <c r="L241" s="544"/>
      <c r="M241" s="597"/>
      <c r="N241" s="597"/>
      <c r="O241" s="544"/>
      <c r="P241" s="544"/>
      <c r="Q241" s="544"/>
      <c r="R241" s="544"/>
      <c r="S241" s="477"/>
      <c r="T241" s="477"/>
    </row>
    <row r="242" ht="12.75" customHeight="1">
      <c r="A242" s="544"/>
      <c r="B242" s="544"/>
      <c r="C242" s="703"/>
      <c r="D242" s="597"/>
      <c r="E242" s="455"/>
      <c r="F242" s="446"/>
      <c r="G242" s="700"/>
      <c r="H242" s="453"/>
      <c r="I242" s="454"/>
      <c r="J242" s="597"/>
      <c r="K242" s="544"/>
      <c r="L242" s="544"/>
      <c r="M242" s="597"/>
      <c r="N242" s="597"/>
      <c r="O242" s="544"/>
      <c r="P242" s="544"/>
      <c r="Q242" s="544"/>
      <c r="R242" s="544"/>
      <c r="S242" s="477"/>
      <c r="T242" s="477"/>
    </row>
    <row r="243" ht="12.75" customHeight="1">
      <c r="A243" s="544"/>
      <c r="B243" s="544"/>
      <c r="C243" s="703"/>
      <c r="D243" s="597"/>
      <c r="E243" s="455"/>
      <c r="F243" s="446"/>
      <c r="G243" s="700"/>
      <c r="H243" s="453"/>
      <c r="I243" s="454"/>
      <c r="J243" s="597"/>
      <c r="K243" s="544"/>
      <c r="L243" s="544"/>
      <c r="M243" s="597"/>
      <c r="N243" s="597"/>
      <c r="O243" s="544"/>
      <c r="P243" s="544"/>
      <c r="Q243" s="544"/>
      <c r="R243" s="544"/>
      <c r="S243" s="477"/>
      <c r="T243" s="477"/>
    </row>
    <row r="244" ht="12.75" customHeight="1">
      <c r="A244" s="544"/>
      <c r="B244" s="544"/>
      <c r="C244" s="703"/>
      <c r="D244" s="597"/>
      <c r="E244" s="455"/>
      <c r="F244" s="446"/>
      <c r="G244" s="700"/>
      <c r="H244" s="453"/>
      <c r="I244" s="454"/>
      <c r="J244" s="597"/>
      <c r="K244" s="544"/>
      <c r="L244" s="544"/>
      <c r="M244" s="597"/>
      <c r="N244" s="597"/>
      <c r="O244" s="544"/>
      <c r="P244" s="544"/>
      <c r="Q244" s="544"/>
      <c r="R244" s="544"/>
      <c r="S244" s="477"/>
      <c r="T244" s="477"/>
    </row>
    <row r="245" ht="12.75" customHeight="1">
      <c r="A245" s="544"/>
      <c r="B245" s="544"/>
      <c r="C245" s="703"/>
      <c r="D245" s="597"/>
      <c r="E245" s="455"/>
      <c r="F245" s="446"/>
      <c r="G245" s="700"/>
      <c r="H245" s="453"/>
      <c r="I245" s="454"/>
      <c r="J245" s="597"/>
      <c r="K245" s="544"/>
      <c r="L245" s="544"/>
      <c r="M245" s="597"/>
      <c r="N245" s="597"/>
      <c r="O245" s="544"/>
      <c r="P245" s="544"/>
      <c r="Q245" s="544"/>
      <c r="R245" s="544"/>
      <c r="S245" s="477"/>
      <c r="T245" s="477"/>
    </row>
    <row r="246" ht="12.75" customHeight="1">
      <c r="A246" s="544"/>
      <c r="B246" s="544"/>
      <c r="C246" s="703"/>
      <c r="D246" s="597"/>
      <c r="E246" s="455"/>
      <c r="F246" s="446"/>
      <c r="G246" s="700"/>
      <c r="H246" s="453"/>
      <c r="I246" s="454"/>
      <c r="J246" s="597"/>
      <c r="K246" s="544"/>
      <c r="L246" s="544"/>
      <c r="M246" s="597"/>
      <c r="N246" s="597"/>
      <c r="O246" s="544"/>
      <c r="P246" s="544"/>
      <c r="Q246" s="544"/>
      <c r="R246" s="544"/>
      <c r="S246" s="477"/>
      <c r="T246" s="477"/>
    </row>
    <row r="247" ht="12.75" customHeight="1">
      <c r="A247" s="544"/>
      <c r="B247" s="544"/>
      <c r="C247" s="703"/>
      <c r="D247" s="597"/>
      <c r="E247" s="455"/>
      <c r="F247" s="446"/>
      <c r="G247" s="700"/>
      <c r="H247" s="453"/>
      <c r="I247" s="454"/>
      <c r="J247" s="597"/>
      <c r="K247" s="544"/>
      <c r="L247" s="544"/>
      <c r="M247" s="597"/>
      <c r="N247" s="597"/>
      <c r="O247" s="544"/>
      <c r="P247" s="544"/>
      <c r="Q247" s="544"/>
      <c r="R247" s="544"/>
      <c r="S247" s="477"/>
      <c r="T247" s="477"/>
    </row>
    <row r="248" ht="12.75" customHeight="1">
      <c r="A248" s="544"/>
      <c r="B248" s="544"/>
      <c r="C248" s="703"/>
      <c r="D248" s="597"/>
      <c r="E248" s="455"/>
      <c r="F248" s="446"/>
      <c r="G248" s="700"/>
      <c r="H248" s="453"/>
      <c r="I248" s="454"/>
      <c r="J248" s="597"/>
      <c r="K248" s="544"/>
      <c r="L248" s="544"/>
      <c r="M248" s="597"/>
      <c r="N248" s="597"/>
      <c r="O248" s="544"/>
      <c r="P248" s="544"/>
      <c r="Q248" s="544"/>
      <c r="R248" s="544"/>
      <c r="S248" s="477"/>
      <c r="T248" s="477"/>
    </row>
    <row r="249" ht="12.75" customHeight="1">
      <c r="A249" s="544"/>
      <c r="B249" s="544"/>
      <c r="C249" s="703"/>
      <c r="D249" s="597"/>
      <c r="E249" s="455"/>
      <c r="F249" s="446"/>
      <c r="G249" s="700"/>
      <c r="H249" s="453"/>
      <c r="I249" s="454"/>
      <c r="J249" s="597"/>
      <c r="K249" s="544"/>
      <c r="L249" s="544"/>
      <c r="M249" s="597"/>
      <c r="N249" s="597"/>
      <c r="O249" s="544"/>
      <c r="P249" s="544"/>
      <c r="Q249" s="544"/>
      <c r="R249" s="544"/>
      <c r="S249" s="477"/>
      <c r="T249" s="477"/>
    </row>
    <row r="250" ht="12.75" customHeight="1">
      <c r="A250" s="544"/>
      <c r="B250" s="544"/>
      <c r="C250" s="703"/>
      <c r="D250" s="597"/>
      <c r="E250" s="455"/>
      <c r="F250" s="446"/>
      <c r="G250" s="700"/>
      <c r="H250" s="453"/>
      <c r="I250" s="454"/>
      <c r="J250" s="597"/>
      <c r="K250" s="544"/>
      <c r="L250" s="544"/>
      <c r="M250" s="597"/>
      <c r="N250" s="597"/>
      <c r="O250" s="544"/>
      <c r="P250" s="544"/>
      <c r="Q250" s="544"/>
      <c r="R250" s="544"/>
      <c r="S250" s="477"/>
      <c r="T250" s="477"/>
    </row>
    <row r="251" ht="12.75" customHeight="1">
      <c r="A251" s="544"/>
      <c r="B251" s="544"/>
      <c r="C251" s="703"/>
      <c r="D251" s="597"/>
      <c r="E251" s="455"/>
      <c r="F251" s="446"/>
      <c r="G251" s="700"/>
      <c r="H251" s="453"/>
      <c r="I251" s="454"/>
      <c r="J251" s="597"/>
      <c r="K251" s="544"/>
      <c r="L251" s="544"/>
      <c r="M251" s="597"/>
      <c r="N251" s="597"/>
      <c r="O251" s="544"/>
      <c r="P251" s="544"/>
      <c r="Q251" s="544"/>
      <c r="R251" s="544"/>
      <c r="S251" s="477"/>
      <c r="T251" s="477"/>
    </row>
    <row r="252" ht="12.75" customHeight="1">
      <c r="A252" s="544"/>
      <c r="B252" s="544"/>
      <c r="C252" s="703"/>
      <c r="D252" s="597"/>
      <c r="E252" s="455"/>
      <c r="F252" s="446"/>
      <c r="G252" s="700"/>
      <c r="H252" s="453"/>
      <c r="I252" s="454"/>
      <c r="J252" s="597"/>
      <c r="K252" s="544"/>
      <c r="L252" s="544"/>
      <c r="M252" s="597"/>
      <c r="N252" s="597"/>
      <c r="O252" s="544"/>
      <c r="P252" s="544"/>
      <c r="Q252" s="544"/>
      <c r="R252" s="544"/>
      <c r="S252" s="477"/>
      <c r="T252" s="477"/>
    </row>
    <row r="253" ht="12.75" customHeight="1">
      <c r="A253" s="544"/>
      <c r="B253" s="544"/>
      <c r="C253" s="703"/>
      <c r="D253" s="597"/>
      <c r="E253" s="455"/>
      <c r="F253" s="446"/>
      <c r="G253" s="700"/>
      <c r="H253" s="453"/>
      <c r="I253" s="454"/>
      <c r="J253" s="597"/>
      <c r="K253" s="544"/>
      <c r="L253" s="544"/>
      <c r="M253" s="597"/>
      <c r="N253" s="597"/>
      <c r="O253" s="544"/>
      <c r="P253" s="544"/>
      <c r="Q253" s="544"/>
      <c r="R253" s="544"/>
      <c r="S253" s="477"/>
      <c r="T253" s="477"/>
    </row>
    <row r="254" ht="12.75" customHeight="1">
      <c r="A254" s="544"/>
      <c r="B254" s="544"/>
      <c r="C254" s="703"/>
      <c r="D254" s="597"/>
      <c r="E254" s="455"/>
      <c r="F254" s="446"/>
      <c r="G254" s="700"/>
      <c r="H254" s="453"/>
      <c r="I254" s="454"/>
      <c r="J254" s="597"/>
      <c r="K254" s="544"/>
      <c r="L254" s="544"/>
      <c r="M254" s="597"/>
      <c r="N254" s="597"/>
      <c r="O254" s="544"/>
      <c r="P254" s="544"/>
      <c r="Q254" s="544"/>
      <c r="R254" s="544"/>
      <c r="S254" s="477"/>
      <c r="T254" s="477"/>
    </row>
    <row r="255" ht="12.75" customHeight="1">
      <c r="A255" s="544"/>
      <c r="B255" s="544"/>
      <c r="C255" s="703"/>
      <c r="D255" s="597"/>
      <c r="E255" s="455"/>
      <c r="F255" s="446"/>
      <c r="G255" s="700"/>
      <c r="H255" s="453"/>
      <c r="I255" s="454"/>
      <c r="J255" s="597"/>
      <c r="K255" s="544"/>
      <c r="L255" s="544"/>
      <c r="M255" s="597"/>
      <c r="N255" s="597"/>
      <c r="O255" s="544"/>
      <c r="P255" s="544"/>
      <c r="Q255" s="544"/>
      <c r="R255" s="544"/>
      <c r="S255" s="477"/>
      <c r="T255" s="477"/>
    </row>
    <row r="256" ht="12.75" customHeight="1">
      <c r="A256" s="544"/>
      <c r="B256" s="544"/>
      <c r="C256" s="703"/>
      <c r="D256" s="597"/>
      <c r="E256" s="455"/>
      <c r="F256" s="446"/>
      <c r="G256" s="700"/>
      <c r="H256" s="453"/>
      <c r="I256" s="454"/>
      <c r="J256" s="597"/>
      <c r="K256" s="544"/>
      <c r="L256" s="544"/>
      <c r="M256" s="597"/>
      <c r="N256" s="597"/>
      <c r="O256" s="544"/>
      <c r="P256" s="544"/>
      <c r="Q256" s="544"/>
      <c r="R256" s="544"/>
      <c r="S256" s="477"/>
      <c r="T256" s="477"/>
    </row>
    <row r="257" ht="12.75" customHeight="1">
      <c r="A257" s="544"/>
      <c r="B257" s="544"/>
      <c r="C257" s="703"/>
      <c r="D257" s="597"/>
      <c r="E257" s="455"/>
      <c r="F257" s="446"/>
      <c r="G257" s="700"/>
      <c r="H257" s="453"/>
      <c r="I257" s="454"/>
      <c r="J257" s="597"/>
      <c r="K257" s="544"/>
      <c r="L257" s="544"/>
      <c r="M257" s="597"/>
      <c r="N257" s="597"/>
      <c r="O257" s="544"/>
      <c r="P257" s="544"/>
      <c r="Q257" s="544"/>
      <c r="R257" s="544"/>
      <c r="S257" s="477"/>
      <c r="T257" s="477"/>
    </row>
    <row r="258" ht="12.75" customHeight="1">
      <c r="A258" s="544"/>
      <c r="B258" s="544"/>
      <c r="C258" s="703"/>
      <c r="D258" s="597"/>
      <c r="E258" s="455"/>
      <c r="F258" s="446"/>
      <c r="G258" s="700"/>
      <c r="H258" s="453"/>
      <c r="I258" s="454"/>
      <c r="J258" s="597"/>
      <c r="K258" s="544"/>
      <c r="L258" s="544"/>
      <c r="M258" s="597"/>
      <c r="N258" s="597"/>
      <c r="O258" s="544"/>
      <c r="P258" s="544"/>
      <c r="Q258" s="544"/>
      <c r="R258" s="544"/>
      <c r="S258" s="477"/>
      <c r="T258" s="477"/>
    </row>
    <row r="259" ht="12.75" customHeight="1">
      <c r="A259" s="544"/>
      <c r="B259" s="544"/>
      <c r="C259" s="703"/>
      <c r="D259" s="597"/>
      <c r="E259" s="455"/>
      <c r="F259" s="446"/>
      <c r="G259" s="700"/>
      <c r="H259" s="453"/>
      <c r="I259" s="454"/>
      <c r="J259" s="597"/>
      <c r="K259" s="544"/>
      <c r="L259" s="544"/>
      <c r="M259" s="597"/>
      <c r="N259" s="597"/>
      <c r="O259" s="544"/>
      <c r="P259" s="544"/>
      <c r="Q259" s="544"/>
      <c r="R259" s="544"/>
      <c r="S259" s="477"/>
      <c r="T259" s="477"/>
    </row>
    <row r="260" ht="12.75" customHeight="1">
      <c r="A260" s="544"/>
      <c r="B260" s="544"/>
      <c r="C260" s="703"/>
      <c r="D260" s="597"/>
      <c r="E260" s="455"/>
      <c r="F260" s="446"/>
      <c r="G260" s="700"/>
      <c r="H260" s="453"/>
      <c r="I260" s="454"/>
      <c r="J260" s="597"/>
      <c r="K260" s="544"/>
      <c r="L260" s="544"/>
      <c r="M260" s="597"/>
      <c r="N260" s="597"/>
      <c r="O260" s="544"/>
      <c r="P260" s="544"/>
      <c r="Q260" s="544"/>
      <c r="R260" s="544"/>
      <c r="S260" s="477"/>
      <c r="T260" s="477"/>
    </row>
    <row r="261" ht="12.75" customHeight="1">
      <c r="A261" s="544"/>
      <c r="B261" s="544"/>
      <c r="C261" s="703"/>
      <c r="D261" s="597"/>
      <c r="E261" s="455"/>
      <c r="F261" s="446"/>
      <c r="G261" s="700"/>
      <c r="H261" s="453"/>
      <c r="I261" s="454"/>
      <c r="J261" s="597"/>
      <c r="K261" s="544"/>
      <c r="L261" s="544"/>
      <c r="M261" s="597"/>
      <c r="N261" s="597"/>
      <c r="O261" s="544"/>
      <c r="P261" s="544"/>
      <c r="Q261" s="544"/>
      <c r="R261" s="544"/>
      <c r="S261" s="477"/>
      <c r="T261" s="477"/>
    </row>
    <row r="262" ht="12.75" customHeight="1">
      <c r="A262" s="544"/>
      <c r="B262" s="544"/>
      <c r="C262" s="703"/>
      <c r="D262" s="597"/>
      <c r="E262" s="455"/>
      <c r="F262" s="446"/>
      <c r="G262" s="700"/>
      <c r="H262" s="453"/>
      <c r="I262" s="454"/>
      <c r="J262" s="597"/>
      <c r="K262" s="544"/>
      <c r="L262" s="544"/>
      <c r="M262" s="597"/>
      <c r="N262" s="597"/>
      <c r="O262" s="544"/>
      <c r="P262" s="544"/>
      <c r="Q262" s="544"/>
      <c r="R262" s="544"/>
      <c r="S262" s="477"/>
      <c r="T262" s="477"/>
    </row>
    <row r="263" ht="12.75" customHeight="1">
      <c r="A263" s="544"/>
      <c r="B263" s="544"/>
      <c r="C263" s="703"/>
      <c r="D263" s="597"/>
      <c r="E263" s="455"/>
      <c r="F263" s="446"/>
      <c r="G263" s="700"/>
      <c r="H263" s="453"/>
      <c r="I263" s="454"/>
      <c r="J263" s="597"/>
      <c r="K263" s="544"/>
      <c r="L263" s="544"/>
      <c r="M263" s="597"/>
      <c r="N263" s="597"/>
      <c r="O263" s="544"/>
      <c r="P263" s="544"/>
      <c r="Q263" s="544"/>
      <c r="R263" s="544"/>
      <c r="S263" s="477"/>
      <c r="T263" s="477"/>
    </row>
    <row r="264" ht="12.75" customHeight="1">
      <c r="A264" s="544"/>
      <c r="B264" s="544"/>
      <c r="C264" s="703"/>
      <c r="D264" s="597"/>
      <c r="E264" s="455"/>
      <c r="F264" s="446"/>
      <c r="G264" s="700"/>
      <c r="H264" s="453"/>
      <c r="I264" s="454"/>
      <c r="J264" s="597"/>
      <c r="K264" s="544"/>
      <c r="L264" s="544"/>
      <c r="M264" s="597"/>
      <c r="N264" s="597"/>
      <c r="O264" s="544"/>
      <c r="P264" s="544"/>
      <c r="Q264" s="544"/>
      <c r="R264" s="544"/>
      <c r="S264" s="477"/>
      <c r="T264" s="477"/>
    </row>
    <row r="265" ht="12.75" customHeight="1">
      <c r="A265" s="544"/>
      <c r="B265" s="544"/>
      <c r="C265" s="703"/>
      <c r="D265" s="597"/>
      <c r="E265" s="455"/>
      <c r="F265" s="446"/>
      <c r="G265" s="700"/>
      <c r="H265" s="453"/>
      <c r="I265" s="454"/>
      <c r="J265" s="597"/>
      <c r="K265" s="544"/>
      <c r="L265" s="544"/>
      <c r="M265" s="597"/>
      <c r="N265" s="597"/>
      <c r="O265" s="544"/>
      <c r="P265" s="544"/>
      <c r="Q265" s="544"/>
      <c r="R265" s="544"/>
      <c r="S265" s="477"/>
      <c r="T265" s="477"/>
    </row>
    <row r="266" ht="12.75" customHeight="1">
      <c r="A266" s="544"/>
      <c r="B266" s="544"/>
      <c r="C266" s="703"/>
      <c r="D266" s="597"/>
      <c r="E266" s="455"/>
      <c r="F266" s="446"/>
      <c r="G266" s="700"/>
      <c r="H266" s="453"/>
      <c r="I266" s="454"/>
      <c r="J266" s="597"/>
      <c r="K266" s="544"/>
      <c r="L266" s="544"/>
      <c r="M266" s="597"/>
      <c r="N266" s="597"/>
      <c r="O266" s="544"/>
      <c r="P266" s="544"/>
      <c r="Q266" s="544"/>
      <c r="R266" s="544"/>
      <c r="S266" s="477"/>
      <c r="T266" s="477"/>
    </row>
    <row r="267" ht="12.75" customHeight="1">
      <c r="A267" s="544"/>
      <c r="B267" s="544"/>
      <c r="C267" s="703"/>
      <c r="D267" s="597"/>
      <c r="E267" s="455"/>
      <c r="F267" s="446"/>
      <c r="G267" s="700"/>
      <c r="H267" s="453"/>
      <c r="I267" s="454"/>
      <c r="J267" s="597"/>
      <c r="K267" s="544"/>
      <c r="L267" s="544"/>
      <c r="M267" s="597"/>
      <c r="N267" s="597"/>
      <c r="O267" s="544"/>
      <c r="P267" s="544"/>
      <c r="Q267" s="544"/>
      <c r="R267" s="544"/>
      <c r="S267" s="477"/>
      <c r="T267" s="477"/>
    </row>
    <row r="268" ht="12.75" customHeight="1">
      <c r="A268" s="544"/>
      <c r="B268" s="544"/>
      <c r="C268" s="703"/>
      <c r="D268" s="597"/>
      <c r="E268" s="455"/>
      <c r="F268" s="446"/>
      <c r="G268" s="700"/>
      <c r="H268" s="453"/>
      <c r="I268" s="454"/>
      <c r="J268" s="597"/>
      <c r="K268" s="544"/>
      <c r="L268" s="544"/>
      <c r="M268" s="597"/>
      <c r="N268" s="597"/>
      <c r="O268" s="544"/>
      <c r="P268" s="544"/>
      <c r="Q268" s="544"/>
      <c r="R268" s="544"/>
      <c r="S268" s="477"/>
      <c r="T268" s="477"/>
    </row>
    <row r="269" ht="12.75" customHeight="1">
      <c r="A269" s="544"/>
      <c r="B269" s="544"/>
      <c r="C269" s="703"/>
      <c r="D269" s="597"/>
      <c r="E269" s="455"/>
      <c r="F269" s="446"/>
      <c r="G269" s="700"/>
      <c r="H269" s="453"/>
      <c r="I269" s="454"/>
      <c r="J269" s="597"/>
      <c r="K269" s="544"/>
      <c r="L269" s="544"/>
      <c r="M269" s="597"/>
      <c r="N269" s="597"/>
      <c r="O269" s="544"/>
      <c r="P269" s="544"/>
      <c r="Q269" s="544"/>
      <c r="R269" s="544"/>
      <c r="S269" s="477"/>
      <c r="T269" s="477"/>
    </row>
    <row r="270" ht="12.75" customHeight="1">
      <c r="A270" s="544"/>
      <c r="B270" s="544"/>
      <c r="C270" s="703"/>
      <c r="D270" s="597"/>
      <c r="E270" s="455"/>
      <c r="F270" s="446"/>
      <c r="G270" s="700"/>
      <c r="H270" s="453"/>
      <c r="I270" s="454"/>
      <c r="J270" s="597"/>
      <c r="K270" s="544"/>
      <c r="L270" s="544"/>
      <c r="M270" s="597"/>
      <c r="N270" s="597"/>
      <c r="O270" s="544"/>
      <c r="P270" s="544"/>
      <c r="Q270" s="544"/>
      <c r="R270" s="544"/>
      <c r="S270" s="477"/>
      <c r="T270" s="477"/>
    </row>
    <row r="271" ht="12.75" customHeight="1">
      <c r="A271" s="544"/>
      <c r="B271" s="544"/>
      <c r="C271" s="703"/>
      <c r="D271" s="597"/>
      <c r="E271" s="455"/>
      <c r="F271" s="446"/>
      <c r="G271" s="700"/>
      <c r="H271" s="453"/>
      <c r="I271" s="454"/>
      <c r="J271" s="597"/>
      <c r="K271" s="544"/>
      <c r="L271" s="544"/>
      <c r="M271" s="597"/>
      <c r="N271" s="597"/>
      <c r="O271" s="544"/>
      <c r="P271" s="544"/>
      <c r="Q271" s="544"/>
      <c r="R271" s="544"/>
      <c r="S271" s="477"/>
      <c r="T271" s="477"/>
    </row>
    <row r="272" ht="12.75" customHeight="1">
      <c r="A272" s="544"/>
      <c r="B272" s="544"/>
      <c r="C272" s="703"/>
      <c r="D272" s="597"/>
      <c r="E272" s="455"/>
      <c r="F272" s="446"/>
      <c r="G272" s="700"/>
      <c r="H272" s="453"/>
      <c r="I272" s="454"/>
      <c r="J272" s="597"/>
      <c r="K272" s="544"/>
      <c r="L272" s="544"/>
      <c r="M272" s="597"/>
      <c r="N272" s="597"/>
      <c r="O272" s="544"/>
      <c r="P272" s="544"/>
      <c r="Q272" s="544"/>
      <c r="R272" s="544"/>
      <c r="S272" s="477"/>
      <c r="T272" s="477"/>
    </row>
    <row r="273" ht="12.75" customHeight="1">
      <c r="A273" s="544"/>
      <c r="B273" s="544"/>
      <c r="C273" s="703"/>
      <c r="D273" s="597"/>
      <c r="E273" s="455"/>
      <c r="F273" s="446"/>
      <c r="G273" s="700"/>
      <c r="H273" s="453"/>
      <c r="I273" s="454"/>
      <c r="J273" s="597"/>
      <c r="K273" s="544"/>
      <c r="L273" s="544"/>
      <c r="M273" s="597"/>
      <c r="N273" s="597"/>
      <c r="O273" s="544"/>
      <c r="P273" s="544"/>
      <c r="Q273" s="544"/>
      <c r="R273" s="544"/>
      <c r="S273" s="477"/>
      <c r="T273" s="477"/>
    </row>
    <row r="274" ht="12.75" customHeight="1">
      <c r="A274" s="544"/>
      <c r="B274" s="544"/>
      <c r="C274" s="703"/>
      <c r="D274" s="597"/>
      <c r="E274" s="455"/>
      <c r="F274" s="446"/>
      <c r="G274" s="700"/>
      <c r="H274" s="453"/>
      <c r="I274" s="454"/>
      <c r="J274" s="597"/>
      <c r="K274" s="544"/>
      <c r="L274" s="544"/>
      <c r="M274" s="597"/>
      <c r="N274" s="597"/>
      <c r="O274" s="544"/>
      <c r="P274" s="544"/>
      <c r="Q274" s="544"/>
      <c r="R274" s="544"/>
      <c r="S274" s="477"/>
      <c r="T274" s="477"/>
    </row>
    <row r="275" ht="12.75" customHeight="1">
      <c r="A275" s="544"/>
      <c r="B275" s="544"/>
      <c r="C275" s="703"/>
      <c r="D275" s="597"/>
      <c r="E275" s="455"/>
      <c r="F275" s="446"/>
      <c r="G275" s="700"/>
      <c r="H275" s="453"/>
      <c r="I275" s="454"/>
      <c r="J275" s="597"/>
      <c r="K275" s="544"/>
      <c r="L275" s="544"/>
      <c r="M275" s="597"/>
      <c r="N275" s="597"/>
      <c r="O275" s="544"/>
      <c r="P275" s="544"/>
      <c r="Q275" s="544"/>
      <c r="R275" s="544"/>
      <c r="S275" s="477"/>
      <c r="T275" s="477"/>
    </row>
    <row r="276" ht="12.75" customHeight="1">
      <c r="A276" s="544"/>
      <c r="B276" s="544"/>
      <c r="C276" s="703"/>
      <c r="D276" s="597"/>
      <c r="E276" s="704"/>
      <c r="F276" s="703"/>
      <c r="G276" s="597"/>
      <c r="H276" s="453"/>
      <c r="I276" s="493"/>
      <c r="J276" s="597"/>
      <c r="K276" s="544"/>
      <c r="L276" s="544"/>
      <c r="M276" s="597"/>
      <c r="N276" s="597"/>
      <c r="O276" s="544"/>
      <c r="P276" s="544"/>
      <c r="Q276" s="544"/>
      <c r="R276" s="544"/>
      <c r="S276" s="477"/>
      <c r="T276" s="477"/>
    </row>
    <row r="277" ht="12.75" customHeight="1">
      <c r="A277" s="544"/>
      <c r="B277" s="544"/>
      <c r="C277" s="703"/>
      <c r="D277" s="597"/>
      <c r="E277" s="704"/>
      <c r="F277" s="703"/>
      <c r="G277" s="597"/>
      <c r="H277" s="453"/>
      <c r="I277" s="493"/>
      <c r="J277" s="597"/>
      <c r="K277" s="544"/>
      <c r="L277" s="544"/>
      <c r="M277" s="597"/>
      <c r="N277" s="597"/>
      <c r="O277" s="544"/>
      <c r="P277" s="544"/>
      <c r="Q277" s="544"/>
      <c r="R277" s="544"/>
      <c r="S277" s="477"/>
      <c r="T277" s="477"/>
    </row>
    <row r="278" ht="12.75" customHeight="1">
      <c r="A278" s="544"/>
      <c r="B278" s="544"/>
      <c r="C278" s="703"/>
      <c r="D278" s="597"/>
      <c r="E278" s="704"/>
      <c r="F278" s="703"/>
      <c r="G278" s="597"/>
      <c r="H278" s="453"/>
      <c r="I278" s="493"/>
      <c r="J278" s="597"/>
      <c r="K278" s="544"/>
      <c r="L278" s="544"/>
      <c r="M278" s="597"/>
      <c r="N278" s="597"/>
      <c r="O278" s="544"/>
      <c r="P278" s="544"/>
      <c r="Q278" s="544"/>
      <c r="R278" s="544"/>
      <c r="S278" s="477"/>
      <c r="T278" s="477"/>
    </row>
    <row r="279" ht="12.75" customHeight="1">
      <c r="A279" s="544"/>
      <c r="B279" s="544"/>
      <c r="C279" s="703"/>
      <c r="D279" s="597"/>
      <c r="E279" s="704"/>
      <c r="F279" s="703"/>
      <c r="G279" s="597"/>
      <c r="H279" s="453"/>
      <c r="I279" s="493"/>
      <c r="J279" s="597"/>
      <c r="K279" s="544"/>
      <c r="L279" s="544"/>
      <c r="M279" s="597"/>
      <c r="N279" s="597"/>
      <c r="O279" s="544"/>
      <c r="P279" s="544"/>
      <c r="Q279" s="544"/>
      <c r="R279" s="544"/>
      <c r="S279" s="477"/>
      <c r="T279" s="477"/>
    </row>
    <row r="280" ht="12.75" customHeight="1">
      <c r="A280" s="544"/>
      <c r="B280" s="544"/>
      <c r="C280" s="703"/>
      <c r="D280" s="597"/>
      <c r="E280" s="704"/>
      <c r="F280" s="703"/>
      <c r="G280" s="597"/>
      <c r="H280" s="453"/>
      <c r="I280" s="493"/>
      <c r="J280" s="597"/>
      <c r="K280" s="544"/>
      <c r="L280" s="544"/>
      <c r="M280" s="597"/>
      <c r="N280" s="597"/>
      <c r="O280" s="544"/>
      <c r="P280" s="544"/>
      <c r="Q280" s="544"/>
      <c r="R280" s="544"/>
      <c r="S280" s="477"/>
      <c r="T280" s="477"/>
    </row>
    <row r="281" ht="12.75" customHeight="1">
      <c r="A281" s="544"/>
      <c r="B281" s="544"/>
      <c r="C281" s="703"/>
      <c r="D281" s="597"/>
      <c r="E281" s="704"/>
      <c r="F281" s="703"/>
      <c r="G281" s="597"/>
      <c r="H281" s="453"/>
      <c r="I281" s="493"/>
      <c r="J281" s="597"/>
      <c r="K281" s="544"/>
      <c r="L281" s="544"/>
      <c r="M281" s="597"/>
      <c r="N281" s="597"/>
      <c r="O281" s="544"/>
      <c r="P281" s="544"/>
      <c r="Q281" s="544"/>
      <c r="R281" s="544"/>
      <c r="S281" s="477"/>
      <c r="T281" s="477"/>
    </row>
    <row r="282" ht="12.75" customHeight="1">
      <c r="A282" s="544"/>
      <c r="B282" s="544"/>
      <c r="C282" s="703"/>
      <c r="D282" s="597"/>
      <c r="E282" s="704"/>
      <c r="F282" s="703"/>
      <c r="G282" s="597"/>
      <c r="H282" s="453"/>
      <c r="I282" s="493"/>
      <c r="J282" s="597"/>
      <c r="K282" s="544"/>
      <c r="L282" s="544"/>
      <c r="M282" s="597"/>
      <c r="N282" s="597"/>
      <c r="O282" s="544"/>
      <c r="P282" s="544"/>
      <c r="Q282" s="544"/>
      <c r="R282" s="544"/>
      <c r="S282" s="477"/>
      <c r="T282" s="477"/>
    </row>
    <row r="283" ht="12.75" customHeight="1">
      <c r="A283" s="544"/>
      <c r="B283" s="544"/>
      <c r="C283" s="703"/>
      <c r="D283" s="597"/>
      <c r="E283" s="704"/>
      <c r="F283" s="703"/>
      <c r="G283" s="597"/>
      <c r="H283" s="453"/>
      <c r="I283" s="493"/>
      <c r="J283" s="597"/>
      <c r="K283" s="544"/>
      <c r="L283" s="544"/>
      <c r="M283" s="597"/>
      <c r="N283" s="597"/>
      <c r="O283" s="544"/>
      <c r="P283" s="544"/>
      <c r="Q283" s="544"/>
      <c r="R283" s="544"/>
      <c r="S283" s="477"/>
      <c r="T283" s="477"/>
    </row>
    <row r="284" ht="12.75" customHeight="1">
      <c r="A284" s="544"/>
      <c r="B284" s="544"/>
      <c r="C284" s="703"/>
      <c r="D284" s="597"/>
      <c r="E284" s="704"/>
      <c r="F284" s="703"/>
      <c r="G284" s="597"/>
      <c r="H284" s="453"/>
      <c r="I284" s="493"/>
      <c r="J284" s="597"/>
      <c r="K284" s="544"/>
      <c r="L284" s="544"/>
      <c r="M284" s="597"/>
      <c r="N284" s="597"/>
      <c r="O284" s="544"/>
      <c r="P284" s="544"/>
      <c r="Q284" s="544"/>
      <c r="R284" s="544"/>
      <c r="S284" s="477"/>
      <c r="T284" s="477"/>
    </row>
    <row r="285" ht="12.75" customHeight="1">
      <c r="A285" s="544"/>
      <c r="B285" s="544"/>
      <c r="C285" s="703"/>
      <c r="D285" s="597"/>
      <c r="E285" s="704"/>
      <c r="F285" s="703"/>
      <c r="G285" s="597"/>
      <c r="H285" s="453"/>
      <c r="I285" s="493"/>
      <c r="J285" s="597"/>
      <c r="K285" s="544"/>
      <c r="L285" s="544"/>
      <c r="M285" s="597"/>
      <c r="N285" s="597"/>
      <c r="O285" s="544"/>
      <c r="P285" s="544"/>
      <c r="Q285" s="544"/>
      <c r="R285" s="544"/>
      <c r="S285" s="477"/>
      <c r="T285" s="477"/>
    </row>
    <row r="286" ht="12.75" customHeight="1">
      <c r="A286" s="544"/>
      <c r="B286" s="544"/>
      <c r="C286" s="703"/>
      <c r="D286" s="597"/>
      <c r="E286" s="704"/>
      <c r="F286" s="703"/>
      <c r="G286" s="597"/>
      <c r="H286" s="453"/>
      <c r="I286" s="493"/>
      <c r="J286" s="597"/>
      <c r="K286" s="544"/>
      <c r="L286" s="544"/>
      <c r="M286" s="597"/>
      <c r="N286" s="597"/>
      <c r="O286" s="544"/>
      <c r="P286" s="544"/>
      <c r="Q286" s="544"/>
      <c r="R286" s="544"/>
      <c r="S286" s="477"/>
      <c r="T286" s="477"/>
    </row>
    <row r="287" ht="12.75" customHeight="1">
      <c r="A287" s="544"/>
      <c r="B287" s="544"/>
      <c r="C287" s="703"/>
      <c r="D287" s="597"/>
      <c r="E287" s="704"/>
      <c r="F287" s="703"/>
      <c r="G287" s="597"/>
      <c r="H287" s="453"/>
      <c r="I287" s="493"/>
      <c r="J287" s="597"/>
      <c r="K287" s="544"/>
      <c r="L287" s="544"/>
      <c r="M287" s="597"/>
      <c r="N287" s="597"/>
      <c r="O287" s="544"/>
      <c r="P287" s="544"/>
      <c r="Q287" s="544"/>
      <c r="R287" s="544"/>
      <c r="S287" s="477"/>
      <c r="T287" s="477"/>
    </row>
    <row r="288" ht="12.75" customHeight="1">
      <c r="A288" s="544"/>
      <c r="B288" s="544"/>
      <c r="C288" s="703"/>
      <c r="D288" s="597"/>
      <c r="E288" s="704"/>
      <c r="F288" s="703"/>
      <c r="G288" s="597"/>
      <c r="H288" s="453"/>
      <c r="I288" s="493"/>
      <c r="J288" s="597"/>
      <c r="K288" s="544"/>
      <c r="L288" s="544"/>
      <c r="M288" s="597"/>
      <c r="N288" s="597"/>
      <c r="O288" s="544"/>
      <c r="P288" s="544"/>
      <c r="Q288" s="544"/>
      <c r="R288" s="544"/>
      <c r="S288" s="477"/>
      <c r="T288" s="477"/>
    </row>
    <row r="289" ht="12.75" customHeight="1">
      <c r="A289" s="544"/>
      <c r="B289" s="544"/>
      <c r="C289" s="703"/>
      <c r="D289" s="597"/>
      <c r="E289" s="704"/>
      <c r="F289" s="703"/>
      <c r="G289" s="597"/>
      <c r="H289" s="453"/>
      <c r="I289" s="493"/>
      <c r="J289" s="597"/>
      <c r="K289" s="544"/>
      <c r="L289" s="544"/>
      <c r="M289" s="597"/>
      <c r="N289" s="597"/>
      <c r="O289" s="544"/>
      <c r="P289" s="544"/>
      <c r="Q289" s="544"/>
      <c r="R289" s="544"/>
      <c r="S289" s="477"/>
      <c r="T289" s="477"/>
    </row>
    <row r="290" ht="12.75" customHeight="1">
      <c r="A290" s="544"/>
      <c r="B290" s="544"/>
      <c r="C290" s="703"/>
      <c r="D290" s="597"/>
      <c r="E290" s="704"/>
      <c r="F290" s="703"/>
      <c r="G290" s="597"/>
      <c r="H290" s="453"/>
      <c r="I290" s="493"/>
      <c r="J290" s="597"/>
      <c r="K290" s="544"/>
      <c r="L290" s="544"/>
      <c r="M290" s="597"/>
      <c r="N290" s="597"/>
      <c r="O290" s="544"/>
      <c r="P290" s="544"/>
      <c r="Q290" s="544"/>
      <c r="R290" s="544"/>
      <c r="S290" s="477"/>
      <c r="T290" s="477"/>
    </row>
    <row r="291" ht="12.75" customHeight="1">
      <c r="A291" s="544"/>
      <c r="B291" s="544"/>
      <c r="C291" s="703"/>
      <c r="D291" s="597"/>
      <c r="E291" s="704"/>
      <c r="F291" s="703"/>
      <c r="G291" s="597"/>
      <c r="H291" s="453"/>
      <c r="I291" s="493"/>
      <c r="J291" s="597"/>
      <c r="K291" s="544"/>
      <c r="L291" s="544"/>
      <c r="M291" s="597"/>
      <c r="N291" s="597"/>
      <c r="O291" s="544"/>
      <c r="P291" s="544"/>
      <c r="Q291" s="544"/>
      <c r="R291" s="544"/>
      <c r="S291" s="477"/>
      <c r="T291" s="477"/>
    </row>
    <row r="292" ht="12.75" customHeight="1">
      <c r="A292" s="544"/>
      <c r="B292" s="544"/>
      <c r="C292" s="703"/>
      <c r="D292" s="597"/>
      <c r="E292" s="704"/>
      <c r="F292" s="703"/>
      <c r="G292" s="597"/>
      <c r="H292" s="453"/>
      <c r="I292" s="493"/>
      <c r="J292" s="597"/>
      <c r="K292" s="544"/>
      <c r="L292" s="544"/>
      <c r="M292" s="597"/>
      <c r="N292" s="597"/>
      <c r="O292" s="544"/>
      <c r="P292" s="544"/>
      <c r="Q292" s="544"/>
      <c r="R292" s="544"/>
      <c r="S292" s="477"/>
      <c r="T292" s="477"/>
    </row>
    <row r="293" ht="12.75" customHeight="1">
      <c r="A293" s="544"/>
      <c r="B293" s="544"/>
      <c r="C293" s="703"/>
      <c r="D293" s="597"/>
      <c r="E293" s="704"/>
      <c r="F293" s="703"/>
      <c r="G293" s="597"/>
      <c r="H293" s="453"/>
      <c r="I293" s="493"/>
      <c r="J293" s="597"/>
      <c r="K293" s="544"/>
      <c r="L293" s="544"/>
      <c r="M293" s="597"/>
      <c r="N293" s="597"/>
      <c r="O293" s="544"/>
      <c r="P293" s="544"/>
      <c r="Q293" s="544"/>
      <c r="R293" s="544"/>
      <c r="S293" s="477"/>
      <c r="T293" s="477"/>
    </row>
    <row r="294" ht="12.75" customHeight="1">
      <c r="A294" s="544"/>
      <c r="B294" s="544"/>
      <c r="C294" s="703"/>
      <c r="D294" s="597"/>
      <c r="E294" s="704"/>
      <c r="F294" s="703"/>
      <c r="G294" s="597"/>
      <c r="H294" s="453"/>
      <c r="I294" s="493"/>
      <c r="J294" s="597"/>
      <c r="K294" s="544"/>
      <c r="L294" s="544"/>
      <c r="M294" s="597"/>
      <c r="N294" s="597"/>
      <c r="O294" s="544"/>
      <c r="P294" s="544"/>
      <c r="Q294" s="544"/>
      <c r="R294" s="544"/>
      <c r="S294" s="477"/>
      <c r="T294" s="477"/>
    </row>
    <row r="295" ht="12.75" customHeight="1">
      <c r="A295" s="544"/>
      <c r="B295" s="544"/>
      <c r="C295" s="703"/>
      <c r="D295" s="597"/>
      <c r="E295" s="704"/>
      <c r="F295" s="703"/>
      <c r="G295" s="597"/>
      <c r="H295" s="453"/>
      <c r="I295" s="493"/>
      <c r="J295" s="597"/>
      <c r="K295" s="544"/>
      <c r="L295" s="544"/>
      <c r="M295" s="597"/>
      <c r="N295" s="597"/>
      <c r="O295" s="544"/>
      <c r="P295" s="544"/>
      <c r="Q295" s="544"/>
      <c r="R295" s="544"/>
      <c r="S295" s="477"/>
      <c r="T295" s="477"/>
    </row>
    <row r="296" ht="12.75" customHeight="1">
      <c r="A296" s="544"/>
      <c r="B296" s="544"/>
      <c r="C296" s="703"/>
      <c r="D296" s="597"/>
      <c r="E296" s="704"/>
      <c r="F296" s="703"/>
      <c r="G296" s="597"/>
      <c r="H296" s="453"/>
      <c r="I296" s="493"/>
      <c r="J296" s="597"/>
      <c r="K296" s="544"/>
      <c r="L296" s="544"/>
      <c r="M296" s="597"/>
      <c r="N296" s="597"/>
      <c r="O296" s="544"/>
      <c r="P296" s="544"/>
      <c r="Q296" s="544"/>
      <c r="R296" s="544"/>
      <c r="S296" s="477"/>
      <c r="T296" s="477"/>
    </row>
    <row r="297" ht="12.75" customHeight="1">
      <c r="A297" s="544"/>
      <c r="B297" s="544"/>
      <c r="C297" s="703"/>
      <c r="D297" s="597"/>
      <c r="E297" s="704"/>
      <c r="F297" s="703"/>
      <c r="G297" s="597"/>
      <c r="H297" s="453"/>
      <c r="I297" s="493"/>
      <c r="J297" s="597"/>
      <c r="K297" s="544"/>
      <c r="L297" s="544"/>
      <c r="M297" s="597"/>
      <c r="N297" s="597"/>
      <c r="O297" s="544"/>
      <c r="P297" s="544"/>
      <c r="Q297" s="544"/>
      <c r="R297" s="544"/>
      <c r="S297" s="477"/>
      <c r="T297" s="477"/>
    </row>
    <row r="298" ht="12.75" customHeight="1">
      <c r="A298" s="544"/>
      <c r="B298" s="544"/>
      <c r="C298" s="703"/>
      <c r="D298" s="597"/>
      <c r="E298" s="704"/>
      <c r="F298" s="703"/>
      <c r="G298" s="597"/>
      <c r="H298" s="453"/>
      <c r="I298" s="493"/>
      <c r="J298" s="597"/>
      <c r="K298" s="544"/>
      <c r="L298" s="544"/>
      <c r="M298" s="597"/>
      <c r="N298" s="597"/>
      <c r="O298" s="544"/>
      <c r="P298" s="544"/>
      <c r="Q298" s="544"/>
      <c r="R298" s="544"/>
      <c r="S298" s="477"/>
      <c r="T298" s="477"/>
    </row>
    <row r="299" ht="12.75" customHeight="1">
      <c r="A299" s="544"/>
      <c r="B299" s="544"/>
      <c r="C299" s="703"/>
      <c r="D299" s="597"/>
      <c r="E299" s="704"/>
      <c r="F299" s="703"/>
      <c r="G299" s="597"/>
      <c r="H299" s="453"/>
      <c r="I299" s="493"/>
      <c r="J299" s="597"/>
      <c r="K299" s="544"/>
      <c r="L299" s="544"/>
      <c r="M299" s="597"/>
      <c r="N299" s="597"/>
      <c r="O299" s="544"/>
      <c r="P299" s="544"/>
      <c r="Q299" s="544"/>
      <c r="R299" s="544"/>
      <c r="S299" s="477"/>
      <c r="T299" s="477"/>
    </row>
    <row r="300" ht="12.75" customHeight="1">
      <c r="A300" s="544"/>
      <c r="B300" s="544"/>
      <c r="C300" s="703"/>
      <c r="D300" s="597"/>
      <c r="E300" s="704"/>
      <c r="F300" s="703"/>
      <c r="G300" s="597"/>
      <c r="H300" s="453"/>
      <c r="I300" s="493"/>
      <c r="J300" s="597"/>
      <c r="K300" s="544"/>
      <c r="L300" s="544"/>
      <c r="M300" s="597"/>
      <c r="N300" s="597"/>
      <c r="O300" s="544"/>
      <c r="P300" s="544"/>
      <c r="Q300" s="544"/>
      <c r="R300" s="544"/>
      <c r="S300" s="477"/>
      <c r="T300" s="477"/>
    </row>
    <row r="301" ht="12.75" customHeight="1">
      <c r="A301" s="544"/>
      <c r="B301" s="544"/>
      <c r="C301" s="703"/>
      <c r="D301" s="597"/>
      <c r="E301" s="704"/>
      <c r="F301" s="703"/>
      <c r="G301" s="597"/>
      <c r="H301" s="453"/>
      <c r="I301" s="493"/>
      <c r="J301" s="597"/>
      <c r="K301" s="544"/>
      <c r="L301" s="544"/>
      <c r="M301" s="597"/>
      <c r="N301" s="597"/>
      <c r="O301" s="544"/>
      <c r="P301" s="544"/>
      <c r="Q301" s="544"/>
      <c r="R301" s="544"/>
      <c r="S301" s="477"/>
      <c r="T301" s="477"/>
    </row>
    <row r="302" ht="12.75" customHeight="1">
      <c r="A302" s="544"/>
      <c r="B302" s="544"/>
      <c r="C302" s="703"/>
      <c r="D302" s="597"/>
      <c r="E302" s="704"/>
      <c r="F302" s="703"/>
      <c r="G302" s="597"/>
      <c r="H302" s="453"/>
      <c r="I302" s="493"/>
      <c r="J302" s="597"/>
      <c r="K302" s="544"/>
      <c r="L302" s="544"/>
      <c r="M302" s="597"/>
      <c r="N302" s="597"/>
      <c r="O302" s="544"/>
      <c r="P302" s="544"/>
      <c r="Q302" s="544"/>
      <c r="R302" s="544"/>
      <c r="S302" s="477"/>
      <c r="T302" s="477"/>
    </row>
    <row r="303" ht="12.75" customHeight="1">
      <c r="A303" s="544"/>
      <c r="B303" s="544"/>
      <c r="C303" s="703"/>
      <c r="D303" s="597"/>
      <c r="E303" s="704"/>
      <c r="F303" s="703"/>
      <c r="G303" s="597"/>
      <c r="H303" s="453"/>
      <c r="I303" s="493"/>
      <c r="J303" s="597"/>
      <c r="K303" s="544"/>
      <c r="L303" s="544"/>
      <c r="M303" s="597"/>
      <c r="N303" s="597"/>
      <c r="O303" s="544"/>
      <c r="P303" s="544"/>
      <c r="Q303" s="544"/>
      <c r="R303" s="544"/>
      <c r="S303" s="477"/>
      <c r="T303" s="477"/>
    </row>
    <row r="304" ht="12.75" customHeight="1">
      <c r="A304" s="544"/>
      <c r="B304" s="544"/>
      <c r="C304" s="703"/>
      <c r="D304" s="597"/>
      <c r="E304" s="704"/>
      <c r="F304" s="703"/>
      <c r="G304" s="597"/>
      <c r="H304" s="453"/>
      <c r="I304" s="493"/>
      <c r="J304" s="597"/>
      <c r="K304" s="544"/>
      <c r="L304" s="544"/>
      <c r="M304" s="597"/>
      <c r="N304" s="597"/>
      <c r="O304" s="544"/>
      <c r="P304" s="544"/>
      <c r="Q304" s="544"/>
      <c r="R304" s="544"/>
      <c r="S304" s="477"/>
      <c r="T304" s="477"/>
    </row>
    <row r="305" ht="12.75" customHeight="1">
      <c r="A305" s="544"/>
      <c r="B305" s="544"/>
      <c r="C305" s="703"/>
      <c r="D305" s="597"/>
      <c r="E305" s="704"/>
      <c r="F305" s="703"/>
      <c r="G305" s="597"/>
      <c r="H305" s="453"/>
      <c r="I305" s="493"/>
      <c r="J305" s="597"/>
      <c r="K305" s="544"/>
      <c r="L305" s="544"/>
      <c r="M305" s="597"/>
      <c r="N305" s="597"/>
      <c r="O305" s="544"/>
      <c r="P305" s="544"/>
      <c r="Q305" s="544"/>
      <c r="R305" s="544"/>
      <c r="S305" s="477"/>
      <c r="T305" s="477"/>
    </row>
    <row r="306" ht="12.75" customHeight="1">
      <c r="A306" s="544"/>
      <c r="B306" s="544"/>
      <c r="C306" s="703"/>
      <c r="D306" s="597"/>
      <c r="E306" s="704"/>
      <c r="F306" s="703"/>
      <c r="G306" s="597"/>
      <c r="H306" s="453"/>
      <c r="I306" s="493"/>
      <c r="J306" s="597"/>
      <c r="K306" s="544"/>
      <c r="L306" s="544"/>
      <c r="M306" s="597"/>
      <c r="N306" s="597"/>
      <c r="O306" s="544"/>
      <c r="P306" s="544"/>
      <c r="Q306" s="544"/>
      <c r="R306" s="544"/>
      <c r="S306" s="477"/>
      <c r="T306" s="477"/>
    </row>
    <row r="307" ht="12.75" customHeight="1">
      <c r="A307" s="544"/>
      <c r="B307" s="544"/>
      <c r="C307" s="703"/>
      <c r="D307" s="597"/>
      <c r="E307" s="704"/>
      <c r="F307" s="703"/>
      <c r="G307" s="597"/>
      <c r="H307" s="453"/>
      <c r="I307" s="493"/>
      <c r="J307" s="597"/>
      <c r="K307" s="544"/>
      <c r="L307" s="544"/>
      <c r="M307" s="597"/>
      <c r="N307" s="597"/>
      <c r="O307" s="544"/>
      <c r="P307" s="544"/>
      <c r="Q307" s="544"/>
      <c r="R307" s="544"/>
      <c r="S307" s="477"/>
      <c r="T307" s="477"/>
    </row>
    <row r="308" ht="12.75" customHeight="1">
      <c r="A308" s="544"/>
      <c r="B308" s="544"/>
      <c r="C308" s="703"/>
      <c r="D308" s="597"/>
      <c r="E308" s="704"/>
      <c r="F308" s="703"/>
      <c r="G308" s="597"/>
      <c r="H308" s="453"/>
      <c r="I308" s="493"/>
      <c r="J308" s="597"/>
      <c r="K308" s="544"/>
      <c r="L308" s="544"/>
      <c r="M308" s="597"/>
      <c r="N308" s="597"/>
      <c r="O308" s="544"/>
      <c r="P308" s="544"/>
      <c r="Q308" s="544"/>
      <c r="R308" s="544"/>
      <c r="S308" s="477"/>
      <c r="T308" s="477"/>
    </row>
    <row r="309" ht="12.75" customHeight="1">
      <c r="A309" s="544"/>
      <c r="B309" s="544"/>
      <c r="C309" s="703"/>
      <c r="D309" s="597"/>
      <c r="E309" s="704"/>
      <c r="F309" s="703"/>
      <c r="G309" s="597"/>
      <c r="H309" s="453"/>
      <c r="I309" s="493"/>
      <c r="J309" s="597"/>
      <c r="K309" s="544"/>
      <c r="L309" s="544"/>
      <c r="M309" s="597"/>
      <c r="N309" s="597"/>
      <c r="O309" s="544"/>
      <c r="P309" s="544"/>
      <c r="Q309" s="544"/>
      <c r="R309" s="544"/>
      <c r="S309" s="477"/>
      <c r="T309" s="477"/>
    </row>
    <row r="310" ht="12.75" customHeight="1">
      <c r="A310" s="544"/>
      <c r="B310" s="544"/>
      <c r="C310" s="703"/>
      <c r="D310" s="597"/>
      <c r="E310" s="704"/>
      <c r="F310" s="703"/>
      <c r="G310" s="597"/>
      <c r="H310" s="453"/>
      <c r="I310" s="493"/>
      <c r="J310" s="597"/>
      <c r="K310" s="544"/>
      <c r="L310" s="544"/>
      <c r="M310" s="597"/>
      <c r="N310" s="597"/>
      <c r="O310" s="544"/>
      <c r="P310" s="544"/>
      <c r="Q310" s="544"/>
      <c r="R310" s="544"/>
      <c r="S310" s="477"/>
      <c r="T310" s="477"/>
    </row>
    <row r="311" ht="12.75" customHeight="1">
      <c r="A311" s="544"/>
      <c r="B311" s="544"/>
      <c r="C311" s="703"/>
      <c r="D311" s="597"/>
      <c r="E311" s="704"/>
      <c r="F311" s="703"/>
      <c r="G311" s="597"/>
      <c r="H311" s="453"/>
      <c r="I311" s="493"/>
      <c r="J311" s="597"/>
      <c r="K311" s="544"/>
      <c r="L311" s="544"/>
      <c r="M311" s="597"/>
      <c r="N311" s="597"/>
      <c r="O311" s="544"/>
      <c r="P311" s="544"/>
      <c r="Q311" s="544"/>
      <c r="R311" s="544"/>
      <c r="S311" s="477"/>
      <c r="T311" s="477"/>
    </row>
    <row r="312" ht="12.75" customHeight="1">
      <c r="A312" s="544"/>
      <c r="B312" s="544"/>
      <c r="C312" s="703"/>
      <c r="D312" s="597"/>
      <c r="E312" s="704"/>
      <c r="F312" s="703"/>
      <c r="G312" s="597"/>
      <c r="H312" s="453"/>
      <c r="I312" s="493"/>
      <c r="J312" s="597"/>
      <c r="K312" s="544"/>
      <c r="L312" s="544"/>
      <c r="M312" s="597"/>
      <c r="N312" s="597"/>
      <c r="O312" s="544"/>
      <c r="P312" s="544"/>
      <c r="Q312" s="544"/>
      <c r="R312" s="544"/>
      <c r="S312" s="477"/>
      <c r="T312" s="477"/>
    </row>
    <row r="313" ht="12.75" customHeight="1">
      <c r="A313" s="544"/>
      <c r="B313" s="544"/>
      <c r="C313" s="703"/>
      <c r="D313" s="597"/>
      <c r="E313" s="704"/>
      <c r="F313" s="703"/>
      <c r="G313" s="597"/>
      <c r="H313" s="453"/>
      <c r="I313" s="493"/>
      <c r="J313" s="597"/>
      <c r="K313" s="544"/>
      <c r="L313" s="544"/>
      <c r="M313" s="597"/>
      <c r="N313" s="597"/>
      <c r="O313" s="544"/>
      <c r="P313" s="544"/>
      <c r="Q313" s="544"/>
      <c r="R313" s="544"/>
      <c r="S313" s="477"/>
      <c r="T313" s="477"/>
    </row>
    <row r="314" ht="12.75" customHeight="1">
      <c r="A314" s="544"/>
      <c r="B314" s="544"/>
      <c r="C314" s="703"/>
      <c r="D314" s="597"/>
      <c r="E314" s="704"/>
      <c r="F314" s="703"/>
      <c r="G314" s="597"/>
      <c r="H314" s="453"/>
      <c r="I314" s="493"/>
      <c r="J314" s="597"/>
      <c r="K314" s="544"/>
      <c r="L314" s="544"/>
      <c r="M314" s="597"/>
      <c r="N314" s="597"/>
      <c r="O314" s="544"/>
      <c r="P314" s="544"/>
      <c r="Q314" s="544"/>
      <c r="R314" s="544"/>
      <c r="S314" s="477"/>
      <c r="T314" s="477"/>
    </row>
    <row r="315" ht="12.75" customHeight="1">
      <c r="A315" s="544"/>
      <c r="B315" s="544"/>
      <c r="C315" s="703"/>
      <c r="D315" s="597"/>
      <c r="E315" s="704"/>
      <c r="F315" s="703"/>
      <c r="G315" s="597"/>
      <c r="H315" s="453"/>
      <c r="I315" s="493"/>
      <c r="J315" s="597"/>
      <c r="K315" s="544"/>
      <c r="L315" s="544"/>
      <c r="M315" s="597"/>
      <c r="N315" s="597"/>
      <c r="O315" s="544"/>
      <c r="P315" s="544"/>
      <c r="Q315" s="544"/>
      <c r="R315" s="544"/>
      <c r="S315" s="477"/>
      <c r="T315" s="477"/>
    </row>
    <row r="316" ht="12.75" customHeight="1">
      <c r="A316" s="544"/>
      <c r="B316" s="544"/>
      <c r="C316" s="703"/>
      <c r="D316" s="597"/>
      <c r="E316" s="704"/>
      <c r="F316" s="703"/>
      <c r="G316" s="597"/>
      <c r="H316" s="453"/>
      <c r="I316" s="493"/>
      <c r="J316" s="597"/>
      <c r="K316" s="544"/>
      <c r="L316" s="544"/>
      <c r="M316" s="597"/>
      <c r="N316" s="597"/>
      <c r="O316" s="544"/>
      <c r="P316" s="544"/>
      <c r="Q316" s="544"/>
      <c r="R316" s="544"/>
      <c r="S316" s="477"/>
      <c r="T316" s="477"/>
    </row>
    <row r="317" ht="12.75" customHeight="1">
      <c r="A317" s="544"/>
      <c r="B317" s="544"/>
      <c r="C317" s="703"/>
      <c r="D317" s="597"/>
      <c r="E317" s="704"/>
      <c r="F317" s="703"/>
      <c r="G317" s="597"/>
      <c r="H317" s="453"/>
      <c r="I317" s="493"/>
      <c r="J317" s="597"/>
      <c r="K317" s="544"/>
      <c r="L317" s="544"/>
      <c r="M317" s="597"/>
      <c r="N317" s="597"/>
      <c r="O317" s="544"/>
      <c r="P317" s="544"/>
      <c r="Q317" s="544"/>
      <c r="R317" s="544"/>
      <c r="S317" s="477"/>
      <c r="T317" s="477"/>
    </row>
    <row r="318" ht="12.75" customHeight="1">
      <c r="A318" s="544"/>
      <c r="B318" s="544"/>
      <c r="C318" s="703"/>
      <c r="D318" s="597"/>
      <c r="E318" s="704"/>
      <c r="F318" s="703"/>
      <c r="G318" s="597"/>
      <c r="H318" s="453"/>
      <c r="I318" s="493"/>
      <c r="J318" s="597"/>
      <c r="K318" s="544"/>
      <c r="L318" s="544"/>
      <c r="M318" s="597"/>
      <c r="N318" s="597"/>
      <c r="O318" s="544"/>
      <c r="P318" s="544"/>
      <c r="Q318" s="544"/>
      <c r="R318" s="544"/>
      <c r="S318" s="477"/>
      <c r="T318" s="477"/>
    </row>
    <row r="319" ht="12.75" customHeight="1">
      <c r="A319" s="544"/>
      <c r="B319" s="544"/>
      <c r="C319" s="703"/>
      <c r="D319" s="597"/>
      <c r="E319" s="704"/>
      <c r="F319" s="703"/>
      <c r="G319" s="597"/>
      <c r="H319" s="453"/>
      <c r="I319" s="493"/>
      <c r="J319" s="597"/>
      <c r="K319" s="544"/>
      <c r="L319" s="544"/>
      <c r="M319" s="597"/>
      <c r="N319" s="597"/>
      <c r="O319" s="544"/>
      <c r="P319" s="544"/>
      <c r="Q319" s="544"/>
      <c r="R319" s="544"/>
      <c r="S319" s="477"/>
      <c r="T319" s="477"/>
    </row>
    <row r="320" ht="12.75" customHeight="1">
      <c r="A320" s="544"/>
      <c r="B320" s="544"/>
      <c r="C320" s="703"/>
      <c r="D320" s="597"/>
      <c r="E320" s="704"/>
      <c r="F320" s="703"/>
      <c r="G320" s="597"/>
      <c r="H320" s="453"/>
      <c r="I320" s="493"/>
      <c r="J320" s="597"/>
      <c r="K320" s="544"/>
      <c r="L320" s="544"/>
      <c r="M320" s="597"/>
      <c r="N320" s="597"/>
      <c r="O320" s="544"/>
      <c r="P320" s="544"/>
      <c r="Q320" s="544"/>
      <c r="R320" s="544"/>
      <c r="S320" s="477"/>
      <c r="T320" s="477"/>
    </row>
    <row r="321" ht="12.75" customHeight="1">
      <c r="A321" s="544"/>
      <c r="B321" s="544"/>
      <c r="C321" s="703"/>
      <c r="D321" s="597"/>
      <c r="E321" s="704"/>
      <c r="F321" s="703"/>
      <c r="G321" s="597"/>
      <c r="H321" s="453"/>
      <c r="I321" s="493"/>
      <c r="J321" s="597"/>
      <c r="K321" s="544"/>
      <c r="L321" s="544"/>
      <c r="M321" s="597"/>
      <c r="N321" s="597"/>
      <c r="O321" s="544"/>
      <c r="P321" s="544"/>
      <c r="Q321" s="544"/>
      <c r="R321" s="544"/>
      <c r="S321" s="477"/>
      <c r="T321" s="477"/>
    </row>
    <row r="322" ht="12.75" customHeight="1">
      <c r="A322" s="544"/>
      <c r="B322" s="544"/>
      <c r="C322" s="703"/>
      <c r="D322" s="597"/>
      <c r="E322" s="704"/>
      <c r="F322" s="703"/>
      <c r="G322" s="597"/>
      <c r="H322" s="453"/>
      <c r="I322" s="493"/>
      <c r="J322" s="597"/>
      <c r="K322" s="544"/>
      <c r="L322" s="544"/>
      <c r="M322" s="597"/>
      <c r="N322" s="597"/>
      <c r="O322" s="544"/>
      <c r="P322" s="544"/>
      <c r="Q322" s="544"/>
      <c r="R322" s="544"/>
      <c r="S322" s="477"/>
      <c r="T322" s="477"/>
    </row>
    <row r="323" ht="12.75" customHeight="1">
      <c r="A323" s="544"/>
      <c r="B323" s="544"/>
      <c r="C323" s="703"/>
      <c r="D323" s="597"/>
      <c r="E323" s="704"/>
      <c r="F323" s="703"/>
      <c r="G323" s="597"/>
      <c r="H323" s="453"/>
      <c r="I323" s="493"/>
      <c r="J323" s="597"/>
      <c r="K323" s="544"/>
      <c r="L323" s="544"/>
      <c r="M323" s="597"/>
      <c r="N323" s="597"/>
      <c r="O323" s="544"/>
      <c r="P323" s="544"/>
      <c r="Q323" s="544"/>
      <c r="R323" s="544"/>
      <c r="S323" s="477"/>
      <c r="T323" s="477"/>
    </row>
    <row r="324" ht="12.75" customHeight="1">
      <c r="A324" s="544"/>
      <c r="B324" s="544"/>
      <c r="C324" s="703"/>
      <c r="D324" s="597"/>
      <c r="E324" s="704"/>
      <c r="F324" s="703"/>
      <c r="G324" s="597"/>
      <c r="H324" s="453"/>
      <c r="I324" s="493"/>
      <c r="J324" s="597"/>
      <c r="K324" s="544"/>
      <c r="L324" s="544"/>
      <c r="M324" s="597"/>
      <c r="N324" s="597"/>
      <c r="O324" s="544"/>
      <c r="P324" s="544"/>
      <c r="Q324" s="544"/>
      <c r="R324" s="544"/>
      <c r="S324" s="477"/>
      <c r="T324" s="477"/>
    </row>
    <row r="325" ht="12.75" customHeight="1">
      <c r="A325" s="544"/>
      <c r="B325" s="544"/>
      <c r="C325" s="703"/>
      <c r="D325" s="597"/>
      <c r="E325" s="704"/>
      <c r="F325" s="703"/>
      <c r="G325" s="597"/>
      <c r="H325" s="453"/>
      <c r="I325" s="493"/>
      <c r="J325" s="597"/>
      <c r="K325" s="544"/>
      <c r="L325" s="544"/>
      <c r="M325" s="597"/>
      <c r="N325" s="597"/>
      <c r="O325" s="544"/>
      <c r="P325" s="544"/>
      <c r="Q325" s="544"/>
      <c r="R325" s="544"/>
      <c r="S325" s="477"/>
      <c r="T325" s="477"/>
    </row>
    <row r="326" ht="12.75" customHeight="1">
      <c r="A326" s="544"/>
      <c r="B326" s="544"/>
      <c r="C326" s="703"/>
      <c r="D326" s="597"/>
      <c r="E326" s="704"/>
      <c r="F326" s="703"/>
      <c r="G326" s="597"/>
      <c r="H326" s="453"/>
      <c r="I326" s="493"/>
      <c r="J326" s="597"/>
      <c r="K326" s="544"/>
      <c r="L326" s="544"/>
      <c r="M326" s="597"/>
      <c r="N326" s="597"/>
      <c r="O326" s="544"/>
      <c r="P326" s="544"/>
      <c r="Q326" s="544"/>
      <c r="R326" s="544"/>
      <c r="S326" s="477"/>
      <c r="T326" s="477"/>
    </row>
    <row r="327" ht="12.75" customHeight="1">
      <c r="A327" s="544"/>
      <c r="B327" s="544"/>
      <c r="C327" s="703"/>
      <c r="D327" s="597"/>
      <c r="E327" s="704"/>
      <c r="F327" s="703"/>
      <c r="G327" s="597"/>
      <c r="H327" s="453"/>
      <c r="I327" s="493"/>
      <c r="J327" s="597"/>
      <c r="K327" s="544"/>
      <c r="L327" s="544"/>
      <c r="M327" s="597"/>
      <c r="N327" s="597"/>
      <c r="O327" s="544"/>
      <c r="P327" s="544"/>
      <c r="Q327" s="544"/>
      <c r="R327" s="544"/>
      <c r="S327" s="477"/>
      <c r="T327" s="477"/>
    </row>
    <row r="328" ht="12.75" customHeight="1">
      <c r="A328" s="544"/>
      <c r="B328" s="544"/>
      <c r="C328" s="703"/>
      <c r="D328" s="597"/>
      <c r="E328" s="704"/>
      <c r="F328" s="703"/>
      <c r="G328" s="597"/>
      <c r="H328" s="453"/>
      <c r="I328" s="493"/>
      <c r="J328" s="597"/>
      <c r="K328" s="544"/>
      <c r="L328" s="544"/>
      <c r="M328" s="597"/>
      <c r="N328" s="597"/>
      <c r="O328" s="544"/>
      <c r="P328" s="544"/>
      <c r="Q328" s="544"/>
      <c r="R328" s="544"/>
      <c r="S328" s="477"/>
      <c r="T328" s="477"/>
    </row>
    <row r="329" ht="12.75" customHeight="1">
      <c r="A329" s="544"/>
      <c r="B329" s="544"/>
      <c r="C329" s="703"/>
      <c r="D329" s="597"/>
      <c r="E329" s="704"/>
      <c r="F329" s="703"/>
      <c r="G329" s="597"/>
      <c r="H329" s="453"/>
      <c r="I329" s="493"/>
      <c r="J329" s="597"/>
      <c r="K329" s="544"/>
      <c r="L329" s="544"/>
      <c r="M329" s="597"/>
      <c r="N329" s="597"/>
      <c r="O329" s="544"/>
      <c r="P329" s="544"/>
      <c r="Q329" s="544"/>
      <c r="R329" s="544"/>
      <c r="S329" s="477"/>
      <c r="T329" s="477"/>
    </row>
    <row r="330" ht="12.75" customHeight="1">
      <c r="A330" s="544"/>
      <c r="B330" s="544"/>
      <c r="C330" s="703"/>
      <c r="D330" s="597"/>
      <c r="E330" s="704"/>
      <c r="F330" s="703"/>
      <c r="G330" s="597"/>
      <c r="H330" s="453"/>
      <c r="I330" s="493"/>
      <c r="J330" s="597"/>
      <c r="K330" s="544"/>
      <c r="L330" s="544"/>
      <c r="M330" s="597"/>
      <c r="N330" s="597"/>
      <c r="O330" s="544"/>
      <c r="P330" s="544"/>
      <c r="Q330" s="544"/>
      <c r="R330" s="544"/>
      <c r="S330" s="477"/>
      <c r="T330" s="477"/>
    </row>
    <row r="331" ht="12.75" customHeight="1">
      <c r="A331" s="544"/>
      <c r="B331" s="544"/>
      <c r="C331" s="703"/>
      <c r="D331" s="597"/>
      <c r="E331" s="704"/>
      <c r="F331" s="703"/>
      <c r="G331" s="597"/>
      <c r="H331" s="453"/>
      <c r="I331" s="493"/>
      <c r="J331" s="597"/>
      <c r="K331" s="544"/>
      <c r="L331" s="544"/>
      <c r="M331" s="597"/>
      <c r="N331" s="597"/>
      <c r="O331" s="544"/>
      <c r="P331" s="544"/>
      <c r="Q331" s="544"/>
      <c r="R331" s="544"/>
      <c r="S331" s="477"/>
      <c r="T331" s="477"/>
    </row>
    <row r="332" ht="12.75" customHeight="1">
      <c r="A332" s="544"/>
      <c r="B332" s="544"/>
      <c r="C332" s="703"/>
      <c r="D332" s="597"/>
      <c r="E332" s="704"/>
      <c r="F332" s="703"/>
      <c r="G332" s="597"/>
      <c r="H332" s="453"/>
      <c r="I332" s="493"/>
      <c r="J332" s="597"/>
      <c r="K332" s="544"/>
      <c r="L332" s="544"/>
      <c r="M332" s="597"/>
      <c r="N332" s="597"/>
      <c r="O332" s="544"/>
      <c r="P332" s="544"/>
      <c r="Q332" s="544"/>
      <c r="R332" s="544"/>
      <c r="S332" s="477"/>
      <c r="T332" s="477"/>
    </row>
    <row r="333" ht="12.75" customHeight="1">
      <c r="A333" s="544"/>
      <c r="B333" s="544"/>
      <c r="C333" s="703"/>
      <c r="D333" s="597"/>
      <c r="E333" s="704"/>
      <c r="F333" s="703"/>
      <c r="G333" s="597"/>
      <c r="H333" s="453"/>
      <c r="I333" s="493"/>
      <c r="J333" s="597"/>
      <c r="K333" s="544"/>
      <c r="L333" s="544"/>
      <c r="M333" s="597"/>
      <c r="N333" s="597"/>
      <c r="O333" s="544"/>
      <c r="P333" s="544"/>
      <c r="Q333" s="544"/>
      <c r="R333" s="544"/>
      <c r="S333" s="477"/>
      <c r="T333" s="477"/>
    </row>
    <row r="334" ht="12.75" customHeight="1">
      <c r="A334" s="544"/>
      <c r="B334" s="544"/>
      <c r="C334" s="703"/>
      <c r="D334" s="597"/>
      <c r="E334" s="704"/>
      <c r="F334" s="703"/>
      <c r="G334" s="597"/>
      <c r="H334" s="453"/>
      <c r="I334" s="493"/>
      <c r="J334" s="597"/>
      <c r="K334" s="544"/>
      <c r="L334" s="544"/>
      <c r="M334" s="597"/>
      <c r="N334" s="597"/>
      <c r="O334" s="544"/>
      <c r="P334" s="544"/>
      <c r="Q334" s="544"/>
      <c r="R334" s="544"/>
      <c r="S334" s="477"/>
      <c r="T334" s="477"/>
    </row>
    <row r="335" ht="12.75" customHeight="1">
      <c r="A335" s="544"/>
      <c r="B335" s="544"/>
      <c r="C335" s="703"/>
      <c r="D335" s="597"/>
      <c r="E335" s="704"/>
      <c r="F335" s="703"/>
      <c r="G335" s="597"/>
      <c r="H335" s="453"/>
      <c r="I335" s="493"/>
      <c r="J335" s="597"/>
      <c r="K335" s="544"/>
      <c r="L335" s="544"/>
      <c r="M335" s="597"/>
      <c r="N335" s="597"/>
      <c r="O335" s="544"/>
      <c r="P335" s="544"/>
      <c r="Q335" s="544"/>
      <c r="R335" s="544"/>
      <c r="S335" s="477"/>
      <c r="T335" s="477"/>
    </row>
    <row r="336" ht="12.75" customHeight="1">
      <c r="A336" s="544"/>
      <c r="B336" s="544"/>
      <c r="C336" s="703"/>
      <c r="D336" s="597"/>
      <c r="E336" s="704"/>
      <c r="F336" s="703"/>
      <c r="G336" s="597"/>
      <c r="H336" s="453"/>
      <c r="I336" s="493"/>
      <c r="J336" s="597"/>
      <c r="K336" s="544"/>
      <c r="L336" s="544"/>
      <c r="M336" s="597"/>
      <c r="N336" s="597"/>
      <c r="O336" s="544"/>
      <c r="P336" s="544"/>
      <c r="Q336" s="544"/>
      <c r="R336" s="544"/>
      <c r="S336" s="477"/>
      <c r="T336" s="477"/>
    </row>
    <row r="337" ht="12.75" customHeight="1">
      <c r="A337" s="544"/>
      <c r="B337" s="544"/>
      <c r="C337" s="703"/>
      <c r="D337" s="597"/>
      <c r="E337" s="704"/>
      <c r="F337" s="703"/>
      <c r="G337" s="597"/>
      <c r="H337" s="453"/>
      <c r="I337" s="493"/>
      <c r="J337" s="597"/>
      <c r="K337" s="544"/>
      <c r="L337" s="544"/>
      <c r="M337" s="597"/>
      <c r="N337" s="597"/>
      <c r="O337" s="544"/>
      <c r="P337" s="544"/>
      <c r="Q337" s="544"/>
      <c r="R337" s="544"/>
      <c r="S337" s="477"/>
      <c r="T337" s="477"/>
    </row>
    <row r="338" ht="12.75" customHeight="1">
      <c r="A338" s="544"/>
      <c r="B338" s="544"/>
      <c r="C338" s="703"/>
      <c r="D338" s="597"/>
      <c r="E338" s="704"/>
      <c r="F338" s="703"/>
      <c r="G338" s="597"/>
      <c r="H338" s="453"/>
      <c r="I338" s="493"/>
      <c r="J338" s="597"/>
      <c r="K338" s="544"/>
      <c r="L338" s="544"/>
      <c r="M338" s="597"/>
      <c r="N338" s="597"/>
      <c r="O338" s="544"/>
      <c r="P338" s="544"/>
      <c r="Q338" s="544"/>
      <c r="R338" s="544"/>
      <c r="S338" s="477"/>
      <c r="T338" s="477"/>
    </row>
    <row r="339" ht="12.75" customHeight="1">
      <c r="A339" s="544"/>
      <c r="B339" s="544"/>
      <c r="C339" s="703"/>
      <c r="D339" s="597"/>
      <c r="E339" s="704"/>
      <c r="F339" s="703"/>
      <c r="G339" s="597"/>
      <c r="H339" s="453"/>
      <c r="I339" s="493"/>
      <c r="J339" s="597"/>
      <c r="K339" s="544"/>
      <c r="L339" s="544"/>
      <c r="M339" s="597"/>
      <c r="N339" s="597"/>
      <c r="O339" s="544"/>
      <c r="P339" s="544"/>
      <c r="Q339" s="544"/>
      <c r="R339" s="544"/>
      <c r="S339" s="477"/>
      <c r="T339" s="477"/>
    </row>
    <row r="340" ht="12.75" customHeight="1">
      <c r="A340" s="544"/>
      <c r="B340" s="544"/>
      <c r="C340" s="703"/>
      <c r="D340" s="597"/>
      <c r="E340" s="704"/>
      <c r="F340" s="703"/>
      <c r="G340" s="597"/>
      <c r="H340" s="453"/>
      <c r="I340" s="493"/>
      <c r="J340" s="597"/>
      <c r="K340" s="544"/>
      <c r="L340" s="544"/>
      <c r="M340" s="597"/>
      <c r="N340" s="597"/>
      <c r="O340" s="544"/>
      <c r="P340" s="544"/>
      <c r="Q340" s="544"/>
      <c r="R340" s="544"/>
      <c r="S340" s="477"/>
      <c r="T340" s="477"/>
    </row>
    <row r="341" ht="12.75" customHeight="1">
      <c r="A341" s="544"/>
      <c r="B341" s="544"/>
      <c r="C341" s="703"/>
      <c r="D341" s="597"/>
      <c r="E341" s="704"/>
      <c r="F341" s="703"/>
      <c r="G341" s="597"/>
      <c r="H341" s="453"/>
      <c r="I341" s="493"/>
      <c r="J341" s="597"/>
      <c r="K341" s="544"/>
      <c r="L341" s="544"/>
      <c r="M341" s="597"/>
      <c r="N341" s="597"/>
      <c r="O341" s="544"/>
      <c r="P341" s="544"/>
      <c r="Q341" s="544"/>
      <c r="R341" s="544"/>
      <c r="S341" s="477"/>
      <c r="T341" s="477"/>
    </row>
    <row r="342" ht="12.75" customHeight="1">
      <c r="A342" s="544"/>
      <c r="B342" s="544"/>
      <c r="C342" s="703"/>
      <c r="D342" s="597"/>
      <c r="E342" s="704"/>
      <c r="F342" s="703"/>
      <c r="G342" s="597"/>
      <c r="H342" s="453"/>
      <c r="I342" s="493"/>
      <c r="J342" s="597"/>
      <c r="K342" s="544"/>
      <c r="L342" s="544"/>
      <c r="M342" s="597"/>
      <c r="N342" s="597"/>
      <c r="O342" s="544"/>
      <c r="P342" s="544"/>
      <c r="Q342" s="544"/>
      <c r="R342" s="544"/>
      <c r="S342" s="477"/>
      <c r="T342" s="477"/>
    </row>
    <row r="343" ht="12.75" customHeight="1">
      <c r="A343" s="544"/>
      <c r="B343" s="544"/>
      <c r="C343" s="703"/>
      <c r="D343" s="597"/>
      <c r="E343" s="704"/>
      <c r="F343" s="703"/>
      <c r="G343" s="597"/>
      <c r="H343" s="453"/>
      <c r="I343" s="493"/>
      <c r="J343" s="597"/>
      <c r="K343" s="544"/>
      <c r="L343" s="544"/>
      <c r="M343" s="597"/>
      <c r="N343" s="597"/>
      <c r="O343" s="544"/>
      <c r="P343" s="544"/>
      <c r="Q343" s="544"/>
      <c r="R343" s="544"/>
      <c r="S343" s="477"/>
      <c r="T343" s="477"/>
    </row>
    <row r="344" ht="12.75" customHeight="1">
      <c r="A344" s="544"/>
      <c r="B344" s="544"/>
      <c r="C344" s="703"/>
      <c r="D344" s="597"/>
      <c r="E344" s="704"/>
      <c r="F344" s="703"/>
      <c r="G344" s="597"/>
      <c r="H344" s="453"/>
      <c r="I344" s="493"/>
      <c r="J344" s="597"/>
      <c r="K344" s="544"/>
      <c r="L344" s="544"/>
      <c r="M344" s="597"/>
      <c r="N344" s="597"/>
      <c r="O344" s="544"/>
      <c r="P344" s="544"/>
      <c r="Q344" s="544"/>
      <c r="R344" s="544"/>
      <c r="S344" s="477"/>
      <c r="T344" s="477"/>
    </row>
    <row r="345" ht="12.75" customHeight="1">
      <c r="A345" s="544"/>
      <c r="B345" s="544"/>
      <c r="C345" s="703"/>
      <c r="D345" s="597"/>
      <c r="E345" s="704"/>
      <c r="F345" s="703"/>
      <c r="G345" s="597"/>
      <c r="H345" s="453"/>
      <c r="I345" s="493"/>
      <c r="J345" s="597"/>
      <c r="K345" s="544"/>
      <c r="L345" s="544"/>
      <c r="M345" s="597"/>
      <c r="N345" s="597"/>
      <c r="O345" s="544"/>
      <c r="P345" s="544"/>
      <c r="Q345" s="544"/>
      <c r="R345" s="544"/>
      <c r="S345" s="477"/>
      <c r="T345" s="477"/>
    </row>
    <row r="346" ht="12.75" customHeight="1">
      <c r="A346" s="544"/>
      <c r="B346" s="544"/>
      <c r="C346" s="703"/>
      <c r="D346" s="597"/>
      <c r="E346" s="704"/>
      <c r="F346" s="703"/>
      <c r="G346" s="597"/>
      <c r="H346" s="453"/>
      <c r="I346" s="493"/>
      <c r="J346" s="597"/>
      <c r="K346" s="544"/>
      <c r="L346" s="544"/>
      <c r="M346" s="597"/>
      <c r="N346" s="597"/>
      <c r="O346" s="544"/>
      <c r="P346" s="544"/>
      <c r="Q346" s="544"/>
      <c r="R346" s="544"/>
      <c r="S346" s="477"/>
      <c r="T346" s="477"/>
    </row>
    <row r="347" ht="12.75" customHeight="1">
      <c r="A347" s="544"/>
      <c r="B347" s="544"/>
      <c r="C347" s="703"/>
      <c r="D347" s="597"/>
      <c r="E347" s="704"/>
      <c r="F347" s="703"/>
      <c r="G347" s="597"/>
      <c r="H347" s="453"/>
      <c r="I347" s="493"/>
      <c r="J347" s="597"/>
      <c r="K347" s="544"/>
      <c r="L347" s="544"/>
      <c r="M347" s="597"/>
      <c r="N347" s="597"/>
      <c r="O347" s="544"/>
      <c r="P347" s="544"/>
      <c r="Q347" s="544"/>
      <c r="R347" s="544"/>
      <c r="S347" s="477"/>
      <c r="T347" s="477"/>
    </row>
    <row r="348" ht="12.75" customHeight="1">
      <c r="A348" s="544"/>
      <c r="B348" s="544"/>
      <c r="C348" s="703"/>
      <c r="D348" s="597"/>
      <c r="E348" s="704"/>
      <c r="F348" s="703"/>
      <c r="G348" s="597"/>
      <c r="H348" s="453"/>
      <c r="I348" s="493"/>
      <c r="J348" s="597"/>
      <c r="K348" s="544"/>
      <c r="L348" s="544"/>
      <c r="M348" s="597"/>
      <c r="N348" s="597"/>
      <c r="O348" s="544"/>
      <c r="P348" s="544"/>
      <c r="Q348" s="544"/>
      <c r="R348" s="544"/>
      <c r="S348" s="477"/>
      <c r="T348" s="477"/>
    </row>
    <row r="349" ht="12.75" customHeight="1">
      <c r="A349" s="544"/>
      <c r="B349" s="544"/>
      <c r="C349" s="703"/>
      <c r="D349" s="597"/>
      <c r="E349" s="704"/>
      <c r="F349" s="703"/>
      <c r="G349" s="597"/>
      <c r="H349" s="453"/>
      <c r="I349" s="493"/>
      <c r="J349" s="597"/>
      <c r="K349" s="544"/>
      <c r="L349" s="544"/>
      <c r="M349" s="597"/>
      <c r="N349" s="597"/>
      <c r="O349" s="544"/>
      <c r="P349" s="544"/>
      <c r="Q349" s="544"/>
      <c r="R349" s="544"/>
      <c r="S349" s="477"/>
      <c r="T349" s="477"/>
    </row>
    <row r="350" ht="12.75" customHeight="1">
      <c r="A350" s="544"/>
      <c r="B350" s="544"/>
      <c r="C350" s="703"/>
      <c r="D350" s="597"/>
      <c r="E350" s="704"/>
      <c r="F350" s="703"/>
      <c r="G350" s="597"/>
      <c r="H350" s="453"/>
      <c r="I350" s="493"/>
      <c r="J350" s="597"/>
      <c r="K350" s="544"/>
      <c r="L350" s="544"/>
      <c r="M350" s="597"/>
      <c r="N350" s="597"/>
      <c r="O350" s="544"/>
      <c r="P350" s="544"/>
      <c r="Q350" s="544"/>
      <c r="R350" s="544"/>
      <c r="S350" s="477"/>
      <c r="T350" s="477"/>
    </row>
    <row r="351" ht="12.75" customHeight="1">
      <c r="A351" s="544"/>
      <c r="B351" s="544"/>
      <c r="C351" s="703"/>
      <c r="D351" s="597"/>
      <c r="E351" s="704"/>
      <c r="F351" s="703"/>
      <c r="G351" s="597"/>
      <c r="H351" s="453"/>
      <c r="I351" s="493"/>
      <c r="J351" s="597"/>
      <c r="K351" s="544"/>
      <c r="L351" s="544"/>
      <c r="M351" s="597"/>
      <c r="N351" s="597"/>
      <c r="O351" s="544"/>
      <c r="P351" s="544"/>
      <c r="Q351" s="544"/>
      <c r="R351" s="544"/>
      <c r="S351" s="477"/>
      <c r="T351" s="477"/>
    </row>
    <row r="352" ht="12.75" customHeight="1">
      <c r="A352" s="544"/>
      <c r="B352" s="544"/>
      <c r="C352" s="703"/>
      <c r="D352" s="597"/>
      <c r="E352" s="704"/>
      <c r="F352" s="703"/>
      <c r="G352" s="597"/>
      <c r="H352" s="453"/>
      <c r="I352" s="493"/>
      <c r="J352" s="597"/>
      <c r="K352" s="544"/>
      <c r="L352" s="544"/>
      <c r="M352" s="597"/>
      <c r="N352" s="597"/>
      <c r="O352" s="544"/>
      <c r="P352" s="544"/>
      <c r="Q352" s="544"/>
      <c r="R352" s="544"/>
      <c r="S352" s="477"/>
      <c r="T352" s="477"/>
    </row>
    <row r="353" ht="12.75" customHeight="1">
      <c r="A353" s="544"/>
      <c r="B353" s="544"/>
      <c r="C353" s="703"/>
      <c r="D353" s="597"/>
      <c r="E353" s="704"/>
      <c r="F353" s="703"/>
      <c r="G353" s="597"/>
      <c r="H353" s="453"/>
      <c r="I353" s="493"/>
      <c r="J353" s="597"/>
      <c r="K353" s="544"/>
      <c r="L353" s="544"/>
      <c r="M353" s="597"/>
      <c r="N353" s="597"/>
      <c r="O353" s="544"/>
      <c r="P353" s="544"/>
      <c r="Q353" s="544"/>
      <c r="R353" s="544"/>
      <c r="S353" s="477"/>
      <c r="T353" s="477"/>
    </row>
    <row r="354" ht="12.75" customHeight="1">
      <c r="A354" s="544"/>
      <c r="B354" s="544"/>
      <c r="C354" s="703"/>
      <c r="D354" s="597"/>
      <c r="E354" s="704"/>
      <c r="F354" s="703"/>
      <c r="G354" s="597"/>
      <c r="H354" s="453"/>
      <c r="I354" s="493"/>
      <c r="J354" s="597"/>
      <c r="K354" s="544"/>
      <c r="L354" s="544"/>
      <c r="M354" s="597"/>
      <c r="N354" s="597"/>
      <c r="O354" s="544"/>
      <c r="P354" s="544"/>
      <c r="Q354" s="544"/>
      <c r="R354" s="544"/>
      <c r="S354" s="477"/>
      <c r="T354" s="477"/>
    </row>
    <row r="355" ht="12.75" customHeight="1">
      <c r="A355" s="544"/>
      <c r="B355" s="544"/>
      <c r="C355" s="703"/>
      <c r="D355" s="597"/>
      <c r="E355" s="704"/>
      <c r="F355" s="703"/>
      <c r="G355" s="597"/>
      <c r="H355" s="453"/>
      <c r="I355" s="493"/>
      <c r="J355" s="597"/>
      <c r="K355" s="544"/>
      <c r="L355" s="544"/>
      <c r="M355" s="597"/>
      <c r="N355" s="597"/>
      <c r="O355" s="544"/>
      <c r="P355" s="544"/>
      <c r="Q355" s="544"/>
      <c r="R355" s="544"/>
      <c r="S355" s="477"/>
      <c r="T355" s="477"/>
    </row>
    <row r="356" ht="12.75" customHeight="1">
      <c r="A356" s="544"/>
      <c r="B356" s="544"/>
      <c r="C356" s="703"/>
      <c r="D356" s="597"/>
      <c r="E356" s="704"/>
      <c r="F356" s="703"/>
      <c r="G356" s="597"/>
      <c r="H356" s="453"/>
      <c r="I356" s="493"/>
      <c r="J356" s="597"/>
      <c r="K356" s="544"/>
      <c r="L356" s="544"/>
      <c r="M356" s="597"/>
      <c r="N356" s="597"/>
      <c r="O356" s="544"/>
      <c r="P356" s="544"/>
      <c r="Q356" s="544"/>
      <c r="R356" s="544"/>
      <c r="S356" s="477"/>
      <c r="T356" s="477"/>
    </row>
    <row r="357" ht="12.75" customHeight="1">
      <c r="A357" s="544"/>
      <c r="B357" s="544"/>
      <c r="C357" s="703"/>
      <c r="D357" s="597"/>
      <c r="E357" s="704"/>
      <c r="F357" s="703"/>
      <c r="G357" s="597"/>
      <c r="H357" s="453"/>
      <c r="I357" s="493"/>
      <c r="J357" s="597"/>
      <c r="K357" s="544"/>
      <c r="L357" s="544"/>
      <c r="M357" s="597"/>
      <c r="N357" s="597"/>
      <c r="O357" s="544"/>
      <c r="P357" s="544"/>
      <c r="Q357" s="544"/>
      <c r="R357" s="544"/>
      <c r="S357" s="477"/>
      <c r="T357" s="477"/>
    </row>
    <row r="358" ht="12.75" customHeight="1">
      <c r="A358" s="544"/>
      <c r="B358" s="544"/>
      <c r="C358" s="703"/>
      <c r="D358" s="597"/>
      <c r="E358" s="704"/>
      <c r="F358" s="703"/>
      <c r="G358" s="597"/>
      <c r="H358" s="453"/>
      <c r="I358" s="493"/>
      <c r="J358" s="597"/>
      <c r="K358" s="544"/>
      <c r="L358" s="544"/>
      <c r="M358" s="597"/>
      <c r="N358" s="597"/>
      <c r="O358" s="544"/>
      <c r="P358" s="544"/>
      <c r="Q358" s="544"/>
      <c r="R358" s="544"/>
      <c r="S358" s="477"/>
      <c r="T358" s="477"/>
    </row>
    <row r="359" ht="12.75" customHeight="1">
      <c r="A359" s="544"/>
      <c r="B359" s="544"/>
      <c r="C359" s="703"/>
      <c r="D359" s="597"/>
      <c r="E359" s="704"/>
      <c r="F359" s="703"/>
      <c r="G359" s="597"/>
      <c r="H359" s="453"/>
      <c r="I359" s="493"/>
      <c r="J359" s="597"/>
      <c r="K359" s="544"/>
      <c r="L359" s="544"/>
      <c r="M359" s="597"/>
      <c r="N359" s="597"/>
      <c r="O359" s="544"/>
      <c r="P359" s="544"/>
      <c r="Q359" s="544"/>
      <c r="R359" s="544"/>
      <c r="S359" s="477"/>
      <c r="T359" s="477"/>
    </row>
    <row r="360" ht="12.75" customHeight="1">
      <c r="A360" s="544"/>
      <c r="B360" s="544"/>
      <c r="C360" s="703"/>
      <c r="D360" s="597"/>
      <c r="E360" s="704"/>
      <c r="F360" s="703"/>
      <c r="G360" s="597"/>
      <c r="H360" s="453"/>
      <c r="I360" s="493"/>
      <c r="J360" s="597"/>
      <c r="K360" s="544"/>
      <c r="L360" s="544"/>
      <c r="M360" s="597"/>
      <c r="N360" s="597"/>
      <c r="O360" s="544"/>
      <c r="P360" s="544"/>
      <c r="Q360" s="544"/>
      <c r="R360" s="544"/>
      <c r="S360" s="477"/>
      <c r="T360" s="477"/>
    </row>
    <row r="361" ht="12.75" customHeight="1">
      <c r="A361" s="544"/>
      <c r="B361" s="544"/>
      <c r="C361" s="703"/>
      <c r="D361" s="597"/>
      <c r="E361" s="704"/>
      <c r="F361" s="703"/>
      <c r="G361" s="597"/>
      <c r="H361" s="453"/>
      <c r="I361" s="493"/>
      <c r="J361" s="597"/>
      <c r="K361" s="544"/>
      <c r="L361" s="544"/>
      <c r="M361" s="597"/>
      <c r="N361" s="597"/>
      <c r="O361" s="544"/>
      <c r="P361" s="544"/>
      <c r="Q361" s="544"/>
      <c r="R361" s="544"/>
      <c r="S361" s="477"/>
      <c r="T361" s="477"/>
    </row>
    <row r="362" ht="12.75" customHeight="1">
      <c r="A362" s="544"/>
      <c r="B362" s="544"/>
      <c r="C362" s="703"/>
      <c r="D362" s="597"/>
      <c r="E362" s="704"/>
      <c r="F362" s="703"/>
      <c r="G362" s="597"/>
      <c r="H362" s="453"/>
      <c r="I362" s="493"/>
      <c r="J362" s="597"/>
      <c r="K362" s="544"/>
      <c r="L362" s="544"/>
      <c r="M362" s="597"/>
      <c r="N362" s="597"/>
      <c r="O362" s="544"/>
      <c r="P362" s="544"/>
      <c r="Q362" s="544"/>
      <c r="R362" s="544"/>
      <c r="S362" s="477"/>
      <c r="T362" s="477"/>
    </row>
    <row r="363" ht="12.75" customHeight="1">
      <c r="A363" s="544"/>
      <c r="B363" s="544"/>
      <c r="C363" s="703"/>
      <c r="D363" s="597"/>
      <c r="E363" s="704"/>
      <c r="F363" s="703"/>
      <c r="G363" s="597"/>
      <c r="H363" s="453"/>
      <c r="I363" s="493"/>
      <c r="J363" s="597"/>
      <c r="K363" s="544"/>
      <c r="L363" s="544"/>
      <c r="M363" s="597"/>
      <c r="N363" s="597"/>
      <c r="O363" s="544"/>
      <c r="P363" s="544"/>
      <c r="Q363" s="544"/>
      <c r="R363" s="544"/>
      <c r="S363" s="477"/>
      <c r="T363" s="477"/>
    </row>
    <row r="364" ht="12.75" customHeight="1">
      <c r="A364" s="544"/>
      <c r="B364" s="544"/>
      <c r="C364" s="703"/>
      <c r="D364" s="597"/>
      <c r="E364" s="704"/>
      <c r="F364" s="703"/>
      <c r="G364" s="597"/>
      <c r="H364" s="453"/>
      <c r="I364" s="493"/>
      <c r="J364" s="597"/>
      <c r="K364" s="544"/>
      <c r="L364" s="544"/>
      <c r="M364" s="597"/>
      <c r="N364" s="597"/>
      <c r="O364" s="544"/>
      <c r="P364" s="544"/>
      <c r="Q364" s="544"/>
      <c r="R364" s="544"/>
      <c r="S364" s="477"/>
      <c r="T364" s="477"/>
    </row>
    <row r="365" ht="12.75" customHeight="1">
      <c r="A365" s="544"/>
      <c r="B365" s="544"/>
      <c r="C365" s="703"/>
      <c r="D365" s="597"/>
      <c r="E365" s="704"/>
      <c r="F365" s="703"/>
      <c r="G365" s="597"/>
      <c r="H365" s="453"/>
      <c r="I365" s="493"/>
      <c r="J365" s="597"/>
      <c r="K365" s="544"/>
      <c r="L365" s="544"/>
      <c r="M365" s="597"/>
      <c r="N365" s="597"/>
      <c r="O365" s="544"/>
      <c r="P365" s="544"/>
      <c r="Q365" s="544"/>
      <c r="R365" s="544"/>
      <c r="S365" s="477"/>
      <c r="T365" s="477"/>
    </row>
    <row r="366" ht="12.75" customHeight="1">
      <c r="A366" s="544"/>
      <c r="B366" s="544"/>
      <c r="C366" s="703"/>
      <c r="D366" s="597"/>
      <c r="E366" s="704"/>
      <c r="F366" s="703"/>
      <c r="G366" s="597"/>
      <c r="H366" s="453"/>
      <c r="I366" s="493"/>
      <c r="J366" s="597"/>
      <c r="K366" s="544"/>
      <c r="L366" s="544"/>
      <c r="M366" s="597"/>
      <c r="N366" s="597"/>
      <c r="O366" s="544"/>
      <c r="P366" s="544"/>
      <c r="Q366" s="544"/>
      <c r="R366" s="544"/>
      <c r="S366" s="477"/>
      <c r="T366" s="477"/>
    </row>
    <row r="367" ht="12.75" customHeight="1">
      <c r="A367" s="544"/>
      <c r="B367" s="544"/>
      <c r="C367" s="703"/>
      <c r="D367" s="597"/>
      <c r="E367" s="704"/>
      <c r="F367" s="703"/>
      <c r="G367" s="597"/>
      <c r="H367" s="453"/>
      <c r="I367" s="493"/>
      <c r="J367" s="597"/>
      <c r="K367" s="544"/>
      <c r="L367" s="544"/>
      <c r="M367" s="597"/>
      <c r="N367" s="597"/>
      <c r="O367" s="544"/>
      <c r="P367" s="544"/>
      <c r="Q367" s="544"/>
      <c r="R367" s="544"/>
      <c r="S367" s="477"/>
      <c r="T367" s="477"/>
    </row>
    <row r="368" ht="12.75" customHeight="1">
      <c r="A368" s="544"/>
      <c r="B368" s="544"/>
      <c r="C368" s="703"/>
      <c r="D368" s="597"/>
      <c r="E368" s="704"/>
      <c r="F368" s="703"/>
      <c r="G368" s="597"/>
      <c r="H368" s="453"/>
      <c r="I368" s="493"/>
      <c r="J368" s="597"/>
      <c r="K368" s="544"/>
      <c r="L368" s="544"/>
      <c r="M368" s="597"/>
      <c r="N368" s="597"/>
      <c r="O368" s="544"/>
      <c r="P368" s="544"/>
      <c r="Q368" s="544"/>
      <c r="R368" s="544"/>
      <c r="S368" s="477"/>
      <c r="T368" s="477"/>
    </row>
    <row r="369" ht="12.75" customHeight="1">
      <c r="A369" s="544"/>
      <c r="B369" s="544"/>
      <c r="C369" s="703"/>
      <c r="D369" s="597"/>
      <c r="E369" s="704"/>
      <c r="F369" s="703"/>
      <c r="G369" s="597"/>
      <c r="H369" s="453"/>
      <c r="I369" s="493"/>
      <c r="J369" s="597"/>
      <c r="K369" s="544"/>
      <c r="L369" s="544"/>
      <c r="M369" s="597"/>
      <c r="N369" s="597"/>
      <c r="O369" s="544"/>
      <c r="P369" s="544"/>
      <c r="Q369" s="544"/>
      <c r="R369" s="544"/>
      <c r="S369" s="477"/>
      <c r="T369" s="477"/>
    </row>
    <row r="370" ht="12.75" customHeight="1">
      <c r="A370" s="544"/>
      <c r="B370" s="544"/>
      <c r="C370" s="703"/>
      <c r="D370" s="597"/>
      <c r="E370" s="704"/>
      <c r="F370" s="703"/>
      <c r="G370" s="597"/>
      <c r="H370" s="453"/>
      <c r="I370" s="493"/>
      <c r="J370" s="597"/>
      <c r="K370" s="544"/>
      <c r="L370" s="544"/>
      <c r="M370" s="597"/>
      <c r="N370" s="597"/>
      <c r="O370" s="544"/>
      <c r="P370" s="544"/>
      <c r="Q370" s="544"/>
      <c r="R370" s="544"/>
      <c r="S370" s="477"/>
      <c r="T370" s="477"/>
    </row>
    <row r="371" ht="12.75" customHeight="1">
      <c r="A371" s="544"/>
      <c r="B371" s="544"/>
      <c r="C371" s="703"/>
      <c r="D371" s="597"/>
      <c r="E371" s="704"/>
      <c r="F371" s="703"/>
      <c r="G371" s="597"/>
      <c r="H371" s="453"/>
      <c r="I371" s="493"/>
      <c r="J371" s="597"/>
      <c r="K371" s="544"/>
      <c r="L371" s="544"/>
      <c r="M371" s="597"/>
      <c r="N371" s="597"/>
      <c r="O371" s="544"/>
      <c r="P371" s="544"/>
      <c r="Q371" s="544"/>
      <c r="R371" s="544"/>
      <c r="S371" s="477"/>
      <c r="T371" s="477"/>
    </row>
    <row r="372" ht="12.75" customHeight="1">
      <c r="A372" s="544"/>
      <c r="B372" s="544"/>
      <c r="C372" s="703"/>
      <c r="D372" s="597"/>
      <c r="E372" s="704"/>
      <c r="F372" s="703"/>
      <c r="G372" s="597"/>
      <c r="H372" s="453"/>
      <c r="I372" s="493"/>
      <c r="J372" s="597"/>
      <c r="K372" s="544"/>
      <c r="L372" s="544"/>
      <c r="M372" s="597"/>
      <c r="N372" s="597"/>
      <c r="O372" s="544"/>
      <c r="P372" s="544"/>
      <c r="Q372" s="544"/>
      <c r="R372" s="544"/>
      <c r="S372" s="477"/>
      <c r="T372" s="477"/>
    </row>
    <row r="373" ht="12.75" customHeight="1">
      <c r="A373" s="544"/>
      <c r="B373" s="544"/>
      <c r="C373" s="703"/>
      <c r="D373" s="597"/>
      <c r="E373" s="704"/>
      <c r="F373" s="703"/>
      <c r="G373" s="597"/>
      <c r="H373" s="453"/>
      <c r="I373" s="493"/>
      <c r="J373" s="597"/>
      <c r="K373" s="544"/>
      <c r="L373" s="544"/>
      <c r="M373" s="597"/>
      <c r="N373" s="597"/>
      <c r="O373" s="544"/>
      <c r="P373" s="544"/>
      <c r="Q373" s="544"/>
      <c r="R373" s="544"/>
      <c r="S373" s="477"/>
      <c r="T373" s="477"/>
    </row>
    <row r="374" ht="12.75" customHeight="1">
      <c r="A374" s="544"/>
      <c r="B374" s="544"/>
      <c r="C374" s="703"/>
      <c r="D374" s="597"/>
      <c r="E374" s="704"/>
      <c r="F374" s="703"/>
      <c r="G374" s="597"/>
      <c r="H374" s="453"/>
      <c r="I374" s="493"/>
      <c r="J374" s="597"/>
      <c r="K374" s="544"/>
      <c r="L374" s="544"/>
      <c r="M374" s="597"/>
      <c r="N374" s="597"/>
      <c r="O374" s="544"/>
      <c r="P374" s="544"/>
      <c r="Q374" s="544"/>
      <c r="R374" s="544"/>
      <c r="S374" s="477"/>
      <c r="T374" s="477"/>
    </row>
    <row r="375" ht="12.75" customHeight="1">
      <c r="A375" s="544"/>
      <c r="B375" s="544"/>
      <c r="C375" s="703"/>
      <c r="D375" s="597"/>
      <c r="E375" s="704"/>
      <c r="F375" s="703"/>
      <c r="G375" s="597"/>
      <c r="H375" s="453"/>
      <c r="I375" s="493"/>
      <c r="J375" s="597"/>
      <c r="K375" s="544"/>
      <c r="L375" s="544"/>
      <c r="M375" s="597"/>
      <c r="N375" s="597"/>
      <c r="O375" s="544"/>
      <c r="P375" s="544"/>
      <c r="Q375" s="544"/>
      <c r="R375" s="544"/>
      <c r="S375" s="477"/>
      <c r="T375" s="477"/>
    </row>
    <row r="376" ht="12.75" customHeight="1">
      <c r="A376" s="544"/>
      <c r="B376" s="544"/>
      <c r="C376" s="703"/>
      <c r="D376" s="597"/>
      <c r="E376" s="704"/>
      <c r="F376" s="703"/>
      <c r="G376" s="597"/>
      <c r="H376" s="453"/>
      <c r="I376" s="493"/>
      <c r="J376" s="597"/>
      <c r="K376" s="544"/>
      <c r="L376" s="544"/>
      <c r="M376" s="597"/>
      <c r="N376" s="597"/>
      <c r="O376" s="544"/>
      <c r="P376" s="544"/>
      <c r="Q376" s="544"/>
      <c r="R376" s="544"/>
      <c r="S376" s="477"/>
      <c r="T376" s="477"/>
    </row>
    <row r="377" ht="12.75" customHeight="1">
      <c r="A377" s="544"/>
      <c r="B377" s="544"/>
      <c r="C377" s="703"/>
      <c r="D377" s="597"/>
      <c r="E377" s="704"/>
      <c r="F377" s="703"/>
      <c r="G377" s="597"/>
      <c r="H377" s="453"/>
      <c r="I377" s="493"/>
      <c r="J377" s="597"/>
      <c r="K377" s="544"/>
      <c r="L377" s="544"/>
      <c r="M377" s="597"/>
      <c r="N377" s="597"/>
      <c r="O377" s="544"/>
      <c r="P377" s="544"/>
      <c r="Q377" s="544"/>
      <c r="R377" s="544"/>
      <c r="S377" s="477"/>
      <c r="T377" s="477"/>
    </row>
    <row r="378" ht="12.75" customHeight="1">
      <c r="A378" s="544"/>
      <c r="B378" s="544"/>
      <c r="C378" s="703"/>
      <c r="D378" s="597"/>
      <c r="E378" s="704"/>
      <c r="F378" s="703"/>
      <c r="G378" s="597"/>
      <c r="H378" s="453"/>
      <c r="I378" s="493"/>
      <c r="J378" s="597"/>
      <c r="K378" s="544"/>
      <c r="L378" s="544"/>
      <c r="M378" s="597"/>
      <c r="N378" s="597"/>
      <c r="O378" s="544"/>
      <c r="P378" s="544"/>
      <c r="Q378" s="544"/>
      <c r="R378" s="544"/>
      <c r="S378" s="477"/>
      <c r="T378" s="477"/>
    </row>
    <row r="379" ht="12.75" customHeight="1">
      <c r="A379" s="544"/>
      <c r="B379" s="544"/>
      <c r="C379" s="703"/>
      <c r="D379" s="597"/>
      <c r="E379" s="704"/>
      <c r="F379" s="703"/>
      <c r="G379" s="597"/>
      <c r="H379" s="453"/>
      <c r="I379" s="493"/>
      <c r="J379" s="597"/>
      <c r="K379" s="544"/>
      <c r="L379" s="544"/>
      <c r="M379" s="597"/>
      <c r="N379" s="597"/>
      <c r="O379" s="544"/>
      <c r="P379" s="544"/>
      <c r="Q379" s="544"/>
      <c r="R379" s="544"/>
      <c r="S379" s="477"/>
      <c r="T379" s="477"/>
    </row>
    <row r="380" ht="12.75" customHeight="1">
      <c r="A380" s="544"/>
      <c r="B380" s="544"/>
      <c r="C380" s="703"/>
      <c r="D380" s="597"/>
      <c r="E380" s="704"/>
      <c r="F380" s="703"/>
      <c r="G380" s="597"/>
      <c r="H380" s="453"/>
      <c r="I380" s="493"/>
      <c r="J380" s="597"/>
      <c r="K380" s="544"/>
      <c r="L380" s="544"/>
      <c r="M380" s="597"/>
      <c r="N380" s="597"/>
      <c r="O380" s="544"/>
      <c r="P380" s="544"/>
      <c r="Q380" s="544"/>
      <c r="R380" s="544"/>
      <c r="S380" s="477"/>
      <c r="T380" s="477"/>
    </row>
    <row r="381" ht="12.75" customHeight="1">
      <c r="A381" s="544"/>
      <c r="B381" s="544"/>
      <c r="C381" s="703"/>
      <c r="D381" s="597"/>
      <c r="E381" s="704"/>
      <c r="F381" s="703"/>
      <c r="G381" s="597"/>
      <c r="H381" s="453"/>
      <c r="I381" s="493"/>
      <c r="J381" s="597"/>
      <c r="K381" s="544"/>
      <c r="L381" s="544"/>
      <c r="M381" s="597"/>
      <c r="N381" s="597"/>
      <c r="O381" s="544"/>
      <c r="P381" s="544"/>
      <c r="Q381" s="544"/>
      <c r="R381" s="544"/>
      <c r="S381" s="477"/>
      <c r="T381" s="477"/>
    </row>
    <row r="382" ht="12.75" customHeight="1">
      <c r="A382" s="544"/>
      <c r="B382" s="544"/>
      <c r="C382" s="703"/>
      <c r="D382" s="597"/>
      <c r="E382" s="704"/>
      <c r="F382" s="703"/>
      <c r="G382" s="597"/>
      <c r="H382" s="453"/>
      <c r="I382" s="493"/>
      <c r="J382" s="597"/>
      <c r="K382" s="544"/>
      <c r="L382" s="544"/>
      <c r="M382" s="597"/>
      <c r="N382" s="597"/>
      <c r="O382" s="544"/>
      <c r="P382" s="544"/>
      <c r="Q382" s="544"/>
      <c r="R382" s="544"/>
      <c r="S382" s="477"/>
      <c r="T382" s="477"/>
    </row>
    <row r="383" ht="12.75" customHeight="1">
      <c r="A383" s="544"/>
      <c r="B383" s="544"/>
      <c r="C383" s="703"/>
      <c r="D383" s="597"/>
      <c r="E383" s="704"/>
      <c r="F383" s="703"/>
      <c r="G383" s="597"/>
      <c r="H383" s="453"/>
      <c r="I383" s="493"/>
      <c r="J383" s="597"/>
      <c r="K383" s="544"/>
      <c r="L383" s="544"/>
      <c r="M383" s="597"/>
      <c r="N383" s="597"/>
      <c r="O383" s="544"/>
      <c r="P383" s="544"/>
      <c r="Q383" s="544"/>
      <c r="R383" s="544"/>
      <c r="S383" s="477"/>
      <c r="T383" s="477"/>
    </row>
    <row r="384" ht="12.75" customHeight="1">
      <c r="A384" s="544"/>
      <c r="B384" s="544"/>
      <c r="C384" s="703"/>
      <c r="D384" s="597"/>
      <c r="E384" s="704"/>
      <c r="F384" s="703"/>
      <c r="G384" s="597"/>
      <c r="H384" s="453"/>
      <c r="I384" s="493"/>
      <c r="J384" s="597"/>
      <c r="K384" s="544"/>
      <c r="L384" s="544"/>
      <c r="M384" s="597"/>
      <c r="N384" s="597"/>
      <c r="O384" s="544"/>
      <c r="P384" s="544"/>
      <c r="Q384" s="544"/>
      <c r="R384" s="544"/>
      <c r="S384" s="477"/>
      <c r="T384" s="477"/>
    </row>
    <row r="385" ht="12.75" customHeight="1">
      <c r="A385" s="544"/>
      <c r="B385" s="544"/>
      <c r="C385" s="703"/>
      <c r="D385" s="597"/>
      <c r="E385" s="704"/>
      <c r="F385" s="703"/>
      <c r="G385" s="597"/>
      <c r="H385" s="453"/>
      <c r="I385" s="493"/>
      <c r="J385" s="597"/>
      <c r="K385" s="544"/>
      <c r="L385" s="544"/>
      <c r="M385" s="597"/>
      <c r="N385" s="597"/>
      <c r="O385" s="544"/>
      <c r="P385" s="544"/>
      <c r="Q385" s="544"/>
      <c r="R385" s="544"/>
      <c r="S385" s="477"/>
      <c r="T385" s="477"/>
    </row>
    <row r="386" ht="12.75" customHeight="1">
      <c r="A386" s="544"/>
      <c r="B386" s="544"/>
      <c r="C386" s="703"/>
      <c r="D386" s="597"/>
      <c r="E386" s="704"/>
      <c r="F386" s="703"/>
      <c r="G386" s="597"/>
      <c r="H386" s="453"/>
      <c r="I386" s="493"/>
      <c r="J386" s="597"/>
      <c r="K386" s="544"/>
      <c r="L386" s="544"/>
      <c r="M386" s="597"/>
      <c r="N386" s="597"/>
      <c r="O386" s="544"/>
      <c r="P386" s="544"/>
      <c r="Q386" s="544"/>
      <c r="R386" s="544"/>
      <c r="S386" s="477"/>
      <c r="T386" s="477"/>
    </row>
    <row r="387" ht="12.75" customHeight="1">
      <c r="A387" s="544"/>
      <c r="B387" s="544"/>
      <c r="C387" s="703"/>
      <c r="D387" s="597"/>
      <c r="E387" s="704"/>
      <c r="F387" s="703"/>
      <c r="G387" s="597"/>
      <c r="H387" s="453"/>
      <c r="I387" s="493"/>
      <c r="J387" s="597"/>
      <c r="K387" s="544"/>
      <c r="L387" s="544"/>
      <c r="M387" s="597"/>
      <c r="N387" s="597"/>
      <c r="O387" s="544"/>
      <c r="P387" s="544"/>
      <c r="Q387" s="544"/>
      <c r="R387" s="544"/>
      <c r="S387" s="477"/>
      <c r="T387" s="477"/>
    </row>
    <row r="388" ht="12.75" customHeight="1">
      <c r="A388" s="544"/>
      <c r="B388" s="544"/>
      <c r="C388" s="703"/>
      <c r="D388" s="597"/>
      <c r="E388" s="704"/>
      <c r="F388" s="703"/>
      <c r="G388" s="597"/>
      <c r="H388" s="453"/>
      <c r="I388" s="493"/>
      <c r="J388" s="597"/>
      <c r="K388" s="544"/>
      <c r="L388" s="544"/>
      <c r="M388" s="597"/>
      <c r="N388" s="597"/>
      <c r="O388" s="544"/>
      <c r="P388" s="544"/>
      <c r="Q388" s="544"/>
      <c r="R388" s="544"/>
      <c r="S388" s="477"/>
      <c r="T388" s="477"/>
    </row>
    <row r="389" ht="12.75" customHeight="1">
      <c r="A389" s="544"/>
      <c r="B389" s="544"/>
      <c r="C389" s="703"/>
      <c r="D389" s="597"/>
      <c r="E389" s="704"/>
      <c r="F389" s="703"/>
      <c r="G389" s="597"/>
      <c r="H389" s="453"/>
      <c r="I389" s="493"/>
      <c r="J389" s="597"/>
      <c r="K389" s="544"/>
      <c r="L389" s="544"/>
      <c r="M389" s="597"/>
      <c r="N389" s="597"/>
      <c r="O389" s="544"/>
      <c r="P389" s="544"/>
      <c r="Q389" s="544"/>
      <c r="R389" s="544"/>
      <c r="S389" s="477"/>
      <c r="T389" s="477"/>
    </row>
    <row r="390" ht="12.75" customHeight="1">
      <c r="A390" s="544"/>
      <c r="B390" s="544"/>
      <c r="C390" s="703"/>
      <c r="D390" s="597"/>
      <c r="E390" s="704"/>
      <c r="F390" s="703"/>
      <c r="G390" s="597"/>
      <c r="H390" s="453"/>
      <c r="I390" s="493"/>
      <c r="J390" s="597"/>
      <c r="K390" s="544"/>
      <c r="L390" s="544"/>
      <c r="M390" s="597"/>
      <c r="N390" s="597"/>
      <c r="O390" s="544"/>
      <c r="P390" s="544"/>
      <c r="Q390" s="544"/>
      <c r="R390" s="544"/>
      <c r="S390" s="477"/>
      <c r="T390" s="477"/>
    </row>
    <row r="391" ht="12.75" customHeight="1">
      <c r="A391" s="544"/>
      <c r="B391" s="544"/>
      <c r="C391" s="703"/>
      <c r="D391" s="597"/>
      <c r="E391" s="704"/>
      <c r="F391" s="703"/>
      <c r="G391" s="597"/>
      <c r="H391" s="453"/>
      <c r="I391" s="493"/>
      <c r="J391" s="597"/>
      <c r="K391" s="544"/>
      <c r="L391" s="544"/>
      <c r="M391" s="597"/>
      <c r="N391" s="597"/>
      <c r="O391" s="544"/>
      <c r="P391" s="544"/>
      <c r="Q391" s="544"/>
      <c r="R391" s="544"/>
      <c r="S391" s="477"/>
      <c r="T391" s="477"/>
    </row>
    <row r="392" ht="12.75" customHeight="1">
      <c r="A392" s="544"/>
      <c r="B392" s="544"/>
      <c r="C392" s="703"/>
      <c r="D392" s="597"/>
      <c r="E392" s="704"/>
      <c r="F392" s="703"/>
      <c r="G392" s="597"/>
      <c r="H392" s="453"/>
      <c r="I392" s="493"/>
      <c r="J392" s="597"/>
      <c r="K392" s="544"/>
      <c r="L392" s="544"/>
      <c r="M392" s="597"/>
      <c r="N392" s="597"/>
      <c r="O392" s="544"/>
      <c r="P392" s="544"/>
      <c r="Q392" s="544"/>
      <c r="R392" s="544"/>
      <c r="S392" s="477"/>
      <c r="T392" s="477"/>
    </row>
    <row r="393" ht="12.75" customHeight="1">
      <c r="A393" s="544"/>
      <c r="B393" s="544"/>
      <c r="C393" s="703"/>
      <c r="D393" s="597"/>
      <c r="E393" s="704"/>
      <c r="F393" s="703"/>
      <c r="G393" s="597"/>
      <c r="H393" s="453"/>
      <c r="I393" s="493"/>
      <c r="J393" s="597"/>
      <c r="K393" s="544"/>
      <c r="L393" s="544"/>
      <c r="M393" s="597"/>
      <c r="N393" s="597"/>
      <c r="O393" s="544"/>
      <c r="P393" s="544"/>
      <c r="Q393" s="544"/>
      <c r="R393" s="544"/>
      <c r="S393" s="477"/>
      <c r="T393" s="477"/>
    </row>
    <row r="394" ht="12.75" customHeight="1">
      <c r="A394" s="544"/>
      <c r="B394" s="544"/>
      <c r="C394" s="703"/>
      <c r="D394" s="597"/>
      <c r="E394" s="704"/>
      <c r="F394" s="703"/>
      <c r="G394" s="597"/>
      <c r="H394" s="453"/>
      <c r="I394" s="493"/>
      <c r="J394" s="597"/>
      <c r="K394" s="544"/>
      <c r="L394" s="544"/>
      <c r="M394" s="597"/>
      <c r="N394" s="597"/>
      <c r="O394" s="544"/>
      <c r="P394" s="544"/>
      <c r="Q394" s="544"/>
      <c r="R394" s="544"/>
      <c r="S394" s="477"/>
      <c r="T394" s="477"/>
    </row>
    <row r="395" ht="12.75" customHeight="1">
      <c r="A395" s="544"/>
      <c r="B395" s="544"/>
      <c r="C395" s="703"/>
      <c r="D395" s="597"/>
      <c r="E395" s="704"/>
      <c r="F395" s="703"/>
      <c r="G395" s="597"/>
      <c r="H395" s="453"/>
      <c r="I395" s="493"/>
      <c r="J395" s="597"/>
      <c r="K395" s="544"/>
      <c r="L395" s="544"/>
      <c r="M395" s="597"/>
      <c r="N395" s="597"/>
      <c r="O395" s="544"/>
      <c r="P395" s="544"/>
      <c r="Q395" s="544"/>
      <c r="R395" s="544"/>
      <c r="S395" s="477"/>
      <c r="T395" s="477"/>
    </row>
    <row r="396" ht="12.75" customHeight="1">
      <c r="A396" s="544"/>
      <c r="B396" s="544"/>
      <c r="C396" s="703"/>
      <c r="D396" s="597"/>
      <c r="E396" s="704"/>
      <c r="F396" s="703"/>
      <c r="G396" s="597"/>
      <c r="H396" s="453"/>
      <c r="I396" s="493"/>
      <c r="J396" s="597"/>
      <c r="K396" s="544"/>
      <c r="L396" s="544"/>
      <c r="M396" s="597"/>
      <c r="N396" s="597"/>
      <c r="O396" s="544"/>
      <c r="P396" s="544"/>
      <c r="Q396" s="544"/>
      <c r="R396" s="544"/>
      <c r="S396" s="477"/>
      <c r="T396" s="477"/>
    </row>
    <row r="397" ht="12.75" customHeight="1">
      <c r="A397" s="544"/>
      <c r="B397" s="544"/>
      <c r="C397" s="703"/>
      <c r="D397" s="597"/>
      <c r="E397" s="704"/>
      <c r="F397" s="703"/>
      <c r="G397" s="597"/>
      <c r="H397" s="453"/>
      <c r="I397" s="493"/>
      <c r="J397" s="597"/>
      <c r="K397" s="544"/>
      <c r="L397" s="544"/>
      <c r="M397" s="597"/>
      <c r="N397" s="597"/>
      <c r="O397" s="544"/>
      <c r="P397" s="544"/>
      <c r="Q397" s="544"/>
      <c r="R397" s="544"/>
      <c r="S397" s="477"/>
      <c r="T397" s="477"/>
    </row>
    <row r="398" ht="12.75" customHeight="1">
      <c r="A398" s="544"/>
      <c r="B398" s="544"/>
      <c r="C398" s="703"/>
      <c r="D398" s="597"/>
      <c r="E398" s="704"/>
      <c r="F398" s="703"/>
      <c r="G398" s="597"/>
      <c r="H398" s="453"/>
      <c r="I398" s="493"/>
      <c r="J398" s="597"/>
      <c r="K398" s="544"/>
      <c r="L398" s="544"/>
      <c r="M398" s="597"/>
      <c r="N398" s="597"/>
      <c r="O398" s="544"/>
      <c r="P398" s="544"/>
      <c r="Q398" s="544"/>
      <c r="R398" s="544"/>
      <c r="S398" s="477"/>
      <c r="T398" s="477"/>
    </row>
    <row r="399" ht="12.75" customHeight="1">
      <c r="A399" s="544"/>
      <c r="B399" s="544"/>
      <c r="C399" s="703"/>
      <c r="D399" s="597"/>
      <c r="E399" s="704"/>
      <c r="F399" s="703"/>
      <c r="G399" s="597"/>
      <c r="H399" s="453"/>
      <c r="I399" s="493"/>
      <c r="J399" s="597"/>
      <c r="K399" s="544"/>
      <c r="L399" s="544"/>
      <c r="M399" s="597"/>
      <c r="N399" s="597"/>
      <c r="O399" s="544"/>
      <c r="P399" s="544"/>
      <c r="Q399" s="544"/>
      <c r="R399" s="544"/>
      <c r="S399" s="477"/>
      <c r="T399" s="477"/>
    </row>
    <row r="400" ht="12.75" customHeight="1">
      <c r="A400" s="544"/>
      <c r="B400" s="544"/>
      <c r="C400" s="703"/>
      <c r="D400" s="597"/>
      <c r="E400" s="704"/>
      <c r="F400" s="703"/>
      <c r="G400" s="597"/>
      <c r="H400" s="453"/>
      <c r="I400" s="493"/>
      <c r="J400" s="597"/>
      <c r="K400" s="544"/>
      <c r="L400" s="544"/>
      <c r="M400" s="597"/>
      <c r="N400" s="597"/>
      <c r="O400" s="544"/>
      <c r="P400" s="544"/>
      <c r="Q400" s="544"/>
      <c r="R400" s="544"/>
      <c r="S400" s="477"/>
      <c r="T400" s="477"/>
    </row>
    <row r="401" ht="12.75" customHeight="1">
      <c r="A401" s="544"/>
      <c r="B401" s="544"/>
      <c r="C401" s="703"/>
      <c r="D401" s="597"/>
      <c r="E401" s="704"/>
      <c r="F401" s="703"/>
      <c r="G401" s="597"/>
      <c r="H401" s="453"/>
      <c r="I401" s="493"/>
      <c r="J401" s="597"/>
      <c r="K401" s="544"/>
      <c r="L401" s="544"/>
      <c r="M401" s="597"/>
      <c r="N401" s="597"/>
      <c r="O401" s="544"/>
      <c r="P401" s="544"/>
      <c r="Q401" s="544"/>
      <c r="R401" s="544"/>
      <c r="S401" s="477"/>
      <c r="T401" s="477"/>
    </row>
    <row r="402" ht="12.75" customHeight="1">
      <c r="A402" s="544"/>
      <c r="B402" s="544"/>
      <c r="C402" s="703"/>
      <c r="D402" s="597"/>
      <c r="E402" s="704"/>
      <c r="F402" s="703"/>
      <c r="G402" s="597"/>
      <c r="H402" s="453"/>
      <c r="I402" s="493"/>
      <c r="J402" s="597"/>
      <c r="K402" s="544"/>
      <c r="L402" s="544"/>
      <c r="M402" s="597"/>
      <c r="N402" s="597"/>
      <c r="O402" s="544"/>
      <c r="P402" s="544"/>
      <c r="Q402" s="544"/>
      <c r="R402" s="544"/>
      <c r="S402" s="477"/>
      <c r="T402" s="477"/>
    </row>
    <row r="403" ht="12.75" customHeight="1">
      <c r="A403" s="544"/>
      <c r="B403" s="544"/>
      <c r="C403" s="703"/>
      <c r="D403" s="597"/>
      <c r="E403" s="704"/>
      <c r="F403" s="703"/>
      <c r="G403" s="597"/>
      <c r="H403" s="453"/>
      <c r="I403" s="493"/>
      <c r="J403" s="597"/>
      <c r="K403" s="544"/>
      <c r="L403" s="544"/>
      <c r="M403" s="597"/>
      <c r="N403" s="597"/>
      <c r="O403" s="544"/>
      <c r="P403" s="544"/>
      <c r="Q403" s="544"/>
      <c r="R403" s="544"/>
      <c r="S403" s="477"/>
      <c r="T403" s="477"/>
    </row>
    <row r="404" ht="12.75" customHeight="1">
      <c r="A404" s="544"/>
      <c r="B404" s="544"/>
      <c r="C404" s="703"/>
      <c r="D404" s="597"/>
      <c r="E404" s="704"/>
      <c r="F404" s="703"/>
      <c r="G404" s="597"/>
      <c r="H404" s="453"/>
      <c r="I404" s="493"/>
      <c r="J404" s="597"/>
      <c r="K404" s="544"/>
      <c r="L404" s="544"/>
      <c r="M404" s="597"/>
      <c r="N404" s="597"/>
      <c r="O404" s="544"/>
      <c r="P404" s="544"/>
      <c r="Q404" s="544"/>
      <c r="R404" s="544"/>
      <c r="S404" s="477"/>
      <c r="T404" s="477"/>
    </row>
    <row r="405" ht="12.75" customHeight="1">
      <c r="A405" s="544"/>
      <c r="B405" s="544"/>
      <c r="C405" s="703"/>
      <c r="D405" s="597"/>
      <c r="E405" s="704"/>
      <c r="F405" s="703"/>
      <c r="G405" s="597"/>
      <c r="H405" s="453"/>
      <c r="I405" s="493"/>
      <c r="J405" s="597"/>
      <c r="K405" s="544"/>
      <c r="L405" s="544"/>
      <c r="M405" s="597"/>
      <c r="N405" s="597"/>
      <c r="O405" s="544"/>
      <c r="P405" s="544"/>
      <c r="Q405" s="544"/>
      <c r="R405" s="544"/>
      <c r="S405" s="477"/>
      <c r="T405" s="477"/>
    </row>
    <row r="406" ht="12.75" customHeight="1">
      <c r="A406" s="544"/>
      <c r="B406" s="544"/>
      <c r="C406" s="703"/>
      <c r="D406" s="597"/>
      <c r="E406" s="704"/>
      <c r="F406" s="703"/>
      <c r="G406" s="597"/>
      <c r="H406" s="453"/>
      <c r="I406" s="493"/>
      <c r="J406" s="597"/>
      <c r="K406" s="544"/>
      <c r="L406" s="544"/>
      <c r="M406" s="597"/>
      <c r="N406" s="597"/>
      <c r="O406" s="544"/>
      <c r="P406" s="544"/>
      <c r="Q406" s="544"/>
      <c r="R406" s="544"/>
      <c r="S406" s="477"/>
      <c r="T406" s="477"/>
    </row>
    <row r="407" ht="12.75" customHeight="1">
      <c r="A407" s="544"/>
      <c r="B407" s="544"/>
      <c r="C407" s="703"/>
      <c r="D407" s="597"/>
      <c r="E407" s="704"/>
      <c r="F407" s="703"/>
      <c r="G407" s="597"/>
      <c r="H407" s="453"/>
      <c r="I407" s="493"/>
      <c r="J407" s="597"/>
      <c r="K407" s="544"/>
      <c r="L407" s="544"/>
      <c r="M407" s="597"/>
      <c r="N407" s="597"/>
      <c r="O407" s="544"/>
      <c r="P407" s="544"/>
      <c r="Q407" s="544"/>
      <c r="R407" s="544"/>
      <c r="S407" s="477"/>
      <c r="T407" s="477"/>
    </row>
    <row r="408" ht="12.75" customHeight="1">
      <c r="A408" s="544"/>
      <c r="B408" s="544"/>
      <c r="C408" s="703"/>
      <c r="D408" s="597"/>
      <c r="E408" s="704"/>
      <c r="F408" s="703"/>
      <c r="G408" s="597"/>
      <c r="H408" s="453"/>
      <c r="I408" s="493"/>
      <c r="J408" s="597"/>
      <c r="K408" s="544"/>
      <c r="L408" s="544"/>
      <c r="M408" s="597"/>
      <c r="N408" s="597"/>
      <c r="O408" s="544"/>
      <c r="P408" s="544"/>
      <c r="Q408" s="544"/>
      <c r="R408" s="544"/>
      <c r="S408" s="477"/>
      <c r="T408" s="477"/>
    </row>
    <row r="409" ht="12.75" customHeight="1">
      <c r="A409" s="544"/>
      <c r="B409" s="544"/>
      <c r="C409" s="703"/>
      <c r="D409" s="597"/>
      <c r="E409" s="704"/>
      <c r="F409" s="703"/>
      <c r="G409" s="597"/>
      <c r="H409" s="453"/>
      <c r="I409" s="493"/>
      <c r="J409" s="597"/>
      <c r="K409" s="544"/>
      <c r="L409" s="544"/>
      <c r="M409" s="597"/>
      <c r="N409" s="597"/>
      <c r="O409" s="544"/>
      <c r="P409" s="544"/>
      <c r="Q409" s="544"/>
      <c r="R409" s="544"/>
      <c r="S409" s="477"/>
      <c r="T409" s="477"/>
    </row>
    <row r="410" ht="12.75" customHeight="1">
      <c r="A410" s="544"/>
      <c r="B410" s="544"/>
      <c r="C410" s="703"/>
      <c r="D410" s="597"/>
      <c r="E410" s="704"/>
      <c r="F410" s="703"/>
      <c r="G410" s="597"/>
      <c r="H410" s="453"/>
      <c r="I410" s="493"/>
      <c r="J410" s="597"/>
      <c r="K410" s="544"/>
      <c r="L410" s="544"/>
      <c r="M410" s="597"/>
      <c r="N410" s="597"/>
      <c r="O410" s="544"/>
      <c r="P410" s="544"/>
      <c r="Q410" s="544"/>
      <c r="R410" s="544"/>
      <c r="S410" s="477"/>
      <c r="T410" s="477"/>
    </row>
    <row r="411" ht="12.75" customHeight="1">
      <c r="A411" s="544"/>
      <c r="B411" s="544"/>
      <c r="C411" s="703"/>
      <c r="D411" s="597"/>
      <c r="E411" s="704"/>
      <c r="F411" s="703"/>
      <c r="G411" s="597"/>
      <c r="H411" s="453"/>
      <c r="I411" s="493"/>
      <c r="J411" s="597"/>
      <c r="K411" s="544"/>
      <c r="L411" s="544"/>
      <c r="M411" s="597"/>
      <c r="N411" s="597"/>
      <c r="O411" s="544"/>
      <c r="P411" s="544"/>
      <c r="Q411" s="544"/>
      <c r="R411" s="544"/>
      <c r="S411" s="477"/>
      <c r="T411" s="477"/>
    </row>
    <row r="412" ht="12.75" customHeight="1">
      <c r="A412" s="544"/>
      <c r="B412" s="544"/>
      <c r="C412" s="703"/>
      <c r="D412" s="597"/>
      <c r="E412" s="704"/>
      <c r="F412" s="703"/>
      <c r="G412" s="597"/>
      <c r="H412" s="453"/>
      <c r="I412" s="493"/>
      <c r="J412" s="597"/>
      <c r="K412" s="544"/>
      <c r="L412" s="544"/>
      <c r="M412" s="597"/>
      <c r="N412" s="597"/>
      <c r="O412" s="544"/>
      <c r="P412" s="544"/>
      <c r="Q412" s="544"/>
      <c r="R412" s="544"/>
      <c r="S412" s="477"/>
      <c r="T412" s="477"/>
    </row>
    <row r="413" ht="12.75" customHeight="1">
      <c r="A413" s="544"/>
      <c r="B413" s="544"/>
      <c r="C413" s="703"/>
      <c r="D413" s="597"/>
      <c r="E413" s="704"/>
      <c r="F413" s="703"/>
      <c r="G413" s="597"/>
      <c r="H413" s="453"/>
      <c r="I413" s="493"/>
      <c r="J413" s="597"/>
      <c r="K413" s="544"/>
      <c r="L413" s="544"/>
      <c r="M413" s="597"/>
      <c r="N413" s="597"/>
      <c r="O413" s="544"/>
      <c r="P413" s="544"/>
      <c r="Q413" s="544"/>
      <c r="R413" s="544"/>
      <c r="S413" s="477"/>
      <c r="T413" s="477"/>
    </row>
    <row r="414" ht="12.75" customHeight="1">
      <c r="A414" s="544"/>
      <c r="B414" s="544"/>
      <c r="C414" s="703"/>
      <c r="D414" s="597"/>
      <c r="E414" s="704"/>
      <c r="F414" s="703"/>
      <c r="G414" s="597"/>
      <c r="H414" s="453"/>
      <c r="I414" s="493"/>
      <c r="J414" s="597"/>
      <c r="K414" s="544"/>
      <c r="L414" s="544"/>
      <c r="M414" s="597"/>
      <c r="N414" s="597"/>
      <c r="O414" s="544"/>
      <c r="P414" s="544"/>
      <c r="Q414" s="544"/>
      <c r="R414" s="544"/>
      <c r="S414" s="477"/>
      <c r="T414" s="477"/>
    </row>
    <row r="415" ht="12.75" customHeight="1">
      <c r="A415" s="544"/>
      <c r="B415" s="544"/>
      <c r="C415" s="703"/>
      <c r="D415" s="597"/>
      <c r="E415" s="704"/>
      <c r="F415" s="703"/>
      <c r="G415" s="597"/>
      <c r="H415" s="453"/>
      <c r="I415" s="493"/>
      <c r="J415" s="597"/>
      <c r="K415" s="544"/>
      <c r="L415" s="544"/>
      <c r="M415" s="597"/>
      <c r="N415" s="597"/>
      <c r="O415" s="544"/>
      <c r="P415" s="544"/>
      <c r="Q415" s="544"/>
      <c r="R415" s="544"/>
      <c r="S415" s="477"/>
      <c r="T415" s="477"/>
    </row>
    <row r="416" ht="12.75" customHeight="1">
      <c r="A416" s="544"/>
      <c r="B416" s="544"/>
      <c r="C416" s="703"/>
      <c r="D416" s="597"/>
      <c r="E416" s="704"/>
      <c r="F416" s="703"/>
      <c r="G416" s="597"/>
      <c r="H416" s="453"/>
      <c r="I416" s="493"/>
      <c r="J416" s="597"/>
      <c r="K416" s="544"/>
      <c r="L416" s="544"/>
      <c r="M416" s="597"/>
      <c r="N416" s="597"/>
      <c r="O416" s="544"/>
      <c r="P416" s="544"/>
      <c r="Q416" s="544"/>
      <c r="R416" s="544"/>
      <c r="S416" s="477"/>
      <c r="T416" s="477"/>
    </row>
    <row r="417" ht="12.75" customHeight="1">
      <c r="A417" s="544"/>
      <c r="B417" s="544"/>
      <c r="C417" s="703"/>
      <c r="D417" s="597"/>
      <c r="E417" s="704"/>
      <c r="F417" s="703"/>
      <c r="G417" s="597"/>
      <c r="H417" s="453"/>
      <c r="I417" s="493"/>
      <c r="J417" s="597"/>
      <c r="K417" s="544"/>
      <c r="L417" s="544"/>
      <c r="M417" s="597"/>
      <c r="N417" s="597"/>
      <c r="O417" s="544"/>
      <c r="P417" s="544"/>
      <c r="Q417" s="544"/>
      <c r="R417" s="544"/>
      <c r="S417" s="477"/>
      <c r="T417" s="477"/>
    </row>
    <row r="418" ht="12.75" customHeight="1">
      <c r="A418" s="544"/>
      <c r="B418" s="544"/>
      <c r="C418" s="703"/>
      <c r="D418" s="597"/>
      <c r="E418" s="704"/>
      <c r="F418" s="703"/>
      <c r="G418" s="597"/>
      <c r="H418" s="453"/>
      <c r="I418" s="493"/>
      <c r="J418" s="597"/>
      <c r="K418" s="544"/>
      <c r="L418" s="544"/>
      <c r="M418" s="597"/>
      <c r="N418" s="597"/>
      <c r="O418" s="544"/>
      <c r="P418" s="544"/>
      <c r="Q418" s="544"/>
      <c r="R418" s="544"/>
      <c r="S418" s="477"/>
      <c r="T418" s="477"/>
    </row>
    <row r="419" ht="12.75" customHeight="1">
      <c r="A419" s="544"/>
      <c r="B419" s="544"/>
      <c r="C419" s="703"/>
      <c r="D419" s="597"/>
      <c r="E419" s="704"/>
      <c r="F419" s="703"/>
      <c r="G419" s="597"/>
      <c r="H419" s="453"/>
      <c r="I419" s="493"/>
      <c r="J419" s="597"/>
      <c r="K419" s="544"/>
      <c r="L419" s="544"/>
      <c r="M419" s="597"/>
      <c r="N419" s="597"/>
      <c r="O419" s="544"/>
      <c r="P419" s="544"/>
      <c r="Q419" s="544"/>
      <c r="R419" s="544"/>
      <c r="S419" s="477"/>
      <c r="T419" s="477"/>
    </row>
    <row r="420" ht="12.75" customHeight="1">
      <c r="A420" s="544"/>
      <c r="B420" s="544"/>
      <c r="C420" s="703"/>
      <c r="D420" s="597"/>
      <c r="E420" s="704"/>
      <c r="F420" s="703"/>
      <c r="G420" s="597"/>
      <c r="H420" s="453"/>
      <c r="I420" s="493"/>
      <c r="J420" s="597"/>
      <c r="K420" s="544"/>
      <c r="L420" s="544"/>
      <c r="M420" s="597"/>
      <c r="N420" s="597"/>
      <c r="O420" s="544"/>
      <c r="P420" s="544"/>
      <c r="Q420" s="544"/>
      <c r="R420" s="544"/>
      <c r="S420" s="477"/>
      <c r="T420" s="477"/>
    </row>
    <row r="421" ht="12.75" customHeight="1">
      <c r="A421" s="544"/>
      <c r="B421" s="544"/>
      <c r="C421" s="703"/>
      <c r="D421" s="597"/>
      <c r="E421" s="704"/>
      <c r="F421" s="703"/>
      <c r="G421" s="597"/>
      <c r="H421" s="453"/>
      <c r="I421" s="493"/>
      <c r="J421" s="597"/>
      <c r="K421" s="544"/>
      <c r="L421" s="544"/>
      <c r="M421" s="597"/>
      <c r="N421" s="597"/>
      <c r="O421" s="544"/>
      <c r="P421" s="544"/>
      <c r="Q421" s="544"/>
      <c r="R421" s="544"/>
      <c r="S421" s="477"/>
      <c r="T421" s="477"/>
    </row>
    <row r="422" ht="12.75" customHeight="1">
      <c r="A422" s="544"/>
      <c r="B422" s="544"/>
      <c r="C422" s="703"/>
      <c r="D422" s="597"/>
      <c r="E422" s="704"/>
      <c r="F422" s="703"/>
      <c r="G422" s="597"/>
      <c r="H422" s="453"/>
      <c r="I422" s="493"/>
      <c r="J422" s="597"/>
      <c r="K422" s="544"/>
      <c r="L422" s="544"/>
      <c r="M422" s="597"/>
      <c r="N422" s="597"/>
      <c r="O422" s="544"/>
      <c r="P422" s="544"/>
      <c r="Q422" s="544"/>
      <c r="R422" s="544"/>
      <c r="S422" s="477"/>
      <c r="T422" s="477"/>
    </row>
    <row r="423" ht="12.75" customHeight="1">
      <c r="A423" s="544"/>
      <c r="B423" s="544"/>
      <c r="C423" s="703"/>
      <c r="D423" s="597"/>
      <c r="E423" s="704"/>
      <c r="F423" s="703"/>
      <c r="G423" s="597"/>
      <c r="H423" s="453"/>
      <c r="I423" s="493"/>
      <c r="J423" s="597"/>
      <c r="K423" s="544"/>
      <c r="L423" s="544"/>
      <c r="M423" s="597"/>
      <c r="N423" s="597"/>
      <c r="O423" s="544"/>
      <c r="P423" s="544"/>
      <c r="Q423" s="544"/>
      <c r="R423" s="544"/>
      <c r="S423" s="477"/>
      <c r="T423" s="477"/>
    </row>
    <row r="424" ht="12.75" customHeight="1">
      <c r="A424" s="544"/>
      <c r="B424" s="544"/>
      <c r="C424" s="703"/>
      <c r="D424" s="597"/>
      <c r="E424" s="704"/>
      <c r="F424" s="703"/>
      <c r="G424" s="597"/>
      <c r="H424" s="453"/>
      <c r="I424" s="493"/>
      <c r="J424" s="597"/>
      <c r="K424" s="544"/>
      <c r="L424" s="544"/>
      <c r="M424" s="597"/>
      <c r="N424" s="597"/>
      <c r="O424" s="544"/>
      <c r="P424" s="544"/>
      <c r="Q424" s="544"/>
      <c r="R424" s="544"/>
      <c r="S424" s="477"/>
      <c r="T424" s="477"/>
    </row>
    <row r="425" ht="12.75" customHeight="1">
      <c r="A425" s="544"/>
      <c r="B425" s="544"/>
      <c r="C425" s="703"/>
      <c r="D425" s="597"/>
      <c r="E425" s="704"/>
      <c r="F425" s="703"/>
      <c r="G425" s="597"/>
      <c r="H425" s="453"/>
      <c r="I425" s="493"/>
      <c r="J425" s="597"/>
      <c r="K425" s="544"/>
      <c r="L425" s="544"/>
      <c r="M425" s="597"/>
      <c r="N425" s="597"/>
      <c r="O425" s="544"/>
      <c r="P425" s="544"/>
      <c r="Q425" s="544"/>
      <c r="R425" s="544"/>
      <c r="S425" s="477"/>
      <c r="T425" s="477"/>
    </row>
    <row r="426" ht="12.75" customHeight="1">
      <c r="A426" s="544"/>
      <c r="B426" s="544"/>
      <c r="C426" s="703"/>
      <c r="D426" s="597"/>
      <c r="E426" s="704"/>
      <c r="F426" s="703"/>
      <c r="G426" s="597"/>
      <c r="H426" s="453"/>
      <c r="I426" s="493"/>
      <c r="J426" s="597"/>
      <c r="K426" s="544"/>
      <c r="L426" s="544"/>
      <c r="M426" s="597"/>
      <c r="N426" s="597"/>
      <c r="O426" s="544"/>
      <c r="P426" s="544"/>
      <c r="Q426" s="544"/>
      <c r="R426" s="544"/>
      <c r="S426" s="477"/>
      <c r="T426" s="477"/>
    </row>
    <row r="427" ht="12.75" customHeight="1">
      <c r="A427" s="544"/>
      <c r="B427" s="544"/>
      <c r="C427" s="703"/>
      <c r="D427" s="597"/>
      <c r="E427" s="704"/>
      <c r="F427" s="703"/>
      <c r="G427" s="597"/>
      <c r="H427" s="453"/>
      <c r="I427" s="493"/>
      <c r="J427" s="597"/>
      <c r="K427" s="544"/>
      <c r="L427" s="544"/>
      <c r="M427" s="597"/>
      <c r="N427" s="597"/>
      <c r="O427" s="544"/>
      <c r="P427" s="544"/>
      <c r="Q427" s="544"/>
      <c r="R427" s="544"/>
      <c r="S427" s="477"/>
      <c r="T427" s="477"/>
    </row>
    <row r="428" ht="12.75" customHeight="1">
      <c r="A428" s="544"/>
      <c r="B428" s="544"/>
      <c r="C428" s="703"/>
      <c r="D428" s="597"/>
      <c r="E428" s="704"/>
      <c r="F428" s="703"/>
      <c r="G428" s="597"/>
      <c r="H428" s="453"/>
      <c r="I428" s="493"/>
      <c r="J428" s="597"/>
      <c r="K428" s="544"/>
      <c r="L428" s="544"/>
      <c r="M428" s="597"/>
      <c r="N428" s="597"/>
      <c r="O428" s="544"/>
      <c r="P428" s="544"/>
      <c r="Q428" s="544"/>
      <c r="R428" s="544"/>
      <c r="S428" s="477"/>
      <c r="T428" s="477"/>
    </row>
    <row r="429" ht="12.75" customHeight="1">
      <c r="A429" s="544"/>
      <c r="B429" s="544"/>
      <c r="C429" s="703"/>
      <c r="D429" s="597"/>
      <c r="E429" s="704"/>
      <c r="F429" s="703"/>
      <c r="G429" s="597"/>
      <c r="H429" s="453"/>
      <c r="I429" s="493"/>
      <c r="J429" s="597"/>
      <c r="K429" s="544"/>
      <c r="L429" s="544"/>
      <c r="M429" s="597"/>
      <c r="N429" s="597"/>
      <c r="O429" s="544"/>
      <c r="P429" s="544"/>
      <c r="Q429" s="544"/>
      <c r="R429" s="544"/>
      <c r="S429" s="477"/>
      <c r="T429" s="477"/>
    </row>
    <row r="430" ht="12.75" customHeight="1">
      <c r="A430" s="544"/>
      <c r="B430" s="544"/>
      <c r="C430" s="703"/>
      <c r="D430" s="597"/>
      <c r="E430" s="704"/>
      <c r="F430" s="703"/>
      <c r="G430" s="597"/>
      <c r="H430" s="453"/>
      <c r="I430" s="493"/>
      <c r="J430" s="597"/>
      <c r="K430" s="544"/>
      <c r="L430" s="544"/>
      <c r="M430" s="597"/>
      <c r="N430" s="597"/>
      <c r="O430" s="544"/>
      <c r="P430" s="544"/>
      <c r="Q430" s="544"/>
      <c r="R430" s="544"/>
      <c r="S430" s="477"/>
      <c r="T430" s="477"/>
    </row>
    <row r="431" ht="12.75" customHeight="1">
      <c r="A431" s="544"/>
      <c r="B431" s="544"/>
      <c r="C431" s="703"/>
      <c r="D431" s="597"/>
      <c r="E431" s="704"/>
      <c r="F431" s="703"/>
      <c r="G431" s="597"/>
      <c r="H431" s="453"/>
      <c r="I431" s="493"/>
      <c r="J431" s="597"/>
      <c r="K431" s="544"/>
      <c r="L431" s="544"/>
      <c r="M431" s="597"/>
      <c r="N431" s="597"/>
      <c r="O431" s="544"/>
      <c r="P431" s="544"/>
      <c r="Q431" s="544"/>
      <c r="R431" s="544"/>
      <c r="S431" s="477"/>
      <c r="T431" s="477"/>
    </row>
    <row r="432" ht="12.75" customHeight="1">
      <c r="A432" s="544"/>
      <c r="B432" s="544"/>
      <c r="C432" s="703"/>
      <c r="D432" s="597"/>
      <c r="E432" s="704"/>
      <c r="F432" s="703"/>
      <c r="G432" s="597"/>
      <c r="H432" s="453"/>
      <c r="I432" s="493"/>
      <c r="J432" s="597"/>
      <c r="K432" s="544"/>
      <c r="L432" s="544"/>
      <c r="M432" s="597"/>
      <c r="N432" s="597"/>
      <c r="O432" s="544"/>
      <c r="P432" s="544"/>
      <c r="Q432" s="544"/>
      <c r="R432" s="544"/>
      <c r="S432" s="477"/>
      <c r="T432" s="477"/>
    </row>
    <row r="433" ht="12.75" customHeight="1">
      <c r="A433" s="544"/>
      <c r="B433" s="544"/>
      <c r="C433" s="703"/>
      <c r="D433" s="597"/>
      <c r="E433" s="704"/>
      <c r="F433" s="703"/>
      <c r="G433" s="597"/>
      <c r="H433" s="453"/>
      <c r="I433" s="493"/>
      <c r="J433" s="597"/>
      <c r="K433" s="544"/>
      <c r="L433" s="544"/>
      <c r="M433" s="597"/>
      <c r="N433" s="597"/>
      <c r="O433" s="544"/>
      <c r="P433" s="544"/>
      <c r="Q433" s="544"/>
      <c r="R433" s="544"/>
      <c r="S433" s="477"/>
      <c r="T433" s="477"/>
    </row>
    <row r="434" ht="12.75" customHeight="1">
      <c r="A434" s="544"/>
      <c r="B434" s="544"/>
      <c r="C434" s="703"/>
      <c r="D434" s="597"/>
      <c r="E434" s="704"/>
      <c r="F434" s="703"/>
      <c r="G434" s="597"/>
      <c r="H434" s="453"/>
      <c r="I434" s="493"/>
      <c r="J434" s="597"/>
      <c r="K434" s="544"/>
      <c r="L434" s="544"/>
      <c r="M434" s="597"/>
      <c r="N434" s="597"/>
      <c r="O434" s="544"/>
      <c r="P434" s="544"/>
      <c r="Q434" s="544"/>
      <c r="R434" s="544"/>
      <c r="S434" s="477"/>
      <c r="T434" s="477"/>
    </row>
    <row r="435" ht="12.75" customHeight="1">
      <c r="A435" s="544"/>
      <c r="B435" s="544"/>
      <c r="C435" s="703"/>
      <c r="D435" s="597"/>
      <c r="E435" s="704"/>
      <c r="F435" s="703"/>
      <c r="G435" s="597"/>
      <c r="H435" s="453"/>
      <c r="I435" s="493"/>
      <c r="J435" s="597"/>
      <c r="K435" s="544"/>
      <c r="L435" s="544"/>
      <c r="M435" s="597"/>
      <c r="N435" s="597"/>
      <c r="O435" s="544"/>
      <c r="P435" s="544"/>
      <c r="Q435" s="544"/>
      <c r="R435" s="544"/>
      <c r="S435" s="477"/>
      <c r="T435" s="477"/>
    </row>
    <row r="436" ht="12.75" customHeight="1">
      <c r="A436" s="544"/>
      <c r="B436" s="544"/>
      <c r="C436" s="703"/>
      <c r="D436" s="597"/>
      <c r="E436" s="704"/>
      <c r="F436" s="703"/>
      <c r="G436" s="597"/>
      <c r="H436" s="453"/>
      <c r="I436" s="493"/>
      <c r="J436" s="597"/>
      <c r="K436" s="544"/>
      <c r="L436" s="544"/>
      <c r="M436" s="597"/>
      <c r="N436" s="597"/>
      <c r="O436" s="544"/>
      <c r="P436" s="544"/>
      <c r="Q436" s="544"/>
      <c r="R436" s="544"/>
      <c r="S436" s="477"/>
      <c r="T436" s="477"/>
    </row>
    <row r="437" ht="12.75" customHeight="1">
      <c r="A437" s="544"/>
      <c r="B437" s="544"/>
      <c r="C437" s="703"/>
      <c r="D437" s="597"/>
      <c r="E437" s="704"/>
      <c r="F437" s="703"/>
      <c r="G437" s="597"/>
      <c r="H437" s="453"/>
      <c r="I437" s="493"/>
      <c r="J437" s="597"/>
      <c r="K437" s="544"/>
      <c r="L437" s="544"/>
      <c r="M437" s="597"/>
      <c r="N437" s="597"/>
      <c r="O437" s="544"/>
      <c r="P437" s="544"/>
      <c r="Q437" s="544"/>
      <c r="R437" s="544"/>
      <c r="S437" s="477"/>
      <c r="T437" s="477"/>
    </row>
    <row r="438" ht="12.75" customHeight="1">
      <c r="A438" s="544"/>
      <c r="B438" s="544"/>
      <c r="C438" s="703"/>
      <c r="D438" s="597"/>
      <c r="E438" s="704"/>
      <c r="F438" s="703"/>
      <c r="G438" s="597"/>
      <c r="H438" s="453"/>
      <c r="I438" s="493"/>
      <c r="J438" s="597"/>
      <c r="K438" s="544"/>
      <c r="L438" s="544"/>
      <c r="M438" s="597"/>
      <c r="N438" s="597"/>
      <c r="O438" s="544"/>
      <c r="P438" s="544"/>
      <c r="Q438" s="544"/>
      <c r="R438" s="544"/>
      <c r="S438" s="477"/>
      <c r="T438" s="477"/>
    </row>
    <row r="439" ht="12.75" customHeight="1">
      <c r="A439" s="544"/>
      <c r="B439" s="544"/>
      <c r="C439" s="703"/>
      <c r="D439" s="597"/>
      <c r="E439" s="704"/>
      <c r="F439" s="703"/>
      <c r="G439" s="597"/>
      <c r="H439" s="453"/>
      <c r="I439" s="493"/>
      <c r="J439" s="597"/>
      <c r="K439" s="544"/>
      <c r="L439" s="544"/>
      <c r="M439" s="597"/>
      <c r="N439" s="597"/>
      <c r="O439" s="544"/>
      <c r="P439" s="544"/>
      <c r="Q439" s="544"/>
      <c r="R439" s="544"/>
      <c r="S439" s="477"/>
      <c r="T439" s="477"/>
    </row>
    <row r="440" ht="12.75" customHeight="1">
      <c r="A440" s="544"/>
      <c r="B440" s="544"/>
      <c r="C440" s="703"/>
      <c r="D440" s="597"/>
      <c r="E440" s="704"/>
      <c r="F440" s="703"/>
      <c r="G440" s="597"/>
      <c r="H440" s="453"/>
      <c r="I440" s="493"/>
      <c r="J440" s="597"/>
      <c r="K440" s="544"/>
      <c r="L440" s="544"/>
      <c r="M440" s="597"/>
      <c r="N440" s="597"/>
      <c r="O440" s="544"/>
      <c r="P440" s="544"/>
      <c r="Q440" s="544"/>
      <c r="R440" s="544"/>
      <c r="S440" s="477"/>
      <c r="T440" s="477"/>
    </row>
    <row r="441" ht="12.75" customHeight="1">
      <c r="A441" s="544"/>
      <c r="B441" s="544"/>
      <c r="C441" s="703"/>
      <c r="D441" s="597"/>
      <c r="E441" s="704"/>
      <c r="F441" s="703"/>
      <c r="G441" s="597"/>
      <c r="H441" s="453"/>
      <c r="I441" s="493"/>
      <c r="J441" s="597"/>
      <c r="K441" s="544"/>
      <c r="L441" s="544"/>
      <c r="M441" s="597"/>
      <c r="N441" s="597"/>
      <c r="O441" s="544"/>
      <c r="P441" s="544"/>
      <c r="Q441" s="544"/>
      <c r="R441" s="544"/>
      <c r="S441" s="477"/>
      <c r="T441" s="477"/>
    </row>
    <row r="442" ht="12.75" customHeight="1">
      <c r="A442" s="544"/>
      <c r="B442" s="544"/>
      <c r="C442" s="703"/>
      <c r="D442" s="597"/>
      <c r="E442" s="704"/>
      <c r="F442" s="703"/>
      <c r="G442" s="597"/>
      <c r="H442" s="453"/>
      <c r="I442" s="493"/>
      <c r="J442" s="597"/>
      <c r="K442" s="544"/>
      <c r="L442" s="544"/>
      <c r="M442" s="597"/>
      <c r="N442" s="597"/>
      <c r="O442" s="544"/>
      <c r="P442" s="544"/>
      <c r="Q442" s="544"/>
      <c r="R442" s="544"/>
      <c r="S442" s="477"/>
      <c r="T442" s="477"/>
    </row>
    <row r="443" ht="12.75" customHeight="1">
      <c r="A443" s="544"/>
      <c r="B443" s="544"/>
      <c r="C443" s="703"/>
      <c r="D443" s="597"/>
      <c r="E443" s="704"/>
      <c r="F443" s="703"/>
      <c r="G443" s="597"/>
      <c r="H443" s="453"/>
      <c r="I443" s="493"/>
      <c r="J443" s="597"/>
      <c r="K443" s="544"/>
      <c r="L443" s="544"/>
      <c r="M443" s="597"/>
      <c r="N443" s="597"/>
      <c r="O443" s="544"/>
      <c r="P443" s="544"/>
      <c r="Q443" s="544"/>
      <c r="R443" s="544"/>
      <c r="S443" s="477"/>
      <c r="T443" s="477"/>
    </row>
    <row r="444" ht="12.75" customHeight="1">
      <c r="A444" s="544"/>
      <c r="B444" s="544"/>
      <c r="C444" s="703"/>
      <c r="D444" s="597"/>
      <c r="E444" s="704"/>
      <c r="F444" s="703"/>
      <c r="G444" s="597"/>
      <c r="H444" s="453"/>
      <c r="I444" s="493"/>
      <c r="J444" s="597"/>
      <c r="K444" s="544"/>
      <c r="L444" s="544"/>
      <c r="M444" s="597"/>
      <c r="N444" s="597"/>
      <c r="O444" s="544"/>
      <c r="P444" s="544"/>
      <c r="Q444" s="544"/>
      <c r="R444" s="544"/>
      <c r="S444" s="477"/>
      <c r="T444" s="477"/>
    </row>
    <row r="445" ht="12.75" customHeight="1">
      <c r="A445" s="544"/>
      <c r="B445" s="544"/>
      <c r="C445" s="703"/>
      <c r="D445" s="597"/>
      <c r="E445" s="704"/>
      <c r="F445" s="703"/>
      <c r="G445" s="597"/>
      <c r="H445" s="453"/>
      <c r="I445" s="493"/>
      <c r="J445" s="597"/>
      <c r="K445" s="544"/>
      <c r="L445" s="544"/>
      <c r="M445" s="597"/>
      <c r="N445" s="597"/>
      <c r="O445" s="544"/>
      <c r="P445" s="544"/>
      <c r="Q445" s="544"/>
      <c r="R445" s="544"/>
      <c r="S445" s="477"/>
      <c r="T445" s="477"/>
    </row>
    <row r="446" ht="12.75" customHeight="1">
      <c r="A446" s="544"/>
      <c r="B446" s="544"/>
      <c r="C446" s="703"/>
      <c r="D446" s="597"/>
      <c r="E446" s="704"/>
      <c r="F446" s="703"/>
      <c r="G446" s="597"/>
      <c r="H446" s="453"/>
      <c r="I446" s="493"/>
      <c r="J446" s="597"/>
      <c r="K446" s="544"/>
      <c r="L446" s="544"/>
      <c r="M446" s="597"/>
      <c r="N446" s="597"/>
      <c r="O446" s="544"/>
      <c r="P446" s="544"/>
      <c r="Q446" s="544"/>
      <c r="R446" s="544"/>
      <c r="S446" s="477"/>
      <c r="T446" s="477"/>
    </row>
    <row r="447" ht="12.75" customHeight="1">
      <c r="A447" s="544"/>
      <c r="B447" s="544"/>
      <c r="C447" s="703"/>
      <c r="D447" s="597"/>
      <c r="E447" s="704"/>
      <c r="F447" s="703"/>
      <c r="G447" s="597"/>
      <c r="H447" s="453"/>
      <c r="I447" s="493"/>
      <c r="J447" s="597"/>
      <c r="K447" s="544"/>
      <c r="L447" s="544"/>
      <c r="M447" s="597"/>
      <c r="N447" s="597"/>
      <c r="O447" s="544"/>
      <c r="P447" s="544"/>
      <c r="Q447" s="544"/>
      <c r="R447" s="544"/>
      <c r="S447" s="477"/>
      <c r="T447" s="477"/>
    </row>
    <row r="448" ht="12.75" customHeight="1">
      <c r="A448" s="544"/>
      <c r="B448" s="544"/>
      <c r="C448" s="703"/>
      <c r="D448" s="597"/>
      <c r="E448" s="704"/>
      <c r="F448" s="703"/>
      <c r="G448" s="597"/>
      <c r="H448" s="453"/>
      <c r="I448" s="493"/>
      <c r="J448" s="597"/>
      <c r="K448" s="544"/>
      <c r="L448" s="544"/>
      <c r="M448" s="597"/>
      <c r="N448" s="597"/>
      <c r="O448" s="544"/>
      <c r="P448" s="544"/>
      <c r="Q448" s="544"/>
      <c r="R448" s="544"/>
      <c r="S448" s="477"/>
      <c r="T448" s="477"/>
    </row>
    <row r="449" ht="12.75" customHeight="1">
      <c r="A449" s="544"/>
      <c r="B449" s="544"/>
      <c r="C449" s="703"/>
      <c r="D449" s="597"/>
      <c r="E449" s="704"/>
      <c r="F449" s="703"/>
      <c r="G449" s="597"/>
      <c r="H449" s="453"/>
      <c r="I449" s="493"/>
      <c r="J449" s="597"/>
      <c r="K449" s="544"/>
      <c r="L449" s="544"/>
      <c r="M449" s="597"/>
      <c r="N449" s="597"/>
      <c r="O449" s="544"/>
      <c r="P449" s="544"/>
      <c r="Q449" s="544"/>
      <c r="R449" s="544"/>
      <c r="S449" s="477"/>
      <c r="T449" s="477"/>
    </row>
    <row r="450" ht="12.75" customHeight="1">
      <c r="A450" s="544"/>
      <c r="B450" s="544"/>
      <c r="C450" s="703"/>
      <c r="D450" s="597"/>
      <c r="E450" s="704"/>
      <c r="F450" s="703"/>
      <c r="G450" s="597"/>
      <c r="H450" s="453"/>
      <c r="I450" s="493"/>
      <c r="J450" s="597"/>
      <c r="K450" s="544"/>
      <c r="L450" s="544"/>
      <c r="M450" s="597"/>
      <c r="N450" s="597"/>
      <c r="O450" s="544"/>
      <c r="P450" s="544"/>
      <c r="Q450" s="544"/>
      <c r="R450" s="544"/>
      <c r="S450" s="477"/>
      <c r="T450" s="477"/>
    </row>
    <row r="451" ht="12.75" customHeight="1">
      <c r="A451" s="544"/>
      <c r="B451" s="544"/>
      <c r="C451" s="703"/>
      <c r="D451" s="597"/>
      <c r="E451" s="704"/>
      <c r="F451" s="703"/>
      <c r="G451" s="597"/>
      <c r="H451" s="453"/>
      <c r="I451" s="493"/>
      <c r="J451" s="597"/>
      <c r="K451" s="544"/>
      <c r="L451" s="544"/>
      <c r="M451" s="597"/>
      <c r="N451" s="597"/>
      <c r="O451" s="544"/>
      <c r="P451" s="544"/>
      <c r="Q451" s="544"/>
      <c r="R451" s="544"/>
      <c r="S451" s="477"/>
      <c r="T451" s="477"/>
    </row>
    <row r="452" ht="12.75" customHeight="1">
      <c r="A452" s="544"/>
      <c r="B452" s="544"/>
      <c r="C452" s="703"/>
      <c r="D452" s="597"/>
      <c r="E452" s="704"/>
      <c r="F452" s="703"/>
      <c r="G452" s="597"/>
      <c r="H452" s="453"/>
      <c r="I452" s="493"/>
      <c r="J452" s="597"/>
      <c r="K452" s="544"/>
      <c r="L452" s="544"/>
      <c r="M452" s="597"/>
      <c r="N452" s="597"/>
      <c r="O452" s="544"/>
      <c r="P452" s="544"/>
      <c r="Q452" s="544"/>
      <c r="R452" s="544"/>
      <c r="S452" s="477"/>
      <c r="T452" s="477"/>
    </row>
    <row r="453" ht="12.75" customHeight="1">
      <c r="A453" s="544"/>
      <c r="B453" s="544"/>
      <c r="C453" s="703"/>
      <c r="D453" s="597"/>
      <c r="E453" s="704"/>
      <c r="F453" s="703"/>
      <c r="G453" s="597"/>
      <c r="H453" s="453"/>
      <c r="I453" s="493"/>
      <c r="J453" s="597"/>
      <c r="K453" s="544"/>
      <c r="L453" s="544"/>
      <c r="M453" s="597"/>
      <c r="N453" s="597"/>
      <c r="O453" s="544"/>
      <c r="P453" s="544"/>
      <c r="Q453" s="544"/>
      <c r="R453" s="544"/>
      <c r="S453" s="477"/>
      <c r="T453" s="477"/>
    </row>
    <row r="454" ht="12.75" customHeight="1">
      <c r="A454" s="544"/>
      <c r="B454" s="544"/>
      <c r="C454" s="703"/>
      <c r="D454" s="597"/>
      <c r="E454" s="704"/>
      <c r="F454" s="703"/>
      <c r="G454" s="597"/>
      <c r="H454" s="453"/>
      <c r="I454" s="493"/>
      <c r="J454" s="597"/>
      <c r="K454" s="544"/>
      <c r="L454" s="544"/>
      <c r="M454" s="597"/>
      <c r="N454" s="597"/>
      <c r="O454" s="544"/>
      <c r="P454" s="544"/>
      <c r="Q454" s="544"/>
      <c r="R454" s="544"/>
      <c r="S454" s="477"/>
      <c r="T454" s="477"/>
    </row>
    <row r="455" ht="12.75" customHeight="1">
      <c r="A455" s="544"/>
      <c r="B455" s="544"/>
      <c r="C455" s="703"/>
      <c r="D455" s="597"/>
      <c r="E455" s="704"/>
      <c r="F455" s="703"/>
      <c r="G455" s="597"/>
      <c r="H455" s="453"/>
      <c r="I455" s="493"/>
      <c r="J455" s="597"/>
      <c r="K455" s="544"/>
      <c r="L455" s="544"/>
      <c r="M455" s="597"/>
      <c r="N455" s="597"/>
      <c r="O455" s="544"/>
      <c r="P455" s="544"/>
      <c r="Q455" s="544"/>
      <c r="R455" s="544"/>
      <c r="S455" s="477"/>
      <c r="T455" s="477"/>
    </row>
    <row r="456" ht="12.75" customHeight="1">
      <c r="A456" s="544"/>
      <c r="B456" s="544"/>
      <c r="C456" s="703"/>
      <c r="D456" s="597"/>
      <c r="E456" s="704"/>
      <c r="F456" s="703"/>
      <c r="G456" s="597"/>
      <c r="H456" s="453"/>
      <c r="I456" s="493"/>
      <c r="J456" s="597"/>
      <c r="K456" s="544"/>
      <c r="L456" s="544"/>
      <c r="M456" s="597"/>
      <c r="N456" s="597"/>
      <c r="O456" s="544"/>
      <c r="P456" s="544"/>
      <c r="Q456" s="544"/>
      <c r="R456" s="544"/>
      <c r="S456" s="477"/>
      <c r="T456" s="477"/>
    </row>
    <row r="457" ht="12.75" customHeight="1">
      <c r="A457" s="544"/>
      <c r="B457" s="544"/>
      <c r="C457" s="703"/>
      <c r="D457" s="597"/>
      <c r="E457" s="704"/>
      <c r="F457" s="703"/>
      <c r="G457" s="597"/>
      <c r="H457" s="453"/>
      <c r="I457" s="493"/>
      <c r="J457" s="597"/>
      <c r="K457" s="544"/>
      <c r="L457" s="544"/>
      <c r="M457" s="597"/>
      <c r="N457" s="597"/>
      <c r="O457" s="544"/>
      <c r="P457" s="544"/>
      <c r="Q457" s="544"/>
      <c r="R457" s="544"/>
      <c r="S457" s="477"/>
      <c r="T457" s="477"/>
    </row>
    <row r="458" ht="12.75" customHeight="1">
      <c r="A458" s="544"/>
      <c r="B458" s="544"/>
      <c r="C458" s="703"/>
      <c r="D458" s="597"/>
      <c r="E458" s="704"/>
      <c r="F458" s="703"/>
      <c r="G458" s="597"/>
      <c r="H458" s="453"/>
      <c r="I458" s="493"/>
      <c r="J458" s="597"/>
      <c r="K458" s="544"/>
      <c r="L458" s="544"/>
      <c r="M458" s="597"/>
      <c r="N458" s="597"/>
      <c r="O458" s="544"/>
      <c r="P458" s="544"/>
      <c r="Q458" s="544"/>
      <c r="R458" s="544"/>
      <c r="S458" s="477"/>
      <c r="T458" s="477"/>
    </row>
    <row r="459" ht="12.75" customHeight="1">
      <c r="A459" s="544"/>
      <c r="B459" s="544"/>
      <c r="C459" s="703"/>
      <c r="D459" s="597"/>
      <c r="E459" s="704"/>
      <c r="F459" s="703"/>
      <c r="G459" s="597"/>
      <c r="H459" s="453"/>
      <c r="I459" s="493"/>
      <c r="J459" s="597"/>
      <c r="K459" s="544"/>
      <c r="L459" s="544"/>
      <c r="M459" s="597"/>
      <c r="N459" s="597"/>
      <c r="O459" s="544"/>
      <c r="P459" s="544"/>
      <c r="Q459" s="544"/>
      <c r="R459" s="544"/>
      <c r="S459" s="477"/>
      <c r="T459" s="477"/>
    </row>
    <row r="460" ht="12.75" customHeight="1">
      <c r="A460" s="544"/>
      <c r="B460" s="544"/>
      <c r="C460" s="703"/>
      <c r="D460" s="597"/>
      <c r="E460" s="704"/>
      <c r="F460" s="703"/>
      <c r="G460" s="597"/>
      <c r="H460" s="453"/>
      <c r="I460" s="493"/>
      <c r="J460" s="597"/>
      <c r="K460" s="544"/>
      <c r="L460" s="544"/>
      <c r="M460" s="597"/>
      <c r="N460" s="597"/>
      <c r="O460" s="544"/>
      <c r="P460" s="544"/>
      <c r="Q460" s="544"/>
      <c r="R460" s="544"/>
      <c r="S460" s="477"/>
      <c r="T460" s="477"/>
    </row>
    <row r="461" ht="12.75" customHeight="1">
      <c r="A461" s="544"/>
      <c r="B461" s="544"/>
      <c r="C461" s="703"/>
      <c r="D461" s="597"/>
      <c r="E461" s="704"/>
      <c r="F461" s="703"/>
      <c r="G461" s="597"/>
      <c r="H461" s="453"/>
      <c r="I461" s="493"/>
      <c r="J461" s="597"/>
      <c r="K461" s="544"/>
      <c r="L461" s="544"/>
      <c r="M461" s="597"/>
      <c r="N461" s="597"/>
      <c r="O461" s="544"/>
      <c r="P461" s="544"/>
      <c r="Q461" s="544"/>
      <c r="R461" s="544"/>
      <c r="S461" s="477"/>
      <c r="T461" s="477"/>
    </row>
    <row r="462" ht="12.75" customHeight="1">
      <c r="A462" s="544"/>
      <c r="B462" s="544"/>
      <c r="C462" s="703"/>
      <c r="D462" s="597"/>
      <c r="E462" s="704"/>
      <c r="F462" s="703"/>
      <c r="G462" s="597"/>
      <c r="H462" s="453"/>
      <c r="I462" s="493"/>
      <c r="J462" s="597"/>
      <c r="K462" s="544"/>
      <c r="L462" s="544"/>
      <c r="M462" s="597"/>
      <c r="N462" s="597"/>
      <c r="O462" s="544"/>
      <c r="P462" s="544"/>
      <c r="Q462" s="544"/>
      <c r="R462" s="544"/>
      <c r="S462" s="477"/>
      <c r="T462" s="477"/>
    </row>
    <row r="463" ht="12.75" customHeight="1">
      <c r="A463" s="544"/>
      <c r="B463" s="544"/>
      <c r="C463" s="703"/>
      <c r="D463" s="597"/>
      <c r="E463" s="704"/>
      <c r="F463" s="703"/>
      <c r="G463" s="597"/>
      <c r="H463" s="453"/>
      <c r="I463" s="493"/>
      <c r="J463" s="597"/>
      <c r="K463" s="544"/>
      <c r="L463" s="544"/>
      <c r="M463" s="597"/>
      <c r="N463" s="597"/>
      <c r="O463" s="544"/>
      <c r="P463" s="544"/>
      <c r="Q463" s="544"/>
      <c r="R463" s="544"/>
      <c r="S463" s="477"/>
      <c r="T463" s="477"/>
    </row>
    <row r="464" ht="12.75" customHeight="1">
      <c r="A464" s="544"/>
      <c r="B464" s="544"/>
      <c r="C464" s="703"/>
      <c r="D464" s="597"/>
      <c r="E464" s="704"/>
      <c r="F464" s="703"/>
      <c r="G464" s="597"/>
      <c r="H464" s="453"/>
      <c r="I464" s="493"/>
      <c r="J464" s="597"/>
      <c r="K464" s="544"/>
      <c r="L464" s="544"/>
      <c r="M464" s="597"/>
      <c r="N464" s="597"/>
      <c r="O464" s="544"/>
      <c r="P464" s="544"/>
      <c r="Q464" s="544"/>
      <c r="R464" s="544"/>
      <c r="S464" s="477"/>
      <c r="T464" s="477"/>
    </row>
    <row r="465" ht="12.75" customHeight="1">
      <c r="A465" s="544"/>
      <c r="B465" s="544"/>
      <c r="C465" s="703"/>
      <c r="D465" s="597"/>
      <c r="E465" s="704"/>
      <c r="F465" s="703"/>
      <c r="G465" s="597"/>
      <c r="H465" s="453"/>
      <c r="I465" s="493"/>
      <c r="J465" s="597"/>
      <c r="K465" s="544"/>
      <c r="L465" s="544"/>
      <c r="M465" s="597"/>
      <c r="N465" s="597"/>
      <c r="O465" s="544"/>
      <c r="P465" s="544"/>
      <c r="Q465" s="544"/>
      <c r="R465" s="544"/>
      <c r="S465" s="477"/>
      <c r="T465" s="477"/>
    </row>
    <row r="466" ht="12.75" customHeight="1">
      <c r="A466" s="544"/>
      <c r="B466" s="544"/>
      <c r="C466" s="703"/>
      <c r="D466" s="597"/>
      <c r="E466" s="704"/>
      <c r="F466" s="703"/>
      <c r="G466" s="597"/>
      <c r="H466" s="453"/>
      <c r="I466" s="493"/>
      <c r="J466" s="597"/>
      <c r="K466" s="544"/>
      <c r="L466" s="544"/>
      <c r="M466" s="597"/>
      <c r="N466" s="597"/>
      <c r="O466" s="544"/>
      <c r="P466" s="544"/>
      <c r="Q466" s="544"/>
      <c r="R466" s="544"/>
      <c r="S466" s="477"/>
      <c r="T466" s="477"/>
    </row>
    <row r="467" ht="12.75" customHeight="1">
      <c r="A467" s="544"/>
      <c r="B467" s="544"/>
      <c r="C467" s="703"/>
      <c r="D467" s="597"/>
      <c r="E467" s="704"/>
      <c r="F467" s="703"/>
      <c r="G467" s="597"/>
      <c r="H467" s="453"/>
      <c r="I467" s="493"/>
      <c r="J467" s="597"/>
      <c r="K467" s="544"/>
      <c r="L467" s="544"/>
      <c r="M467" s="597"/>
      <c r="N467" s="597"/>
      <c r="O467" s="544"/>
      <c r="P467" s="544"/>
      <c r="Q467" s="544"/>
      <c r="R467" s="544"/>
      <c r="S467" s="477"/>
      <c r="T467" s="477"/>
    </row>
    <row r="468" ht="12.75" customHeight="1">
      <c r="A468" s="544"/>
      <c r="B468" s="544"/>
      <c r="C468" s="703"/>
      <c r="D468" s="597"/>
      <c r="E468" s="704"/>
      <c r="F468" s="703"/>
      <c r="G468" s="597"/>
      <c r="H468" s="453"/>
      <c r="I468" s="493"/>
      <c r="J468" s="597"/>
      <c r="K468" s="544"/>
      <c r="L468" s="544"/>
      <c r="M468" s="597"/>
      <c r="N468" s="597"/>
      <c r="O468" s="544"/>
      <c r="P468" s="544"/>
      <c r="Q468" s="544"/>
      <c r="R468" s="544"/>
      <c r="S468" s="477"/>
      <c r="T468" s="477"/>
    </row>
    <row r="469" ht="12.75" customHeight="1">
      <c r="A469" s="544"/>
      <c r="B469" s="544"/>
      <c r="C469" s="703"/>
      <c r="D469" s="597"/>
      <c r="E469" s="704"/>
      <c r="F469" s="703"/>
      <c r="G469" s="597"/>
      <c r="H469" s="453"/>
      <c r="I469" s="493"/>
      <c r="J469" s="597"/>
      <c r="K469" s="544"/>
      <c r="L469" s="544"/>
      <c r="M469" s="597"/>
      <c r="N469" s="597"/>
      <c r="O469" s="544"/>
      <c r="P469" s="544"/>
      <c r="Q469" s="544"/>
      <c r="R469" s="544"/>
      <c r="S469" s="477"/>
      <c r="T469" s="477"/>
    </row>
    <row r="470" ht="12.75" customHeight="1">
      <c r="A470" s="544"/>
      <c r="B470" s="544"/>
      <c r="C470" s="703"/>
      <c r="D470" s="597"/>
      <c r="E470" s="704"/>
      <c r="F470" s="703"/>
      <c r="G470" s="597"/>
      <c r="H470" s="453"/>
      <c r="I470" s="493"/>
      <c r="J470" s="597"/>
      <c r="K470" s="544"/>
      <c r="L470" s="544"/>
      <c r="M470" s="597"/>
      <c r="N470" s="597"/>
      <c r="O470" s="544"/>
      <c r="P470" s="544"/>
      <c r="Q470" s="544"/>
      <c r="R470" s="544"/>
      <c r="S470" s="477"/>
      <c r="T470" s="477"/>
    </row>
    <row r="471" ht="12.75" customHeight="1">
      <c r="A471" s="544"/>
      <c r="B471" s="544"/>
      <c r="C471" s="703"/>
      <c r="D471" s="597"/>
      <c r="E471" s="704"/>
      <c r="F471" s="703"/>
      <c r="G471" s="597"/>
      <c r="H471" s="453"/>
      <c r="I471" s="493"/>
      <c r="J471" s="597"/>
      <c r="K471" s="544"/>
      <c r="L471" s="544"/>
      <c r="M471" s="597"/>
      <c r="N471" s="597"/>
      <c r="O471" s="544"/>
      <c r="P471" s="544"/>
      <c r="Q471" s="544"/>
      <c r="R471" s="544"/>
      <c r="S471" s="477"/>
      <c r="T471" s="477"/>
    </row>
    <row r="472" ht="12.75" customHeight="1">
      <c r="A472" s="544"/>
      <c r="B472" s="544"/>
      <c r="C472" s="703"/>
      <c r="D472" s="597"/>
      <c r="E472" s="704"/>
      <c r="F472" s="703"/>
      <c r="G472" s="597"/>
      <c r="H472" s="453"/>
      <c r="I472" s="493"/>
      <c r="J472" s="597"/>
      <c r="K472" s="544"/>
      <c r="L472" s="544"/>
      <c r="M472" s="597"/>
      <c r="N472" s="597"/>
      <c r="O472" s="544"/>
      <c r="P472" s="544"/>
      <c r="Q472" s="544"/>
      <c r="R472" s="544"/>
      <c r="S472" s="477"/>
      <c r="T472" s="477"/>
    </row>
    <row r="473" ht="12.75" customHeight="1">
      <c r="A473" s="544"/>
      <c r="B473" s="544"/>
      <c r="C473" s="703"/>
      <c r="D473" s="597"/>
      <c r="E473" s="704"/>
      <c r="F473" s="703"/>
      <c r="G473" s="597"/>
      <c r="H473" s="453"/>
      <c r="I473" s="493"/>
      <c r="J473" s="597"/>
      <c r="K473" s="544"/>
      <c r="L473" s="544"/>
      <c r="M473" s="597"/>
      <c r="N473" s="597"/>
      <c r="O473" s="544"/>
      <c r="P473" s="544"/>
      <c r="Q473" s="544"/>
      <c r="R473" s="544"/>
      <c r="S473" s="477"/>
      <c r="T473" s="477"/>
    </row>
    <row r="474" ht="12.75" customHeight="1">
      <c r="A474" s="544"/>
      <c r="B474" s="544"/>
      <c r="C474" s="703"/>
      <c r="D474" s="597"/>
      <c r="E474" s="704"/>
      <c r="F474" s="703"/>
      <c r="G474" s="597"/>
      <c r="H474" s="453"/>
      <c r="I474" s="493"/>
      <c r="J474" s="597"/>
      <c r="K474" s="544"/>
      <c r="L474" s="544"/>
      <c r="M474" s="597"/>
      <c r="N474" s="597"/>
      <c r="O474" s="544"/>
      <c r="P474" s="544"/>
      <c r="Q474" s="544"/>
      <c r="R474" s="544"/>
      <c r="S474" s="477"/>
      <c r="T474" s="477"/>
    </row>
    <row r="475" ht="12.75" customHeight="1">
      <c r="A475" s="544"/>
      <c r="B475" s="544"/>
      <c r="C475" s="703"/>
      <c r="D475" s="597"/>
      <c r="E475" s="704"/>
      <c r="F475" s="703"/>
      <c r="G475" s="597"/>
      <c r="H475" s="453"/>
      <c r="I475" s="493"/>
      <c r="J475" s="597"/>
      <c r="K475" s="544"/>
      <c r="L475" s="544"/>
      <c r="M475" s="597"/>
      <c r="N475" s="597"/>
      <c r="O475" s="544"/>
      <c r="P475" s="544"/>
      <c r="Q475" s="544"/>
      <c r="R475" s="544"/>
      <c r="S475" s="477"/>
      <c r="T475" s="477"/>
    </row>
    <row r="476" ht="12.75" customHeight="1">
      <c r="A476" s="544"/>
      <c r="B476" s="544"/>
      <c r="C476" s="703"/>
      <c r="D476" s="597"/>
      <c r="E476" s="704"/>
      <c r="F476" s="703"/>
      <c r="G476" s="597"/>
      <c r="H476" s="453"/>
      <c r="I476" s="493"/>
      <c r="J476" s="597"/>
      <c r="K476" s="544"/>
      <c r="L476" s="544"/>
      <c r="M476" s="597"/>
      <c r="N476" s="597"/>
      <c r="O476" s="544"/>
      <c r="P476" s="544"/>
      <c r="Q476" s="544"/>
      <c r="R476" s="544"/>
      <c r="S476" s="477"/>
      <c r="T476" s="477"/>
    </row>
    <row r="477" ht="12.75" customHeight="1">
      <c r="A477" s="544"/>
      <c r="B477" s="544"/>
      <c r="C477" s="703"/>
      <c r="D477" s="597"/>
      <c r="E477" s="704"/>
      <c r="F477" s="703"/>
      <c r="G477" s="597"/>
      <c r="H477" s="453"/>
      <c r="I477" s="493"/>
      <c r="J477" s="597"/>
      <c r="K477" s="544"/>
      <c r="L477" s="544"/>
      <c r="M477" s="597"/>
      <c r="N477" s="597"/>
      <c r="O477" s="544"/>
      <c r="P477" s="544"/>
      <c r="Q477" s="544"/>
      <c r="R477" s="544"/>
      <c r="S477" s="477"/>
      <c r="T477" s="477"/>
    </row>
    <row r="478" ht="12.75" customHeight="1">
      <c r="A478" s="544"/>
      <c r="B478" s="544"/>
      <c r="C478" s="703"/>
      <c r="D478" s="597"/>
      <c r="E478" s="704"/>
      <c r="F478" s="703"/>
      <c r="G478" s="597"/>
      <c r="H478" s="453"/>
      <c r="I478" s="493"/>
      <c r="J478" s="597"/>
      <c r="K478" s="544"/>
      <c r="L478" s="544"/>
      <c r="M478" s="597"/>
      <c r="N478" s="597"/>
      <c r="O478" s="544"/>
      <c r="P478" s="544"/>
      <c r="Q478" s="544"/>
      <c r="R478" s="544"/>
      <c r="S478" s="477"/>
      <c r="T478" s="477"/>
    </row>
    <row r="479" ht="12.75" customHeight="1">
      <c r="A479" s="544"/>
      <c r="B479" s="544"/>
      <c r="C479" s="703"/>
      <c r="D479" s="597"/>
      <c r="E479" s="704"/>
      <c r="F479" s="703"/>
      <c r="G479" s="597"/>
      <c r="H479" s="453"/>
      <c r="I479" s="493"/>
      <c r="J479" s="597"/>
      <c r="K479" s="544"/>
      <c r="L479" s="544"/>
      <c r="M479" s="597"/>
      <c r="N479" s="597"/>
      <c r="O479" s="544"/>
      <c r="P479" s="544"/>
      <c r="Q479" s="544"/>
      <c r="R479" s="544"/>
      <c r="S479" s="477"/>
      <c r="T479" s="477"/>
    </row>
    <row r="480" ht="12.75" customHeight="1">
      <c r="A480" s="544"/>
      <c r="B480" s="544"/>
      <c r="C480" s="703"/>
      <c r="D480" s="597"/>
      <c r="E480" s="704"/>
      <c r="F480" s="703"/>
      <c r="G480" s="597"/>
      <c r="H480" s="453"/>
      <c r="I480" s="493"/>
      <c r="J480" s="597"/>
      <c r="K480" s="544"/>
      <c r="L480" s="544"/>
      <c r="M480" s="597"/>
      <c r="N480" s="597"/>
      <c r="O480" s="544"/>
      <c r="P480" s="544"/>
      <c r="Q480" s="544"/>
      <c r="R480" s="544"/>
      <c r="S480" s="477"/>
      <c r="T480" s="477"/>
    </row>
    <row r="481" ht="12.75" customHeight="1">
      <c r="A481" s="544"/>
      <c r="B481" s="544"/>
      <c r="C481" s="703"/>
      <c r="D481" s="597"/>
      <c r="E481" s="704"/>
      <c r="F481" s="703"/>
      <c r="G481" s="597"/>
      <c r="H481" s="453"/>
      <c r="I481" s="493"/>
      <c r="J481" s="597"/>
      <c r="K481" s="544"/>
      <c r="L481" s="544"/>
      <c r="M481" s="597"/>
      <c r="N481" s="597"/>
      <c r="O481" s="544"/>
      <c r="P481" s="544"/>
      <c r="Q481" s="544"/>
      <c r="R481" s="544"/>
      <c r="S481" s="477"/>
      <c r="T481" s="477"/>
    </row>
    <row r="482" ht="12.75" customHeight="1">
      <c r="A482" s="544"/>
      <c r="B482" s="544"/>
      <c r="C482" s="703"/>
      <c r="D482" s="597"/>
      <c r="E482" s="704"/>
      <c r="F482" s="703"/>
      <c r="G482" s="597"/>
      <c r="H482" s="453"/>
      <c r="I482" s="493"/>
      <c r="J482" s="597"/>
      <c r="K482" s="544"/>
      <c r="L482" s="544"/>
      <c r="M482" s="597"/>
      <c r="N482" s="597"/>
      <c r="O482" s="544"/>
      <c r="P482" s="544"/>
      <c r="Q482" s="544"/>
      <c r="R482" s="544"/>
      <c r="S482" s="477"/>
      <c r="T482" s="477"/>
    </row>
    <row r="483" ht="12.75" customHeight="1">
      <c r="A483" s="544"/>
      <c r="B483" s="544"/>
      <c r="C483" s="703"/>
      <c r="D483" s="597"/>
      <c r="E483" s="704"/>
      <c r="F483" s="703"/>
      <c r="G483" s="597"/>
      <c r="H483" s="453"/>
      <c r="I483" s="493"/>
      <c r="J483" s="597"/>
      <c r="K483" s="544"/>
      <c r="L483" s="544"/>
      <c r="M483" s="597"/>
      <c r="N483" s="597"/>
      <c r="O483" s="544"/>
      <c r="P483" s="544"/>
      <c r="Q483" s="544"/>
      <c r="R483" s="544"/>
      <c r="S483" s="477"/>
      <c r="T483" s="477"/>
    </row>
    <row r="484" ht="12.75" customHeight="1">
      <c r="A484" s="544"/>
      <c r="B484" s="544"/>
      <c r="C484" s="703"/>
      <c r="D484" s="597"/>
      <c r="E484" s="704"/>
      <c r="F484" s="703"/>
      <c r="G484" s="597"/>
      <c r="H484" s="453"/>
      <c r="I484" s="493"/>
      <c r="J484" s="597"/>
      <c r="K484" s="544"/>
      <c r="L484" s="544"/>
      <c r="M484" s="597"/>
      <c r="N484" s="597"/>
      <c r="O484" s="544"/>
      <c r="P484" s="544"/>
      <c r="Q484" s="544"/>
      <c r="R484" s="544"/>
      <c r="S484" s="477"/>
      <c r="T484" s="477"/>
    </row>
    <row r="485" ht="12.75" customHeight="1">
      <c r="A485" s="544"/>
      <c r="B485" s="544"/>
      <c r="C485" s="703"/>
      <c r="D485" s="597"/>
      <c r="E485" s="704"/>
      <c r="F485" s="703"/>
      <c r="G485" s="597"/>
      <c r="H485" s="453"/>
      <c r="I485" s="493"/>
      <c r="J485" s="597"/>
      <c r="K485" s="544"/>
      <c r="L485" s="544"/>
      <c r="M485" s="597"/>
      <c r="N485" s="597"/>
      <c r="O485" s="544"/>
      <c r="P485" s="544"/>
      <c r="Q485" s="544"/>
      <c r="R485" s="544"/>
      <c r="S485" s="477"/>
      <c r="T485" s="477"/>
    </row>
    <row r="486" ht="12.75" customHeight="1">
      <c r="A486" s="544"/>
      <c r="B486" s="544"/>
      <c r="C486" s="703"/>
      <c r="D486" s="597"/>
      <c r="E486" s="704"/>
      <c r="F486" s="703"/>
      <c r="G486" s="597"/>
      <c r="H486" s="453"/>
      <c r="I486" s="493"/>
      <c r="J486" s="597"/>
      <c r="K486" s="544"/>
      <c r="L486" s="544"/>
      <c r="M486" s="597"/>
      <c r="N486" s="597"/>
      <c r="O486" s="544"/>
      <c r="P486" s="544"/>
      <c r="Q486" s="544"/>
      <c r="R486" s="544"/>
      <c r="S486" s="477"/>
      <c r="T486" s="477"/>
    </row>
    <row r="487" ht="12.75" customHeight="1">
      <c r="A487" s="544"/>
      <c r="B487" s="544"/>
      <c r="C487" s="703"/>
      <c r="D487" s="597"/>
      <c r="E487" s="704"/>
      <c r="F487" s="703"/>
      <c r="G487" s="597"/>
      <c r="H487" s="453"/>
      <c r="I487" s="493"/>
      <c r="J487" s="597"/>
      <c r="K487" s="544"/>
      <c r="L487" s="544"/>
      <c r="M487" s="597"/>
      <c r="N487" s="597"/>
      <c r="O487" s="544"/>
      <c r="P487" s="544"/>
      <c r="Q487" s="544"/>
      <c r="R487" s="544"/>
      <c r="S487" s="477"/>
      <c r="T487" s="477"/>
    </row>
    <row r="488" ht="12.75" customHeight="1">
      <c r="A488" s="544"/>
      <c r="B488" s="544"/>
      <c r="C488" s="703"/>
      <c r="D488" s="597"/>
      <c r="E488" s="704"/>
      <c r="F488" s="703"/>
      <c r="G488" s="597"/>
      <c r="H488" s="453"/>
      <c r="I488" s="493"/>
      <c r="J488" s="597"/>
      <c r="K488" s="544"/>
      <c r="L488" s="544"/>
      <c r="M488" s="597"/>
      <c r="N488" s="597"/>
      <c r="O488" s="544"/>
      <c r="P488" s="544"/>
      <c r="Q488" s="544"/>
      <c r="R488" s="544"/>
      <c r="S488" s="477"/>
      <c r="T488" s="477"/>
    </row>
    <row r="489" ht="12.75" customHeight="1">
      <c r="A489" s="544"/>
      <c r="B489" s="544"/>
      <c r="C489" s="703"/>
      <c r="D489" s="597"/>
      <c r="E489" s="704"/>
      <c r="F489" s="703"/>
      <c r="G489" s="597"/>
      <c r="H489" s="453"/>
      <c r="I489" s="493"/>
      <c r="J489" s="597"/>
      <c r="K489" s="544"/>
      <c r="L489" s="544"/>
      <c r="M489" s="597"/>
      <c r="N489" s="597"/>
      <c r="O489" s="544"/>
      <c r="P489" s="544"/>
      <c r="Q489" s="544"/>
      <c r="R489" s="544"/>
      <c r="S489" s="477"/>
      <c r="T489" s="477"/>
    </row>
    <row r="490" ht="12.75" customHeight="1">
      <c r="A490" s="544"/>
      <c r="B490" s="544"/>
      <c r="C490" s="703"/>
      <c r="D490" s="597"/>
      <c r="E490" s="704"/>
      <c r="F490" s="703"/>
      <c r="G490" s="597"/>
      <c r="H490" s="453"/>
      <c r="I490" s="493"/>
      <c r="J490" s="597"/>
      <c r="K490" s="544"/>
      <c r="L490" s="544"/>
      <c r="M490" s="597"/>
      <c r="N490" s="597"/>
      <c r="O490" s="544"/>
      <c r="P490" s="544"/>
      <c r="Q490" s="544"/>
      <c r="R490" s="544"/>
      <c r="S490" s="477"/>
      <c r="T490" s="477"/>
    </row>
    <row r="491" ht="12.75" customHeight="1">
      <c r="A491" s="544"/>
      <c r="B491" s="544"/>
      <c r="C491" s="703"/>
      <c r="D491" s="597"/>
      <c r="E491" s="704"/>
      <c r="F491" s="703"/>
      <c r="G491" s="597"/>
      <c r="H491" s="453"/>
      <c r="I491" s="493"/>
      <c r="J491" s="597"/>
      <c r="K491" s="544"/>
      <c r="L491" s="544"/>
      <c r="M491" s="597"/>
      <c r="N491" s="597"/>
      <c r="O491" s="544"/>
      <c r="P491" s="544"/>
      <c r="Q491" s="544"/>
      <c r="R491" s="544"/>
      <c r="S491" s="477"/>
      <c r="T491" s="477"/>
    </row>
    <row r="492" ht="12.75" customHeight="1">
      <c r="A492" s="544"/>
      <c r="B492" s="544"/>
      <c r="C492" s="703"/>
      <c r="D492" s="597"/>
      <c r="E492" s="704"/>
      <c r="F492" s="703"/>
      <c r="G492" s="597"/>
      <c r="H492" s="453"/>
      <c r="I492" s="493"/>
      <c r="J492" s="597"/>
      <c r="K492" s="544"/>
      <c r="L492" s="544"/>
      <c r="M492" s="597"/>
      <c r="N492" s="597"/>
      <c r="O492" s="544"/>
      <c r="P492" s="544"/>
      <c r="Q492" s="544"/>
      <c r="R492" s="544"/>
      <c r="S492" s="477"/>
      <c r="T492" s="477"/>
    </row>
    <row r="493" ht="12.75" customHeight="1">
      <c r="A493" s="544"/>
      <c r="B493" s="544"/>
      <c r="C493" s="703"/>
      <c r="D493" s="597"/>
      <c r="E493" s="704"/>
      <c r="F493" s="703"/>
      <c r="G493" s="597"/>
      <c r="H493" s="453"/>
      <c r="I493" s="493"/>
      <c r="J493" s="597"/>
      <c r="K493" s="544"/>
      <c r="L493" s="544"/>
      <c r="M493" s="597"/>
      <c r="N493" s="597"/>
      <c r="O493" s="544"/>
      <c r="P493" s="544"/>
      <c r="Q493" s="544"/>
      <c r="R493" s="544"/>
      <c r="S493" s="477"/>
      <c r="T493" s="477"/>
    </row>
    <row r="494" ht="12.75" customHeight="1">
      <c r="A494" s="544"/>
      <c r="B494" s="544"/>
      <c r="C494" s="703"/>
      <c r="D494" s="597"/>
      <c r="E494" s="704"/>
      <c r="F494" s="703"/>
      <c r="G494" s="597"/>
      <c r="H494" s="453"/>
      <c r="I494" s="493"/>
      <c r="J494" s="597"/>
      <c r="K494" s="544"/>
      <c r="L494" s="544"/>
      <c r="M494" s="597"/>
      <c r="N494" s="597"/>
      <c r="O494" s="544"/>
      <c r="P494" s="544"/>
      <c r="Q494" s="544"/>
      <c r="R494" s="544"/>
      <c r="S494" s="477"/>
      <c r="T494" s="477"/>
    </row>
    <row r="495" ht="12.75" customHeight="1">
      <c r="A495" s="544"/>
      <c r="B495" s="544"/>
      <c r="C495" s="703"/>
      <c r="D495" s="597"/>
      <c r="E495" s="704"/>
      <c r="F495" s="703"/>
      <c r="G495" s="597"/>
      <c r="H495" s="453"/>
      <c r="I495" s="493"/>
      <c r="J495" s="597"/>
      <c r="K495" s="544"/>
      <c r="L495" s="544"/>
      <c r="M495" s="597"/>
      <c r="N495" s="597"/>
      <c r="O495" s="544"/>
      <c r="P495" s="544"/>
      <c r="Q495" s="544"/>
      <c r="R495" s="544"/>
      <c r="S495" s="477"/>
      <c r="T495" s="477"/>
    </row>
    <row r="496" ht="12.75" customHeight="1">
      <c r="A496" s="544"/>
      <c r="B496" s="544"/>
      <c r="C496" s="703"/>
      <c r="D496" s="597"/>
      <c r="E496" s="704"/>
      <c r="F496" s="703"/>
      <c r="G496" s="597"/>
      <c r="H496" s="453"/>
      <c r="I496" s="493"/>
      <c r="J496" s="597"/>
      <c r="K496" s="544"/>
      <c r="L496" s="544"/>
      <c r="M496" s="597"/>
      <c r="N496" s="597"/>
      <c r="O496" s="544"/>
      <c r="P496" s="544"/>
      <c r="Q496" s="544"/>
      <c r="R496" s="544"/>
      <c r="S496" s="477"/>
      <c r="T496" s="477"/>
    </row>
    <row r="497" ht="12.75" customHeight="1">
      <c r="A497" s="544"/>
      <c r="B497" s="544"/>
      <c r="C497" s="703"/>
      <c r="D497" s="597"/>
      <c r="E497" s="704"/>
      <c r="F497" s="703"/>
      <c r="G497" s="597"/>
      <c r="H497" s="453"/>
      <c r="I497" s="493"/>
      <c r="J497" s="597"/>
      <c r="K497" s="544"/>
      <c r="L497" s="544"/>
      <c r="M497" s="597"/>
      <c r="N497" s="597"/>
      <c r="O497" s="544"/>
      <c r="P497" s="544"/>
      <c r="Q497" s="544"/>
      <c r="R497" s="544"/>
      <c r="S497" s="477"/>
      <c r="T497" s="477"/>
    </row>
    <row r="498" ht="12.75" customHeight="1">
      <c r="A498" s="544"/>
      <c r="B498" s="544"/>
      <c r="C498" s="703"/>
      <c r="D498" s="597"/>
      <c r="E498" s="704"/>
      <c r="F498" s="703"/>
      <c r="G498" s="597"/>
      <c r="H498" s="453"/>
      <c r="I498" s="493"/>
      <c r="J498" s="597"/>
      <c r="K498" s="544"/>
      <c r="L498" s="544"/>
      <c r="M498" s="597"/>
      <c r="N498" s="597"/>
      <c r="O498" s="544"/>
      <c r="P498" s="544"/>
      <c r="Q498" s="544"/>
      <c r="R498" s="544"/>
      <c r="S498" s="477"/>
      <c r="T498" s="477"/>
    </row>
    <row r="499" ht="12.75" customHeight="1">
      <c r="A499" s="544"/>
      <c r="B499" s="544"/>
      <c r="C499" s="703"/>
      <c r="D499" s="597"/>
      <c r="E499" s="704"/>
      <c r="F499" s="703"/>
      <c r="G499" s="597"/>
      <c r="H499" s="453"/>
      <c r="I499" s="493"/>
      <c r="J499" s="597"/>
      <c r="K499" s="544"/>
      <c r="L499" s="544"/>
      <c r="M499" s="597"/>
      <c r="N499" s="597"/>
      <c r="O499" s="544"/>
      <c r="P499" s="544"/>
      <c r="Q499" s="544"/>
      <c r="R499" s="544"/>
      <c r="S499" s="477"/>
      <c r="T499" s="477"/>
    </row>
    <row r="500" ht="12.75" customHeight="1">
      <c r="A500" s="544"/>
      <c r="B500" s="544"/>
      <c r="C500" s="703"/>
      <c r="D500" s="597"/>
      <c r="E500" s="704"/>
      <c r="F500" s="703"/>
      <c r="G500" s="597"/>
      <c r="H500" s="453"/>
      <c r="I500" s="493"/>
      <c r="J500" s="597"/>
      <c r="K500" s="544"/>
      <c r="L500" s="544"/>
      <c r="M500" s="597"/>
      <c r="N500" s="597"/>
      <c r="O500" s="544"/>
      <c r="P500" s="544"/>
      <c r="Q500" s="544"/>
      <c r="R500" s="544"/>
      <c r="S500" s="477"/>
      <c r="T500" s="477"/>
    </row>
    <row r="501" ht="12.75" customHeight="1">
      <c r="A501" s="544"/>
      <c r="B501" s="544"/>
      <c r="C501" s="703"/>
      <c r="D501" s="597"/>
      <c r="E501" s="704"/>
      <c r="F501" s="703"/>
      <c r="G501" s="597"/>
      <c r="H501" s="453"/>
      <c r="I501" s="493"/>
      <c r="J501" s="597"/>
      <c r="K501" s="544"/>
      <c r="L501" s="544"/>
      <c r="M501" s="597"/>
      <c r="N501" s="597"/>
      <c r="O501" s="544"/>
      <c r="P501" s="544"/>
      <c r="Q501" s="544"/>
      <c r="R501" s="544"/>
      <c r="S501" s="477"/>
      <c r="T501" s="477"/>
    </row>
    <row r="502" ht="12.75" customHeight="1">
      <c r="A502" s="544"/>
      <c r="B502" s="544"/>
      <c r="C502" s="703"/>
      <c r="D502" s="597"/>
      <c r="E502" s="704"/>
      <c r="F502" s="703"/>
      <c r="G502" s="597"/>
      <c r="H502" s="453"/>
      <c r="I502" s="493"/>
      <c r="J502" s="597"/>
      <c r="K502" s="544"/>
      <c r="L502" s="544"/>
      <c r="M502" s="597"/>
      <c r="N502" s="597"/>
      <c r="O502" s="544"/>
      <c r="P502" s="544"/>
      <c r="Q502" s="544"/>
      <c r="R502" s="544"/>
      <c r="S502" s="477"/>
      <c r="T502" s="477"/>
    </row>
    <row r="503" ht="12.75" customHeight="1">
      <c r="A503" s="544"/>
      <c r="B503" s="544"/>
      <c r="C503" s="703"/>
      <c r="D503" s="597"/>
      <c r="E503" s="704"/>
      <c r="F503" s="703"/>
      <c r="G503" s="597"/>
      <c r="H503" s="453"/>
      <c r="I503" s="493"/>
      <c r="J503" s="597"/>
      <c r="K503" s="544"/>
      <c r="L503" s="544"/>
      <c r="M503" s="597"/>
      <c r="N503" s="597"/>
      <c r="O503" s="544"/>
      <c r="P503" s="544"/>
      <c r="Q503" s="544"/>
      <c r="R503" s="544"/>
      <c r="S503" s="477"/>
      <c r="T503" s="477"/>
    </row>
    <row r="504" ht="12.75" customHeight="1">
      <c r="A504" s="544"/>
      <c r="B504" s="544"/>
      <c r="C504" s="703"/>
      <c r="D504" s="597"/>
      <c r="E504" s="704"/>
      <c r="F504" s="703"/>
      <c r="G504" s="597"/>
      <c r="H504" s="453"/>
      <c r="I504" s="493"/>
      <c r="J504" s="597"/>
      <c r="K504" s="544"/>
      <c r="L504" s="544"/>
      <c r="M504" s="597"/>
      <c r="N504" s="597"/>
      <c r="O504" s="544"/>
      <c r="P504" s="544"/>
      <c r="Q504" s="544"/>
      <c r="R504" s="544"/>
      <c r="S504" s="477"/>
      <c r="T504" s="477"/>
    </row>
    <row r="505" ht="12.75" customHeight="1">
      <c r="A505" s="544"/>
      <c r="B505" s="544"/>
      <c r="C505" s="703"/>
      <c r="D505" s="597"/>
      <c r="E505" s="704"/>
      <c r="F505" s="703"/>
      <c r="G505" s="597"/>
      <c r="H505" s="453"/>
      <c r="I505" s="493"/>
      <c r="J505" s="597"/>
      <c r="K505" s="544"/>
      <c r="L505" s="544"/>
      <c r="M505" s="597"/>
      <c r="N505" s="597"/>
      <c r="O505" s="544"/>
      <c r="P505" s="544"/>
      <c r="Q505" s="544"/>
      <c r="R505" s="544"/>
      <c r="S505" s="477"/>
      <c r="T505" s="477"/>
    </row>
    <row r="506" ht="12.75" customHeight="1">
      <c r="A506" s="544"/>
      <c r="B506" s="544"/>
      <c r="C506" s="703"/>
      <c r="D506" s="597"/>
      <c r="E506" s="704"/>
      <c r="F506" s="703"/>
      <c r="G506" s="597"/>
      <c r="H506" s="453"/>
      <c r="I506" s="493"/>
      <c r="J506" s="597"/>
      <c r="K506" s="544"/>
      <c r="L506" s="544"/>
      <c r="M506" s="597"/>
      <c r="N506" s="597"/>
      <c r="O506" s="544"/>
      <c r="P506" s="544"/>
      <c r="Q506" s="544"/>
      <c r="R506" s="544"/>
      <c r="S506" s="477"/>
      <c r="T506" s="477"/>
    </row>
    <row r="507" ht="12.75" customHeight="1">
      <c r="A507" s="544"/>
      <c r="B507" s="544"/>
      <c r="C507" s="703"/>
      <c r="D507" s="597"/>
      <c r="E507" s="704"/>
      <c r="F507" s="703"/>
      <c r="G507" s="597"/>
      <c r="H507" s="453"/>
      <c r="I507" s="493"/>
      <c r="J507" s="597"/>
      <c r="K507" s="544"/>
      <c r="L507" s="544"/>
      <c r="M507" s="597"/>
      <c r="N507" s="597"/>
      <c r="O507" s="544"/>
      <c r="P507" s="544"/>
      <c r="Q507" s="544"/>
      <c r="R507" s="544"/>
      <c r="S507" s="477"/>
      <c r="T507" s="477"/>
    </row>
    <row r="508" ht="12.75" customHeight="1">
      <c r="A508" s="544"/>
      <c r="B508" s="544"/>
      <c r="C508" s="703"/>
      <c r="D508" s="597"/>
      <c r="E508" s="704"/>
      <c r="F508" s="703"/>
      <c r="G508" s="597"/>
      <c r="H508" s="453"/>
      <c r="I508" s="493"/>
      <c r="J508" s="597"/>
      <c r="K508" s="544"/>
      <c r="L508" s="544"/>
      <c r="M508" s="597"/>
      <c r="N508" s="597"/>
      <c r="O508" s="544"/>
      <c r="P508" s="544"/>
      <c r="Q508" s="544"/>
      <c r="R508" s="544"/>
      <c r="S508" s="477"/>
      <c r="T508" s="477"/>
    </row>
    <row r="509" ht="12.75" customHeight="1">
      <c r="A509" s="544"/>
      <c r="B509" s="544"/>
      <c r="C509" s="703"/>
      <c r="D509" s="597"/>
      <c r="E509" s="704"/>
      <c r="F509" s="703"/>
      <c r="G509" s="597"/>
      <c r="H509" s="453"/>
      <c r="I509" s="493"/>
      <c r="J509" s="597"/>
      <c r="K509" s="544"/>
      <c r="L509" s="544"/>
      <c r="M509" s="597"/>
      <c r="N509" s="597"/>
      <c r="O509" s="544"/>
      <c r="P509" s="544"/>
      <c r="Q509" s="544"/>
      <c r="R509" s="544"/>
      <c r="S509" s="477"/>
      <c r="T509" s="477"/>
    </row>
    <row r="510" ht="12.75" customHeight="1">
      <c r="A510" s="544"/>
      <c r="B510" s="544"/>
      <c r="C510" s="703"/>
      <c r="D510" s="597"/>
      <c r="E510" s="704"/>
      <c r="F510" s="703"/>
      <c r="G510" s="597"/>
      <c r="H510" s="453"/>
      <c r="I510" s="493"/>
      <c r="J510" s="597"/>
      <c r="K510" s="544"/>
      <c r="L510" s="544"/>
      <c r="M510" s="597"/>
      <c r="N510" s="597"/>
      <c r="O510" s="544"/>
      <c r="P510" s="544"/>
      <c r="Q510" s="544"/>
      <c r="R510" s="544"/>
      <c r="S510" s="477"/>
      <c r="T510" s="477"/>
    </row>
    <row r="511" ht="12.75" customHeight="1">
      <c r="A511" s="544"/>
      <c r="B511" s="544"/>
      <c r="C511" s="703"/>
      <c r="D511" s="597"/>
      <c r="E511" s="704"/>
      <c r="F511" s="703"/>
      <c r="G511" s="597"/>
      <c r="H511" s="453"/>
      <c r="I511" s="493"/>
      <c r="J511" s="597"/>
      <c r="K511" s="544"/>
      <c r="L511" s="544"/>
      <c r="M511" s="597"/>
      <c r="N511" s="597"/>
      <c r="O511" s="544"/>
      <c r="P511" s="544"/>
      <c r="Q511" s="544"/>
      <c r="R511" s="544"/>
      <c r="S511" s="477"/>
      <c r="T511" s="477"/>
    </row>
    <row r="512" ht="12.75" customHeight="1">
      <c r="A512" s="544"/>
      <c r="B512" s="544"/>
      <c r="C512" s="703"/>
      <c r="D512" s="597"/>
      <c r="E512" s="704"/>
      <c r="F512" s="703"/>
      <c r="G512" s="597"/>
      <c r="H512" s="453"/>
      <c r="I512" s="493"/>
      <c r="J512" s="597"/>
      <c r="K512" s="544"/>
      <c r="L512" s="544"/>
      <c r="M512" s="597"/>
      <c r="N512" s="597"/>
      <c r="O512" s="544"/>
      <c r="P512" s="544"/>
      <c r="Q512" s="544"/>
      <c r="R512" s="544"/>
      <c r="S512" s="477"/>
      <c r="T512" s="477"/>
    </row>
    <row r="513" ht="12.75" customHeight="1">
      <c r="A513" s="544"/>
      <c r="B513" s="544"/>
      <c r="C513" s="703"/>
      <c r="D513" s="597"/>
      <c r="E513" s="704"/>
      <c r="F513" s="703"/>
      <c r="G513" s="597"/>
      <c r="H513" s="453"/>
      <c r="I513" s="493"/>
      <c r="J513" s="597"/>
      <c r="K513" s="544"/>
      <c r="L513" s="544"/>
      <c r="M513" s="597"/>
      <c r="N513" s="597"/>
      <c r="O513" s="544"/>
      <c r="P513" s="544"/>
      <c r="Q513" s="544"/>
      <c r="R513" s="544"/>
      <c r="S513" s="477"/>
      <c r="T513" s="477"/>
    </row>
    <row r="514" ht="12.75" customHeight="1">
      <c r="A514" s="544"/>
      <c r="B514" s="544"/>
      <c r="C514" s="703"/>
      <c r="D514" s="597"/>
      <c r="E514" s="704"/>
      <c r="F514" s="703"/>
      <c r="G514" s="597"/>
      <c r="H514" s="453"/>
      <c r="I514" s="493"/>
      <c r="J514" s="597"/>
      <c r="K514" s="544"/>
      <c r="L514" s="544"/>
      <c r="M514" s="597"/>
      <c r="N514" s="597"/>
      <c r="O514" s="544"/>
      <c r="P514" s="544"/>
      <c r="Q514" s="544"/>
      <c r="R514" s="544"/>
      <c r="S514" s="477"/>
      <c r="T514" s="477"/>
    </row>
    <row r="515" ht="12.75" customHeight="1">
      <c r="A515" s="544"/>
      <c r="B515" s="544"/>
      <c r="C515" s="703"/>
      <c r="D515" s="597"/>
      <c r="E515" s="704"/>
      <c r="F515" s="703"/>
      <c r="G515" s="597"/>
      <c r="H515" s="453"/>
      <c r="I515" s="493"/>
      <c r="J515" s="597"/>
      <c r="K515" s="544"/>
      <c r="L515" s="544"/>
      <c r="M515" s="597"/>
      <c r="N515" s="597"/>
      <c r="O515" s="544"/>
      <c r="P515" s="544"/>
      <c r="Q515" s="544"/>
      <c r="R515" s="544"/>
      <c r="S515" s="477"/>
      <c r="T515" s="477"/>
    </row>
    <row r="516" ht="12.75" customHeight="1">
      <c r="A516" s="544"/>
      <c r="B516" s="544"/>
      <c r="C516" s="703"/>
      <c r="D516" s="597"/>
      <c r="E516" s="704"/>
      <c r="F516" s="703"/>
      <c r="G516" s="597"/>
      <c r="H516" s="453"/>
      <c r="I516" s="493"/>
      <c r="J516" s="597"/>
      <c r="K516" s="544"/>
      <c r="L516" s="544"/>
      <c r="M516" s="597"/>
      <c r="N516" s="597"/>
      <c r="O516" s="544"/>
      <c r="P516" s="544"/>
      <c r="Q516" s="544"/>
      <c r="R516" s="544"/>
      <c r="S516" s="477"/>
      <c r="T516" s="477"/>
    </row>
    <row r="517" ht="12.75" customHeight="1">
      <c r="A517" s="544"/>
      <c r="B517" s="544"/>
      <c r="C517" s="703"/>
      <c r="D517" s="597"/>
      <c r="E517" s="704"/>
      <c r="F517" s="703"/>
      <c r="G517" s="597"/>
      <c r="H517" s="453"/>
      <c r="I517" s="493"/>
      <c r="J517" s="597"/>
      <c r="K517" s="544"/>
      <c r="L517" s="544"/>
      <c r="M517" s="597"/>
      <c r="N517" s="597"/>
      <c r="O517" s="544"/>
      <c r="P517" s="544"/>
      <c r="Q517" s="544"/>
      <c r="R517" s="544"/>
      <c r="S517" s="477"/>
      <c r="T517" s="477"/>
    </row>
    <row r="518" ht="12.75" customHeight="1">
      <c r="A518" s="544"/>
      <c r="B518" s="544"/>
      <c r="C518" s="703"/>
      <c r="D518" s="597"/>
      <c r="E518" s="704"/>
      <c r="F518" s="703"/>
      <c r="G518" s="597"/>
      <c r="H518" s="453"/>
      <c r="I518" s="493"/>
      <c r="J518" s="597"/>
      <c r="K518" s="544"/>
      <c r="L518" s="544"/>
      <c r="M518" s="597"/>
      <c r="N518" s="597"/>
      <c r="O518" s="544"/>
      <c r="P518" s="544"/>
      <c r="Q518" s="544"/>
      <c r="R518" s="544"/>
      <c r="S518" s="477"/>
      <c r="T518" s="477"/>
    </row>
    <row r="519" ht="12.75" customHeight="1">
      <c r="A519" s="544"/>
      <c r="B519" s="544"/>
      <c r="C519" s="703"/>
      <c r="D519" s="597"/>
      <c r="E519" s="704"/>
      <c r="F519" s="703"/>
      <c r="G519" s="597"/>
      <c r="H519" s="453"/>
      <c r="I519" s="493"/>
      <c r="J519" s="597"/>
      <c r="K519" s="544"/>
      <c r="L519" s="544"/>
      <c r="M519" s="597"/>
      <c r="N519" s="597"/>
      <c r="O519" s="544"/>
      <c r="P519" s="544"/>
      <c r="Q519" s="544"/>
      <c r="R519" s="544"/>
      <c r="S519" s="477"/>
      <c r="T519" s="477"/>
    </row>
    <row r="520" ht="12.75" customHeight="1">
      <c r="A520" s="544"/>
      <c r="B520" s="544"/>
      <c r="C520" s="703"/>
      <c r="D520" s="597"/>
      <c r="E520" s="704"/>
      <c r="F520" s="703"/>
      <c r="G520" s="597"/>
      <c r="H520" s="453"/>
      <c r="I520" s="493"/>
      <c r="J520" s="597"/>
      <c r="K520" s="544"/>
      <c r="L520" s="544"/>
      <c r="M520" s="597"/>
      <c r="N520" s="597"/>
      <c r="O520" s="544"/>
      <c r="P520" s="544"/>
      <c r="Q520" s="544"/>
      <c r="R520" s="544"/>
      <c r="S520" s="477"/>
      <c r="T520" s="477"/>
    </row>
    <row r="521" ht="12.75" customHeight="1">
      <c r="A521" s="544"/>
      <c r="B521" s="544"/>
      <c r="C521" s="703"/>
      <c r="D521" s="597"/>
      <c r="E521" s="704"/>
      <c r="F521" s="703"/>
      <c r="G521" s="597"/>
      <c r="H521" s="453"/>
      <c r="I521" s="493"/>
      <c r="J521" s="597"/>
      <c r="K521" s="544"/>
      <c r="L521" s="544"/>
      <c r="M521" s="597"/>
      <c r="N521" s="597"/>
      <c r="O521" s="544"/>
      <c r="P521" s="544"/>
      <c r="Q521" s="544"/>
      <c r="R521" s="544"/>
      <c r="S521" s="477"/>
      <c r="T521" s="477"/>
    </row>
    <row r="522" ht="12.75" customHeight="1">
      <c r="A522" s="544"/>
      <c r="B522" s="544"/>
      <c r="C522" s="703"/>
      <c r="D522" s="597"/>
      <c r="E522" s="704"/>
      <c r="F522" s="703"/>
      <c r="G522" s="597"/>
      <c r="H522" s="453"/>
      <c r="I522" s="493"/>
      <c r="J522" s="597"/>
      <c r="K522" s="544"/>
      <c r="L522" s="544"/>
      <c r="M522" s="597"/>
      <c r="N522" s="597"/>
      <c r="O522" s="544"/>
      <c r="P522" s="544"/>
      <c r="Q522" s="544"/>
      <c r="R522" s="544"/>
      <c r="S522" s="477"/>
      <c r="T522" s="477"/>
    </row>
    <row r="523" ht="12.75" customHeight="1">
      <c r="A523" s="544"/>
      <c r="B523" s="544"/>
      <c r="C523" s="703"/>
      <c r="D523" s="597"/>
      <c r="E523" s="704"/>
      <c r="F523" s="703"/>
      <c r="G523" s="597"/>
      <c r="H523" s="453"/>
      <c r="I523" s="493"/>
      <c r="J523" s="597"/>
      <c r="K523" s="544"/>
      <c r="L523" s="544"/>
      <c r="M523" s="597"/>
      <c r="N523" s="597"/>
      <c r="O523" s="544"/>
      <c r="P523" s="544"/>
      <c r="Q523" s="544"/>
      <c r="R523" s="544"/>
      <c r="S523" s="477"/>
      <c r="T523" s="477"/>
    </row>
    <row r="524" ht="12.75" customHeight="1">
      <c r="A524" s="544"/>
      <c r="B524" s="544"/>
      <c r="C524" s="703"/>
      <c r="D524" s="597"/>
      <c r="E524" s="704"/>
      <c r="F524" s="703"/>
      <c r="G524" s="597"/>
      <c r="H524" s="453"/>
      <c r="I524" s="493"/>
      <c r="J524" s="597"/>
      <c r="K524" s="544"/>
      <c r="L524" s="544"/>
      <c r="M524" s="597"/>
      <c r="N524" s="597"/>
      <c r="O524" s="544"/>
      <c r="P524" s="544"/>
      <c r="Q524" s="544"/>
      <c r="R524" s="544"/>
      <c r="S524" s="477"/>
      <c r="T524" s="477"/>
    </row>
    <row r="525" ht="12.75" customHeight="1">
      <c r="A525" s="544"/>
      <c r="B525" s="544"/>
      <c r="C525" s="703"/>
      <c r="D525" s="597"/>
      <c r="E525" s="704"/>
      <c r="F525" s="703"/>
      <c r="G525" s="597"/>
      <c r="H525" s="453"/>
      <c r="I525" s="493"/>
      <c r="J525" s="597"/>
      <c r="K525" s="544"/>
      <c r="L525" s="544"/>
      <c r="M525" s="597"/>
      <c r="N525" s="597"/>
      <c r="O525" s="544"/>
      <c r="P525" s="544"/>
      <c r="Q525" s="544"/>
      <c r="R525" s="544"/>
      <c r="S525" s="477"/>
      <c r="T525" s="477"/>
    </row>
    <row r="526" ht="12.75" customHeight="1">
      <c r="A526" s="544"/>
      <c r="B526" s="544"/>
      <c r="C526" s="703"/>
      <c r="D526" s="597"/>
      <c r="E526" s="704"/>
      <c r="F526" s="703"/>
      <c r="G526" s="597"/>
      <c r="H526" s="453"/>
      <c r="I526" s="493"/>
      <c r="J526" s="597"/>
      <c r="K526" s="544"/>
      <c r="L526" s="544"/>
      <c r="M526" s="597"/>
      <c r="N526" s="597"/>
      <c r="O526" s="544"/>
      <c r="P526" s="544"/>
      <c r="Q526" s="544"/>
      <c r="R526" s="544"/>
      <c r="S526" s="477"/>
      <c r="T526" s="477"/>
    </row>
    <row r="527" ht="12.75" customHeight="1">
      <c r="A527" s="544"/>
      <c r="B527" s="544"/>
      <c r="C527" s="703"/>
      <c r="D527" s="597"/>
      <c r="E527" s="704"/>
      <c r="F527" s="703"/>
      <c r="G527" s="597"/>
      <c r="H527" s="453"/>
      <c r="I527" s="493"/>
      <c r="J527" s="597"/>
      <c r="K527" s="544"/>
      <c r="L527" s="544"/>
      <c r="M527" s="597"/>
      <c r="N527" s="597"/>
      <c r="O527" s="544"/>
      <c r="P527" s="544"/>
      <c r="Q527" s="544"/>
      <c r="R527" s="544"/>
      <c r="S527" s="477"/>
      <c r="T527" s="477"/>
    </row>
    <row r="528" ht="12.75" customHeight="1">
      <c r="A528" s="544"/>
      <c r="B528" s="544"/>
      <c r="C528" s="703"/>
      <c r="D528" s="597"/>
      <c r="E528" s="704"/>
      <c r="F528" s="703"/>
      <c r="G528" s="597"/>
      <c r="H528" s="453"/>
      <c r="I528" s="493"/>
      <c r="J528" s="597"/>
      <c r="K528" s="544"/>
      <c r="L528" s="544"/>
      <c r="M528" s="597"/>
      <c r="N528" s="597"/>
      <c r="O528" s="544"/>
      <c r="P528" s="544"/>
      <c r="Q528" s="544"/>
      <c r="R528" s="544"/>
      <c r="S528" s="477"/>
      <c r="T528" s="477"/>
    </row>
    <row r="529" ht="12.75" customHeight="1">
      <c r="A529" s="544"/>
      <c r="B529" s="544"/>
      <c r="C529" s="703"/>
      <c r="D529" s="597"/>
      <c r="E529" s="704"/>
      <c r="F529" s="703"/>
      <c r="G529" s="597"/>
      <c r="H529" s="453"/>
      <c r="I529" s="493"/>
      <c r="J529" s="597"/>
      <c r="K529" s="544"/>
      <c r="L529" s="544"/>
      <c r="M529" s="597"/>
      <c r="N529" s="597"/>
      <c r="O529" s="544"/>
      <c r="P529" s="544"/>
      <c r="Q529" s="544"/>
      <c r="R529" s="544"/>
      <c r="S529" s="477"/>
      <c r="T529" s="477"/>
    </row>
    <row r="530" ht="12.75" customHeight="1">
      <c r="A530" s="544"/>
      <c r="B530" s="544"/>
      <c r="C530" s="703"/>
      <c r="D530" s="597"/>
      <c r="E530" s="704"/>
      <c r="F530" s="703"/>
      <c r="G530" s="597"/>
      <c r="H530" s="453"/>
      <c r="I530" s="493"/>
      <c r="J530" s="597"/>
      <c r="K530" s="544"/>
      <c r="L530" s="544"/>
      <c r="M530" s="597"/>
      <c r="N530" s="597"/>
      <c r="O530" s="544"/>
      <c r="P530" s="544"/>
      <c r="Q530" s="544"/>
      <c r="R530" s="544"/>
      <c r="S530" s="477"/>
      <c r="T530" s="477"/>
    </row>
    <row r="531" ht="12.75" customHeight="1">
      <c r="A531" s="544"/>
      <c r="B531" s="544"/>
      <c r="C531" s="703"/>
      <c r="D531" s="597"/>
      <c r="E531" s="704"/>
      <c r="F531" s="703"/>
      <c r="G531" s="597"/>
      <c r="H531" s="453"/>
      <c r="I531" s="493"/>
      <c r="J531" s="597"/>
      <c r="K531" s="544"/>
      <c r="L531" s="544"/>
      <c r="M531" s="597"/>
      <c r="N531" s="597"/>
      <c r="O531" s="544"/>
      <c r="P531" s="544"/>
      <c r="Q531" s="544"/>
      <c r="R531" s="544"/>
      <c r="S531" s="477"/>
      <c r="T531" s="477"/>
    </row>
    <row r="532" ht="12.75" customHeight="1">
      <c r="A532" s="544"/>
      <c r="B532" s="544"/>
      <c r="C532" s="703"/>
      <c r="D532" s="597"/>
      <c r="E532" s="704"/>
      <c r="F532" s="703"/>
      <c r="G532" s="597"/>
      <c r="H532" s="453"/>
      <c r="I532" s="493"/>
      <c r="J532" s="597"/>
      <c r="K532" s="544"/>
      <c r="L532" s="544"/>
      <c r="M532" s="597"/>
      <c r="N532" s="597"/>
      <c r="O532" s="544"/>
      <c r="P532" s="544"/>
      <c r="Q532" s="544"/>
      <c r="R532" s="544"/>
      <c r="S532" s="477"/>
      <c r="T532" s="477"/>
    </row>
    <row r="533" ht="12.75" customHeight="1">
      <c r="A533" s="544"/>
      <c r="B533" s="544"/>
      <c r="C533" s="703"/>
      <c r="D533" s="597"/>
      <c r="E533" s="704"/>
      <c r="F533" s="703"/>
      <c r="G533" s="597"/>
      <c r="H533" s="453"/>
      <c r="I533" s="493"/>
      <c r="J533" s="597"/>
      <c r="K533" s="544"/>
      <c r="L533" s="544"/>
      <c r="M533" s="597"/>
      <c r="N533" s="597"/>
      <c r="O533" s="544"/>
      <c r="P533" s="544"/>
      <c r="Q533" s="544"/>
      <c r="R533" s="544"/>
      <c r="S533" s="477"/>
      <c r="T533" s="477"/>
    </row>
    <row r="534" ht="12.75" customHeight="1">
      <c r="A534" s="544"/>
      <c r="B534" s="544"/>
      <c r="C534" s="703"/>
      <c r="D534" s="597"/>
      <c r="E534" s="704"/>
      <c r="F534" s="703"/>
      <c r="G534" s="597"/>
      <c r="H534" s="453"/>
      <c r="I534" s="493"/>
      <c r="J534" s="597"/>
      <c r="K534" s="544"/>
      <c r="L534" s="544"/>
      <c r="M534" s="597"/>
      <c r="N534" s="597"/>
      <c r="O534" s="544"/>
      <c r="P534" s="544"/>
      <c r="Q534" s="544"/>
      <c r="R534" s="544"/>
      <c r="S534" s="477"/>
      <c r="T534" s="477"/>
    </row>
    <row r="535" ht="12.75" customHeight="1">
      <c r="A535" s="544"/>
      <c r="B535" s="544"/>
      <c r="C535" s="703"/>
      <c r="D535" s="597"/>
      <c r="E535" s="704"/>
      <c r="F535" s="703"/>
      <c r="G535" s="597"/>
      <c r="H535" s="453"/>
      <c r="I535" s="493"/>
      <c r="J535" s="597"/>
      <c r="K535" s="544"/>
      <c r="L535" s="544"/>
      <c r="M535" s="597"/>
      <c r="N535" s="597"/>
      <c r="O535" s="544"/>
      <c r="P535" s="544"/>
      <c r="Q535" s="544"/>
      <c r="R535" s="544"/>
      <c r="S535" s="477"/>
      <c r="T535" s="477"/>
    </row>
    <row r="536" ht="12.75" customHeight="1">
      <c r="A536" s="544"/>
      <c r="B536" s="544"/>
      <c r="C536" s="703"/>
      <c r="D536" s="597"/>
      <c r="E536" s="704"/>
      <c r="F536" s="703"/>
      <c r="G536" s="597"/>
      <c r="H536" s="453"/>
      <c r="I536" s="493"/>
      <c r="J536" s="597"/>
      <c r="K536" s="544"/>
      <c r="L536" s="544"/>
      <c r="M536" s="597"/>
      <c r="N536" s="597"/>
      <c r="O536" s="544"/>
      <c r="P536" s="544"/>
      <c r="Q536" s="544"/>
      <c r="R536" s="544"/>
      <c r="S536" s="477"/>
      <c r="T536" s="477"/>
    </row>
    <row r="537" ht="12.75" customHeight="1">
      <c r="A537" s="544"/>
      <c r="B537" s="544"/>
      <c r="C537" s="703"/>
      <c r="D537" s="597"/>
      <c r="E537" s="704"/>
      <c r="F537" s="703"/>
      <c r="G537" s="597"/>
      <c r="H537" s="453"/>
      <c r="I537" s="493"/>
      <c r="J537" s="597"/>
      <c r="K537" s="544"/>
      <c r="L537" s="544"/>
      <c r="M537" s="597"/>
      <c r="N537" s="597"/>
      <c r="O537" s="544"/>
      <c r="P537" s="544"/>
      <c r="Q537" s="544"/>
      <c r="R537" s="544"/>
      <c r="S537" s="477"/>
      <c r="T537" s="477"/>
    </row>
    <row r="538" ht="12.75" customHeight="1">
      <c r="A538" s="544"/>
      <c r="B538" s="544"/>
      <c r="C538" s="703"/>
      <c r="D538" s="597"/>
      <c r="E538" s="704"/>
      <c r="F538" s="703"/>
      <c r="G538" s="597"/>
      <c r="H538" s="453"/>
      <c r="I538" s="493"/>
      <c r="J538" s="597"/>
      <c r="K538" s="544"/>
      <c r="L538" s="544"/>
      <c r="M538" s="597"/>
      <c r="N538" s="597"/>
      <c r="O538" s="544"/>
      <c r="P538" s="544"/>
      <c r="Q538" s="544"/>
      <c r="R538" s="544"/>
      <c r="S538" s="477"/>
      <c r="T538" s="477"/>
    </row>
    <row r="539" ht="12.75" customHeight="1">
      <c r="A539" s="544"/>
      <c r="B539" s="544"/>
      <c r="C539" s="703"/>
      <c r="D539" s="597"/>
      <c r="E539" s="704"/>
      <c r="F539" s="703"/>
      <c r="G539" s="597"/>
      <c r="H539" s="453"/>
      <c r="I539" s="493"/>
      <c r="J539" s="597"/>
      <c r="K539" s="544"/>
      <c r="L539" s="544"/>
      <c r="M539" s="597"/>
      <c r="N539" s="597"/>
      <c r="O539" s="544"/>
      <c r="P539" s="544"/>
      <c r="Q539" s="544"/>
      <c r="R539" s="544"/>
      <c r="S539" s="477"/>
      <c r="T539" s="477"/>
    </row>
    <row r="540" ht="12.75" customHeight="1">
      <c r="A540" s="544"/>
      <c r="B540" s="544"/>
      <c r="C540" s="703"/>
      <c r="D540" s="597"/>
      <c r="E540" s="704"/>
      <c r="F540" s="703"/>
      <c r="G540" s="597"/>
      <c r="H540" s="453"/>
      <c r="I540" s="493"/>
      <c r="J540" s="597"/>
      <c r="K540" s="544"/>
      <c r="L540" s="544"/>
      <c r="M540" s="597"/>
      <c r="N540" s="597"/>
      <c r="O540" s="544"/>
      <c r="P540" s="544"/>
      <c r="Q540" s="544"/>
      <c r="R540" s="544"/>
      <c r="S540" s="477"/>
      <c r="T540" s="477"/>
    </row>
    <row r="541" ht="12.75" customHeight="1">
      <c r="A541" s="544"/>
      <c r="B541" s="544"/>
      <c r="C541" s="703"/>
      <c r="D541" s="597"/>
      <c r="E541" s="704"/>
      <c r="F541" s="703"/>
      <c r="G541" s="597"/>
      <c r="H541" s="453"/>
      <c r="I541" s="493"/>
      <c r="J541" s="597"/>
      <c r="K541" s="544"/>
      <c r="L541" s="544"/>
      <c r="M541" s="597"/>
      <c r="N541" s="597"/>
      <c r="O541" s="544"/>
      <c r="P541" s="544"/>
      <c r="Q541" s="544"/>
      <c r="R541" s="544"/>
      <c r="S541" s="477"/>
      <c r="T541" s="477"/>
    </row>
    <row r="542" ht="12.75" customHeight="1">
      <c r="A542" s="544"/>
      <c r="B542" s="544"/>
      <c r="C542" s="703"/>
      <c r="D542" s="597"/>
      <c r="E542" s="704"/>
      <c r="F542" s="703"/>
      <c r="G542" s="597"/>
      <c r="H542" s="453"/>
      <c r="I542" s="493"/>
      <c r="J542" s="597"/>
      <c r="K542" s="544"/>
      <c r="L542" s="544"/>
      <c r="M542" s="597"/>
      <c r="N542" s="597"/>
      <c r="O542" s="544"/>
      <c r="P542" s="544"/>
      <c r="Q542" s="544"/>
      <c r="R542" s="544"/>
      <c r="S542" s="477"/>
      <c r="T542" s="477"/>
    </row>
    <row r="543" ht="12.75" customHeight="1">
      <c r="A543" s="544"/>
      <c r="B543" s="544"/>
      <c r="C543" s="703"/>
      <c r="D543" s="597"/>
      <c r="E543" s="704"/>
      <c r="F543" s="703"/>
      <c r="G543" s="597"/>
      <c r="H543" s="453"/>
      <c r="I543" s="493"/>
      <c r="J543" s="597"/>
      <c r="K543" s="544"/>
      <c r="L543" s="544"/>
      <c r="M543" s="597"/>
      <c r="N543" s="597"/>
      <c r="O543" s="544"/>
      <c r="P543" s="544"/>
      <c r="Q543" s="544"/>
      <c r="R543" s="544"/>
      <c r="S543" s="477"/>
      <c r="T543" s="477"/>
    </row>
    <row r="544" ht="12.75" customHeight="1">
      <c r="A544" s="544"/>
      <c r="B544" s="544"/>
      <c r="C544" s="703"/>
      <c r="D544" s="597"/>
      <c r="E544" s="704"/>
      <c r="F544" s="703"/>
      <c r="G544" s="597"/>
      <c r="H544" s="453"/>
      <c r="I544" s="493"/>
      <c r="J544" s="597"/>
      <c r="K544" s="544"/>
      <c r="L544" s="544"/>
      <c r="M544" s="597"/>
      <c r="N544" s="597"/>
      <c r="O544" s="544"/>
      <c r="P544" s="544"/>
      <c r="Q544" s="544"/>
      <c r="R544" s="544"/>
      <c r="S544" s="477"/>
      <c r="T544" s="477"/>
    </row>
    <row r="545" ht="12.75" customHeight="1">
      <c r="A545" s="544"/>
      <c r="B545" s="544"/>
      <c r="C545" s="703"/>
      <c r="D545" s="597"/>
      <c r="E545" s="704"/>
      <c r="F545" s="703"/>
      <c r="G545" s="597"/>
      <c r="H545" s="453"/>
      <c r="I545" s="493"/>
      <c r="J545" s="597"/>
      <c r="K545" s="544"/>
      <c r="L545" s="544"/>
      <c r="M545" s="597"/>
      <c r="N545" s="597"/>
      <c r="O545" s="544"/>
      <c r="P545" s="544"/>
      <c r="Q545" s="544"/>
      <c r="R545" s="544"/>
      <c r="S545" s="477"/>
      <c r="T545" s="477"/>
    </row>
    <row r="546" ht="12.75" customHeight="1">
      <c r="A546" s="544"/>
      <c r="B546" s="544"/>
      <c r="C546" s="703"/>
      <c r="D546" s="597"/>
      <c r="E546" s="704"/>
      <c r="F546" s="703"/>
      <c r="G546" s="597"/>
      <c r="H546" s="453"/>
      <c r="I546" s="493"/>
      <c r="J546" s="597"/>
      <c r="K546" s="544"/>
      <c r="L546" s="544"/>
      <c r="M546" s="597"/>
      <c r="N546" s="597"/>
      <c r="O546" s="544"/>
      <c r="P546" s="544"/>
      <c r="Q546" s="544"/>
      <c r="R546" s="544"/>
      <c r="S546" s="477"/>
      <c r="T546" s="477"/>
    </row>
    <row r="547" ht="12.75" customHeight="1">
      <c r="A547" s="544"/>
      <c r="B547" s="544"/>
      <c r="C547" s="703"/>
      <c r="D547" s="597"/>
      <c r="E547" s="704"/>
      <c r="F547" s="703"/>
      <c r="G547" s="597"/>
      <c r="H547" s="453"/>
      <c r="I547" s="493"/>
      <c r="J547" s="597"/>
      <c r="K547" s="544"/>
      <c r="L547" s="544"/>
      <c r="M547" s="597"/>
      <c r="N547" s="597"/>
      <c r="O547" s="544"/>
      <c r="P547" s="544"/>
      <c r="Q547" s="544"/>
      <c r="R547" s="544"/>
      <c r="S547" s="477"/>
      <c r="T547" s="477"/>
    </row>
    <row r="548" ht="12.75" customHeight="1">
      <c r="A548" s="544"/>
      <c r="B548" s="544"/>
      <c r="C548" s="703"/>
      <c r="D548" s="597"/>
      <c r="E548" s="704"/>
      <c r="F548" s="703"/>
      <c r="G548" s="597"/>
      <c r="H548" s="453"/>
      <c r="I548" s="493"/>
      <c r="J548" s="597"/>
      <c r="K548" s="544"/>
      <c r="L548" s="544"/>
      <c r="M548" s="597"/>
      <c r="N548" s="597"/>
      <c r="O548" s="544"/>
      <c r="P548" s="544"/>
      <c r="Q548" s="544"/>
      <c r="R548" s="544"/>
      <c r="S548" s="477"/>
      <c r="T548" s="477"/>
    </row>
    <row r="549" ht="12.75" customHeight="1">
      <c r="A549" s="544"/>
      <c r="B549" s="544"/>
      <c r="C549" s="703"/>
      <c r="D549" s="597"/>
      <c r="E549" s="704"/>
      <c r="F549" s="703"/>
      <c r="G549" s="597"/>
      <c r="H549" s="453"/>
      <c r="I549" s="493"/>
      <c r="J549" s="597"/>
      <c r="K549" s="544"/>
      <c r="L549" s="544"/>
      <c r="M549" s="597"/>
      <c r="N549" s="597"/>
      <c r="O549" s="544"/>
      <c r="P549" s="544"/>
      <c r="Q549" s="544"/>
      <c r="R549" s="544"/>
      <c r="S549" s="477"/>
      <c r="T549" s="477"/>
    </row>
    <row r="550" ht="12.75" customHeight="1">
      <c r="A550" s="544"/>
      <c r="B550" s="544"/>
      <c r="C550" s="703"/>
      <c r="D550" s="597"/>
      <c r="E550" s="704"/>
      <c r="F550" s="703"/>
      <c r="G550" s="597"/>
      <c r="H550" s="453"/>
      <c r="I550" s="493"/>
      <c r="J550" s="597"/>
      <c r="K550" s="544"/>
      <c r="L550" s="544"/>
      <c r="M550" s="597"/>
      <c r="N550" s="597"/>
      <c r="O550" s="544"/>
      <c r="P550" s="544"/>
      <c r="Q550" s="544"/>
      <c r="R550" s="544"/>
      <c r="S550" s="477"/>
      <c r="T550" s="477"/>
    </row>
    <row r="551" ht="12.75" customHeight="1">
      <c r="A551" s="544"/>
      <c r="B551" s="544"/>
      <c r="C551" s="703"/>
      <c r="D551" s="597"/>
      <c r="E551" s="704"/>
      <c r="F551" s="703"/>
      <c r="G551" s="597"/>
      <c r="H551" s="453"/>
      <c r="I551" s="493"/>
      <c r="J551" s="597"/>
      <c r="K551" s="544"/>
      <c r="L551" s="544"/>
      <c r="M551" s="597"/>
      <c r="N551" s="597"/>
      <c r="O551" s="544"/>
      <c r="P551" s="544"/>
      <c r="Q551" s="544"/>
      <c r="R551" s="544"/>
      <c r="S551" s="477"/>
      <c r="T551" s="477"/>
    </row>
    <row r="552" ht="12.75" customHeight="1">
      <c r="A552" s="544"/>
      <c r="B552" s="544"/>
      <c r="C552" s="703"/>
      <c r="D552" s="597"/>
      <c r="E552" s="704"/>
      <c r="F552" s="703"/>
      <c r="G552" s="597"/>
      <c r="H552" s="453"/>
      <c r="I552" s="493"/>
      <c r="J552" s="597"/>
      <c r="K552" s="544"/>
      <c r="L552" s="544"/>
      <c r="M552" s="597"/>
      <c r="N552" s="597"/>
      <c r="O552" s="544"/>
      <c r="P552" s="544"/>
      <c r="Q552" s="544"/>
      <c r="R552" s="544"/>
      <c r="S552" s="477"/>
      <c r="T552" s="477"/>
    </row>
    <row r="553" ht="12.75" customHeight="1">
      <c r="A553" s="544"/>
      <c r="B553" s="544"/>
      <c r="C553" s="703"/>
      <c r="D553" s="597"/>
      <c r="E553" s="704"/>
      <c r="F553" s="703"/>
      <c r="G553" s="597"/>
      <c r="H553" s="453"/>
      <c r="I553" s="493"/>
      <c r="J553" s="597"/>
      <c r="K553" s="544"/>
      <c r="L553" s="544"/>
      <c r="M553" s="597"/>
      <c r="N553" s="597"/>
      <c r="O553" s="544"/>
      <c r="P553" s="544"/>
      <c r="Q553" s="544"/>
      <c r="R553" s="544"/>
      <c r="S553" s="477"/>
      <c r="T553" s="477"/>
    </row>
    <row r="554" ht="12.75" customHeight="1">
      <c r="A554" s="544"/>
      <c r="B554" s="544"/>
      <c r="C554" s="703"/>
      <c r="D554" s="597"/>
      <c r="E554" s="704"/>
      <c r="F554" s="703"/>
      <c r="G554" s="597"/>
      <c r="H554" s="453"/>
      <c r="I554" s="493"/>
      <c r="J554" s="597"/>
      <c r="K554" s="544"/>
      <c r="L554" s="544"/>
      <c r="M554" s="597"/>
      <c r="N554" s="597"/>
      <c r="O554" s="544"/>
      <c r="P554" s="544"/>
      <c r="Q554" s="544"/>
      <c r="R554" s="544"/>
      <c r="S554" s="477"/>
      <c r="T554" s="477"/>
    </row>
    <row r="555" ht="12.75" customHeight="1">
      <c r="A555" s="544"/>
      <c r="B555" s="544"/>
      <c r="C555" s="703"/>
      <c r="D555" s="597"/>
      <c r="E555" s="704"/>
      <c r="F555" s="703"/>
      <c r="G555" s="597"/>
      <c r="H555" s="453"/>
      <c r="I555" s="493"/>
      <c r="J555" s="597"/>
      <c r="K555" s="544"/>
      <c r="L555" s="544"/>
      <c r="M555" s="597"/>
      <c r="N555" s="597"/>
      <c r="O555" s="544"/>
      <c r="P555" s="544"/>
      <c r="Q555" s="544"/>
      <c r="R555" s="544"/>
      <c r="S555" s="477"/>
      <c r="T555" s="477"/>
    </row>
    <row r="556" ht="12.75" customHeight="1">
      <c r="A556" s="544"/>
      <c r="B556" s="544"/>
      <c r="C556" s="703"/>
      <c r="D556" s="597"/>
      <c r="E556" s="704"/>
      <c r="F556" s="703"/>
      <c r="G556" s="597"/>
      <c r="H556" s="453"/>
      <c r="I556" s="493"/>
      <c r="J556" s="597"/>
      <c r="K556" s="544"/>
      <c r="L556" s="544"/>
      <c r="M556" s="597"/>
      <c r="N556" s="597"/>
      <c r="O556" s="544"/>
      <c r="P556" s="544"/>
      <c r="Q556" s="544"/>
      <c r="R556" s="544"/>
      <c r="S556" s="477"/>
      <c r="T556" s="477"/>
    </row>
    <row r="557" ht="12.75" customHeight="1">
      <c r="A557" s="544"/>
      <c r="B557" s="544"/>
      <c r="C557" s="703"/>
      <c r="D557" s="597"/>
      <c r="E557" s="704"/>
      <c r="F557" s="703"/>
      <c r="G557" s="597"/>
      <c r="H557" s="453"/>
      <c r="I557" s="493"/>
      <c r="J557" s="597"/>
      <c r="K557" s="544"/>
      <c r="L557" s="544"/>
      <c r="M557" s="597"/>
      <c r="N557" s="597"/>
      <c r="O557" s="544"/>
      <c r="P557" s="544"/>
      <c r="Q557" s="544"/>
      <c r="R557" s="544"/>
      <c r="S557" s="477"/>
      <c r="T557" s="477"/>
    </row>
    <row r="558" ht="12.75" customHeight="1">
      <c r="A558" s="544"/>
      <c r="B558" s="544"/>
      <c r="C558" s="703"/>
      <c r="D558" s="597"/>
      <c r="E558" s="704"/>
      <c r="F558" s="703"/>
      <c r="G558" s="597"/>
      <c r="H558" s="453"/>
      <c r="I558" s="493"/>
      <c r="J558" s="597"/>
      <c r="K558" s="544"/>
      <c r="L558" s="544"/>
      <c r="M558" s="597"/>
      <c r="N558" s="597"/>
      <c r="O558" s="544"/>
      <c r="P558" s="544"/>
      <c r="Q558" s="544"/>
      <c r="R558" s="544"/>
      <c r="S558" s="477"/>
      <c r="T558" s="477"/>
    </row>
    <row r="559" ht="12.75" customHeight="1">
      <c r="A559" s="544"/>
      <c r="B559" s="544"/>
      <c r="C559" s="703"/>
      <c r="D559" s="597"/>
      <c r="E559" s="704"/>
      <c r="F559" s="703"/>
      <c r="G559" s="597"/>
      <c r="H559" s="453"/>
      <c r="I559" s="493"/>
      <c r="J559" s="597"/>
      <c r="K559" s="544"/>
      <c r="L559" s="544"/>
      <c r="M559" s="597"/>
      <c r="N559" s="597"/>
      <c r="O559" s="544"/>
      <c r="P559" s="544"/>
      <c r="Q559" s="544"/>
      <c r="R559" s="544"/>
      <c r="S559" s="477"/>
      <c r="T559" s="477"/>
    </row>
    <row r="560" ht="12.75" customHeight="1">
      <c r="A560" s="544"/>
      <c r="B560" s="544"/>
      <c r="C560" s="703"/>
      <c r="D560" s="597"/>
      <c r="E560" s="704"/>
      <c r="F560" s="703"/>
      <c r="G560" s="597"/>
      <c r="H560" s="453"/>
      <c r="I560" s="493"/>
      <c r="J560" s="597"/>
      <c r="K560" s="544"/>
      <c r="L560" s="544"/>
      <c r="M560" s="597"/>
      <c r="N560" s="597"/>
      <c r="O560" s="544"/>
      <c r="P560" s="544"/>
      <c r="Q560" s="544"/>
      <c r="R560" s="544"/>
      <c r="S560" s="477"/>
      <c r="T560" s="477"/>
    </row>
    <row r="561" ht="12.75" customHeight="1">
      <c r="A561" s="544"/>
      <c r="B561" s="544"/>
      <c r="C561" s="703"/>
      <c r="D561" s="597"/>
      <c r="E561" s="704"/>
      <c r="F561" s="703"/>
      <c r="G561" s="597"/>
      <c r="H561" s="453"/>
      <c r="I561" s="493"/>
      <c r="J561" s="597"/>
      <c r="K561" s="544"/>
      <c r="L561" s="544"/>
      <c r="M561" s="597"/>
      <c r="N561" s="597"/>
      <c r="O561" s="544"/>
      <c r="P561" s="544"/>
      <c r="Q561" s="544"/>
      <c r="R561" s="544"/>
      <c r="S561" s="477"/>
      <c r="T561" s="477"/>
    </row>
    <row r="562" ht="12.75" customHeight="1">
      <c r="A562" s="544"/>
      <c r="B562" s="544"/>
      <c r="C562" s="703"/>
      <c r="D562" s="597"/>
      <c r="E562" s="704"/>
      <c r="F562" s="703"/>
      <c r="G562" s="597"/>
      <c r="H562" s="453"/>
      <c r="I562" s="493"/>
      <c r="J562" s="597"/>
      <c r="K562" s="544"/>
      <c r="L562" s="544"/>
      <c r="M562" s="597"/>
      <c r="N562" s="597"/>
      <c r="O562" s="544"/>
      <c r="P562" s="544"/>
      <c r="Q562" s="544"/>
      <c r="R562" s="544"/>
      <c r="S562" s="477"/>
      <c r="T562" s="477"/>
    </row>
    <row r="563" ht="12.75" customHeight="1">
      <c r="A563" s="544"/>
      <c r="B563" s="544"/>
      <c r="C563" s="703"/>
      <c r="D563" s="597"/>
      <c r="E563" s="704"/>
      <c r="F563" s="703"/>
      <c r="G563" s="597"/>
      <c r="H563" s="453"/>
      <c r="I563" s="493"/>
      <c r="J563" s="597"/>
      <c r="K563" s="544"/>
      <c r="L563" s="544"/>
      <c r="M563" s="597"/>
      <c r="N563" s="597"/>
      <c r="O563" s="544"/>
      <c r="P563" s="544"/>
      <c r="Q563" s="544"/>
      <c r="R563" s="544"/>
      <c r="S563" s="477"/>
      <c r="T563" s="477"/>
    </row>
    <row r="564" ht="12.75" customHeight="1">
      <c r="A564" s="544"/>
      <c r="B564" s="544"/>
      <c r="C564" s="703"/>
      <c r="D564" s="597"/>
      <c r="E564" s="704"/>
      <c r="F564" s="703"/>
      <c r="G564" s="597"/>
      <c r="H564" s="453"/>
      <c r="I564" s="493"/>
      <c r="J564" s="597"/>
      <c r="K564" s="544"/>
      <c r="L564" s="544"/>
      <c r="M564" s="597"/>
      <c r="N564" s="597"/>
      <c r="O564" s="544"/>
      <c r="P564" s="544"/>
      <c r="Q564" s="544"/>
      <c r="R564" s="544"/>
      <c r="S564" s="477"/>
      <c r="T564" s="477"/>
    </row>
    <row r="565" ht="12.75" customHeight="1">
      <c r="A565" s="544"/>
      <c r="B565" s="544"/>
      <c r="C565" s="703"/>
      <c r="D565" s="597"/>
      <c r="E565" s="704"/>
      <c r="F565" s="703"/>
      <c r="G565" s="597"/>
      <c r="H565" s="453"/>
      <c r="I565" s="493"/>
      <c r="J565" s="597"/>
      <c r="K565" s="544"/>
      <c r="L565" s="544"/>
      <c r="M565" s="597"/>
      <c r="N565" s="597"/>
      <c r="O565" s="544"/>
      <c r="P565" s="544"/>
      <c r="Q565" s="544"/>
      <c r="R565" s="544"/>
      <c r="S565" s="477"/>
      <c r="T565" s="477"/>
    </row>
    <row r="566" ht="12.75" customHeight="1">
      <c r="A566" s="544"/>
      <c r="B566" s="544"/>
      <c r="C566" s="703"/>
      <c r="D566" s="597"/>
      <c r="E566" s="704"/>
      <c r="F566" s="703"/>
      <c r="G566" s="597"/>
      <c r="H566" s="453"/>
      <c r="I566" s="493"/>
      <c r="J566" s="597"/>
      <c r="K566" s="544"/>
      <c r="L566" s="544"/>
      <c r="M566" s="597"/>
      <c r="N566" s="597"/>
      <c r="O566" s="544"/>
      <c r="P566" s="544"/>
      <c r="Q566" s="544"/>
      <c r="R566" s="544"/>
      <c r="S566" s="477"/>
      <c r="T566" s="477"/>
    </row>
    <row r="567" ht="12.75" customHeight="1">
      <c r="A567" s="544"/>
      <c r="B567" s="544"/>
      <c r="C567" s="703"/>
      <c r="D567" s="597"/>
      <c r="E567" s="704"/>
      <c r="F567" s="703"/>
      <c r="G567" s="597"/>
      <c r="H567" s="453"/>
      <c r="I567" s="493"/>
      <c r="J567" s="597"/>
      <c r="K567" s="544"/>
      <c r="L567" s="544"/>
      <c r="M567" s="597"/>
      <c r="N567" s="597"/>
      <c r="O567" s="544"/>
      <c r="P567" s="544"/>
      <c r="Q567" s="544"/>
      <c r="R567" s="544"/>
      <c r="S567" s="477"/>
      <c r="T567" s="477"/>
    </row>
    <row r="568" ht="12.75" customHeight="1">
      <c r="A568" s="544"/>
      <c r="B568" s="544"/>
      <c r="C568" s="703"/>
      <c r="D568" s="597"/>
      <c r="E568" s="704"/>
      <c r="F568" s="703"/>
      <c r="G568" s="597"/>
      <c r="H568" s="453"/>
      <c r="I568" s="493"/>
      <c r="J568" s="597"/>
      <c r="K568" s="544"/>
      <c r="L568" s="544"/>
      <c r="M568" s="597"/>
      <c r="N568" s="597"/>
      <c r="O568" s="544"/>
      <c r="P568" s="544"/>
      <c r="Q568" s="544"/>
      <c r="R568" s="544"/>
      <c r="S568" s="477"/>
      <c r="T568" s="477"/>
    </row>
    <row r="569" ht="12.75" customHeight="1">
      <c r="A569" s="544"/>
      <c r="B569" s="544"/>
      <c r="C569" s="703"/>
      <c r="D569" s="597"/>
      <c r="E569" s="704"/>
      <c r="F569" s="703"/>
      <c r="G569" s="597"/>
      <c r="H569" s="453"/>
      <c r="I569" s="493"/>
      <c r="J569" s="597"/>
      <c r="K569" s="544"/>
      <c r="L569" s="544"/>
      <c r="M569" s="597"/>
      <c r="N569" s="597"/>
      <c r="O569" s="544"/>
      <c r="P569" s="544"/>
      <c r="Q569" s="544"/>
      <c r="R569" s="544"/>
      <c r="S569" s="477"/>
      <c r="T569" s="477"/>
    </row>
    <row r="570" ht="12.75" customHeight="1">
      <c r="A570" s="544"/>
      <c r="B570" s="544"/>
      <c r="C570" s="703"/>
      <c r="D570" s="597"/>
      <c r="E570" s="704"/>
      <c r="F570" s="703"/>
      <c r="G570" s="597"/>
      <c r="H570" s="453"/>
      <c r="I570" s="493"/>
      <c r="J570" s="597"/>
      <c r="K570" s="544"/>
      <c r="L570" s="544"/>
      <c r="M570" s="597"/>
      <c r="N570" s="597"/>
      <c r="O570" s="544"/>
      <c r="P570" s="544"/>
      <c r="Q570" s="544"/>
      <c r="R570" s="544"/>
      <c r="S570" s="477"/>
      <c r="T570" s="477"/>
    </row>
    <row r="571" ht="12.75" customHeight="1">
      <c r="A571" s="544"/>
      <c r="B571" s="544"/>
      <c r="C571" s="703"/>
      <c r="D571" s="597"/>
      <c r="E571" s="704"/>
      <c r="F571" s="703"/>
      <c r="G571" s="597"/>
      <c r="H571" s="453"/>
      <c r="I571" s="493"/>
      <c r="J571" s="597"/>
      <c r="K571" s="544"/>
      <c r="L571" s="544"/>
      <c r="M571" s="597"/>
      <c r="N571" s="597"/>
      <c r="O571" s="544"/>
      <c r="P571" s="544"/>
      <c r="Q571" s="544"/>
      <c r="R571" s="544"/>
      <c r="S571" s="477"/>
      <c r="T571" s="477"/>
    </row>
    <row r="572" ht="12.75" customHeight="1">
      <c r="A572" s="544"/>
      <c r="B572" s="544"/>
      <c r="C572" s="703"/>
      <c r="D572" s="597"/>
      <c r="E572" s="704"/>
      <c r="F572" s="703"/>
      <c r="G572" s="597"/>
      <c r="H572" s="453"/>
      <c r="I572" s="493"/>
      <c r="J572" s="597"/>
      <c r="K572" s="544"/>
      <c r="L572" s="544"/>
      <c r="M572" s="597"/>
      <c r="N572" s="597"/>
      <c r="O572" s="544"/>
      <c r="P572" s="544"/>
      <c r="Q572" s="544"/>
      <c r="R572" s="544"/>
      <c r="S572" s="477"/>
      <c r="T572" s="477"/>
    </row>
    <row r="573" ht="12.75" customHeight="1">
      <c r="A573" s="544"/>
      <c r="B573" s="544"/>
      <c r="C573" s="703"/>
      <c r="D573" s="597"/>
      <c r="E573" s="704"/>
      <c r="F573" s="703"/>
      <c r="G573" s="597"/>
      <c r="H573" s="453"/>
      <c r="I573" s="493"/>
      <c r="J573" s="597"/>
      <c r="K573" s="544"/>
      <c r="L573" s="544"/>
      <c r="M573" s="597"/>
      <c r="N573" s="597"/>
      <c r="O573" s="544"/>
      <c r="P573" s="544"/>
      <c r="Q573" s="544"/>
      <c r="R573" s="544"/>
      <c r="S573" s="477"/>
      <c r="T573" s="477"/>
    </row>
    <row r="574" ht="12.75" customHeight="1">
      <c r="A574" s="544"/>
      <c r="B574" s="544"/>
      <c r="C574" s="703"/>
      <c r="D574" s="597"/>
      <c r="E574" s="704"/>
      <c r="F574" s="703"/>
      <c r="G574" s="597"/>
      <c r="H574" s="453"/>
      <c r="I574" s="493"/>
      <c r="J574" s="597"/>
      <c r="K574" s="544"/>
      <c r="L574" s="544"/>
      <c r="M574" s="597"/>
      <c r="N574" s="597"/>
      <c r="O574" s="544"/>
      <c r="P574" s="544"/>
      <c r="Q574" s="544"/>
      <c r="R574" s="544"/>
      <c r="S574" s="477"/>
      <c r="T574" s="477"/>
    </row>
    <row r="575" ht="12.75" customHeight="1">
      <c r="A575" s="544"/>
      <c r="B575" s="544"/>
      <c r="C575" s="703"/>
      <c r="D575" s="597"/>
      <c r="E575" s="704"/>
      <c r="F575" s="703"/>
      <c r="G575" s="597"/>
      <c r="H575" s="453"/>
      <c r="I575" s="493"/>
      <c r="J575" s="597"/>
      <c r="K575" s="544"/>
      <c r="L575" s="544"/>
      <c r="M575" s="597"/>
      <c r="N575" s="597"/>
      <c r="O575" s="544"/>
      <c r="P575" s="544"/>
      <c r="Q575" s="544"/>
      <c r="R575" s="544"/>
      <c r="S575" s="477"/>
      <c r="T575" s="477"/>
    </row>
    <row r="576" ht="12.75" customHeight="1">
      <c r="A576" s="544"/>
      <c r="B576" s="544"/>
      <c r="C576" s="703"/>
      <c r="D576" s="597"/>
      <c r="E576" s="704"/>
      <c r="F576" s="703"/>
      <c r="G576" s="597"/>
      <c r="H576" s="453"/>
      <c r="I576" s="493"/>
      <c r="J576" s="597"/>
      <c r="K576" s="544"/>
      <c r="L576" s="544"/>
      <c r="M576" s="597"/>
      <c r="N576" s="597"/>
      <c r="O576" s="544"/>
      <c r="P576" s="544"/>
      <c r="Q576" s="544"/>
      <c r="R576" s="544"/>
      <c r="S576" s="477"/>
      <c r="T576" s="477"/>
    </row>
    <row r="577" ht="12.75" customHeight="1">
      <c r="A577" s="544"/>
      <c r="B577" s="544"/>
      <c r="C577" s="703"/>
      <c r="D577" s="597"/>
      <c r="E577" s="704"/>
      <c r="F577" s="703"/>
      <c r="G577" s="597"/>
      <c r="H577" s="453"/>
      <c r="I577" s="493"/>
      <c r="J577" s="597"/>
      <c r="K577" s="544"/>
      <c r="L577" s="544"/>
      <c r="M577" s="597"/>
      <c r="N577" s="597"/>
      <c r="O577" s="544"/>
      <c r="P577" s="544"/>
      <c r="Q577" s="544"/>
      <c r="R577" s="544"/>
      <c r="S577" s="477"/>
      <c r="T577" s="477"/>
    </row>
    <row r="578" ht="12.75" customHeight="1">
      <c r="A578" s="544"/>
      <c r="B578" s="544"/>
      <c r="C578" s="703"/>
      <c r="D578" s="597"/>
      <c r="E578" s="704"/>
      <c r="F578" s="703"/>
      <c r="G578" s="597"/>
      <c r="H578" s="453"/>
      <c r="I578" s="493"/>
      <c r="J578" s="597"/>
      <c r="K578" s="544"/>
      <c r="L578" s="544"/>
      <c r="M578" s="597"/>
      <c r="N578" s="597"/>
      <c r="O578" s="544"/>
      <c r="P578" s="544"/>
      <c r="Q578" s="544"/>
      <c r="R578" s="544"/>
      <c r="S578" s="477"/>
      <c r="T578" s="477"/>
    </row>
    <row r="579" ht="12.75" customHeight="1">
      <c r="A579" s="544"/>
      <c r="B579" s="544"/>
      <c r="C579" s="703"/>
      <c r="D579" s="597"/>
      <c r="E579" s="704"/>
      <c r="F579" s="703"/>
      <c r="G579" s="597"/>
      <c r="H579" s="453"/>
      <c r="I579" s="493"/>
      <c r="J579" s="597"/>
      <c r="K579" s="544"/>
      <c r="L579" s="544"/>
      <c r="M579" s="597"/>
      <c r="N579" s="597"/>
      <c r="O579" s="544"/>
      <c r="P579" s="544"/>
      <c r="Q579" s="544"/>
      <c r="R579" s="544"/>
      <c r="S579" s="477"/>
      <c r="T579" s="477"/>
    </row>
    <row r="580" ht="12.75" customHeight="1">
      <c r="A580" s="544"/>
      <c r="B580" s="544"/>
      <c r="C580" s="703"/>
      <c r="D580" s="597"/>
      <c r="E580" s="704"/>
      <c r="F580" s="703"/>
      <c r="G580" s="597"/>
      <c r="H580" s="453"/>
      <c r="I580" s="493"/>
      <c r="J580" s="597"/>
      <c r="K580" s="544"/>
      <c r="L580" s="544"/>
      <c r="M580" s="597"/>
      <c r="N580" s="597"/>
      <c r="O580" s="544"/>
      <c r="P580" s="544"/>
      <c r="Q580" s="544"/>
      <c r="R580" s="544"/>
      <c r="S580" s="477"/>
      <c r="T580" s="477"/>
    </row>
    <row r="581" ht="12.75" customHeight="1">
      <c r="A581" s="544"/>
      <c r="B581" s="544"/>
      <c r="C581" s="703"/>
      <c r="D581" s="597"/>
      <c r="E581" s="704"/>
      <c r="F581" s="703"/>
      <c r="G581" s="597"/>
      <c r="H581" s="453"/>
      <c r="I581" s="493"/>
      <c r="J581" s="597"/>
      <c r="K581" s="544"/>
      <c r="L581" s="544"/>
      <c r="M581" s="597"/>
      <c r="N581" s="597"/>
      <c r="O581" s="544"/>
      <c r="P581" s="544"/>
      <c r="Q581" s="544"/>
      <c r="R581" s="544"/>
      <c r="S581" s="477"/>
      <c r="T581" s="477"/>
    </row>
    <row r="582" ht="12.75" customHeight="1">
      <c r="A582" s="544"/>
      <c r="B582" s="544"/>
      <c r="C582" s="703"/>
      <c r="D582" s="597"/>
      <c r="E582" s="704"/>
      <c r="F582" s="703"/>
      <c r="G582" s="597"/>
      <c r="H582" s="453"/>
      <c r="I582" s="493"/>
      <c r="J582" s="597"/>
      <c r="K582" s="544"/>
      <c r="L582" s="544"/>
      <c r="M582" s="597"/>
      <c r="N582" s="597"/>
      <c r="O582" s="544"/>
      <c r="P582" s="544"/>
      <c r="Q582" s="544"/>
      <c r="R582" s="544"/>
      <c r="S582" s="477"/>
      <c r="T582" s="477"/>
    </row>
    <row r="583" ht="12.75" customHeight="1">
      <c r="A583" s="544"/>
      <c r="B583" s="544"/>
      <c r="C583" s="703"/>
      <c r="D583" s="597"/>
      <c r="E583" s="704"/>
      <c r="F583" s="703"/>
      <c r="G583" s="597"/>
      <c r="H583" s="453"/>
      <c r="I583" s="493"/>
      <c r="J583" s="597"/>
      <c r="K583" s="544"/>
      <c r="L583" s="544"/>
      <c r="M583" s="597"/>
      <c r="N583" s="597"/>
      <c r="O583" s="544"/>
      <c r="P583" s="544"/>
      <c r="Q583" s="544"/>
      <c r="R583" s="544"/>
      <c r="S583" s="477"/>
      <c r="T583" s="477"/>
    </row>
    <row r="584" ht="12.75" customHeight="1">
      <c r="A584" s="544"/>
      <c r="B584" s="544"/>
      <c r="C584" s="703"/>
      <c r="D584" s="597"/>
      <c r="E584" s="704"/>
      <c r="F584" s="703"/>
      <c r="G584" s="597"/>
      <c r="H584" s="453"/>
      <c r="I584" s="493"/>
      <c r="J584" s="597"/>
      <c r="K584" s="544"/>
      <c r="L584" s="544"/>
      <c r="M584" s="597"/>
      <c r="N584" s="597"/>
      <c r="O584" s="544"/>
      <c r="P584" s="544"/>
      <c r="Q584" s="544"/>
      <c r="R584" s="544"/>
      <c r="S584" s="477"/>
      <c r="T584" s="477"/>
    </row>
    <row r="585" ht="12.75" customHeight="1">
      <c r="A585" s="544"/>
      <c r="B585" s="544"/>
      <c r="C585" s="703"/>
      <c r="D585" s="597"/>
      <c r="E585" s="704"/>
      <c r="F585" s="703"/>
      <c r="G585" s="597"/>
      <c r="H585" s="453"/>
      <c r="I585" s="493"/>
      <c r="J585" s="597"/>
      <c r="K585" s="544"/>
      <c r="L585" s="544"/>
      <c r="M585" s="597"/>
      <c r="N585" s="597"/>
      <c r="O585" s="544"/>
      <c r="P585" s="544"/>
      <c r="Q585" s="544"/>
      <c r="R585" s="544"/>
      <c r="S585" s="477"/>
      <c r="T585" s="477"/>
    </row>
    <row r="586" ht="12.75" customHeight="1">
      <c r="A586" s="544"/>
      <c r="B586" s="544"/>
      <c r="C586" s="703"/>
      <c r="D586" s="597"/>
      <c r="E586" s="704"/>
      <c r="F586" s="703"/>
      <c r="G586" s="597"/>
      <c r="H586" s="453"/>
      <c r="I586" s="493"/>
      <c r="J586" s="597"/>
      <c r="K586" s="544"/>
      <c r="L586" s="544"/>
      <c r="M586" s="597"/>
      <c r="N586" s="597"/>
      <c r="O586" s="544"/>
      <c r="P586" s="544"/>
      <c r="Q586" s="544"/>
      <c r="R586" s="544"/>
      <c r="S586" s="477"/>
      <c r="T586" s="477"/>
    </row>
    <row r="587" ht="12.75" customHeight="1">
      <c r="A587" s="544"/>
      <c r="B587" s="544"/>
      <c r="C587" s="703"/>
      <c r="D587" s="597"/>
      <c r="E587" s="704"/>
      <c r="F587" s="703"/>
      <c r="G587" s="597"/>
      <c r="H587" s="453"/>
      <c r="I587" s="493"/>
      <c r="J587" s="597"/>
      <c r="K587" s="544"/>
      <c r="L587" s="544"/>
      <c r="M587" s="597"/>
      <c r="N587" s="597"/>
      <c r="O587" s="544"/>
      <c r="P587" s="544"/>
      <c r="Q587" s="544"/>
      <c r="R587" s="544"/>
      <c r="S587" s="477"/>
      <c r="T587" s="477"/>
    </row>
    <row r="588" ht="12.75" customHeight="1">
      <c r="A588" s="544"/>
      <c r="B588" s="544"/>
      <c r="C588" s="703"/>
      <c r="D588" s="597"/>
      <c r="E588" s="704"/>
      <c r="F588" s="703"/>
      <c r="G588" s="597"/>
      <c r="H588" s="453"/>
      <c r="I588" s="493"/>
      <c r="J588" s="597"/>
      <c r="K588" s="544"/>
      <c r="L588" s="544"/>
      <c r="M588" s="597"/>
      <c r="N588" s="597"/>
      <c r="O588" s="544"/>
      <c r="P588" s="544"/>
      <c r="Q588" s="544"/>
      <c r="R588" s="544"/>
      <c r="S588" s="477"/>
      <c r="T588" s="477"/>
    </row>
    <row r="589" ht="12.75" customHeight="1">
      <c r="A589" s="544"/>
      <c r="B589" s="544"/>
      <c r="C589" s="703"/>
      <c r="D589" s="597"/>
      <c r="E589" s="704"/>
      <c r="F589" s="703"/>
      <c r="G589" s="597"/>
      <c r="H589" s="453"/>
      <c r="I589" s="493"/>
      <c r="J589" s="597"/>
      <c r="K589" s="544"/>
      <c r="L589" s="544"/>
      <c r="M589" s="597"/>
      <c r="N589" s="597"/>
      <c r="O589" s="544"/>
      <c r="P589" s="544"/>
      <c r="Q589" s="544"/>
      <c r="R589" s="544"/>
      <c r="S589" s="477"/>
      <c r="T589" s="477"/>
    </row>
    <row r="590" ht="12.75" customHeight="1">
      <c r="A590" s="544"/>
      <c r="B590" s="544"/>
      <c r="C590" s="703"/>
      <c r="D590" s="597"/>
      <c r="E590" s="704"/>
      <c r="F590" s="703"/>
      <c r="G590" s="597"/>
      <c r="H590" s="453"/>
      <c r="I590" s="493"/>
      <c r="J590" s="597"/>
      <c r="K590" s="544"/>
      <c r="L590" s="544"/>
      <c r="M590" s="597"/>
      <c r="N590" s="597"/>
      <c r="O590" s="544"/>
      <c r="P590" s="544"/>
      <c r="Q590" s="544"/>
      <c r="R590" s="544"/>
      <c r="S590" s="477"/>
      <c r="T590" s="477"/>
    </row>
    <row r="591" ht="12.75" customHeight="1">
      <c r="A591" s="544"/>
      <c r="B591" s="544"/>
      <c r="C591" s="703"/>
      <c r="D591" s="597"/>
      <c r="E591" s="704"/>
      <c r="F591" s="703"/>
      <c r="G591" s="597"/>
      <c r="H591" s="453"/>
      <c r="I591" s="493"/>
      <c r="J591" s="597"/>
      <c r="K591" s="544"/>
      <c r="L591" s="544"/>
      <c r="M591" s="597"/>
      <c r="N591" s="597"/>
      <c r="O591" s="544"/>
      <c r="P591" s="544"/>
      <c r="Q591" s="544"/>
      <c r="R591" s="544"/>
      <c r="S591" s="477"/>
      <c r="T591" s="477"/>
    </row>
    <row r="592" ht="12.75" customHeight="1">
      <c r="A592" s="544"/>
      <c r="B592" s="544"/>
      <c r="C592" s="703"/>
      <c r="D592" s="597"/>
      <c r="E592" s="704"/>
      <c r="F592" s="703"/>
      <c r="G592" s="597"/>
      <c r="H592" s="453"/>
      <c r="I592" s="493"/>
      <c r="J592" s="597"/>
      <c r="K592" s="544"/>
      <c r="L592" s="544"/>
      <c r="M592" s="597"/>
      <c r="N592" s="597"/>
      <c r="O592" s="544"/>
      <c r="P592" s="544"/>
      <c r="Q592" s="544"/>
      <c r="R592" s="544"/>
      <c r="S592" s="477"/>
      <c r="T592" s="477"/>
    </row>
    <row r="593" ht="12.75" customHeight="1">
      <c r="A593" s="544"/>
      <c r="B593" s="544"/>
      <c r="C593" s="703"/>
      <c r="D593" s="597"/>
      <c r="E593" s="704"/>
      <c r="F593" s="703"/>
      <c r="G593" s="597"/>
      <c r="H593" s="453"/>
      <c r="I593" s="493"/>
      <c r="J593" s="597"/>
      <c r="K593" s="544"/>
      <c r="L593" s="544"/>
      <c r="M593" s="597"/>
      <c r="N593" s="597"/>
      <c r="O593" s="544"/>
      <c r="P593" s="544"/>
      <c r="Q593" s="544"/>
      <c r="R593" s="544"/>
      <c r="S593" s="477"/>
      <c r="T593" s="477"/>
    </row>
    <row r="594" ht="12.75" customHeight="1">
      <c r="A594" s="544"/>
      <c r="B594" s="544"/>
      <c r="C594" s="703"/>
      <c r="D594" s="597"/>
      <c r="E594" s="704"/>
      <c r="F594" s="703"/>
      <c r="G594" s="597"/>
      <c r="H594" s="453"/>
      <c r="I594" s="493"/>
      <c r="J594" s="597"/>
      <c r="K594" s="544"/>
      <c r="L594" s="544"/>
      <c r="M594" s="597"/>
      <c r="N594" s="597"/>
      <c r="O594" s="544"/>
      <c r="P594" s="544"/>
      <c r="Q594" s="544"/>
      <c r="R594" s="544"/>
      <c r="S594" s="477"/>
      <c r="T594" s="477"/>
    </row>
    <row r="595" ht="12.75" customHeight="1">
      <c r="A595" s="544"/>
      <c r="B595" s="544"/>
      <c r="C595" s="703"/>
      <c r="D595" s="597"/>
      <c r="E595" s="704"/>
      <c r="F595" s="703"/>
      <c r="G595" s="597"/>
      <c r="H595" s="453"/>
      <c r="I595" s="493"/>
      <c r="J595" s="597"/>
      <c r="K595" s="544"/>
      <c r="L595" s="544"/>
      <c r="M595" s="597"/>
      <c r="N595" s="597"/>
      <c r="O595" s="544"/>
      <c r="P595" s="544"/>
      <c r="Q595" s="544"/>
      <c r="R595" s="544"/>
      <c r="S595" s="477"/>
      <c r="T595" s="477"/>
    </row>
    <row r="596" ht="12.75" customHeight="1">
      <c r="A596" s="544"/>
      <c r="B596" s="544"/>
      <c r="C596" s="703"/>
      <c r="D596" s="597"/>
      <c r="E596" s="704"/>
      <c r="F596" s="703"/>
      <c r="G596" s="597"/>
      <c r="H596" s="453"/>
      <c r="I596" s="493"/>
      <c r="J596" s="597"/>
      <c r="K596" s="544"/>
      <c r="L596" s="544"/>
      <c r="M596" s="597"/>
      <c r="N596" s="597"/>
      <c r="O596" s="544"/>
      <c r="P596" s="544"/>
      <c r="Q596" s="544"/>
      <c r="R596" s="544"/>
      <c r="S596" s="477"/>
      <c r="T596" s="477"/>
    </row>
    <row r="597" ht="12.75" customHeight="1">
      <c r="A597" s="544"/>
      <c r="B597" s="544"/>
      <c r="C597" s="703"/>
      <c r="D597" s="597"/>
      <c r="E597" s="704"/>
      <c r="F597" s="703"/>
      <c r="G597" s="597"/>
      <c r="H597" s="453"/>
      <c r="I597" s="493"/>
      <c r="J597" s="597"/>
      <c r="K597" s="544"/>
      <c r="L597" s="544"/>
      <c r="M597" s="597"/>
      <c r="N597" s="597"/>
      <c r="O597" s="544"/>
      <c r="P597" s="544"/>
      <c r="Q597" s="544"/>
      <c r="R597" s="544"/>
      <c r="S597" s="477"/>
      <c r="T597" s="477"/>
    </row>
    <row r="598" ht="12.75" customHeight="1">
      <c r="A598" s="544"/>
      <c r="B598" s="544"/>
      <c r="C598" s="703"/>
      <c r="D598" s="597"/>
      <c r="E598" s="704"/>
      <c r="F598" s="703"/>
      <c r="G598" s="597"/>
      <c r="H598" s="453"/>
      <c r="I598" s="493"/>
      <c r="J598" s="597"/>
      <c r="K598" s="544"/>
      <c r="L598" s="544"/>
      <c r="M598" s="597"/>
      <c r="N598" s="597"/>
      <c r="O598" s="544"/>
      <c r="P598" s="544"/>
      <c r="Q598" s="544"/>
      <c r="R598" s="544"/>
      <c r="S598" s="477"/>
      <c r="T598" s="477"/>
    </row>
    <row r="599" ht="12.75" customHeight="1">
      <c r="A599" s="544"/>
      <c r="B599" s="544"/>
      <c r="C599" s="703"/>
      <c r="D599" s="597"/>
      <c r="E599" s="704"/>
      <c r="F599" s="703"/>
      <c r="G599" s="597"/>
      <c r="H599" s="453"/>
      <c r="I599" s="493"/>
      <c r="J599" s="597"/>
      <c r="K599" s="544"/>
      <c r="L599" s="544"/>
      <c r="M599" s="597"/>
      <c r="N599" s="597"/>
      <c r="O599" s="544"/>
      <c r="P599" s="544"/>
      <c r="Q599" s="544"/>
      <c r="R599" s="544"/>
      <c r="S599" s="477"/>
      <c r="T599" s="477"/>
    </row>
    <row r="600" ht="12.75" customHeight="1">
      <c r="A600" s="544"/>
      <c r="B600" s="544"/>
      <c r="C600" s="703"/>
      <c r="D600" s="597"/>
      <c r="E600" s="704"/>
      <c r="F600" s="703"/>
      <c r="G600" s="597"/>
      <c r="H600" s="453"/>
      <c r="I600" s="493"/>
      <c r="J600" s="597"/>
      <c r="K600" s="544"/>
      <c r="L600" s="544"/>
      <c r="M600" s="597"/>
      <c r="N600" s="597"/>
      <c r="O600" s="544"/>
      <c r="P600" s="544"/>
      <c r="Q600" s="544"/>
      <c r="R600" s="544"/>
      <c r="S600" s="477"/>
      <c r="T600" s="477"/>
    </row>
    <row r="601" ht="12.75" customHeight="1">
      <c r="A601" s="544"/>
      <c r="B601" s="544"/>
      <c r="C601" s="703"/>
      <c r="D601" s="597"/>
      <c r="E601" s="704"/>
      <c r="F601" s="703"/>
      <c r="G601" s="597"/>
      <c r="H601" s="453"/>
      <c r="I601" s="493"/>
      <c r="J601" s="597"/>
      <c r="K601" s="544"/>
      <c r="L601" s="544"/>
      <c r="M601" s="597"/>
      <c r="N601" s="597"/>
      <c r="O601" s="544"/>
      <c r="P601" s="544"/>
      <c r="Q601" s="544"/>
      <c r="R601" s="544"/>
      <c r="S601" s="477"/>
      <c r="T601" s="477"/>
    </row>
    <row r="602" ht="12.75" customHeight="1">
      <c r="A602" s="544"/>
      <c r="B602" s="544"/>
      <c r="C602" s="703"/>
      <c r="D602" s="597"/>
      <c r="E602" s="704"/>
      <c r="F602" s="703"/>
      <c r="G602" s="597"/>
      <c r="H602" s="453"/>
      <c r="I602" s="493"/>
      <c r="J602" s="597"/>
      <c r="K602" s="544"/>
      <c r="L602" s="544"/>
      <c r="M602" s="597"/>
      <c r="N602" s="597"/>
      <c r="O602" s="544"/>
      <c r="P602" s="544"/>
      <c r="Q602" s="544"/>
      <c r="R602" s="544"/>
      <c r="S602" s="477"/>
      <c r="T602" s="477"/>
    </row>
    <row r="603" ht="12.75" customHeight="1">
      <c r="A603" s="544"/>
      <c r="B603" s="544"/>
      <c r="C603" s="703"/>
      <c r="D603" s="597"/>
      <c r="E603" s="704"/>
      <c r="F603" s="703"/>
      <c r="G603" s="597"/>
      <c r="H603" s="453"/>
      <c r="I603" s="493"/>
      <c r="J603" s="597"/>
      <c r="K603" s="544"/>
      <c r="L603" s="544"/>
      <c r="M603" s="597"/>
      <c r="N603" s="597"/>
      <c r="O603" s="544"/>
      <c r="P603" s="544"/>
      <c r="Q603" s="544"/>
      <c r="R603" s="544"/>
      <c r="S603" s="477"/>
      <c r="T603" s="477"/>
    </row>
    <row r="604" ht="12.75" customHeight="1">
      <c r="A604" s="544"/>
      <c r="B604" s="544"/>
      <c r="C604" s="703"/>
      <c r="D604" s="597"/>
      <c r="E604" s="704"/>
      <c r="F604" s="703"/>
      <c r="G604" s="597"/>
      <c r="H604" s="453"/>
      <c r="I604" s="493"/>
      <c r="J604" s="597"/>
      <c r="K604" s="544"/>
      <c r="L604" s="544"/>
      <c r="M604" s="597"/>
      <c r="N604" s="597"/>
      <c r="O604" s="544"/>
      <c r="P604" s="544"/>
      <c r="Q604" s="544"/>
      <c r="R604" s="544"/>
      <c r="S604" s="477"/>
      <c r="T604" s="477"/>
    </row>
    <row r="605" ht="12.75" customHeight="1">
      <c r="A605" s="544"/>
      <c r="B605" s="544"/>
      <c r="C605" s="703"/>
      <c r="D605" s="597"/>
      <c r="E605" s="704"/>
      <c r="F605" s="703"/>
      <c r="G605" s="597"/>
      <c r="H605" s="453"/>
      <c r="I605" s="493"/>
      <c r="J605" s="597"/>
      <c r="K605" s="544"/>
      <c r="L605" s="544"/>
      <c r="M605" s="597"/>
      <c r="N605" s="597"/>
      <c r="O605" s="544"/>
      <c r="P605" s="544"/>
      <c r="Q605" s="544"/>
      <c r="R605" s="544"/>
      <c r="S605" s="477"/>
      <c r="T605" s="477"/>
    </row>
    <row r="606" ht="12.75" customHeight="1">
      <c r="A606" s="544"/>
      <c r="B606" s="544"/>
      <c r="C606" s="703"/>
      <c r="D606" s="597"/>
      <c r="E606" s="704"/>
      <c r="F606" s="703"/>
      <c r="G606" s="597"/>
      <c r="H606" s="453"/>
      <c r="I606" s="493"/>
      <c r="J606" s="597"/>
      <c r="K606" s="544"/>
      <c r="L606" s="544"/>
      <c r="M606" s="597"/>
      <c r="N606" s="597"/>
      <c r="O606" s="544"/>
      <c r="P606" s="544"/>
      <c r="Q606" s="544"/>
      <c r="R606" s="544"/>
      <c r="S606" s="477"/>
      <c r="T606" s="477"/>
    </row>
    <row r="607" ht="12.75" customHeight="1">
      <c r="A607" s="544"/>
      <c r="B607" s="544"/>
      <c r="C607" s="703"/>
      <c r="D607" s="597"/>
      <c r="E607" s="704"/>
      <c r="F607" s="703"/>
      <c r="G607" s="597"/>
      <c r="H607" s="453"/>
      <c r="I607" s="493"/>
      <c r="J607" s="597"/>
      <c r="K607" s="544"/>
      <c r="L607" s="544"/>
      <c r="M607" s="597"/>
      <c r="N607" s="597"/>
      <c r="O607" s="544"/>
      <c r="P607" s="544"/>
      <c r="Q607" s="544"/>
      <c r="R607" s="544"/>
      <c r="S607" s="477"/>
      <c r="T607" s="477"/>
    </row>
    <row r="608" ht="12.75" customHeight="1">
      <c r="A608" s="544"/>
      <c r="B608" s="544"/>
      <c r="C608" s="703"/>
      <c r="D608" s="597"/>
      <c r="E608" s="704"/>
      <c r="F608" s="703"/>
      <c r="G608" s="597"/>
      <c r="H608" s="453"/>
      <c r="I608" s="493"/>
      <c r="J608" s="597"/>
      <c r="K608" s="544"/>
      <c r="L608" s="544"/>
      <c r="M608" s="597"/>
      <c r="N608" s="597"/>
      <c r="O608" s="544"/>
      <c r="P608" s="544"/>
      <c r="Q608" s="544"/>
      <c r="R608" s="544"/>
      <c r="S608" s="477"/>
      <c r="T608" s="477"/>
    </row>
    <row r="609" ht="12.75" customHeight="1">
      <c r="A609" s="544"/>
      <c r="B609" s="544"/>
      <c r="C609" s="703"/>
      <c r="D609" s="597"/>
      <c r="E609" s="704"/>
      <c r="F609" s="703"/>
      <c r="G609" s="597"/>
      <c r="H609" s="453"/>
      <c r="I609" s="493"/>
      <c r="J609" s="597"/>
      <c r="K609" s="544"/>
      <c r="L609" s="544"/>
      <c r="M609" s="597"/>
      <c r="N609" s="597"/>
      <c r="O609" s="544"/>
      <c r="P609" s="544"/>
      <c r="Q609" s="544"/>
      <c r="R609" s="544"/>
      <c r="S609" s="477"/>
      <c r="T609" s="477"/>
    </row>
    <row r="610" ht="12.75" customHeight="1">
      <c r="A610" s="544"/>
      <c r="B610" s="544"/>
      <c r="C610" s="703"/>
      <c r="D610" s="597"/>
      <c r="E610" s="704"/>
      <c r="F610" s="703"/>
      <c r="G610" s="597"/>
      <c r="H610" s="453"/>
      <c r="I610" s="493"/>
      <c r="J610" s="597"/>
      <c r="K610" s="544"/>
      <c r="L610" s="544"/>
      <c r="M610" s="597"/>
      <c r="N610" s="597"/>
      <c r="O610" s="544"/>
      <c r="P610" s="544"/>
      <c r="Q610" s="544"/>
      <c r="R610" s="544"/>
      <c r="S610" s="477"/>
      <c r="T610" s="477"/>
    </row>
    <row r="611" ht="12.75" customHeight="1">
      <c r="A611" s="544"/>
      <c r="B611" s="544"/>
      <c r="C611" s="703"/>
      <c r="D611" s="597"/>
      <c r="E611" s="704"/>
      <c r="F611" s="703"/>
      <c r="G611" s="597"/>
      <c r="H611" s="453"/>
      <c r="I611" s="493"/>
      <c r="J611" s="597"/>
      <c r="K611" s="544"/>
      <c r="L611" s="544"/>
      <c r="M611" s="597"/>
      <c r="N611" s="597"/>
      <c r="O611" s="544"/>
      <c r="P611" s="544"/>
      <c r="Q611" s="544"/>
      <c r="R611" s="544"/>
      <c r="S611" s="477"/>
      <c r="T611" s="477"/>
    </row>
    <row r="612" ht="12.75" customHeight="1">
      <c r="A612" s="544"/>
      <c r="B612" s="544"/>
      <c r="C612" s="703"/>
      <c r="D612" s="597"/>
      <c r="E612" s="704"/>
      <c r="F612" s="703"/>
      <c r="G612" s="597"/>
      <c r="H612" s="453"/>
      <c r="I612" s="493"/>
      <c r="J612" s="597"/>
      <c r="K612" s="544"/>
      <c r="L612" s="544"/>
      <c r="M612" s="597"/>
      <c r="N612" s="597"/>
      <c r="O612" s="544"/>
      <c r="P612" s="544"/>
      <c r="Q612" s="544"/>
      <c r="R612" s="544"/>
      <c r="S612" s="477"/>
      <c r="T612" s="477"/>
    </row>
    <row r="613" ht="12.75" customHeight="1">
      <c r="A613" s="544"/>
      <c r="B613" s="544"/>
      <c r="C613" s="703"/>
      <c r="D613" s="597"/>
      <c r="E613" s="704"/>
      <c r="F613" s="703"/>
      <c r="G613" s="597"/>
      <c r="H613" s="453"/>
      <c r="I613" s="493"/>
      <c r="J613" s="597"/>
      <c r="K613" s="544"/>
      <c r="L613" s="544"/>
      <c r="M613" s="597"/>
      <c r="N613" s="597"/>
      <c r="O613" s="544"/>
      <c r="P613" s="544"/>
      <c r="Q613" s="544"/>
      <c r="R613" s="544"/>
      <c r="S613" s="477"/>
      <c r="T613" s="477"/>
    </row>
    <row r="614" ht="12.75" customHeight="1">
      <c r="A614" s="544"/>
      <c r="B614" s="544"/>
      <c r="C614" s="703"/>
      <c r="D614" s="597"/>
      <c r="E614" s="704"/>
      <c r="F614" s="703"/>
      <c r="G614" s="597"/>
      <c r="H614" s="453"/>
      <c r="I614" s="493"/>
      <c r="J614" s="597"/>
      <c r="K614" s="544"/>
      <c r="L614" s="544"/>
      <c r="M614" s="597"/>
      <c r="N614" s="597"/>
      <c r="O614" s="544"/>
      <c r="P614" s="544"/>
      <c r="Q614" s="544"/>
      <c r="R614" s="544"/>
      <c r="S614" s="477"/>
      <c r="T614" s="477"/>
    </row>
    <row r="615" ht="12.75" customHeight="1">
      <c r="A615" s="544"/>
      <c r="B615" s="544"/>
      <c r="C615" s="703"/>
      <c r="D615" s="597"/>
      <c r="E615" s="704"/>
      <c r="F615" s="703"/>
      <c r="G615" s="597"/>
      <c r="H615" s="453"/>
      <c r="I615" s="493"/>
      <c r="J615" s="597"/>
      <c r="K615" s="544"/>
      <c r="L615" s="544"/>
      <c r="M615" s="597"/>
      <c r="N615" s="597"/>
      <c r="O615" s="544"/>
      <c r="P615" s="544"/>
      <c r="Q615" s="544"/>
      <c r="R615" s="544"/>
      <c r="S615" s="477"/>
      <c r="T615" s="477"/>
    </row>
    <row r="616" ht="12.75" customHeight="1">
      <c r="A616" s="544"/>
      <c r="B616" s="544"/>
      <c r="C616" s="703"/>
      <c r="D616" s="597"/>
      <c r="E616" s="704"/>
      <c r="F616" s="703"/>
      <c r="G616" s="597"/>
      <c r="H616" s="453"/>
      <c r="I616" s="493"/>
      <c r="J616" s="597"/>
      <c r="K616" s="544"/>
      <c r="L616" s="544"/>
      <c r="M616" s="597"/>
      <c r="N616" s="597"/>
      <c r="O616" s="544"/>
      <c r="P616" s="544"/>
      <c r="Q616" s="544"/>
      <c r="R616" s="544"/>
      <c r="S616" s="477"/>
      <c r="T616" s="477"/>
    </row>
    <row r="617" ht="12.75" customHeight="1">
      <c r="A617" s="544"/>
      <c r="B617" s="544"/>
      <c r="C617" s="703"/>
      <c r="D617" s="597"/>
      <c r="E617" s="704"/>
      <c r="F617" s="703"/>
      <c r="G617" s="597"/>
      <c r="H617" s="453"/>
      <c r="I617" s="493"/>
      <c r="J617" s="597"/>
      <c r="K617" s="544"/>
      <c r="L617" s="544"/>
      <c r="M617" s="597"/>
      <c r="N617" s="597"/>
      <c r="O617" s="544"/>
      <c r="P617" s="544"/>
      <c r="Q617" s="544"/>
      <c r="R617" s="544"/>
      <c r="S617" s="477"/>
      <c r="T617" s="477"/>
    </row>
    <row r="618" ht="12.75" customHeight="1">
      <c r="A618" s="544"/>
      <c r="B618" s="544"/>
      <c r="C618" s="703"/>
      <c r="D618" s="597"/>
      <c r="E618" s="704"/>
      <c r="F618" s="703"/>
      <c r="G618" s="597"/>
      <c r="H618" s="453"/>
      <c r="I618" s="493"/>
      <c r="J618" s="597"/>
      <c r="K618" s="544"/>
      <c r="L618" s="544"/>
      <c r="M618" s="597"/>
      <c r="N618" s="597"/>
      <c r="O618" s="544"/>
      <c r="P618" s="544"/>
      <c r="Q618" s="544"/>
      <c r="R618" s="544"/>
      <c r="S618" s="477"/>
      <c r="T618" s="477"/>
    </row>
    <row r="619" ht="12.75" customHeight="1">
      <c r="A619" s="544"/>
      <c r="B619" s="544"/>
      <c r="C619" s="703"/>
      <c r="D619" s="597"/>
      <c r="E619" s="704"/>
      <c r="F619" s="703"/>
      <c r="G619" s="597"/>
      <c r="H619" s="453"/>
      <c r="I619" s="493"/>
      <c r="J619" s="597"/>
      <c r="K619" s="544"/>
      <c r="L619" s="544"/>
      <c r="M619" s="597"/>
      <c r="N619" s="597"/>
      <c r="O619" s="544"/>
      <c r="P619" s="544"/>
      <c r="Q619" s="544"/>
      <c r="R619" s="544"/>
      <c r="S619" s="477"/>
      <c r="T619" s="477"/>
    </row>
    <row r="620" ht="12.75" customHeight="1">
      <c r="A620" s="544"/>
      <c r="B620" s="544"/>
      <c r="C620" s="703"/>
      <c r="D620" s="597"/>
      <c r="E620" s="704"/>
      <c r="F620" s="703"/>
      <c r="G620" s="597"/>
      <c r="H620" s="453"/>
      <c r="I620" s="493"/>
      <c r="J620" s="597"/>
      <c r="K620" s="544"/>
      <c r="L620" s="544"/>
      <c r="M620" s="597"/>
      <c r="N620" s="597"/>
      <c r="O620" s="544"/>
      <c r="P620" s="544"/>
      <c r="Q620" s="544"/>
      <c r="R620" s="544"/>
      <c r="S620" s="477"/>
      <c r="T620" s="477"/>
    </row>
    <row r="621" ht="12.75" customHeight="1">
      <c r="A621" s="544"/>
      <c r="B621" s="544"/>
      <c r="C621" s="703"/>
      <c r="D621" s="597"/>
      <c r="E621" s="704"/>
      <c r="F621" s="703"/>
      <c r="G621" s="597"/>
      <c r="H621" s="453"/>
      <c r="I621" s="493"/>
      <c r="J621" s="597"/>
      <c r="K621" s="544"/>
      <c r="L621" s="544"/>
      <c r="M621" s="597"/>
      <c r="N621" s="597"/>
      <c r="O621" s="544"/>
      <c r="P621" s="544"/>
      <c r="Q621" s="544"/>
      <c r="R621" s="544"/>
      <c r="S621" s="477"/>
      <c r="T621" s="477"/>
    </row>
    <row r="622" ht="12.75" customHeight="1">
      <c r="A622" s="544"/>
      <c r="B622" s="544"/>
      <c r="C622" s="703"/>
      <c r="D622" s="597"/>
      <c r="E622" s="704"/>
      <c r="F622" s="703"/>
      <c r="G622" s="597"/>
      <c r="H622" s="453"/>
      <c r="I622" s="493"/>
      <c r="J622" s="597"/>
      <c r="K622" s="544"/>
      <c r="L622" s="544"/>
      <c r="M622" s="597"/>
      <c r="N622" s="597"/>
      <c r="O622" s="544"/>
      <c r="P622" s="544"/>
      <c r="Q622" s="544"/>
      <c r="R622" s="544"/>
      <c r="S622" s="477"/>
      <c r="T622" s="477"/>
    </row>
    <row r="623" ht="12.75" customHeight="1">
      <c r="A623" s="544"/>
      <c r="B623" s="544"/>
      <c r="C623" s="703"/>
      <c r="D623" s="597"/>
      <c r="E623" s="704"/>
      <c r="F623" s="703"/>
      <c r="G623" s="597"/>
      <c r="H623" s="453"/>
      <c r="I623" s="493"/>
      <c r="J623" s="597"/>
      <c r="K623" s="544"/>
      <c r="L623" s="544"/>
      <c r="M623" s="597"/>
      <c r="N623" s="597"/>
      <c r="O623" s="544"/>
      <c r="P623" s="544"/>
      <c r="Q623" s="544"/>
      <c r="R623" s="544"/>
      <c r="S623" s="477"/>
      <c r="T623" s="477"/>
    </row>
    <row r="624" ht="12.75" customHeight="1">
      <c r="A624" s="544"/>
      <c r="B624" s="544"/>
      <c r="C624" s="703"/>
      <c r="D624" s="597"/>
      <c r="E624" s="704"/>
      <c r="F624" s="703"/>
      <c r="G624" s="597"/>
      <c r="H624" s="453"/>
      <c r="I624" s="493"/>
      <c r="J624" s="597"/>
      <c r="K624" s="544"/>
      <c r="L624" s="544"/>
      <c r="M624" s="597"/>
      <c r="N624" s="597"/>
      <c r="O624" s="544"/>
      <c r="P624" s="544"/>
      <c r="Q624" s="544"/>
      <c r="R624" s="544"/>
      <c r="S624" s="477"/>
      <c r="T624" s="477"/>
    </row>
    <row r="625" ht="12.75" customHeight="1">
      <c r="A625" s="544"/>
      <c r="B625" s="544"/>
      <c r="C625" s="703"/>
      <c r="D625" s="597"/>
      <c r="E625" s="704"/>
      <c r="F625" s="703"/>
      <c r="G625" s="597"/>
      <c r="H625" s="453"/>
      <c r="I625" s="493"/>
      <c r="J625" s="597"/>
      <c r="K625" s="544"/>
      <c r="L625" s="544"/>
      <c r="M625" s="597"/>
      <c r="N625" s="597"/>
      <c r="O625" s="544"/>
      <c r="P625" s="544"/>
      <c r="Q625" s="544"/>
      <c r="R625" s="544"/>
      <c r="S625" s="477"/>
      <c r="T625" s="477"/>
    </row>
    <row r="626" ht="12.75" customHeight="1">
      <c r="A626" s="544"/>
      <c r="B626" s="544"/>
      <c r="C626" s="703"/>
      <c r="D626" s="597"/>
      <c r="E626" s="704"/>
      <c r="F626" s="703"/>
      <c r="G626" s="597"/>
      <c r="H626" s="453"/>
      <c r="I626" s="493"/>
      <c r="J626" s="597"/>
      <c r="K626" s="544"/>
      <c r="L626" s="544"/>
      <c r="M626" s="597"/>
      <c r="N626" s="597"/>
      <c r="O626" s="544"/>
      <c r="P626" s="544"/>
      <c r="Q626" s="544"/>
      <c r="R626" s="544"/>
      <c r="S626" s="477"/>
      <c r="T626" s="477"/>
    </row>
    <row r="627" ht="12.75" customHeight="1">
      <c r="A627" s="544"/>
      <c r="B627" s="544"/>
      <c r="C627" s="703"/>
      <c r="D627" s="597"/>
      <c r="E627" s="704"/>
      <c r="F627" s="703"/>
      <c r="G627" s="597"/>
      <c r="H627" s="453"/>
      <c r="I627" s="493"/>
      <c r="J627" s="597"/>
      <c r="K627" s="544"/>
      <c r="L627" s="544"/>
      <c r="M627" s="597"/>
      <c r="N627" s="597"/>
      <c r="O627" s="544"/>
      <c r="P627" s="544"/>
      <c r="Q627" s="544"/>
      <c r="R627" s="544"/>
      <c r="S627" s="477"/>
      <c r="T627" s="477"/>
    </row>
    <row r="628" ht="12.75" customHeight="1">
      <c r="A628" s="544"/>
      <c r="B628" s="544"/>
      <c r="C628" s="703"/>
      <c r="D628" s="597"/>
      <c r="E628" s="704"/>
      <c r="F628" s="703"/>
      <c r="G628" s="597"/>
      <c r="H628" s="453"/>
      <c r="I628" s="493"/>
      <c r="J628" s="597"/>
      <c r="K628" s="544"/>
      <c r="L628" s="544"/>
      <c r="M628" s="597"/>
      <c r="N628" s="597"/>
      <c r="O628" s="544"/>
      <c r="P628" s="544"/>
      <c r="Q628" s="544"/>
      <c r="R628" s="544"/>
      <c r="S628" s="477"/>
      <c r="T628" s="477"/>
    </row>
    <row r="629" ht="12.75" customHeight="1">
      <c r="A629" s="544"/>
      <c r="B629" s="544"/>
      <c r="C629" s="703"/>
      <c r="D629" s="597"/>
      <c r="E629" s="704"/>
      <c r="F629" s="703"/>
      <c r="G629" s="597"/>
      <c r="H629" s="453"/>
      <c r="I629" s="493"/>
      <c r="J629" s="597"/>
      <c r="K629" s="544"/>
      <c r="L629" s="544"/>
      <c r="M629" s="597"/>
      <c r="N629" s="597"/>
      <c r="O629" s="544"/>
      <c r="P629" s="544"/>
      <c r="Q629" s="544"/>
      <c r="R629" s="544"/>
      <c r="S629" s="477"/>
      <c r="T629" s="477"/>
    </row>
    <row r="630" ht="12.75" customHeight="1">
      <c r="A630" s="544"/>
      <c r="B630" s="544"/>
      <c r="C630" s="703"/>
      <c r="D630" s="597"/>
      <c r="E630" s="704"/>
      <c r="F630" s="703"/>
      <c r="G630" s="597"/>
      <c r="H630" s="453"/>
      <c r="I630" s="493"/>
      <c r="J630" s="597"/>
      <c r="K630" s="544"/>
      <c r="L630" s="544"/>
      <c r="M630" s="597"/>
      <c r="N630" s="597"/>
      <c r="O630" s="544"/>
      <c r="P630" s="544"/>
      <c r="Q630" s="544"/>
      <c r="R630" s="544"/>
      <c r="S630" s="477"/>
      <c r="T630" s="477"/>
    </row>
    <row r="631" ht="12.75" customHeight="1">
      <c r="A631" s="544"/>
      <c r="B631" s="544"/>
      <c r="C631" s="703"/>
      <c r="D631" s="597"/>
      <c r="E631" s="704"/>
      <c r="F631" s="703"/>
      <c r="G631" s="597"/>
      <c r="H631" s="453"/>
      <c r="I631" s="493"/>
      <c r="J631" s="597"/>
      <c r="K631" s="544"/>
      <c r="L631" s="544"/>
      <c r="M631" s="597"/>
      <c r="N631" s="597"/>
      <c r="O631" s="544"/>
      <c r="P631" s="544"/>
      <c r="Q631" s="544"/>
      <c r="R631" s="544"/>
      <c r="S631" s="477"/>
      <c r="T631" s="477"/>
    </row>
    <row r="632" ht="12.75" customHeight="1">
      <c r="A632" s="544"/>
      <c r="B632" s="544"/>
      <c r="C632" s="703"/>
      <c r="D632" s="597"/>
      <c r="E632" s="704"/>
      <c r="F632" s="703"/>
      <c r="G632" s="597"/>
      <c r="H632" s="453"/>
      <c r="I632" s="493"/>
      <c r="J632" s="597"/>
      <c r="K632" s="544"/>
      <c r="L632" s="544"/>
      <c r="M632" s="597"/>
      <c r="N632" s="597"/>
      <c r="O632" s="544"/>
      <c r="P632" s="544"/>
      <c r="Q632" s="544"/>
      <c r="R632" s="544"/>
      <c r="S632" s="477"/>
      <c r="T632" s="477"/>
    </row>
    <row r="633" ht="12.75" customHeight="1">
      <c r="A633" s="544"/>
      <c r="B633" s="544"/>
      <c r="C633" s="703"/>
      <c r="D633" s="597"/>
      <c r="E633" s="704"/>
      <c r="F633" s="703"/>
      <c r="G633" s="597"/>
      <c r="H633" s="453"/>
      <c r="I633" s="493"/>
      <c r="J633" s="597"/>
      <c r="K633" s="544"/>
      <c r="L633" s="544"/>
      <c r="M633" s="597"/>
      <c r="N633" s="597"/>
      <c r="O633" s="544"/>
      <c r="P633" s="544"/>
      <c r="Q633" s="544"/>
      <c r="R633" s="544"/>
      <c r="S633" s="477"/>
      <c r="T633" s="477"/>
    </row>
    <row r="634" ht="12.75" customHeight="1">
      <c r="A634" s="544"/>
      <c r="B634" s="544"/>
      <c r="C634" s="703"/>
      <c r="D634" s="597"/>
      <c r="E634" s="704"/>
      <c r="F634" s="703"/>
      <c r="G634" s="597"/>
      <c r="H634" s="453"/>
      <c r="I634" s="493"/>
      <c r="J634" s="597"/>
      <c r="K634" s="544"/>
      <c r="L634" s="544"/>
      <c r="M634" s="597"/>
      <c r="N634" s="597"/>
      <c r="O634" s="544"/>
      <c r="P634" s="544"/>
      <c r="Q634" s="544"/>
      <c r="R634" s="544"/>
      <c r="S634" s="477"/>
      <c r="T634" s="477"/>
    </row>
    <row r="635" ht="12.75" customHeight="1">
      <c r="A635" s="544"/>
      <c r="B635" s="544"/>
      <c r="C635" s="703"/>
      <c r="D635" s="597"/>
      <c r="E635" s="704"/>
      <c r="F635" s="703"/>
      <c r="G635" s="597"/>
      <c r="H635" s="453"/>
      <c r="I635" s="493"/>
      <c r="J635" s="597"/>
      <c r="K635" s="544"/>
      <c r="L635" s="544"/>
      <c r="M635" s="597"/>
      <c r="N635" s="597"/>
      <c r="O635" s="544"/>
      <c r="P635" s="544"/>
      <c r="Q635" s="544"/>
      <c r="R635" s="544"/>
      <c r="S635" s="477"/>
      <c r="T635" s="477"/>
    </row>
    <row r="636" ht="12.75" customHeight="1">
      <c r="A636" s="544"/>
      <c r="B636" s="544"/>
      <c r="C636" s="703"/>
      <c r="D636" s="597"/>
      <c r="E636" s="704"/>
      <c r="F636" s="703"/>
      <c r="G636" s="597"/>
      <c r="H636" s="453"/>
      <c r="I636" s="493"/>
      <c r="J636" s="597"/>
      <c r="K636" s="544"/>
      <c r="L636" s="544"/>
      <c r="M636" s="597"/>
      <c r="N636" s="597"/>
      <c r="O636" s="544"/>
      <c r="P636" s="544"/>
      <c r="Q636" s="544"/>
      <c r="R636" s="544"/>
      <c r="S636" s="477"/>
      <c r="T636" s="477"/>
    </row>
    <row r="637" ht="12.75" customHeight="1">
      <c r="A637" s="544"/>
      <c r="B637" s="544"/>
      <c r="C637" s="703"/>
      <c r="D637" s="597"/>
      <c r="E637" s="704"/>
      <c r="F637" s="703"/>
      <c r="G637" s="597"/>
      <c r="H637" s="453"/>
      <c r="I637" s="493"/>
      <c r="J637" s="597"/>
      <c r="K637" s="544"/>
      <c r="L637" s="544"/>
      <c r="M637" s="597"/>
      <c r="N637" s="597"/>
      <c r="O637" s="544"/>
      <c r="P637" s="544"/>
      <c r="Q637" s="544"/>
      <c r="R637" s="544"/>
      <c r="S637" s="477"/>
      <c r="T637" s="477"/>
    </row>
    <row r="638" ht="12.75" customHeight="1">
      <c r="A638" s="544"/>
      <c r="B638" s="544"/>
      <c r="C638" s="703"/>
      <c r="D638" s="597"/>
      <c r="E638" s="704"/>
      <c r="F638" s="703"/>
      <c r="G638" s="597"/>
      <c r="H638" s="453"/>
      <c r="I638" s="493"/>
      <c r="J638" s="597"/>
      <c r="K638" s="544"/>
      <c r="L638" s="544"/>
      <c r="M638" s="597"/>
      <c r="N638" s="597"/>
      <c r="O638" s="544"/>
      <c r="P638" s="544"/>
      <c r="Q638" s="544"/>
      <c r="R638" s="544"/>
      <c r="S638" s="477"/>
      <c r="T638" s="477"/>
    </row>
    <row r="639" ht="12.75" customHeight="1">
      <c r="A639" s="544"/>
      <c r="B639" s="544"/>
      <c r="C639" s="703"/>
      <c r="D639" s="597"/>
      <c r="E639" s="704"/>
      <c r="F639" s="703"/>
      <c r="G639" s="597"/>
      <c r="H639" s="453"/>
      <c r="I639" s="493"/>
      <c r="J639" s="597"/>
      <c r="K639" s="544"/>
      <c r="L639" s="544"/>
      <c r="M639" s="597"/>
      <c r="N639" s="597"/>
      <c r="O639" s="544"/>
      <c r="P639" s="544"/>
      <c r="Q639" s="544"/>
      <c r="R639" s="544"/>
      <c r="S639" s="477"/>
      <c r="T639" s="477"/>
    </row>
    <row r="640" ht="12.75" customHeight="1">
      <c r="A640" s="544"/>
      <c r="B640" s="544"/>
      <c r="C640" s="703"/>
      <c r="D640" s="597"/>
      <c r="E640" s="704"/>
      <c r="F640" s="703"/>
      <c r="G640" s="597"/>
      <c r="H640" s="453"/>
      <c r="I640" s="493"/>
      <c r="J640" s="597"/>
      <c r="K640" s="544"/>
      <c r="L640" s="544"/>
      <c r="M640" s="597"/>
      <c r="N640" s="597"/>
      <c r="O640" s="544"/>
      <c r="P640" s="544"/>
      <c r="Q640" s="544"/>
      <c r="R640" s="544"/>
      <c r="S640" s="477"/>
      <c r="T640" s="477"/>
    </row>
    <row r="641" ht="12.75" customHeight="1">
      <c r="A641" s="544"/>
      <c r="B641" s="544"/>
      <c r="C641" s="703"/>
      <c r="D641" s="597"/>
      <c r="E641" s="704"/>
      <c r="F641" s="703"/>
      <c r="G641" s="597"/>
      <c r="H641" s="453"/>
      <c r="I641" s="493"/>
      <c r="J641" s="597"/>
      <c r="K641" s="544"/>
      <c r="L641" s="544"/>
      <c r="M641" s="597"/>
      <c r="N641" s="597"/>
      <c r="O641" s="544"/>
      <c r="P641" s="544"/>
      <c r="Q641" s="544"/>
      <c r="R641" s="544"/>
      <c r="S641" s="477"/>
      <c r="T641" s="477"/>
    </row>
    <row r="642" ht="12.75" customHeight="1">
      <c r="A642" s="544"/>
      <c r="B642" s="544"/>
      <c r="C642" s="703"/>
      <c r="D642" s="597"/>
      <c r="E642" s="704"/>
      <c r="F642" s="703"/>
      <c r="G642" s="597"/>
      <c r="H642" s="453"/>
      <c r="I642" s="493"/>
      <c r="J642" s="597"/>
      <c r="K642" s="544"/>
      <c r="L642" s="544"/>
      <c r="M642" s="597"/>
      <c r="N642" s="597"/>
      <c r="O642" s="544"/>
      <c r="P642" s="544"/>
      <c r="Q642" s="544"/>
      <c r="R642" s="544"/>
      <c r="S642" s="477"/>
      <c r="T642" s="477"/>
    </row>
    <row r="643" ht="12.75" customHeight="1">
      <c r="A643" s="544"/>
      <c r="B643" s="544"/>
      <c r="C643" s="703"/>
      <c r="D643" s="597"/>
      <c r="E643" s="704"/>
      <c r="F643" s="703"/>
      <c r="G643" s="597"/>
      <c r="H643" s="453"/>
      <c r="I643" s="493"/>
      <c r="J643" s="597"/>
      <c r="K643" s="544"/>
      <c r="L643" s="544"/>
      <c r="M643" s="597"/>
      <c r="N643" s="597"/>
      <c r="O643" s="544"/>
      <c r="P643" s="544"/>
      <c r="Q643" s="544"/>
      <c r="R643" s="544"/>
      <c r="S643" s="477"/>
      <c r="T643" s="477"/>
    </row>
    <row r="644" ht="12.75" customHeight="1">
      <c r="A644" s="544"/>
      <c r="B644" s="544"/>
      <c r="C644" s="703"/>
      <c r="D644" s="597"/>
      <c r="E644" s="704"/>
      <c r="F644" s="703"/>
      <c r="G644" s="597"/>
      <c r="H644" s="453"/>
      <c r="I644" s="493"/>
      <c r="J644" s="597"/>
      <c r="K644" s="544"/>
      <c r="L644" s="544"/>
      <c r="M644" s="597"/>
      <c r="N644" s="597"/>
      <c r="O644" s="544"/>
      <c r="P644" s="544"/>
      <c r="Q644" s="544"/>
      <c r="R644" s="544"/>
      <c r="S644" s="477"/>
      <c r="T644" s="477"/>
    </row>
    <row r="645" ht="12.75" customHeight="1">
      <c r="A645" s="544"/>
      <c r="B645" s="544"/>
      <c r="C645" s="703"/>
      <c r="D645" s="597"/>
      <c r="E645" s="704"/>
      <c r="F645" s="703"/>
      <c r="G645" s="597"/>
      <c r="H645" s="453"/>
      <c r="I645" s="493"/>
      <c r="J645" s="597"/>
      <c r="K645" s="544"/>
      <c r="L645" s="544"/>
      <c r="M645" s="597"/>
      <c r="N645" s="597"/>
      <c r="O645" s="544"/>
      <c r="P645" s="544"/>
      <c r="Q645" s="544"/>
      <c r="R645" s="544"/>
      <c r="S645" s="477"/>
      <c r="T645" s="477"/>
    </row>
    <row r="646" ht="12.75" customHeight="1">
      <c r="A646" s="544"/>
      <c r="B646" s="544"/>
      <c r="C646" s="703"/>
      <c r="D646" s="597"/>
      <c r="E646" s="704"/>
      <c r="F646" s="703"/>
      <c r="G646" s="597"/>
      <c r="H646" s="453"/>
      <c r="I646" s="493"/>
      <c r="J646" s="597"/>
      <c r="K646" s="544"/>
      <c r="L646" s="544"/>
      <c r="M646" s="597"/>
      <c r="N646" s="597"/>
      <c r="O646" s="544"/>
      <c r="P646" s="544"/>
      <c r="Q646" s="544"/>
      <c r="R646" s="544"/>
      <c r="S646" s="477"/>
      <c r="T646" s="477"/>
    </row>
    <row r="647" ht="12.75" customHeight="1">
      <c r="A647" s="544"/>
      <c r="B647" s="544"/>
      <c r="C647" s="703"/>
      <c r="D647" s="597"/>
      <c r="E647" s="704"/>
      <c r="F647" s="703"/>
      <c r="G647" s="597"/>
      <c r="H647" s="453"/>
      <c r="I647" s="493"/>
      <c r="J647" s="597"/>
      <c r="K647" s="544"/>
      <c r="L647" s="544"/>
      <c r="M647" s="597"/>
      <c r="N647" s="597"/>
      <c r="O647" s="544"/>
      <c r="P647" s="544"/>
      <c r="Q647" s="544"/>
      <c r="R647" s="544"/>
      <c r="S647" s="477"/>
      <c r="T647" s="477"/>
    </row>
    <row r="648" ht="12.75" customHeight="1">
      <c r="A648" s="544"/>
      <c r="B648" s="544"/>
      <c r="C648" s="703"/>
      <c r="D648" s="597"/>
      <c r="E648" s="704"/>
      <c r="F648" s="703"/>
      <c r="G648" s="597"/>
      <c r="H648" s="453"/>
      <c r="I648" s="493"/>
      <c r="J648" s="597"/>
      <c r="K648" s="544"/>
      <c r="L648" s="544"/>
      <c r="M648" s="597"/>
      <c r="N648" s="597"/>
      <c r="O648" s="544"/>
      <c r="P648" s="544"/>
      <c r="Q648" s="544"/>
      <c r="R648" s="544"/>
      <c r="S648" s="477"/>
      <c r="T648" s="477"/>
    </row>
    <row r="649" ht="12.75" customHeight="1">
      <c r="A649" s="544"/>
      <c r="B649" s="544"/>
      <c r="C649" s="703"/>
      <c r="D649" s="597"/>
      <c r="E649" s="704"/>
      <c r="F649" s="703"/>
      <c r="G649" s="597"/>
      <c r="H649" s="453"/>
      <c r="I649" s="493"/>
      <c r="J649" s="597"/>
      <c r="K649" s="544"/>
      <c r="L649" s="544"/>
      <c r="M649" s="597"/>
      <c r="N649" s="597"/>
      <c r="O649" s="544"/>
      <c r="P649" s="544"/>
      <c r="Q649" s="544"/>
      <c r="R649" s="544"/>
      <c r="S649" s="477"/>
      <c r="T649" s="477"/>
    </row>
    <row r="650" ht="12.75" customHeight="1">
      <c r="A650" s="544"/>
      <c r="B650" s="544"/>
      <c r="C650" s="703"/>
      <c r="D650" s="597"/>
      <c r="E650" s="704"/>
      <c r="F650" s="703"/>
      <c r="G650" s="597"/>
      <c r="H650" s="453"/>
      <c r="I650" s="493"/>
      <c r="J650" s="597"/>
      <c r="K650" s="544"/>
      <c r="L650" s="544"/>
      <c r="M650" s="597"/>
      <c r="N650" s="597"/>
      <c r="O650" s="544"/>
      <c r="P650" s="544"/>
      <c r="Q650" s="544"/>
      <c r="R650" s="544"/>
      <c r="S650" s="477"/>
      <c r="T650" s="477"/>
    </row>
    <row r="651" ht="12.75" customHeight="1">
      <c r="A651" s="544"/>
      <c r="B651" s="544"/>
      <c r="C651" s="703"/>
      <c r="D651" s="597"/>
      <c r="E651" s="704"/>
      <c r="F651" s="703"/>
      <c r="G651" s="597"/>
      <c r="H651" s="453"/>
      <c r="I651" s="493"/>
      <c r="J651" s="597"/>
      <c r="K651" s="544"/>
      <c r="L651" s="544"/>
      <c r="M651" s="597"/>
      <c r="N651" s="597"/>
      <c r="O651" s="544"/>
      <c r="P651" s="544"/>
      <c r="Q651" s="544"/>
      <c r="R651" s="544"/>
      <c r="S651" s="477"/>
      <c r="T651" s="477"/>
    </row>
    <row r="652" ht="12.75" customHeight="1">
      <c r="A652" s="544"/>
      <c r="B652" s="544"/>
      <c r="C652" s="703"/>
      <c r="D652" s="597"/>
      <c r="E652" s="704"/>
      <c r="F652" s="703"/>
      <c r="G652" s="597"/>
      <c r="H652" s="453"/>
      <c r="I652" s="493"/>
      <c r="J652" s="597"/>
      <c r="K652" s="544"/>
      <c r="L652" s="544"/>
      <c r="M652" s="597"/>
      <c r="N652" s="597"/>
      <c r="O652" s="544"/>
      <c r="P652" s="544"/>
      <c r="Q652" s="544"/>
      <c r="R652" s="544"/>
      <c r="S652" s="477"/>
      <c r="T652" s="477"/>
    </row>
    <row r="653" ht="12.75" customHeight="1">
      <c r="A653" s="544"/>
      <c r="B653" s="544"/>
      <c r="C653" s="703"/>
      <c r="D653" s="597"/>
      <c r="E653" s="704"/>
      <c r="F653" s="703"/>
      <c r="G653" s="597"/>
      <c r="H653" s="453"/>
      <c r="I653" s="493"/>
      <c r="J653" s="597"/>
      <c r="K653" s="544"/>
      <c r="L653" s="544"/>
      <c r="M653" s="597"/>
      <c r="N653" s="597"/>
      <c r="O653" s="544"/>
      <c r="P653" s="544"/>
      <c r="Q653" s="544"/>
      <c r="R653" s="544"/>
      <c r="S653" s="477"/>
      <c r="T653" s="477"/>
    </row>
    <row r="654" ht="12.75" customHeight="1">
      <c r="A654" s="544"/>
      <c r="B654" s="544"/>
      <c r="C654" s="703"/>
      <c r="D654" s="597"/>
      <c r="E654" s="704"/>
      <c r="F654" s="703"/>
      <c r="G654" s="597"/>
      <c r="H654" s="453"/>
      <c r="I654" s="493"/>
      <c r="J654" s="597"/>
      <c r="K654" s="544"/>
      <c r="L654" s="544"/>
      <c r="M654" s="597"/>
      <c r="N654" s="597"/>
      <c r="O654" s="544"/>
      <c r="P654" s="544"/>
      <c r="Q654" s="544"/>
      <c r="R654" s="544"/>
      <c r="S654" s="477"/>
      <c r="T654" s="477"/>
    </row>
    <row r="655" ht="12.75" customHeight="1">
      <c r="A655" s="544"/>
      <c r="B655" s="544"/>
      <c r="C655" s="703"/>
      <c r="D655" s="597"/>
      <c r="E655" s="704"/>
      <c r="F655" s="703"/>
      <c r="G655" s="597"/>
      <c r="H655" s="453"/>
      <c r="I655" s="493"/>
      <c r="J655" s="597"/>
      <c r="K655" s="544"/>
      <c r="L655" s="544"/>
      <c r="M655" s="597"/>
      <c r="N655" s="597"/>
      <c r="O655" s="544"/>
      <c r="P655" s="544"/>
      <c r="Q655" s="544"/>
      <c r="R655" s="544"/>
      <c r="S655" s="477"/>
      <c r="T655" s="477"/>
    </row>
    <row r="656" ht="12.75" customHeight="1">
      <c r="A656" s="544"/>
      <c r="B656" s="544"/>
      <c r="C656" s="703"/>
      <c r="D656" s="597"/>
      <c r="E656" s="704"/>
      <c r="F656" s="703"/>
      <c r="G656" s="597"/>
      <c r="H656" s="453"/>
      <c r="I656" s="493"/>
      <c r="J656" s="597"/>
      <c r="K656" s="544"/>
      <c r="L656" s="544"/>
      <c r="M656" s="597"/>
      <c r="N656" s="597"/>
      <c r="O656" s="544"/>
      <c r="P656" s="544"/>
      <c r="Q656" s="544"/>
      <c r="R656" s="544"/>
      <c r="S656" s="477"/>
      <c r="T656" s="477"/>
    </row>
    <row r="657" ht="12.75" customHeight="1">
      <c r="A657" s="544"/>
      <c r="B657" s="544"/>
      <c r="C657" s="703"/>
      <c r="D657" s="597"/>
      <c r="E657" s="704"/>
      <c r="F657" s="703"/>
      <c r="G657" s="597"/>
      <c r="H657" s="453"/>
      <c r="I657" s="493"/>
      <c r="J657" s="597"/>
      <c r="K657" s="544"/>
      <c r="L657" s="544"/>
      <c r="M657" s="597"/>
      <c r="N657" s="597"/>
      <c r="O657" s="544"/>
      <c r="P657" s="544"/>
      <c r="Q657" s="544"/>
      <c r="R657" s="544"/>
      <c r="S657" s="477"/>
      <c r="T657" s="477"/>
    </row>
    <row r="658" ht="12.75" customHeight="1">
      <c r="A658" s="544"/>
      <c r="B658" s="544"/>
      <c r="C658" s="703"/>
      <c r="D658" s="597"/>
      <c r="E658" s="704"/>
      <c r="F658" s="703"/>
      <c r="G658" s="597"/>
      <c r="H658" s="453"/>
      <c r="I658" s="493"/>
      <c r="J658" s="597"/>
      <c r="K658" s="544"/>
      <c r="L658" s="544"/>
      <c r="M658" s="597"/>
      <c r="N658" s="597"/>
      <c r="O658" s="544"/>
      <c r="P658" s="544"/>
      <c r="Q658" s="544"/>
      <c r="R658" s="544"/>
      <c r="S658" s="477"/>
      <c r="T658" s="477"/>
    </row>
    <row r="659" ht="12.75" customHeight="1">
      <c r="A659" s="544"/>
      <c r="B659" s="544"/>
      <c r="C659" s="703"/>
      <c r="D659" s="597"/>
      <c r="E659" s="704"/>
      <c r="F659" s="703"/>
      <c r="G659" s="597"/>
      <c r="H659" s="453"/>
      <c r="I659" s="493"/>
      <c r="J659" s="597"/>
      <c r="K659" s="544"/>
      <c r="L659" s="544"/>
      <c r="M659" s="597"/>
      <c r="N659" s="597"/>
      <c r="O659" s="544"/>
      <c r="P659" s="544"/>
      <c r="Q659" s="544"/>
      <c r="R659" s="544"/>
      <c r="S659" s="477"/>
      <c r="T659" s="477"/>
    </row>
    <row r="660" ht="12.75" customHeight="1">
      <c r="A660" s="544"/>
      <c r="B660" s="544"/>
      <c r="C660" s="703"/>
      <c r="D660" s="597"/>
      <c r="E660" s="704"/>
      <c r="F660" s="703"/>
      <c r="G660" s="597"/>
      <c r="H660" s="453"/>
      <c r="I660" s="493"/>
      <c r="J660" s="597"/>
      <c r="K660" s="544"/>
      <c r="L660" s="544"/>
      <c r="M660" s="597"/>
      <c r="N660" s="597"/>
      <c r="O660" s="544"/>
      <c r="P660" s="544"/>
      <c r="Q660" s="544"/>
      <c r="R660" s="544"/>
      <c r="S660" s="477"/>
      <c r="T660" s="477"/>
    </row>
    <row r="661" ht="12.75" customHeight="1">
      <c r="A661" s="544"/>
      <c r="B661" s="544"/>
      <c r="C661" s="703"/>
      <c r="D661" s="597"/>
      <c r="E661" s="704"/>
      <c r="F661" s="703"/>
      <c r="G661" s="597"/>
      <c r="H661" s="453"/>
      <c r="I661" s="493"/>
      <c r="J661" s="597"/>
      <c r="K661" s="544"/>
      <c r="L661" s="544"/>
      <c r="M661" s="597"/>
      <c r="N661" s="597"/>
      <c r="O661" s="544"/>
      <c r="P661" s="544"/>
      <c r="Q661" s="544"/>
      <c r="R661" s="544"/>
      <c r="S661" s="477"/>
      <c r="T661" s="477"/>
    </row>
    <row r="662" ht="12.75" customHeight="1">
      <c r="A662" s="544"/>
      <c r="B662" s="544"/>
      <c r="C662" s="703"/>
      <c r="D662" s="597"/>
      <c r="E662" s="704"/>
      <c r="F662" s="703"/>
      <c r="G662" s="597"/>
      <c r="H662" s="453"/>
      <c r="I662" s="493"/>
      <c r="J662" s="597"/>
      <c r="K662" s="544"/>
      <c r="L662" s="544"/>
      <c r="M662" s="597"/>
      <c r="N662" s="597"/>
      <c r="O662" s="544"/>
      <c r="P662" s="544"/>
      <c r="Q662" s="544"/>
      <c r="R662" s="544"/>
      <c r="S662" s="477"/>
      <c r="T662" s="477"/>
    </row>
    <row r="663" ht="12.75" customHeight="1">
      <c r="A663" s="544"/>
      <c r="B663" s="544"/>
      <c r="C663" s="703"/>
      <c r="D663" s="597"/>
      <c r="E663" s="704"/>
      <c r="F663" s="703"/>
      <c r="G663" s="597"/>
      <c r="H663" s="453"/>
      <c r="I663" s="493"/>
      <c r="J663" s="597"/>
      <c r="K663" s="544"/>
      <c r="L663" s="544"/>
      <c r="M663" s="597"/>
      <c r="N663" s="597"/>
      <c r="O663" s="544"/>
      <c r="P663" s="544"/>
      <c r="Q663" s="544"/>
      <c r="R663" s="544"/>
      <c r="S663" s="477"/>
      <c r="T663" s="477"/>
    </row>
    <row r="664" ht="12.75" customHeight="1">
      <c r="A664" s="544"/>
      <c r="B664" s="544"/>
      <c r="C664" s="703"/>
      <c r="D664" s="597"/>
      <c r="E664" s="704"/>
      <c r="F664" s="703"/>
      <c r="G664" s="597"/>
      <c r="H664" s="453"/>
      <c r="I664" s="493"/>
      <c r="J664" s="597"/>
      <c r="K664" s="544"/>
      <c r="L664" s="544"/>
      <c r="M664" s="597"/>
      <c r="N664" s="597"/>
      <c r="O664" s="544"/>
      <c r="P664" s="544"/>
      <c r="Q664" s="544"/>
      <c r="R664" s="544"/>
      <c r="S664" s="477"/>
      <c r="T664" s="477"/>
    </row>
    <row r="665" ht="12.75" customHeight="1">
      <c r="A665" s="544"/>
      <c r="B665" s="544"/>
      <c r="C665" s="703"/>
      <c r="D665" s="597"/>
      <c r="E665" s="704"/>
      <c r="F665" s="703"/>
      <c r="G665" s="597"/>
      <c r="H665" s="453"/>
      <c r="I665" s="493"/>
      <c r="J665" s="597"/>
      <c r="K665" s="544"/>
      <c r="L665" s="544"/>
      <c r="M665" s="597"/>
      <c r="N665" s="597"/>
      <c r="O665" s="544"/>
      <c r="P665" s="544"/>
      <c r="Q665" s="544"/>
      <c r="R665" s="544"/>
      <c r="S665" s="477"/>
      <c r="T665" s="477"/>
    </row>
    <row r="666" ht="12.75" customHeight="1">
      <c r="A666" s="544"/>
      <c r="B666" s="544"/>
      <c r="C666" s="703"/>
      <c r="D666" s="597"/>
      <c r="E666" s="704"/>
      <c r="F666" s="703"/>
      <c r="G666" s="597"/>
      <c r="H666" s="453"/>
      <c r="I666" s="493"/>
      <c r="J666" s="597"/>
      <c r="K666" s="544"/>
      <c r="L666" s="544"/>
      <c r="M666" s="597"/>
      <c r="N666" s="597"/>
      <c r="O666" s="544"/>
      <c r="P666" s="544"/>
      <c r="Q666" s="544"/>
      <c r="R666" s="544"/>
      <c r="S666" s="477"/>
      <c r="T666" s="477"/>
    </row>
    <row r="667" ht="12.75" customHeight="1">
      <c r="A667" s="544"/>
      <c r="B667" s="544"/>
      <c r="C667" s="703"/>
      <c r="D667" s="597"/>
      <c r="E667" s="704"/>
      <c r="F667" s="703"/>
      <c r="G667" s="597"/>
      <c r="H667" s="453"/>
      <c r="I667" s="493"/>
      <c r="J667" s="597"/>
      <c r="K667" s="544"/>
      <c r="L667" s="544"/>
      <c r="M667" s="597"/>
      <c r="N667" s="597"/>
      <c r="O667" s="544"/>
      <c r="P667" s="544"/>
      <c r="Q667" s="544"/>
      <c r="R667" s="544"/>
      <c r="S667" s="477"/>
      <c r="T667" s="477"/>
    </row>
    <row r="668" ht="12.75" customHeight="1">
      <c r="A668" s="544"/>
      <c r="B668" s="544"/>
      <c r="C668" s="703"/>
      <c r="D668" s="597"/>
      <c r="E668" s="704"/>
      <c r="F668" s="703"/>
      <c r="G668" s="597"/>
      <c r="H668" s="453"/>
      <c r="I668" s="493"/>
      <c r="J668" s="597"/>
      <c r="K668" s="544"/>
      <c r="L668" s="544"/>
      <c r="M668" s="597"/>
      <c r="N668" s="597"/>
      <c r="O668" s="544"/>
      <c r="P668" s="544"/>
      <c r="Q668" s="544"/>
      <c r="R668" s="544"/>
      <c r="S668" s="477"/>
      <c r="T668" s="477"/>
    </row>
    <row r="669" ht="12.75" customHeight="1">
      <c r="A669" s="544"/>
      <c r="B669" s="544"/>
      <c r="C669" s="703"/>
      <c r="D669" s="597"/>
      <c r="E669" s="704"/>
      <c r="F669" s="703"/>
      <c r="G669" s="597"/>
      <c r="H669" s="453"/>
      <c r="I669" s="493"/>
      <c r="J669" s="597"/>
      <c r="K669" s="544"/>
      <c r="L669" s="544"/>
      <c r="M669" s="597"/>
      <c r="N669" s="597"/>
      <c r="O669" s="544"/>
      <c r="P669" s="544"/>
      <c r="Q669" s="544"/>
      <c r="R669" s="544"/>
      <c r="S669" s="477"/>
      <c r="T669" s="477"/>
    </row>
    <row r="670" ht="12.75" customHeight="1">
      <c r="A670" s="544"/>
      <c r="B670" s="544"/>
      <c r="C670" s="703"/>
      <c r="D670" s="597"/>
      <c r="E670" s="704"/>
      <c r="F670" s="703"/>
      <c r="G670" s="597"/>
      <c r="H670" s="453"/>
      <c r="I670" s="493"/>
      <c r="J670" s="597"/>
      <c r="K670" s="544"/>
      <c r="L670" s="544"/>
      <c r="M670" s="597"/>
      <c r="N670" s="597"/>
      <c r="O670" s="544"/>
      <c r="P670" s="544"/>
      <c r="Q670" s="544"/>
      <c r="R670" s="544"/>
      <c r="S670" s="477"/>
      <c r="T670" s="477"/>
    </row>
    <row r="671" ht="12.75" customHeight="1">
      <c r="A671" s="544"/>
      <c r="B671" s="544"/>
      <c r="C671" s="703"/>
      <c r="D671" s="597"/>
      <c r="E671" s="704"/>
      <c r="F671" s="703"/>
      <c r="G671" s="597"/>
      <c r="H671" s="453"/>
      <c r="I671" s="493"/>
      <c r="J671" s="597"/>
      <c r="K671" s="544"/>
      <c r="L671" s="544"/>
      <c r="M671" s="597"/>
      <c r="N671" s="597"/>
      <c r="O671" s="544"/>
      <c r="P671" s="544"/>
      <c r="Q671" s="544"/>
      <c r="R671" s="544"/>
      <c r="S671" s="477"/>
      <c r="T671" s="477"/>
    </row>
    <row r="672" ht="12.75" customHeight="1">
      <c r="A672" s="544"/>
      <c r="B672" s="544"/>
      <c r="C672" s="703"/>
      <c r="D672" s="597"/>
      <c r="E672" s="704"/>
      <c r="F672" s="703"/>
      <c r="G672" s="597"/>
      <c r="H672" s="453"/>
      <c r="I672" s="493"/>
      <c r="J672" s="597"/>
      <c r="K672" s="544"/>
      <c r="L672" s="544"/>
      <c r="M672" s="597"/>
      <c r="N672" s="597"/>
      <c r="O672" s="544"/>
      <c r="P672" s="544"/>
      <c r="Q672" s="544"/>
      <c r="R672" s="544"/>
      <c r="S672" s="477"/>
      <c r="T672" s="477"/>
    </row>
    <row r="673" ht="12.75" customHeight="1">
      <c r="A673" s="544"/>
      <c r="B673" s="544"/>
      <c r="C673" s="703"/>
      <c r="D673" s="597"/>
      <c r="E673" s="704"/>
      <c r="F673" s="703"/>
      <c r="G673" s="597"/>
      <c r="H673" s="453"/>
      <c r="I673" s="493"/>
      <c r="J673" s="597"/>
      <c r="K673" s="544"/>
      <c r="L673" s="544"/>
      <c r="M673" s="597"/>
      <c r="N673" s="597"/>
      <c r="O673" s="544"/>
      <c r="P673" s="544"/>
      <c r="Q673" s="544"/>
      <c r="R673" s="544"/>
      <c r="S673" s="477"/>
      <c r="T673" s="477"/>
    </row>
    <row r="674" ht="12.75" customHeight="1">
      <c r="A674" s="544"/>
      <c r="B674" s="544"/>
      <c r="C674" s="703"/>
      <c r="D674" s="597"/>
      <c r="E674" s="704"/>
      <c r="F674" s="703"/>
      <c r="G674" s="597"/>
      <c r="H674" s="453"/>
      <c r="I674" s="493"/>
      <c r="J674" s="597"/>
      <c r="K674" s="544"/>
      <c r="L674" s="544"/>
      <c r="M674" s="597"/>
      <c r="N674" s="597"/>
      <c r="O674" s="544"/>
      <c r="P674" s="544"/>
      <c r="Q674" s="544"/>
      <c r="R674" s="544"/>
      <c r="S674" s="477"/>
      <c r="T674" s="477"/>
    </row>
    <row r="675" ht="12.75" customHeight="1">
      <c r="A675" s="544"/>
      <c r="B675" s="544"/>
      <c r="C675" s="703"/>
      <c r="D675" s="597"/>
      <c r="E675" s="704"/>
      <c r="F675" s="703"/>
      <c r="G675" s="597"/>
      <c r="H675" s="453"/>
      <c r="I675" s="493"/>
      <c r="J675" s="597"/>
      <c r="K675" s="544"/>
      <c r="L675" s="544"/>
      <c r="M675" s="597"/>
      <c r="N675" s="597"/>
      <c r="O675" s="544"/>
      <c r="P675" s="544"/>
      <c r="Q675" s="544"/>
      <c r="R675" s="544"/>
      <c r="S675" s="477"/>
      <c r="T675" s="477"/>
    </row>
    <row r="676" ht="12.75" customHeight="1">
      <c r="A676" s="544"/>
      <c r="B676" s="544"/>
      <c r="C676" s="703"/>
      <c r="D676" s="597"/>
      <c r="E676" s="704"/>
      <c r="F676" s="703"/>
      <c r="G676" s="597"/>
      <c r="H676" s="453"/>
      <c r="I676" s="493"/>
      <c r="J676" s="597"/>
      <c r="K676" s="544"/>
      <c r="L676" s="544"/>
      <c r="M676" s="597"/>
      <c r="N676" s="597"/>
      <c r="O676" s="544"/>
      <c r="P676" s="544"/>
      <c r="Q676" s="544"/>
      <c r="R676" s="544"/>
      <c r="S676" s="477"/>
      <c r="T676" s="477"/>
    </row>
    <row r="677" ht="12.75" customHeight="1">
      <c r="A677" s="544"/>
      <c r="B677" s="544"/>
      <c r="C677" s="703"/>
      <c r="D677" s="597"/>
      <c r="E677" s="704"/>
      <c r="F677" s="703"/>
      <c r="G677" s="597"/>
      <c r="H677" s="453"/>
      <c r="I677" s="493"/>
      <c r="J677" s="597"/>
      <c r="K677" s="544"/>
      <c r="L677" s="544"/>
      <c r="M677" s="597"/>
      <c r="N677" s="597"/>
      <c r="O677" s="544"/>
      <c r="P677" s="544"/>
      <c r="Q677" s="544"/>
      <c r="R677" s="544"/>
      <c r="S677" s="477"/>
      <c r="T677" s="477"/>
    </row>
    <row r="678" ht="12.75" customHeight="1">
      <c r="A678" s="544"/>
      <c r="B678" s="544"/>
      <c r="C678" s="703"/>
      <c r="D678" s="597"/>
      <c r="E678" s="704"/>
      <c r="F678" s="703"/>
      <c r="G678" s="597"/>
      <c r="H678" s="453"/>
      <c r="I678" s="493"/>
      <c r="J678" s="597"/>
      <c r="K678" s="544"/>
      <c r="L678" s="544"/>
      <c r="M678" s="597"/>
      <c r="N678" s="597"/>
      <c r="O678" s="544"/>
      <c r="P678" s="544"/>
      <c r="Q678" s="544"/>
      <c r="R678" s="544"/>
      <c r="S678" s="477"/>
      <c r="T678" s="477"/>
    </row>
    <row r="679" ht="12.75" customHeight="1">
      <c r="A679" s="544"/>
      <c r="B679" s="544"/>
      <c r="C679" s="703"/>
      <c r="D679" s="597"/>
      <c r="E679" s="704"/>
      <c r="F679" s="703"/>
      <c r="G679" s="597"/>
      <c r="H679" s="453"/>
      <c r="I679" s="493"/>
      <c r="J679" s="597"/>
      <c r="K679" s="544"/>
      <c r="L679" s="544"/>
      <c r="M679" s="597"/>
      <c r="N679" s="597"/>
      <c r="O679" s="544"/>
      <c r="P679" s="544"/>
      <c r="Q679" s="544"/>
      <c r="R679" s="544"/>
      <c r="S679" s="477"/>
      <c r="T679" s="477"/>
    </row>
    <row r="680" ht="12.75" customHeight="1">
      <c r="A680" s="544"/>
      <c r="B680" s="544"/>
      <c r="C680" s="703"/>
      <c r="D680" s="597"/>
      <c r="E680" s="704"/>
      <c r="F680" s="703"/>
      <c r="G680" s="597"/>
      <c r="H680" s="453"/>
      <c r="I680" s="493"/>
      <c r="J680" s="597"/>
      <c r="K680" s="544"/>
      <c r="L680" s="544"/>
      <c r="M680" s="597"/>
      <c r="N680" s="597"/>
      <c r="O680" s="544"/>
      <c r="P680" s="544"/>
      <c r="Q680" s="544"/>
      <c r="R680" s="544"/>
      <c r="S680" s="477"/>
      <c r="T680" s="477"/>
    </row>
    <row r="681" ht="12.75" customHeight="1">
      <c r="A681" s="544"/>
      <c r="B681" s="544"/>
      <c r="C681" s="703"/>
      <c r="D681" s="597"/>
      <c r="E681" s="704"/>
      <c r="F681" s="703"/>
      <c r="G681" s="597"/>
      <c r="H681" s="453"/>
      <c r="I681" s="493"/>
      <c r="J681" s="597"/>
      <c r="K681" s="544"/>
      <c r="L681" s="544"/>
      <c r="M681" s="597"/>
      <c r="N681" s="597"/>
      <c r="O681" s="544"/>
      <c r="P681" s="544"/>
      <c r="Q681" s="544"/>
      <c r="R681" s="544"/>
      <c r="S681" s="477"/>
      <c r="T681" s="477"/>
    </row>
    <row r="682" ht="12.75" customHeight="1">
      <c r="A682" s="544"/>
      <c r="B682" s="544"/>
      <c r="C682" s="703"/>
      <c r="D682" s="597"/>
      <c r="E682" s="704"/>
      <c r="F682" s="703"/>
      <c r="G682" s="597"/>
      <c r="H682" s="453"/>
      <c r="I682" s="493"/>
      <c r="J682" s="597"/>
      <c r="K682" s="544"/>
      <c r="L682" s="544"/>
      <c r="M682" s="597"/>
      <c r="N682" s="597"/>
      <c r="O682" s="544"/>
      <c r="P682" s="544"/>
      <c r="Q682" s="544"/>
      <c r="R682" s="544"/>
      <c r="S682" s="477"/>
      <c r="T682" s="477"/>
    </row>
    <row r="683" ht="12.75" customHeight="1">
      <c r="A683" s="544"/>
      <c r="B683" s="544"/>
      <c r="C683" s="703"/>
      <c r="D683" s="597"/>
      <c r="E683" s="704"/>
      <c r="F683" s="703"/>
      <c r="G683" s="597"/>
      <c r="H683" s="453"/>
      <c r="I683" s="493"/>
      <c r="J683" s="597"/>
      <c r="K683" s="544"/>
      <c r="L683" s="544"/>
      <c r="M683" s="597"/>
      <c r="N683" s="597"/>
      <c r="O683" s="544"/>
      <c r="P683" s="544"/>
      <c r="Q683" s="544"/>
      <c r="R683" s="544"/>
      <c r="S683" s="477"/>
      <c r="T683" s="477"/>
    </row>
    <row r="684" ht="12.75" customHeight="1">
      <c r="A684" s="544"/>
      <c r="B684" s="544"/>
      <c r="C684" s="703"/>
      <c r="D684" s="597"/>
      <c r="E684" s="704"/>
      <c r="F684" s="703"/>
      <c r="G684" s="597"/>
      <c r="H684" s="453"/>
      <c r="I684" s="493"/>
      <c r="J684" s="597"/>
      <c r="K684" s="544"/>
      <c r="L684" s="544"/>
      <c r="M684" s="597"/>
      <c r="N684" s="597"/>
      <c r="O684" s="544"/>
      <c r="P684" s="544"/>
      <c r="Q684" s="544"/>
      <c r="R684" s="544"/>
      <c r="S684" s="477"/>
      <c r="T684" s="477"/>
    </row>
    <row r="685" ht="12.75" customHeight="1">
      <c r="A685" s="544"/>
      <c r="B685" s="544"/>
      <c r="C685" s="703"/>
      <c r="D685" s="597"/>
      <c r="E685" s="704"/>
      <c r="F685" s="703"/>
      <c r="G685" s="597"/>
      <c r="H685" s="453"/>
      <c r="I685" s="493"/>
      <c r="J685" s="597"/>
      <c r="K685" s="544"/>
      <c r="L685" s="544"/>
      <c r="M685" s="597"/>
      <c r="N685" s="597"/>
      <c r="O685" s="544"/>
      <c r="P685" s="544"/>
      <c r="Q685" s="544"/>
      <c r="R685" s="544"/>
      <c r="S685" s="477"/>
      <c r="T685" s="477"/>
    </row>
    <row r="686" ht="12.75" customHeight="1">
      <c r="A686" s="544"/>
      <c r="B686" s="544"/>
      <c r="C686" s="703"/>
      <c r="D686" s="597"/>
      <c r="E686" s="704"/>
      <c r="F686" s="703"/>
      <c r="G686" s="597"/>
      <c r="H686" s="453"/>
      <c r="I686" s="493"/>
      <c r="J686" s="597"/>
      <c r="K686" s="544"/>
      <c r="L686" s="544"/>
      <c r="M686" s="597"/>
      <c r="N686" s="597"/>
      <c r="O686" s="544"/>
      <c r="P686" s="544"/>
      <c r="Q686" s="544"/>
      <c r="R686" s="544"/>
      <c r="S686" s="477"/>
      <c r="T686" s="477"/>
    </row>
    <row r="687" ht="12.75" customHeight="1">
      <c r="A687" s="544"/>
      <c r="B687" s="544"/>
      <c r="C687" s="703"/>
      <c r="D687" s="597"/>
      <c r="E687" s="704"/>
      <c r="F687" s="703"/>
      <c r="G687" s="597"/>
      <c r="H687" s="453"/>
      <c r="I687" s="493"/>
      <c r="J687" s="597"/>
      <c r="K687" s="544"/>
      <c r="L687" s="544"/>
      <c r="M687" s="597"/>
      <c r="N687" s="597"/>
      <c r="O687" s="544"/>
      <c r="P687" s="544"/>
      <c r="Q687" s="544"/>
      <c r="R687" s="544"/>
      <c r="S687" s="477"/>
      <c r="T687" s="477"/>
    </row>
    <row r="688" ht="12.75" customHeight="1">
      <c r="A688" s="544"/>
      <c r="B688" s="544"/>
      <c r="C688" s="703"/>
      <c r="D688" s="597"/>
      <c r="E688" s="704"/>
      <c r="F688" s="703"/>
      <c r="G688" s="597"/>
      <c r="H688" s="453"/>
      <c r="I688" s="493"/>
      <c r="J688" s="597"/>
      <c r="K688" s="544"/>
      <c r="L688" s="544"/>
      <c r="M688" s="597"/>
      <c r="N688" s="597"/>
      <c r="O688" s="544"/>
      <c r="P688" s="544"/>
      <c r="Q688" s="544"/>
      <c r="R688" s="544"/>
      <c r="S688" s="477"/>
      <c r="T688" s="477"/>
    </row>
    <row r="689" ht="12.75" customHeight="1">
      <c r="A689" s="544"/>
      <c r="B689" s="544"/>
      <c r="C689" s="703"/>
      <c r="D689" s="597"/>
      <c r="E689" s="704"/>
      <c r="F689" s="703"/>
      <c r="G689" s="597"/>
      <c r="H689" s="453"/>
      <c r="I689" s="493"/>
      <c r="J689" s="597"/>
      <c r="K689" s="544"/>
      <c r="L689" s="544"/>
      <c r="M689" s="597"/>
      <c r="N689" s="597"/>
      <c r="O689" s="544"/>
      <c r="P689" s="544"/>
      <c r="Q689" s="544"/>
      <c r="R689" s="544"/>
      <c r="S689" s="477"/>
      <c r="T689" s="477"/>
    </row>
    <row r="690" ht="12.75" customHeight="1">
      <c r="A690" s="544"/>
      <c r="B690" s="544"/>
      <c r="C690" s="703"/>
      <c r="D690" s="597"/>
      <c r="E690" s="704"/>
      <c r="F690" s="703"/>
      <c r="G690" s="597"/>
      <c r="H690" s="453"/>
      <c r="I690" s="493"/>
      <c r="J690" s="597"/>
      <c r="K690" s="544"/>
      <c r="L690" s="544"/>
      <c r="M690" s="597"/>
      <c r="N690" s="597"/>
      <c r="O690" s="544"/>
      <c r="P690" s="544"/>
      <c r="Q690" s="544"/>
      <c r="R690" s="544"/>
      <c r="S690" s="477"/>
      <c r="T690" s="477"/>
    </row>
    <row r="691" ht="12.75" customHeight="1">
      <c r="A691" s="544"/>
      <c r="B691" s="544"/>
      <c r="C691" s="703"/>
      <c r="D691" s="597"/>
      <c r="E691" s="704"/>
      <c r="F691" s="703"/>
      <c r="G691" s="597"/>
      <c r="H691" s="453"/>
      <c r="I691" s="493"/>
      <c r="J691" s="597"/>
      <c r="K691" s="544"/>
      <c r="L691" s="544"/>
      <c r="M691" s="597"/>
      <c r="N691" s="597"/>
      <c r="O691" s="544"/>
      <c r="P691" s="544"/>
      <c r="Q691" s="544"/>
      <c r="R691" s="544"/>
      <c r="S691" s="477"/>
      <c r="T691" s="477"/>
    </row>
    <row r="692" ht="12.75" customHeight="1">
      <c r="A692" s="544"/>
      <c r="B692" s="544"/>
      <c r="C692" s="703"/>
      <c r="D692" s="597"/>
      <c r="E692" s="704"/>
      <c r="F692" s="703"/>
      <c r="G692" s="597"/>
      <c r="H692" s="453"/>
      <c r="I692" s="493"/>
      <c r="J692" s="597"/>
      <c r="K692" s="544"/>
      <c r="L692" s="544"/>
      <c r="M692" s="597"/>
      <c r="N692" s="597"/>
      <c r="O692" s="544"/>
      <c r="P692" s="544"/>
      <c r="Q692" s="544"/>
      <c r="R692" s="544"/>
      <c r="S692" s="477"/>
      <c r="T692" s="477"/>
    </row>
    <row r="693" ht="12.75" customHeight="1">
      <c r="A693" s="544"/>
      <c r="B693" s="544"/>
      <c r="C693" s="703"/>
      <c r="D693" s="597"/>
      <c r="E693" s="704"/>
      <c r="F693" s="703"/>
      <c r="G693" s="597"/>
      <c r="H693" s="453"/>
      <c r="I693" s="493"/>
      <c r="J693" s="597"/>
      <c r="K693" s="544"/>
      <c r="L693" s="544"/>
      <c r="M693" s="597"/>
      <c r="N693" s="597"/>
      <c r="O693" s="544"/>
      <c r="P693" s="544"/>
      <c r="Q693" s="544"/>
      <c r="R693" s="544"/>
      <c r="S693" s="477"/>
      <c r="T693" s="477"/>
    </row>
    <row r="694" ht="12.75" customHeight="1">
      <c r="A694" s="544"/>
      <c r="B694" s="544"/>
      <c r="C694" s="703"/>
      <c r="D694" s="597"/>
      <c r="E694" s="704"/>
      <c r="F694" s="703"/>
      <c r="G694" s="597"/>
      <c r="H694" s="453"/>
      <c r="I694" s="493"/>
      <c r="J694" s="597"/>
      <c r="K694" s="544"/>
      <c r="L694" s="544"/>
      <c r="M694" s="597"/>
      <c r="N694" s="597"/>
      <c r="O694" s="544"/>
      <c r="P694" s="544"/>
      <c r="Q694" s="544"/>
      <c r="R694" s="544"/>
      <c r="S694" s="477"/>
      <c r="T694" s="477"/>
    </row>
    <row r="695" ht="12.75" customHeight="1">
      <c r="A695" s="544"/>
      <c r="B695" s="544"/>
      <c r="C695" s="703"/>
      <c r="D695" s="597"/>
      <c r="E695" s="704"/>
      <c r="F695" s="703"/>
      <c r="G695" s="597"/>
      <c r="H695" s="453"/>
      <c r="I695" s="493"/>
      <c r="J695" s="597"/>
      <c r="K695" s="544"/>
      <c r="L695" s="544"/>
      <c r="M695" s="597"/>
      <c r="N695" s="597"/>
      <c r="O695" s="544"/>
      <c r="P695" s="544"/>
      <c r="Q695" s="544"/>
      <c r="R695" s="544"/>
      <c r="S695" s="477"/>
      <c r="T695" s="477"/>
    </row>
    <row r="696" ht="12.75" customHeight="1">
      <c r="A696" s="544"/>
      <c r="B696" s="544"/>
      <c r="C696" s="703"/>
      <c r="D696" s="597"/>
      <c r="E696" s="704"/>
      <c r="F696" s="703"/>
      <c r="G696" s="597"/>
      <c r="H696" s="453"/>
      <c r="I696" s="493"/>
      <c r="J696" s="597"/>
      <c r="K696" s="544"/>
      <c r="L696" s="544"/>
      <c r="M696" s="597"/>
      <c r="N696" s="597"/>
      <c r="O696" s="544"/>
      <c r="P696" s="544"/>
      <c r="Q696" s="544"/>
      <c r="R696" s="544"/>
      <c r="S696" s="477"/>
      <c r="T696" s="477"/>
    </row>
    <row r="697" ht="12.75" customHeight="1">
      <c r="A697" s="544"/>
      <c r="B697" s="544"/>
      <c r="C697" s="703"/>
      <c r="D697" s="597"/>
      <c r="E697" s="704"/>
      <c r="F697" s="703"/>
      <c r="G697" s="597"/>
      <c r="H697" s="453"/>
      <c r="I697" s="493"/>
      <c r="J697" s="597"/>
      <c r="K697" s="544"/>
      <c r="L697" s="544"/>
      <c r="M697" s="597"/>
      <c r="N697" s="597"/>
      <c r="O697" s="544"/>
      <c r="P697" s="544"/>
      <c r="Q697" s="544"/>
      <c r="R697" s="544"/>
      <c r="S697" s="477"/>
      <c r="T697" s="477"/>
    </row>
    <row r="698" ht="12.75" customHeight="1">
      <c r="A698" s="544"/>
      <c r="B698" s="544"/>
      <c r="C698" s="703"/>
      <c r="D698" s="597"/>
      <c r="E698" s="704"/>
      <c r="F698" s="703"/>
      <c r="G698" s="597"/>
      <c r="H698" s="453"/>
      <c r="I698" s="493"/>
      <c r="J698" s="597"/>
      <c r="K698" s="544"/>
      <c r="L698" s="544"/>
      <c r="M698" s="597"/>
      <c r="N698" s="597"/>
      <c r="O698" s="544"/>
      <c r="P698" s="544"/>
      <c r="Q698" s="544"/>
      <c r="R698" s="544"/>
      <c r="S698" s="477"/>
      <c r="T698" s="477"/>
    </row>
    <row r="699" ht="12.75" customHeight="1">
      <c r="A699" s="544"/>
      <c r="B699" s="544"/>
      <c r="C699" s="703"/>
      <c r="D699" s="597"/>
      <c r="E699" s="704"/>
      <c r="F699" s="703"/>
      <c r="G699" s="597"/>
      <c r="H699" s="453"/>
      <c r="I699" s="493"/>
      <c r="J699" s="597"/>
      <c r="K699" s="544"/>
      <c r="L699" s="544"/>
      <c r="M699" s="597"/>
      <c r="N699" s="597"/>
      <c r="O699" s="544"/>
      <c r="P699" s="544"/>
      <c r="Q699" s="544"/>
      <c r="R699" s="544"/>
      <c r="S699" s="477"/>
      <c r="T699" s="477"/>
    </row>
    <row r="700" ht="12.75" customHeight="1">
      <c r="A700" s="544"/>
      <c r="B700" s="544"/>
      <c r="C700" s="703"/>
      <c r="D700" s="597"/>
      <c r="E700" s="704"/>
      <c r="F700" s="703"/>
      <c r="G700" s="597"/>
      <c r="H700" s="453"/>
      <c r="I700" s="493"/>
      <c r="J700" s="597"/>
      <c r="K700" s="544"/>
      <c r="L700" s="544"/>
      <c r="M700" s="597"/>
      <c r="N700" s="597"/>
      <c r="O700" s="544"/>
      <c r="P700" s="544"/>
      <c r="Q700" s="544"/>
      <c r="R700" s="544"/>
      <c r="S700" s="477"/>
      <c r="T700" s="477"/>
    </row>
    <row r="701" ht="12.75" customHeight="1">
      <c r="A701" s="544"/>
      <c r="B701" s="544"/>
      <c r="C701" s="703"/>
      <c r="D701" s="597"/>
      <c r="E701" s="704"/>
      <c r="F701" s="703"/>
      <c r="G701" s="597"/>
      <c r="H701" s="453"/>
      <c r="I701" s="493"/>
      <c r="J701" s="597"/>
      <c r="K701" s="544"/>
      <c r="L701" s="544"/>
      <c r="M701" s="597"/>
      <c r="N701" s="597"/>
      <c r="O701" s="544"/>
      <c r="P701" s="544"/>
      <c r="Q701" s="544"/>
      <c r="R701" s="544"/>
      <c r="S701" s="477"/>
      <c r="T701" s="477"/>
    </row>
    <row r="702" ht="12.75" customHeight="1">
      <c r="A702" s="544"/>
      <c r="B702" s="544"/>
      <c r="C702" s="703"/>
      <c r="D702" s="597"/>
      <c r="E702" s="704"/>
      <c r="F702" s="703"/>
      <c r="G702" s="597"/>
      <c r="H702" s="453"/>
      <c r="I702" s="493"/>
      <c r="J702" s="597"/>
      <c r="K702" s="544"/>
      <c r="L702" s="544"/>
      <c r="M702" s="597"/>
      <c r="N702" s="597"/>
      <c r="O702" s="544"/>
      <c r="P702" s="544"/>
      <c r="Q702" s="544"/>
      <c r="R702" s="544"/>
      <c r="S702" s="477"/>
      <c r="T702" s="477"/>
    </row>
    <row r="703" ht="12.75" customHeight="1">
      <c r="A703" s="544"/>
      <c r="B703" s="544"/>
      <c r="C703" s="703"/>
      <c r="D703" s="597"/>
      <c r="E703" s="704"/>
      <c r="F703" s="703"/>
      <c r="G703" s="597"/>
      <c r="H703" s="453"/>
      <c r="I703" s="493"/>
      <c r="J703" s="597"/>
      <c r="K703" s="544"/>
      <c r="L703" s="544"/>
      <c r="M703" s="597"/>
      <c r="N703" s="597"/>
      <c r="O703" s="544"/>
      <c r="P703" s="544"/>
      <c r="Q703" s="544"/>
      <c r="R703" s="544"/>
      <c r="S703" s="477"/>
      <c r="T703" s="477"/>
    </row>
    <row r="704" ht="12.75" customHeight="1">
      <c r="A704" s="544"/>
      <c r="B704" s="544"/>
      <c r="C704" s="703"/>
      <c r="D704" s="597"/>
      <c r="E704" s="704"/>
      <c r="F704" s="703"/>
      <c r="G704" s="597"/>
      <c r="H704" s="453"/>
      <c r="I704" s="493"/>
      <c r="J704" s="597"/>
      <c r="K704" s="544"/>
      <c r="L704" s="544"/>
      <c r="M704" s="597"/>
      <c r="N704" s="597"/>
      <c r="O704" s="544"/>
      <c r="P704" s="544"/>
      <c r="Q704" s="544"/>
      <c r="R704" s="544"/>
      <c r="S704" s="477"/>
      <c r="T704" s="477"/>
    </row>
    <row r="705" ht="12.75" customHeight="1">
      <c r="A705" s="544"/>
      <c r="B705" s="544"/>
      <c r="C705" s="703"/>
      <c r="D705" s="597"/>
      <c r="E705" s="704"/>
      <c r="F705" s="703"/>
      <c r="G705" s="597"/>
      <c r="H705" s="453"/>
      <c r="I705" s="493"/>
      <c r="J705" s="597"/>
      <c r="K705" s="544"/>
      <c r="L705" s="544"/>
      <c r="M705" s="597"/>
      <c r="N705" s="597"/>
      <c r="O705" s="544"/>
      <c r="P705" s="544"/>
      <c r="Q705" s="544"/>
      <c r="R705" s="544"/>
      <c r="S705" s="477"/>
      <c r="T705" s="477"/>
    </row>
    <row r="706" ht="12.75" customHeight="1">
      <c r="A706" s="544"/>
      <c r="B706" s="544"/>
      <c r="C706" s="703"/>
      <c r="D706" s="597"/>
      <c r="E706" s="704"/>
      <c r="F706" s="703"/>
      <c r="G706" s="597"/>
      <c r="H706" s="453"/>
      <c r="I706" s="493"/>
      <c r="J706" s="597"/>
      <c r="K706" s="544"/>
      <c r="L706" s="544"/>
      <c r="M706" s="597"/>
      <c r="N706" s="597"/>
      <c r="O706" s="544"/>
      <c r="P706" s="544"/>
      <c r="Q706" s="544"/>
      <c r="R706" s="544"/>
      <c r="S706" s="477"/>
      <c r="T706" s="477"/>
    </row>
    <row r="707" ht="12.75" customHeight="1">
      <c r="A707" s="544"/>
      <c r="B707" s="544"/>
      <c r="C707" s="703"/>
      <c r="D707" s="597"/>
      <c r="E707" s="704"/>
      <c r="F707" s="703"/>
      <c r="G707" s="597"/>
      <c r="H707" s="453"/>
      <c r="I707" s="493"/>
      <c r="J707" s="597"/>
      <c r="K707" s="544"/>
      <c r="L707" s="544"/>
      <c r="M707" s="597"/>
      <c r="N707" s="597"/>
      <c r="O707" s="544"/>
      <c r="P707" s="544"/>
      <c r="Q707" s="544"/>
      <c r="R707" s="544"/>
      <c r="S707" s="477"/>
      <c r="T707" s="477"/>
    </row>
    <row r="708" ht="12.75" customHeight="1">
      <c r="A708" s="544"/>
      <c r="B708" s="544"/>
      <c r="C708" s="703"/>
      <c r="D708" s="597"/>
      <c r="E708" s="704"/>
      <c r="F708" s="703"/>
      <c r="G708" s="597"/>
      <c r="H708" s="453"/>
      <c r="I708" s="493"/>
      <c r="J708" s="597"/>
      <c r="K708" s="544"/>
      <c r="L708" s="544"/>
      <c r="M708" s="597"/>
      <c r="N708" s="597"/>
      <c r="O708" s="544"/>
      <c r="P708" s="544"/>
      <c r="Q708" s="544"/>
      <c r="R708" s="544"/>
      <c r="S708" s="477"/>
      <c r="T708" s="477"/>
    </row>
    <row r="709" ht="12.75" customHeight="1">
      <c r="A709" s="544"/>
      <c r="B709" s="544"/>
      <c r="C709" s="703"/>
      <c r="D709" s="597"/>
      <c r="E709" s="704"/>
      <c r="F709" s="703"/>
      <c r="G709" s="597"/>
      <c r="H709" s="453"/>
      <c r="I709" s="493"/>
      <c r="J709" s="597"/>
      <c r="K709" s="544"/>
      <c r="L709" s="544"/>
      <c r="M709" s="597"/>
      <c r="N709" s="597"/>
      <c r="O709" s="544"/>
      <c r="P709" s="544"/>
      <c r="Q709" s="544"/>
      <c r="R709" s="544"/>
      <c r="S709" s="477"/>
      <c r="T709" s="477"/>
    </row>
    <row r="710" ht="12.75" customHeight="1">
      <c r="A710" s="544"/>
      <c r="B710" s="544"/>
      <c r="C710" s="703"/>
      <c r="D710" s="597"/>
      <c r="E710" s="704"/>
      <c r="F710" s="703"/>
      <c r="G710" s="597"/>
      <c r="H710" s="453"/>
      <c r="I710" s="493"/>
      <c r="J710" s="597"/>
      <c r="K710" s="544"/>
      <c r="L710" s="544"/>
      <c r="M710" s="597"/>
      <c r="N710" s="597"/>
      <c r="O710" s="544"/>
      <c r="P710" s="544"/>
      <c r="Q710" s="544"/>
      <c r="R710" s="544"/>
      <c r="S710" s="477"/>
      <c r="T710" s="477"/>
    </row>
    <row r="711" ht="12.75" customHeight="1">
      <c r="A711" s="544"/>
      <c r="B711" s="544"/>
      <c r="C711" s="703"/>
      <c r="D711" s="597"/>
      <c r="E711" s="704"/>
      <c r="F711" s="703"/>
      <c r="G711" s="597"/>
      <c r="H711" s="453"/>
      <c r="I711" s="493"/>
      <c r="J711" s="597"/>
      <c r="K711" s="544"/>
      <c r="L711" s="544"/>
      <c r="M711" s="597"/>
      <c r="N711" s="597"/>
      <c r="O711" s="544"/>
      <c r="P711" s="544"/>
      <c r="Q711" s="544"/>
      <c r="R711" s="544"/>
      <c r="S711" s="477"/>
      <c r="T711" s="477"/>
    </row>
    <row r="712" ht="12.75" customHeight="1">
      <c r="A712" s="544"/>
      <c r="B712" s="544"/>
      <c r="C712" s="703"/>
      <c r="D712" s="597"/>
      <c r="E712" s="704"/>
      <c r="F712" s="703"/>
      <c r="G712" s="597"/>
      <c r="H712" s="453"/>
      <c r="I712" s="493"/>
      <c r="J712" s="597"/>
      <c r="K712" s="544"/>
      <c r="L712" s="544"/>
      <c r="M712" s="597"/>
      <c r="N712" s="597"/>
      <c r="O712" s="544"/>
      <c r="P712" s="544"/>
      <c r="Q712" s="544"/>
      <c r="R712" s="544"/>
      <c r="S712" s="477"/>
      <c r="T712" s="477"/>
    </row>
    <row r="713" ht="12.75" customHeight="1">
      <c r="A713" s="544"/>
      <c r="B713" s="544"/>
      <c r="C713" s="703"/>
      <c r="D713" s="597"/>
      <c r="E713" s="704"/>
      <c r="F713" s="703"/>
      <c r="G713" s="597"/>
      <c r="H713" s="453"/>
      <c r="I713" s="493"/>
      <c r="J713" s="597"/>
      <c r="K713" s="544"/>
      <c r="L713" s="544"/>
      <c r="M713" s="597"/>
      <c r="N713" s="597"/>
      <c r="O713" s="544"/>
      <c r="P713" s="544"/>
      <c r="Q713" s="544"/>
      <c r="R713" s="544"/>
      <c r="S713" s="477"/>
      <c r="T713" s="477"/>
    </row>
    <row r="714" ht="12.75" customHeight="1">
      <c r="A714" s="544"/>
      <c r="B714" s="544"/>
      <c r="C714" s="703"/>
      <c r="D714" s="597"/>
      <c r="E714" s="704"/>
      <c r="F714" s="703"/>
      <c r="G714" s="597"/>
      <c r="H714" s="453"/>
      <c r="I714" s="493"/>
      <c r="J714" s="597"/>
      <c r="K714" s="544"/>
      <c r="L714" s="544"/>
      <c r="M714" s="597"/>
      <c r="N714" s="597"/>
      <c r="O714" s="544"/>
      <c r="P714" s="544"/>
      <c r="Q714" s="544"/>
      <c r="R714" s="544"/>
      <c r="S714" s="477"/>
      <c r="T714" s="477"/>
    </row>
    <row r="715" ht="12.75" customHeight="1">
      <c r="A715" s="544"/>
      <c r="B715" s="544"/>
      <c r="C715" s="703"/>
      <c r="D715" s="597"/>
      <c r="E715" s="704"/>
      <c r="F715" s="703"/>
      <c r="G715" s="597"/>
      <c r="H715" s="453"/>
      <c r="I715" s="493"/>
      <c r="J715" s="597"/>
      <c r="K715" s="544"/>
      <c r="L715" s="544"/>
      <c r="M715" s="597"/>
      <c r="N715" s="597"/>
      <c r="O715" s="544"/>
      <c r="P715" s="544"/>
      <c r="Q715" s="544"/>
      <c r="R715" s="544"/>
      <c r="S715" s="477"/>
      <c r="T715" s="477"/>
    </row>
    <row r="716" ht="12.75" customHeight="1">
      <c r="A716" s="544"/>
      <c r="B716" s="544"/>
      <c r="C716" s="703"/>
      <c r="D716" s="597"/>
      <c r="E716" s="704"/>
      <c r="F716" s="703"/>
      <c r="G716" s="597"/>
      <c r="H716" s="453"/>
      <c r="I716" s="493"/>
      <c r="J716" s="597"/>
      <c r="K716" s="544"/>
      <c r="L716" s="544"/>
      <c r="M716" s="597"/>
      <c r="N716" s="597"/>
      <c r="O716" s="544"/>
      <c r="P716" s="544"/>
      <c r="Q716" s="544"/>
      <c r="R716" s="544"/>
      <c r="S716" s="477"/>
      <c r="T716" s="477"/>
    </row>
    <row r="717" ht="12.75" customHeight="1">
      <c r="A717" s="544"/>
      <c r="B717" s="544"/>
      <c r="C717" s="703"/>
      <c r="D717" s="597"/>
      <c r="E717" s="704"/>
      <c r="F717" s="703"/>
      <c r="G717" s="597"/>
      <c r="H717" s="453"/>
      <c r="I717" s="493"/>
      <c r="J717" s="597"/>
      <c r="K717" s="544"/>
      <c r="L717" s="544"/>
      <c r="M717" s="597"/>
      <c r="N717" s="597"/>
      <c r="O717" s="544"/>
      <c r="P717" s="544"/>
      <c r="Q717" s="544"/>
      <c r="R717" s="544"/>
      <c r="S717" s="477"/>
      <c r="T717" s="477"/>
    </row>
    <row r="718" ht="12.75" customHeight="1">
      <c r="A718" s="544"/>
      <c r="B718" s="544"/>
      <c r="C718" s="703"/>
      <c r="D718" s="597"/>
      <c r="E718" s="704"/>
      <c r="F718" s="703"/>
      <c r="G718" s="597"/>
      <c r="H718" s="453"/>
      <c r="I718" s="493"/>
      <c r="J718" s="597"/>
      <c r="K718" s="544"/>
      <c r="L718" s="544"/>
      <c r="M718" s="597"/>
      <c r="N718" s="597"/>
      <c r="O718" s="544"/>
      <c r="P718" s="544"/>
      <c r="Q718" s="544"/>
      <c r="R718" s="544"/>
      <c r="S718" s="477"/>
      <c r="T718" s="477"/>
    </row>
    <row r="719" ht="12.75" customHeight="1">
      <c r="A719" s="544"/>
      <c r="B719" s="544"/>
      <c r="C719" s="703"/>
      <c r="D719" s="597"/>
      <c r="E719" s="704"/>
      <c r="F719" s="703"/>
      <c r="G719" s="597"/>
      <c r="H719" s="453"/>
      <c r="I719" s="493"/>
      <c r="J719" s="597"/>
      <c r="K719" s="544"/>
      <c r="L719" s="544"/>
      <c r="M719" s="597"/>
      <c r="N719" s="597"/>
      <c r="O719" s="544"/>
      <c r="P719" s="544"/>
      <c r="Q719" s="544"/>
      <c r="R719" s="544"/>
      <c r="S719" s="477"/>
      <c r="T719" s="477"/>
    </row>
    <row r="720" ht="12.75" customHeight="1">
      <c r="A720" s="544"/>
      <c r="B720" s="544"/>
      <c r="C720" s="703"/>
      <c r="D720" s="597"/>
      <c r="E720" s="704"/>
      <c r="F720" s="703"/>
      <c r="G720" s="597"/>
      <c r="H720" s="453"/>
      <c r="I720" s="493"/>
      <c r="J720" s="597"/>
      <c r="K720" s="544"/>
      <c r="L720" s="544"/>
      <c r="M720" s="597"/>
      <c r="N720" s="597"/>
      <c r="O720" s="544"/>
      <c r="P720" s="544"/>
      <c r="Q720" s="544"/>
      <c r="R720" s="544"/>
      <c r="S720" s="477"/>
      <c r="T720" s="477"/>
    </row>
    <row r="721" ht="12.75" customHeight="1">
      <c r="A721" s="544"/>
      <c r="B721" s="544"/>
      <c r="C721" s="703"/>
      <c r="D721" s="597"/>
      <c r="E721" s="704"/>
      <c r="F721" s="703"/>
      <c r="G721" s="597"/>
      <c r="H721" s="453"/>
      <c r="I721" s="493"/>
      <c r="J721" s="597"/>
      <c r="K721" s="544"/>
      <c r="L721" s="544"/>
      <c r="M721" s="597"/>
      <c r="N721" s="597"/>
      <c r="O721" s="544"/>
      <c r="P721" s="544"/>
      <c r="Q721" s="544"/>
      <c r="R721" s="544"/>
      <c r="S721" s="477"/>
      <c r="T721" s="477"/>
    </row>
    <row r="722" ht="12.75" customHeight="1">
      <c r="A722" s="544"/>
      <c r="B722" s="544"/>
      <c r="C722" s="703"/>
      <c r="D722" s="597"/>
      <c r="E722" s="704"/>
      <c r="F722" s="703"/>
      <c r="G722" s="597"/>
      <c r="H722" s="453"/>
      <c r="I722" s="493"/>
      <c r="J722" s="597"/>
      <c r="K722" s="544"/>
      <c r="L722" s="544"/>
      <c r="M722" s="597"/>
      <c r="N722" s="597"/>
      <c r="O722" s="544"/>
      <c r="P722" s="544"/>
      <c r="Q722" s="544"/>
      <c r="R722" s="544"/>
      <c r="S722" s="477"/>
      <c r="T722" s="477"/>
    </row>
    <row r="723" ht="12.75" customHeight="1">
      <c r="A723" s="544"/>
      <c r="B723" s="544"/>
      <c r="C723" s="703"/>
      <c r="D723" s="597"/>
      <c r="E723" s="704"/>
      <c r="F723" s="703"/>
      <c r="G723" s="597"/>
      <c r="H723" s="453"/>
      <c r="I723" s="493"/>
      <c r="J723" s="597"/>
      <c r="K723" s="544"/>
      <c r="L723" s="544"/>
      <c r="M723" s="597"/>
      <c r="N723" s="597"/>
      <c r="O723" s="544"/>
      <c r="P723" s="544"/>
      <c r="Q723" s="544"/>
      <c r="R723" s="544"/>
      <c r="S723" s="477"/>
      <c r="T723" s="477"/>
    </row>
    <row r="724" ht="12.75" customHeight="1">
      <c r="A724" s="544"/>
      <c r="B724" s="544"/>
      <c r="C724" s="703"/>
      <c r="D724" s="597"/>
      <c r="E724" s="704"/>
      <c r="F724" s="703"/>
      <c r="G724" s="597"/>
      <c r="H724" s="453"/>
      <c r="I724" s="493"/>
      <c r="J724" s="597"/>
      <c r="K724" s="544"/>
      <c r="L724" s="544"/>
      <c r="M724" s="597"/>
      <c r="N724" s="597"/>
      <c r="O724" s="544"/>
      <c r="P724" s="544"/>
      <c r="Q724" s="544"/>
      <c r="R724" s="544"/>
      <c r="S724" s="477"/>
      <c r="T724" s="477"/>
    </row>
    <row r="725" ht="12.75" customHeight="1">
      <c r="A725" s="544"/>
      <c r="B725" s="544"/>
      <c r="C725" s="703"/>
      <c r="D725" s="597"/>
      <c r="E725" s="704"/>
      <c r="F725" s="703"/>
      <c r="G725" s="597"/>
      <c r="H725" s="453"/>
      <c r="I725" s="493"/>
      <c r="J725" s="597"/>
      <c r="K725" s="544"/>
      <c r="L725" s="544"/>
      <c r="M725" s="597"/>
      <c r="N725" s="597"/>
      <c r="O725" s="544"/>
      <c r="P725" s="544"/>
      <c r="Q725" s="544"/>
      <c r="R725" s="544"/>
      <c r="S725" s="477"/>
      <c r="T725" s="477"/>
    </row>
    <row r="726" ht="12.75" customHeight="1">
      <c r="A726" s="544"/>
      <c r="B726" s="544"/>
      <c r="C726" s="703"/>
      <c r="D726" s="597"/>
      <c r="E726" s="704"/>
      <c r="F726" s="703"/>
      <c r="G726" s="597"/>
      <c r="H726" s="453"/>
      <c r="I726" s="493"/>
      <c r="J726" s="597"/>
      <c r="K726" s="544"/>
      <c r="L726" s="544"/>
      <c r="M726" s="597"/>
      <c r="N726" s="597"/>
      <c r="O726" s="544"/>
      <c r="P726" s="544"/>
      <c r="Q726" s="544"/>
      <c r="R726" s="544"/>
      <c r="S726" s="477"/>
      <c r="T726" s="477"/>
    </row>
    <row r="727" ht="12.75" customHeight="1">
      <c r="A727" s="544"/>
      <c r="B727" s="544"/>
      <c r="C727" s="703"/>
      <c r="D727" s="597"/>
      <c r="E727" s="704"/>
      <c r="F727" s="703"/>
      <c r="G727" s="597"/>
      <c r="H727" s="453"/>
      <c r="I727" s="493"/>
      <c r="J727" s="597"/>
      <c r="K727" s="544"/>
      <c r="L727" s="544"/>
      <c r="M727" s="597"/>
      <c r="N727" s="597"/>
      <c r="O727" s="544"/>
      <c r="P727" s="544"/>
      <c r="Q727" s="544"/>
      <c r="R727" s="544"/>
      <c r="S727" s="477"/>
      <c r="T727" s="477"/>
    </row>
    <row r="728" ht="12.75" customHeight="1">
      <c r="A728" s="544"/>
      <c r="B728" s="544"/>
      <c r="C728" s="703"/>
      <c r="D728" s="597"/>
      <c r="E728" s="704"/>
      <c r="F728" s="703"/>
      <c r="G728" s="597"/>
      <c r="H728" s="453"/>
      <c r="I728" s="493"/>
      <c r="J728" s="597"/>
      <c r="K728" s="544"/>
      <c r="L728" s="544"/>
      <c r="M728" s="597"/>
      <c r="N728" s="597"/>
      <c r="O728" s="544"/>
      <c r="P728" s="544"/>
      <c r="Q728" s="544"/>
      <c r="R728" s="544"/>
      <c r="S728" s="477"/>
      <c r="T728" s="477"/>
    </row>
    <row r="729" ht="12.75" customHeight="1">
      <c r="A729" s="544"/>
      <c r="B729" s="544"/>
      <c r="C729" s="703"/>
      <c r="D729" s="597"/>
      <c r="E729" s="704"/>
      <c r="F729" s="703"/>
      <c r="G729" s="597"/>
      <c r="H729" s="453"/>
      <c r="I729" s="493"/>
      <c r="J729" s="597"/>
      <c r="K729" s="544"/>
      <c r="L729" s="544"/>
      <c r="M729" s="597"/>
      <c r="N729" s="597"/>
      <c r="O729" s="544"/>
      <c r="P729" s="544"/>
      <c r="Q729" s="544"/>
      <c r="R729" s="544"/>
      <c r="S729" s="477"/>
      <c r="T729" s="477"/>
    </row>
    <row r="730" ht="12.75" customHeight="1">
      <c r="A730" s="544"/>
      <c r="B730" s="544"/>
      <c r="C730" s="703"/>
      <c r="D730" s="597"/>
      <c r="E730" s="704"/>
      <c r="F730" s="703"/>
      <c r="G730" s="597"/>
      <c r="H730" s="453"/>
      <c r="I730" s="493"/>
      <c r="J730" s="597"/>
      <c r="K730" s="544"/>
      <c r="L730" s="544"/>
      <c r="M730" s="597"/>
      <c r="N730" s="597"/>
      <c r="O730" s="544"/>
      <c r="P730" s="544"/>
      <c r="Q730" s="544"/>
      <c r="R730" s="544"/>
      <c r="S730" s="477"/>
      <c r="T730" s="477"/>
    </row>
    <row r="731" ht="12.75" customHeight="1">
      <c r="A731" s="544"/>
      <c r="B731" s="544"/>
      <c r="C731" s="703"/>
      <c r="D731" s="597"/>
      <c r="E731" s="704"/>
      <c r="F731" s="703"/>
      <c r="G731" s="597"/>
      <c r="H731" s="453"/>
      <c r="I731" s="493"/>
      <c r="J731" s="597"/>
      <c r="K731" s="544"/>
      <c r="L731" s="544"/>
      <c r="M731" s="597"/>
      <c r="N731" s="597"/>
      <c r="O731" s="544"/>
      <c r="P731" s="544"/>
      <c r="Q731" s="544"/>
      <c r="R731" s="544"/>
      <c r="S731" s="477"/>
      <c r="T731" s="477"/>
    </row>
    <row r="732" ht="12.75" customHeight="1">
      <c r="A732" s="544"/>
      <c r="B732" s="544"/>
      <c r="C732" s="703"/>
      <c r="D732" s="597"/>
      <c r="E732" s="704"/>
      <c r="F732" s="703"/>
      <c r="G732" s="597"/>
      <c r="H732" s="453"/>
      <c r="I732" s="493"/>
      <c r="J732" s="597"/>
      <c r="K732" s="544"/>
      <c r="L732" s="544"/>
      <c r="M732" s="597"/>
      <c r="N732" s="597"/>
      <c r="O732" s="544"/>
      <c r="P732" s="544"/>
      <c r="Q732" s="544"/>
      <c r="R732" s="544"/>
      <c r="S732" s="477"/>
      <c r="T732" s="477"/>
    </row>
    <row r="733" ht="12.75" customHeight="1">
      <c r="A733" s="544"/>
      <c r="B733" s="544"/>
      <c r="C733" s="703"/>
      <c r="D733" s="597"/>
      <c r="E733" s="704"/>
      <c r="F733" s="703"/>
      <c r="G733" s="597"/>
      <c r="H733" s="453"/>
      <c r="I733" s="493"/>
      <c r="J733" s="597"/>
      <c r="K733" s="544"/>
      <c r="L733" s="544"/>
      <c r="M733" s="597"/>
      <c r="N733" s="597"/>
      <c r="O733" s="544"/>
      <c r="P733" s="544"/>
      <c r="Q733" s="544"/>
      <c r="R733" s="544"/>
      <c r="S733" s="477"/>
      <c r="T733" s="477"/>
    </row>
    <row r="734" ht="12.75" customHeight="1">
      <c r="A734" s="544"/>
      <c r="B734" s="544"/>
      <c r="C734" s="703"/>
      <c r="D734" s="597"/>
      <c r="E734" s="704"/>
      <c r="F734" s="703"/>
      <c r="G734" s="597"/>
      <c r="H734" s="453"/>
      <c r="I734" s="493"/>
      <c r="J734" s="597"/>
      <c r="K734" s="544"/>
      <c r="L734" s="544"/>
      <c r="M734" s="597"/>
      <c r="N734" s="597"/>
      <c r="O734" s="544"/>
      <c r="P734" s="544"/>
      <c r="Q734" s="544"/>
      <c r="R734" s="544"/>
      <c r="S734" s="477"/>
      <c r="T734" s="477"/>
    </row>
    <row r="735" ht="12.75" customHeight="1">
      <c r="A735" s="544"/>
      <c r="B735" s="544"/>
      <c r="C735" s="703"/>
      <c r="D735" s="597"/>
      <c r="E735" s="704"/>
      <c r="F735" s="703"/>
      <c r="G735" s="597"/>
      <c r="H735" s="453"/>
      <c r="I735" s="493"/>
      <c r="J735" s="597"/>
      <c r="K735" s="544"/>
      <c r="L735" s="544"/>
      <c r="M735" s="597"/>
      <c r="N735" s="597"/>
      <c r="O735" s="544"/>
      <c r="P735" s="544"/>
      <c r="Q735" s="544"/>
      <c r="R735" s="544"/>
      <c r="S735" s="477"/>
      <c r="T735" s="477"/>
    </row>
    <row r="736" ht="12.75" customHeight="1">
      <c r="A736" s="544"/>
      <c r="B736" s="544"/>
      <c r="C736" s="703"/>
      <c r="D736" s="597"/>
      <c r="E736" s="704"/>
      <c r="F736" s="703"/>
      <c r="G736" s="597"/>
      <c r="H736" s="453"/>
      <c r="I736" s="493"/>
      <c r="J736" s="597"/>
      <c r="K736" s="544"/>
      <c r="L736" s="544"/>
      <c r="M736" s="597"/>
      <c r="N736" s="597"/>
      <c r="O736" s="544"/>
      <c r="P736" s="544"/>
      <c r="Q736" s="544"/>
      <c r="R736" s="544"/>
      <c r="S736" s="477"/>
      <c r="T736" s="477"/>
    </row>
    <row r="737" ht="12.75" customHeight="1">
      <c r="A737" s="544"/>
      <c r="B737" s="544"/>
      <c r="C737" s="703"/>
      <c r="D737" s="597"/>
      <c r="E737" s="704"/>
      <c r="F737" s="703"/>
      <c r="G737" s="597"/>
      <c r="H737" s="453"/>
      <c r="I737" s="493"/>
      <c r="J737" s="597"/>
      <c r="K737" s="544"/>
      <c r="L737" s="544"/>
      <c r="M737" s="597"/>
      <c r="N737" s="597"/>
      <c r="O737" s="544"/>
      <c r="P737" s="544"/>
      <c r="Q737" s="544"/>
      <c r="R737" s="544"/>
      <c r="S737" s="477"/>
      <c r="T737" s="477"/>
    </row>
    <row r="738" ht="12.75" customHeight="1">
      <c r="A738" s="544"/>
      <c r="B738" s="544"/>
      <c r="C738" s="703"/>
      <c r="D738" s="597"/>
      <c r="E738" s="704"/>
      <c r="F738" s="703"/>
      <c r="G738" s="597"/>
      <c r="H738" s="453"/>
      <c r="I738" s="493"/>
      <c r="J738" s="597"/>
      <c r="K738" s="544"/>
      <c r="L738" s="544"/>
      <c r="M738" s="597"/>
      <c r="N738" s="597"/>
      <c r="O738" s="544"/>
      <c r="P738" s="544"/>
      <c r="Q738" s="544"/>
      <c r="R738" s="544"/>
      <c r="S738" s="477"/>
      <c r="T738" s="477"/>
    </row>
    <row r="739" ht="12.75" customHeight="1">
      <c r="A739" s="544"/>
      <c r="B739" s="544"/>
      <c r="C739" s="703"/>
      <c r="D739" s="597"/>
      <c r="E739" s="704"/>
      <c r="F739" s="703"/>
      <c r="G739" s="597"/>
      <c r="H739" s="453"/>
      <c r="I739" s="493"/>
      <c r="J739" s="597"/>
      <c r="K739" s="544"/>
      <c r="L739" s="544"/>
      <c r="M739" s="597"/>
      <c r="N739" s="597"/>
      <c r="O739" s="544"/>
      <c r="P739" s="544"/>
      <c r="Q739" s="544"/>
      <c r="R739" s="544"/>
      <c r="S739" s="477"/>
      <c r="T739" s="477"/>
    </row>
    <row r="740" ht="12.75" customHeight="1">
      <c r="A740" s="544"/>
      <c r="B740" s="544"/>
      <c r="C740" s="703"/>
      <c r="D740" s="597"/>
      <c r="E740" s="704"/>
      <c r="F740" s="703"/>
      <c r="G740" s="597"/>
      <c r="H740" s="453"/>
      <c r="I740" s="493"/>
      <c r="J740" s="597"/>
      <c r="K740" s="544"/>
      <c r="L740" s="544"/>
      <c r="M740" s="597"/>
      <c r="N740" s="597"/>
      <c r="O740" s="544"/>
      <c r="P740" s="544"/>
      <c r="Q740" s="544"/>
      <c r="R740" s="544"/>
      <c r="S740" s="477"/>
      <c r="T740" s="477"/>
    </row>
    <row r="741" ht="12.75" customHeight="1">
      <c r="A741" s="544"/>
      <c r="B741" s="544"/>
      <c r="C741" s="703"/>
      <c r="D741" s="597"/>
      <c r="E741" s="704"/>
      <c r="F741" s="703"/>
      <c r="G741" s="597"/>
      <c r="H741" s="453"/>
      <c r="I741" s="493"/>
      <c r="J741" s="597"/>
      <c r="K741" s="544"/>
      <c r="L741" s="544"/>
      <c r="M741" s="597"/>
      <c r="N741" s="597"/>
      <c r="O741" s="544"/>
      <c r="P741" s="544"/>
      <c r="Q741" s="544"/>
      <c r="R741" s="544"/>
      <c r="S741" s="477"/>
      <c r="T741" s="477"/>
    </row>
    <row r="742" ht="12.75" customHeight="1">
      <c r="A742" s="544"/>
      <c r="B742" s="544"/>
      <c r="C742" s="703"/>
      <c r="D742" s="597"/>
      <c r="E742" s="704"/>
      <c r="F742" s="703"/>
      <c r="G742" s="597"/>
      <c r="H742" s="453"/>
      <c r="I742" s="493"/>
      <c r="J742" s="597"/>
      <c r="K742" s="544"/>
      <c r="L742" s="544"/>
      <c r="M742" s="597"/>
      <c r="N742" s="597"/>
      <c r="O742" s="544"/>
      <c r="P742" s="544"/>
      <c r="Q742" s="544"/>
      <c r="R742" s="544"/>
      <c r="S742" s="477"/>
      <c r="T742" s="477"/>
    </row>
    <row r="743" ht="12.75" customHeight="1">
      <c r="A743" s="544"/>
      <c r="B743" s="544"/>
      <c r="C743" s="703"/>
      <c r="D743" s="597"/>
      <c r="E743" s="704"/>
      <c r="F743" s="703"/>
      <c r="G743" s="597"/>
      <c r="H743" s="453"/>
      <c r="I743" s="493"/>
      <c r="J743" s="597"/>
      <c r="K743" s="544"/>
      <c r="L743" s="544"/>
      <c r="M743" s="597"/>
      <c r="N743" s="597"/>
      <c r="O743" s="544"/>
      <c r="P743" s="544"/>
      <c r="Q743" s="544"/>
      <c r="R743" s="544"/>
      <c r="S743" s="477"/>
      <c r="T743" s="477"/>
    </row>
    <row r="744" ht="12.75" customHeight="1">
      <c r="A744" s="544"/>
      <c r="B744" s="544"/>
      <c r="C744" s="703"/>
      <c r="D744" s="597"/>
      <c r="E744" s="704"/>
      <c r="F744" s="703"/>
      <c r="G744" s="597"/>
      <c r="H744" s="453"/>
      <c r="I744" s="493"/>
      <c r="J744" s="597"/>
      <c r="K744" s="544"/>
      <c r="L744" s="544"/>
      <c r="M744" s="597"/>
      <c r="N744" s="597"/>
      <c r="O744" s="544"/>
      <c r="P744" s="544"/>
      <c r="Q744" s="544"/>
      <c r="R744" s="544"/>
      <c r="S744" s="477"/>
      <c r="T744" s="477"/>
    </row>
    <row r="745" ht="12.75" customHeight="1">
      <c r="A745" s="544"/>
      <c r="B745" s="544"/>
      <c r="C745" s="703"/>
      <c r="D745" s="597"/>
      <c r="E745" s="704"/>
      <c r="F745" s="703"/>
      <c r="G745" s="597"/>
      <c r="H745" s="453"/>
      <c r="I745" s="493"/>
      <c r="J745" s="597"/>
      <c r="K745" s="544"/>
      <c r="L745" s="544"/>
      <c r="M745" s="597"/>
      <c r="N745" s="597"/>
      <c r="O745" s="544"/>
      <c r="P745" s="544"/>
      <c r="Q745" s="544"/>
      <c r="R745" s="544"/>
      <c r="S745" s="477"/>
      <c r="T745" s="477"/>
    </row>
    <row r="746" ht="12.75" customHeight="1">
      <c r="A746" s="544"/>
      <c r="B746" s="544"/>
      <c r="C746" s="703"/>
      <c r="D746" s="597"/>
      <c r="E746" s="704"/>
      <c r="F746" s="703"/>
      <c r="G746" s="597"/>
      <c r="H746" s="453"/>
      <c r="I746" s="493"/>
      <c r="J746" s="597"/>
      <c r="K746" s="544"/>
      <c r="L746" s="544"/>
      <c r="M746" s="597"/>
      <c r="N746" s="597"/>
      <c r="O746" s="544"/>
      <c r="P746" s="544"/>
      <c r="Q746" s="544"/>
      <c r="R746" s="544"/>
      <c r="S746" s="477"/>
      <c r="T746" s="477"/>
    </row>
    <row r="747" ht="12.75" customHeight="1">
      <c r="A747" s="544"/>
      <c r="B747" s="544"/>
      <c r="C747" s="703"/>
      <c r="D747" s="597"/>
      <c r="E747" s="704"/>
      <c r="F747" s="703"/>
      <c r="G747" s="597"/>
      <c r="H747" s="453"/>
      <c r="I747" s="493"/>
      <c r="J747" s="597"/>
      <c r="K747" s="544"/>
      <c r="L747" s="544"/>
      <c r="M747" s="597"/>
      <c r="N747" s="597"/>
      <c r="O747" s="544"/>
      <c r="P747" s="544"/>
      <c r="Q747" s="544"/>
      <c r="R747" s="544"/>
      <c r="S747" s="477"/>
      <c r="T747" s="477"/>
    </row>
    <row r="748" ht="12.75" customHeight="1">
      <c r="A748" s="544"/>
      <c r="B748" s="544"/>
      <c r="C748" s="703"/>
      <c r="D748" s="597"/>
      <c r="E748" s="704"/>
      <c r="F748" s="703"/>
      <c r="G748" s="597"/>
      <c r="H748" s="453"/>
      <c r="I748" s="493"/>
      <c r="J748" s="597"/>
      <c r="K748" s="544"/>
      <c r="L748" s="544"/>
      <c r="M748" s="597"/>
      <c r="N748" s="597"/>
      <c r="O748" s="544"/>
      <c r="P748" s="544"/>
      <c r="Q748" s="544"/>
      <c r="R748" s="544"/>
      <c r="S748" s="477"/>
      <c r="T748" s="477"/>
    </row>
    <row r="749" ht="12.75" customHeight="1">
      <c r="A749" s="544"/>
      <c r="B749" s="544"/>
      <c r="C749" s="703"/>
      <c r="D749" s="597"/>
      <c r="E749" s="704"/>
      <c r="F749" s="703"/>
      <c r="G749" s="597"/>
      <c r="H749" s="453"/>
      <c r="I749" s="493"/>
      <c r="J749" s="597"/>
      <c r="K749" s="544"/>
      <c r="L749" s="544"/>
      <c r="M749" s="597"/>
      <c r="N749" s="597"/>
      <c r="O749" s="544"/>
      <c r="P749" s="544"/>
      <c r="Q749" s="544"/>
      <c r="R749" s="544"/>
      <c r="S749" s="477"/>
      <c r="T749" s="477"/>
    </row>
    <row r="750" ht="12.75" customHeight="1">
      <c r="A750" s="544"/>
      <c r="B750" s="544"/>
      <c r="C750" s="703"/>
      <c r="D750" s="597"/>
      <c r="E750" s="704"/>
      <c r="F750" s="703"/>
      <c r="G750" s="597"/>
      <c r="H750" s="453"/>
      <c r="I750" s="493"/>
      <c r="J750" s="597"/>
      <c r="K750" s="544"/>
      <c r="L750" s="544"/>
      <c r="M750" s="597"/>
      <c r="N750" s="597"/>
      <c r="O750" s="544"/>
      <c r="P750" s="544"/>
      <c r="Q750" s="544"/>
      <c r="R750" s="544"/>
      <c r="S750" s="477"/>
      <c r="T750" s="477"/>
    </row>
    <row r="751" ht="12.75" customHeight="1">
      <c r="A751" s="544"/>
      <c r="B751" s="544"/>
      <c r="C751" s="703"/>
      <c r="D751" s="597"/>
      <c r="E751" s="704"/>
      <c r="F751" s="703"/>
      <c r="G751" s="597"/>
      <c r="H751" s="453"/>
      <c r="I751" s="493"/>
      <c r="J751" s="597"/>
      <c r="K751" s="544"/>
      <c r="L751" s="544"/>
      <c r="M751" s="597"/>
      <c r="N751" s="597"/>
      <c r="O751" s="544"/>
      <c r="P751" s="544"/>
      <c r="Q751" s="544"/>
      <c r="R751" s="544"/>
      <c r="S751" s="477"/>
      <c r="T751" s="477"/>
    </row>
    <row r="752" ht="12.75" customHeight="1">
      <c r="A752" s="544"/>
      <c r="B752" s="544"/>
      <c r="C752" s="703"/>
      <c r="D752" s="597"/>
      <c r="E752" s="704"/>
      <c r="F752" s="703"/>
      <c r="G752" s="597"/>
      <c r="H752" s="453"/>
      <c r="I752" s="493"/>
      <c r="J752" s="597"/>
      <c r="K752" s="544"/>
      <c r="L752" s="544"/>
      <c r="M752" s="597"/>
      <c r="N752" s="597"/>
      <c r="O752" s="544"/>
      <c r="P752" s="544"/>
      <c r="Q752" s="544"/>
      <c r="R752" s="544"/>
      <c r="S752" s="477"/>
      <c r="T752" s="477"/>
    </row>
    <row r="753" ht="12.75" customHeight="1">
      <c r="A753" s="544"/>
      <c r="B753" s="544"/>
      <c r="C753" s="703"/>
      <c r="D753" s="597"/>
      <c r="E753" s="704"/>
      <c r="F753" s="703"/>
      <c r="G753" s="597"/>
      <c r="H753" s="453"/>
      <c r="I753" s="493"/>
      <c r="J753" s="597"/>
      <c r="K753" s="544"/>
      <c r="L753" s="544"/>
      <c r="M753" s="597"/>
      <c r="N753" s="597"/>
      <c r="O753" s="544"/>
      <c r="P753" s="544"/>
      <c r="Q753" s="544"/>
      <c r="R753" s="544"/>
      <c r="S753" s="477"/>
      <c r="T753" s="477"/>
    </row>
    <row r="754" ht="12.75" customHeight="1">
      <c r="A754" s="544"/>
      <c r="B754" s="544"/>
      <c r="C754" s="703"/>
      <c r="D754" s="597"/>
      <c r="E754" s="704"/>
      <c r="F754" s="703"/>
      <c r="G754" s="597"/>
      <c r="H754" s="453"/>
      <c r="I754" s="493"/>
      <c r="J754" s="597"/>
      <c r="K754" s="544"/>
      <c r="L754" s="544"/>
      <c r="M754" s="597"/>
      <c r="N754" s="597"/>
      <c r="O754" s="544"/>
      <c r="P754" s="544"/>
      <c r="Q754" s="544"/>
      <c r="R754" s="544"/>
      <c r="S754" s="477"/>
      <c r="T754" s="477"/>
    </row>
    <row r="755" ht="12.75" customHeight="1">
      <c r="A755" s="544"/>
      <c r="B755" s="544"/>
      <c r="C755" s="703"/>
      <c r="D755" s="597"/>
      <c r="E755" s="704"/>
      <c r="F755" s="703"/>
      <c r="G755" s="597"/>
      <c r="H755" s="453"/>
      <c r="I755" s="493"/>
      <c r="J755" s="597"/>
      <c r="K755" s="544"/>
      <c r="L755" s="544"/>
      <c r="M755" s="597"/>
      <c r="N755" s="597"/>
      <c r="O755" s="544"/>
      <c r="P755" s="544"/>
      <c r="Q755" s="544"/>
      <c r="R755" s="544"/>
      <c r="S755" s="477"/>
      <c r="T755" s="477"/>
    </row>
    <row r="756" ht="12.75" customHeight="1">
      <c r="A756" s="544"/>
      <c r="B756" s="544"/>
      <c r="C756" s="703"/>
      <c r="D756" s="597"/>
      <c r="E756" s="704"/>
      <c r="F756" s="703"/>
      <c r="G756" s="597"/>
      <c r="H756" s="453"/>
      <c r="I756" s="493"/>
      <c r="J756" s="597"/>
      <c r="K756" s="544"/>
      <c r="L756" s="544"/>
      <c r="M756" s="597"/>
      <c r="N756" s="597"/>
      <c r="O756" s="544"/>
      <c r="P756" s="544"/>
      <c r="Q756" s="544"/>
      <c r="R756" s="544"/>
      <c r="S756" s="477"/>
      <c r="T756" s="477"/>
    </row>
    <row r="757" ht="12.75" customHeight="1">
      <c r="A757" s="544"/>
      <c r="B757" s="544"/>
      <c r="C757" s="703"/>
      <c r="D757" s="597"/>
      <c r="E757" s="704"/>
      <c r="F757" s="703"/>
      <c r="G757" s="597"/>
      <c r="H757" s="453"/>
      <c r="I757" s="493"/>
      <c r="J757" s="597"/>
      <c r="K757" s="544"/>
      <c r="L757" s="544"/>
      <c r="M757" s="597"/>
      <c r="N757" s="597"/>
      <c r="O757" s="544"/>
      <c r="P757" s="544"/>
      <c r="Q757" s="544"/>
      <c r="R757" s="544"/>
      <c r="S757" s="477"/>
      <c r="T757" s="477"/>
    </row>
    <row r="758" ht="12.75" customHeight="1">
      <c r="A758" s="544"/>
      <c r="B758" s="544"/>
      <c r="C758" s="703"/>
      <c r="D758" s="597"/>
      <c r="E758" s="704"/>
      <c r="F758" s="703"/>
      <c r="G758" s="597"/>
      <c r="H758" s="453"/>
      <c r="I758" s="493"/>
      <c r="J758" s="597"/>
      <c r="K758" s="544"/>
      <c r="L758" s="544"/>
      <c r="M758" s="597"/>
      <c r="N758" s="597"/>
      <c r="O758" s="544"/>
      <c r="P758" s="544"/>
      <c r="Q758" s="544"/>
      <c r="R758" s="544"/>
      <c r="S758" s="477"/>
      <c r="T758" s="477"/>
    </row>
    <row r="759" ht="12.75" customHeight="1">
      <c r="A759" s="544"/>
      <c r="B759" s="544"/>
      <c r="C759" s="703"/>
      <c r="D759" s="597"/>
      <c r="E759" s="704"/>
      <c r="F759" s="703"/>
      <c r="G759" s="597"/>
      <c r="H759" s="453"/>
      <c r="I759" s="493"/>
      <c r="J759" s="597"/>
      <c r="K759" s="544"/>
      <c r="L759" s="544"/>
      <c r="M759" s="597"/>
      <c r="N759" s="597"/>
      <c r="O759" s="544"/>
      <c r="P759" s="544"/>
      <c r="Q759" s="544"/>
      <c r="R759" s="544"/>
      <c r="S759" s="477"/>
      <c r="T759" s="477"/>
    </row>
    <row r="760" ht="12.75" customHeight="1">
      <c r="A760" s="544"/>
      <c r="B760" s="544"/>
      <c r="C760" s="703"/>
      <c r="D760" s="597"/>
      <c r="E760" s="704"/>
      <c r="F760" s="703"/>
      <c r="G760" s="597"/>
      <c r="H760" s="453"/>
      <c r="I760" s="493"/>
      <c r="J760" s="597"/>
      <c r="K760" s="544"/>
      <c r="L760" s="544"/>
      <c r="M760" s="597"/>
      <c r="N760" s="597"/>
      <c r="O760" s="544"/>
      <c r="P760" s="544"/>
      <c r="Q760" s="544"/>
      <c r="R760" s="544"/>
      <c r="S760" s="477"/>
      <c r="T760" s="477"/>
    </row>
    <row r="761" ht="12.75" customHeight="1">
      <c r="A761" s="544"/>
      <c r="B761" s="544"/>
      <c r="C761" s="703"/>
      <c r="D761" s="597"/>
      <c r="E761" s="704"/>
      <c r="F761" s="703"/>
      <c r="G761" s="597"/>
      <c r="H761" s="453"/>
      <c r="I761" s="493"/>
      <c r="J761" s="597"/>
      <c r="K761" s="544"/>
      <c r="L761" s="544"/>
      <c r="M761" s="597"/>
      <c r="N761" s="597"/>
      <c r="O761" s="544"/>
      <c r="P761" s="544"/>
      <c r="Q761" s="544"/>
      <c r="R761" s="544"/>
      <c r="S761" s="477"/>
      <c r="T761" s="477"/>
    </row>
    <row r="762" ht="12.75" customHeight="1">
      <c r="A762" s="544"/>
      <c r="B762" s="544"/>
      <c r="C762" s="703"/>
      <c r="D762" s="597"/>
      <c r="E762" s="704"/>
      <c r="F762" s="703"/>
      <c r="G762" s="597"/>
      <c r="H762" s="453"/>
      <c r="I762" s="493"/>
      <c r="J762" s="597"/>
      <c r="K762" s="544"/>
      <c r="L762" s="544"/>
      <c r="M762" s="597"/>
      <c r="N762" s="597"/>
      <c r="O762" s="544"/>
      <c r="P762" s="544"/>
      <c r="Q762" s="544"/>
      <c r="R762" s="544"/>
      <c r="S762" s="477"/>
      <c r="T762" s="477"/>
    </row>
    <row r="763" ht="12.75" customHeight="1">
      <c r="A763" s="544"/>
      <c r="B763" s="544"/>
      <c r="C763" s="703"/>
      <c r="D763" s="597"/>
      <c r="E763" s="704"/>
      <c r="F763" s="703"/>
      <c r="G763" s="597"/>
      <c r="H763" s="453"/>
      <c r="I763" s="493"/>
      <c r="J763" s="597"/>
      <c r="K763" s="544"/>
      <c r="L763" s="544"/>
      <c r="M763" s="597"/>
      <c r="N763" s="597"/>
      <c r="O763" s="544"/>
      <c r="P763" s="544"/>
      <c r="Q763" s="544"/>
      <c r="R763" s="544"/>
      <c r="S763" s="477"/>
      <c r="T763" s="477"/>
    </row>
    <row r="764" ht="12.75" customHeight="1">
      <c r="A764" s="544"/>
      <c r="B764" s="544"/>
      <c r="C764" s="703"/>
      <c r="D764" s="597"/>
      <c r="E764" s="704"/>
      <c r="F764" s="703"/>
      <c r="G764" s="597"/>
      <c r="H764" s="453"/>
      <c r="I764" s="493"/>
      <c r="J764" s="597"/>
      <c r="K764" s="544"/>
      <c r="L764" s="544"/>
      <c r="M764" s="597"/>
      <c r="N764" s="597"/>
      <c r="O764" s="544"/>
      <c r="P764" s="544"/>
      <c r="Q764" s="544"/>
      <c r="R764" s="544"/>
      <c r="S764" s="477"/>
      <c r="T764" s="477"/>
    </row>
    <row r="765" ht="12.75" customHeight="1">
      <c r="A765" s="544"/>
      <c r="B765" s="544"/>
      <c r="C765" s="703"/>
      <c r="D765" s="597"/>
      <c r="E765" s="704"/>
      <c r="F765" s="703"/>
      <c r="G765" s="597"/>
      <c r="H765" s="453"/>
      <c r="I765" s="493"/>
      <c r="J765" s="597"/>
      <c r="K765" s="544"/>
      <c r="L765" s="544"/>
      <c r="M765" s="597"/>
      <c r="N765" s="597"/>
      <c r="O765" s="544"/>
      <c r="P765" s="544"/>
      <c r="Q765" s="544"/>
      <c r="R765" s="544"/>
      <c r="S765" s="477"/>
      <c r="T765" s="477"/>
    </row>
    <row r="766" ht="12.75" customHeight="1">
      <c r="A766" s="544"/>
      <c r="B766" s="544"/>
      <c r="C766" s="703"/>
      <c r="D766" s="597"/>
      <c r="E766" s="704"/>
      <c r="F766" s="703"/>
      <c r="G766" s="597"/>
      <c r="H766" s="453"/>
      <c r="I766" s="493"/>
      <c r="J766" s="597"/>
      <c r="K766" s="544"/>
      <c r="L766" s="544"/>
      <c r="M766" s="597"/>
      <c r="N766" s="597"/>
      <c r="O766" s="544"/>
      <c r="P766" s="544"/>
      <c r="Q766" s="544"/>
      <c r="R766" s="544"/>
      <c r="S766" s="477"/>
      <c r="T766" s="477"/>
    </row>
    <row r="767" ht="12.75" customHeight="1">
      <c r="A767" s="544"/>
      <c r="B767" s="544"/>
      <c r="C767" s="703"/>
      <c r="D767" s="597"/>
      <c r="E767" s="704"/>
      <c r="F767" s="703"/>
      <c r="G767" s="597"/>
      <c r="H767" s="453"/>
      <c r="I767" s="493"/>
      <c r="J767" s="597"/>
      <c r="K767" s="544"/>
      <c r="L767" s="544"/>
      <c r="M767" s="597"/>
      <c r="N767" s="597"/>
      <c r="O767" s="544"/>
      <c r="P767" s="544"/>
      <c r="Q767" s="544"/>
      <c r="R767" s="544"/>
      <c r="S767" s="477"/>
      <c r="T767" s="477"/>
    </row>
    <row r="768" ht="12.75" customHeight="1">
      <c r="A768" s="544"/>
      <c r="B768" s="544"/>
      <c r="C768" s="703"/>
      <c r="D768" s="597"/>
      <c r="E768" s="704"/>
      <c r="F768" s="703"/>
      <c r="G768" s="597"/>
      <c r="H768" s="453"/>
      <c r="I768" s="493"/>
      <c r="J768" s="597"/>
      <c r="K768" s="544"/>
      <c r="L768" s="544"/>
      <c r="M768" s="597"/>
      <c r="N768" s="597"/>
      <c r="O768" s="544"/>
      <c r="P768" s="544"/>
      <c r="Q768" s="544"/>
      <c r="R768" s="544"/>
      <c r="S768" s="477"/>
      <c r="T768" s="477"/>
    </row>
    <row r="769" ht="12.75" customHeight="1">
      <c r="A769" s="544"/>
      <c r="B769" s="544"/>
      <c r="C769" s="703"/>
      <c r="D769" s="597"/>
      <c r="E769" s="704"/>
      <c r="F769" s="703"/>
      <c r="G769" s="597"/>
      <c r="H769" s="453"/>
      <c r="I769" s="493"/>
      <c r="J769" s="597"/>
      <c r="K769" s="544"/>
      <c r="L769" s="544"/>
      <c r="M769" s="597"/>
      <c r="N769" s="597"/>
      <c r="O769" s="544"/>
      <c r="P769" s="544"/>
      <c r="Q769" s="544"/>
      <c r="R769" s="544"/>
      <c r="S769" s="477"/>
      <c r="T769" s="477"/>
    </row>
    <row r="770" ht="12.75" customHeight="1">
      <c r="A770" s="544"/>
      <c r="B770" s="544"/>
      <c r="C770" s="703"/>
      <c r="D770" s="597"/>
      <c r="E770" s="704"/>
      <c r="F770" s="703"/>
      <c r="G770" s="597"/>
      <c r="H770" s="453"/>
      <c r="I770" s="493"/>
      <c r="J770" s="597"/>
      <c r="K770" s="544"/>
      <c r="L770" s="544"/>
      <c r="M770" s="597"/>
      <c r="N770" s="597"/>
      <c r="O770" s="544"/>
      <c r="P770" s="544"/>
      <c r="Q770" s="544"/>
      <c r="R770" s="544"/>
      <c r="S770" s="477"/>
      <c r="T770" s="477"/>
    </row>
    <row r="771" ht="12.75" customHeight="1">
      <c r="A771" s="544"/>
      <c r="B771" s="544"/>
      <c r="C771" s="703"/>
      <c r="D771" s="597"/>
      <c r="E771" s="704"/>
      <c r="F771" s="703"/>
      <c r="G771" s="597"/>
      <c r="H771" s="453"/>
      <c r="I771" s="493"/>
      <c r="J771" s="597"/>
      <c r="K771" s="544"/>
      <c r="L771" s="544"/>
      <c r="M771" s="597"/>
      <c r="N771" s="597"/>
      <c r="O771" s="544"/>
      <c r="P771" s="544"/>
      <c r="Q771" s="544"/>
      <c r="R771" s="544"/>
      <c r="S771" s="477"/>
      <c r="T771" s="477"/>
    </row>
    <row r="772" ht="12.75" customHeight="1">
      <c r="A772" s="544"/>
      <c r="B772" s="544"/>
      <c r="C772" s="703"/>
      <c r="D772" s="597"/>
      <c r="E772" s="704"/>
      <c r="F772" s="703"/>
      <c r="G772" s="597"/>
      <c r="H772" s="453"/>
      <c r="I772" s="493"/>
      <c r="J772" s="597"/>
      <c r="K772" s="544"/>
      <c r="L772" s="544"/>
      <c r="M772" s="597"/>
      <c r="N772" s="597"/>
      <c r="O772" s="544"/>
      <c r="P772" s="544"/>
      <c r="Q772" s="544"/>
      <c r="R772" s="544"/>
      <c r="S772" s="477"/>
      <c r="T772" s="477"/>
    </row>
    <row r="773" ht="12.75" customHeight="1">
      <c r="A773" s="544"/>
      <c r="B773" s="544"/>
      <c r="C773" s="703"/>
      <c r="D773" s="597"/>
      <c r="E773" s="704"/>
      <c r="F773" s="703"/>
      <c r="G773" s="597"/>
      <c r="H773" s="453"/>
      <c r="I773" s="493"/>
      <c r="J773" s="597"/>
      <c r="K773" s="544"/>
      <c r="L773" s="544"/>
      <c r="M773" s="597"/>
      <c r="N773" s="597"/>
      <c r="O773" s="544"/>
      <c r="P773" s="544"/>
      <c r="Q773" s="544"/>
      <c r="R773" s="544"/>
      <c r="S773" s="477"/>
      <c r="T773" s="477"/>
    </row>
    <row r="774" ht="12.75" customHeight="1">
      <c r="A774" s="544"/>
      <c r="B774" s="544"/>
      <c r="C774" s="703"/>
      <c r="D774" s="597"/>
      <c r="E774" s="704"/>
      <c r="F774" s="703"/>
      <c r="G774" s="597"/>
      <c r="H774" s="453"/>
      <c r="I774" s="493"/>
      <c r="J774" s="597"/>
      <c r="K774" s="544"/>
      <c r="L774" s="544"/>
      <c r="M774" s="597"/>
      <c r="N774" s="597"/>
      <c r="O774" s="544"/>
      <c r="P774" s="544"/>
      <c r="Q774" s="544"/>
      <c r="R774" s="544"/>
      <c r="S774" s="477"/>
      <c r="T774" s="477"/>
    </row>
    <row r="775" ht="12.75" customHeight="1">
      <c r="A775" s="544"/>
      <c r="B775" s="544"/>
      <c r="C775" s="703"/>
      <c r="D775" s="597"/>
      <c r="E775" s="704"/>
      <c r="F775" s="703"/>
      <c r="G775" s="597"/>
      <c r="H775" s="453"/>
      <c r="I775" s="493"/>
      <c r="J775" s="597"/>
      <c r="K775" s="544"/>
      <c r="L775" s="544"/>
      <c r="M775" s="597"/>
      <c r="N775" s="597"/>
      <c r="O775" s="544"/>
      <c r="P775" s="544"/>
      <c r="Q775" s="544"/>
      <c r="R775" s="544"/>
      <c r="S775" s="477"/>
      <c r="T775" s="477"/>
    </row>
    <row r="776" ht="12.75" customHeight="1">
      <c r="A776" s="544"/>
      <c r="B776" s="544"/>
      <c r="C776" s="703"/>
      <c r="D776" s="597"/>
      <c r="E776" s="704"/>
      <c r="F776" s="703"/>
      <c r="G776" s="597"/>
      <c r="H776" s="453"/>
      <c r="I776" s="493"/>
      <c r="J776" s="597"/>
      <c r="K776" s="544"/>
      <c r="L776" s="544"/>
      <c r="M776" s="597"/>
      <c r="N776" s="597"/>
      <c r="O776" s="544"/>
      <c r="P776" s="544"/>
      <c r="Q776" s="544"/>
      <c r="R776" s="544"/>
      <c r="S776" s="477"/>
      <c r="T776" s="477"/>
    </row>
    <row r="777" ht="12.75" customHeight="1">
      <c r="A777" s="544"/>
      <c r="B777" s="544"/>
      <c r="C777" s="703"/>
      <c r="D777" s="597"/>
      <c r="E777" s="704"/>
      <c r="F777" s="703"/>
      <c r="G777" s="597"/>
      <c r="H777" s="453"/>
      <c r="I777" s="493"/>
      <c r="J777" s="597"/>
      <c r="K777" s="544"/>
      <c r="L777" s="544"/>
      <c r="M777" s="597"/>
      <c r="N777" s="597"/>
      <c r="O777" s="544"/>
      <c r="P777" s="544"/>
      <c r="Q777" s="544"/>
      <c r="R777" s="544"/>
      <c r="S777" s="477"/>
      <c r="T777" s="477"/>
    </row>
    <row r="778" ht="12.75" customHeight="1">
      <c r="A778" s="544"/>
      <c r="B778" s="544"/>
      <c r="C778" s="703"/>
      <c r="D778" s="597"/>
      <c r="E778" s="704"/>
      <c r="F778" s="703"/>
      <c r="G778" s="597"/>
      <c r="H778" s="453"/>
      <c r="I778" s="493"/>
      <c r="J778" s="597"/>
      <c r="K778" s="544"/>
      <c r="L778" s="544"/>
      <c r="M778" s="597"/>
      <c r="N778" s="597"/>
      <c r="O778" s="544"/>
      <c r="P778" s="544"/>
      <c r="Q778" s="544"/>
      <c r="R778" s="544"/>
      <c r="S778" s="477"/>
      <c r="T778" s="477"/>
    </row>
    <row r="779" ht="12.75" customHeight="1">
      <c r="A779" s="544"/>
      <c r="B779" s="544"/>
      <c r="C779" s="703"/>
      <c r="D779" s="597"/>
      <c r="E779" s="704"/>
      <c r="F779" s="703"/>
      <c r="G779" s="597"/>
      <c r="H779" s="453"/>
      <c r="I779" s="493"/>
      <c r="J779" s="597"/>
      <c r="K779" s="544"/>
      <c r="L779" s="544"/>
      <c r="M779" s="597"/>
      <c r="N779" s="597"/>
      <c r="O779" s="544"/>
      <c r="P779" s="544"/>
      <c r="Q779" s="544"/>
      <c r="R779" s="544"/>
      <c r="S779" s="477"/>
      <c r="T779" s="477"/>
    </row>
    <row r="780" ht="12.75" customHeight="1">
      <c r="A780" s="544"/>
      <c r="B780" s="544"/>
      <c r="C780" s="703"/>
      <c r="D780" s="597"/>
      <c r="E780" s="704"/>
      <c r="F780" s="703"/>
      <c r="G780" s="597"/>
      <c r="H780" s="453"/>
      <c r="I780" s="493"/>
      <c r="J780" s="597"/>
      <c r="K780" s="544"/>
      <c r="L780" s="544"/>
      <c r="M780" s="597"/>
      <c r="N780" s="597"/>
      <c r="O780" s="544"/>
      <c r="P780" s="544"/>
      <c r="Q780" s="544"/>
      <c r="R780" s="544"/>
      <c r="S780" s="477"/>
      <c r="T780" s="477"/>
    </row>
    <row r="781" ht="12.75" customHeight="1">
      <c r="A781" s="544"/>
      <c r="B781" s="544"/>
      <c r="C781" s="703"/>
      <c r="D781" s="597"/>
      <c r="E781" s="704"/>
      <c r="F781" s="703"/>
      <c r="G781" s="597"/>
      <c r="H781" s="453"/>
      <c r="I781" s="493"/>
      <c r="J781" s="597"/>
      <c r="K781" s="544"/>
      <c r="L781" s="544"/>
      <c r="M781" s="597"/>
      <c r="N781" s="597"/>
      <c r="O781" s="544"/>
      <c r="P781" s="544"/>
      <c r="Q781" s="544"/>
      <c r="R781" s="544"/>
      <c r="S781" s="477"/>
      <c r="T781" s="477"/>
    </row>
    <row r="782" ht="12.75" customHeight="1">
      <c r="A782" s="544"/>
      <c r="B782" s="544"/>
      <c r="C782" s="703"/>
      <c r="D782" s="597"/>
      <c r="E782" s="704"/>
      <c r="F782" s="703"/>
      <c r="G782" s="597"/>
      <c r="H782" s="453"/>
      <c r="I782" s="493"/>
      <c r="J782" s="597"/>
      <c r="K782" s="544"/>
      <c r="L782" s="544"/>
      <c r="M782" s="597"/>
      <c r="N782" s="597"/>
      <c r="O782" s="544"/>
      <c r="P782" s="544"/>
      <c r="Q782" s="544"/>
      <c r="R782" s="544"/>
      <c r="S782" s="477"/>
      <c r="T782" s="477"/>
    </row>
    <row r="783" ht="12.75" customHeight="1">
      <c r="A783" s="544"/>
      <c r="B783" s="544"/>
      <c r="C783" s="703"/>
      <c r="D783" s="597"/>
      <c r="E783" s="704"/>
      <c r="F783" s="703"/>
      <c r="G783" s="597"/>
      <c r="H783" s="453"/>
      <c r="I783" s="493"/>
      <c r="J783" s="597"/>
      <c r="K783" s="544"/>
      <c r="L783" s="544"/>
      <c r="M783" s="597"/>
      <c r="N783" s="597"/>
      <c r="O783" s="544"/>
      <c r="P783" s="544"/>
      <c r="Q783" s="544"/>
      <c r="R783" s="544"/>
      <c r="S783" s="477"/>
      <c r="T783" s="477"/>
    </row>
    <row r="784" ht="12.75" customHeight="1">
      <c r="A784" s="544"/>
      <c r="B784" s="544"/>
      <c r="C784" s="703"/>
      <c r="D784" s="597"/>
      <c r="E784" s="704"/>
      <c r="F784" s="703"/>
      <c r="G784" s="597"/>
      <c r="H784" s="453"/>
      <c r="I784" s="493"/>
      <c r="J784" s="597"/>
      <c r="K784" s="544"/>
      <c r="L784" s="544"/>
      <c r="M784" s="597"/>
      <c r="N784" s="597"/>
      <c r="O784" s="544"/>
      <c r="P784" s="544"/>
      <c r="Q784" s="544"/>
      <c r="R784" s="544"/>
      <c r="S784" s="477"/>
      <c r="T784" s="477"/>
    </row>
    <row r="785" ht="12.75" customHeight="1">
      <c r="A785" s="544"/>
      <c r="B785" s="544"/>
      <c r="C785" s="703"/>
      <c r="D785" s="597"/>
      <c r="E785" s="704"/>
      <c r="F785" s="703"/>
      <c r="G785" s="597"/>
      <c r="H785" s="453"/>
      <c r="I785" s="493"/>
      <c r="J785" s="597"/>
      <c r="K785" s="544"/>
      <c r="L785" s="544"/>
      <c r="M785" s="597"/>
      <c r="N785" s="597"/>
      <c r="O785" s="544"/>
      <c r="P785" s="544"/>
      <c r="Q785" s="544"/>
      <c r="R785" s="544"/>
      <c r="S785" s="477"/>
      <c r="T785" s="477"/>
    </row>
    <row r="786" ht="12.75" customHeight="1">
      <c r="A786" s="544"/>
      <c r="B786" s="544"/>
      <c r="C786" s="703"/>
      <c r="D786" s="597"/>
      <c r="E786" s="704"/>
      <c r="F786" s="703"/>
      <c r="G786" s="597"/>
      <c r="H786" s="453"/>
      <c r="I786" s="493"/>
      <c r="J786" s="597"/>
      <c r="K786" s="544"/>
      <c r="L786" s="544"/>
      <c r="M786" s="597"/>
      <c r="N786" s="597"/>
      <c r="O786" s="544"/>
      <c r="P786" s="544"/>
      <c r="Q786" s="544"/>
      <c r="R786" s="544"/>
      <c r="S786" s="477"/>
      <c r="T786" s="477"/>
    </row>
    <row r="787" ht="12.75" customHeight="1">
      <c r="A787" s="544"/>
      <c r="B787" s="544"/>
      <c r="C787" s="703"/>
      <c r="D787" s="597"/>
      <c r="E787" s="704"/>
      <c r="F787" s="703"/>
      <c r="G787" s="597"/>
      <c r="H787" s="453"/>
      <c r="I787" s="493"/>
      <c r="J787" s="597"/>
      <c r="K787" s="544"/>
      <c r="L787" s="544"/>
      <c r="M787" s="597"/>
      <c r="N787" s="597"/>
      <c r="O787" s="544"/>
      <c r="P787" s="544"/>
      <c r="Q787" s="544"/>
      <c r="R787" s="544"/>
      <c r="S787" s="477"/>
      <c r="T787" s="477"/>
    </row>
    <row r="788" ht="12.75" customHeight="1">
      <c r="A788" s="544"/>
      <c r="B788" s="544"/>
      <c r="C788" s="703"/>
      <c r="D788" s="597"/>
      <c r="E788" s="704"/>
      <c r="F788" s="703"/>
      <c r="G788" s="597"/>
      <c r="H788" s="453"/>
      <c r="I788" s="493"/>
      <c r="J788" s="597"/>
      <c r="K788" s="544"/>
      <c r="L788" s="544"/>
      <c r="M788" s="597"/>
      <c r="N788" s="597"/>
      <c r="O788" s="544"/>
      <c r="P788" s="544"/>
      <c r="Q788" s="544"/>
      <c r="R788" s="544"/>
      <c r="S788" s="477"/>
      <c r="T788" s="477"/>
    </row>
    <row r="789" ht="12.75" customHeight="1">
      <c r="A789" s="544"/>
      <c r="B789" s="544"/>
      <c r="C789" s="703"/>
      <c r="D789" s="597"/>
      <c r="E789" s="704"/>
      <c r="F789" s="703"/>
      <c r="G789" s="597"/>
      <c r="H789" s="453"/>
      <c r="I789" s="493"/>
      <c r="J789" s="597"/>
      <c r="K789" s="544"/>
      <c r="L789" s="544"/>
      <c r="M789" s="597"/>
      <c r="N789" s="597"/>
      <c r="O789" s="544"/>
      <c r="P789" s="544"/>
      <c r="Q789" s="544"/>
      <c r="R789" s="544"/>
      <c r="S789" s="477"/>
      <c r="T789" s="477"/>
    </row>
    <row r="790" ht="12.75" customHeight="1">
      <c r="A790" s="544"/>
      <c r="B790" s="544"/>
      <c r="C790" s="703"/>
      <c r="D790" s="597"/>
      <c r="E790" s="704"/>
      <c r="F790" s="703"/>
      <c r="G790" s="597"/>
      <c r="H790" s="453"/>
      <c r="I790" s="493"/>
      <c r="J790" s="597"/>
      <c r="K790" s="544"/>
      <c r="L790" s="544"/>
      <c r="M790" s="597"/>
      <c r="N790" s="597"/>
      <c r="O790" s="544"/>
      <c r="P790" s="544"/>
      <c r="Q790" s="544"/>
      <c r="R790" s="544"/>
      <c r="S790" s="477"/>
      <c r="T790" s="477"/>
    </row>
    <row r="791" ht="12.75" customHeight="1">
      <c r="A791" s="544"/>
      <c r="B791" s="544"/>
      <c r="C791" s="703"/>
      <c r="D791" s="597"/>
      <c r="E791" s="704"/>
      <c r="F791" s="703"/>
      <c r="G791" s="597"/>
      <c r="H791" s="453"/>
      <c r="I791" s="493"/>
      <c r="J791" s="597"/>
      <c r="K791" s="544"/>
      <c r="L791" s="544"/>
      <c r="M791" s="597"/>
      <c r="N791" s="597"/>
      <c r="O791" s="544"/>
      <c r="P791" s="544"/>
      <c r="Q791" s="544"/>
      <c r="R791" s="544"/>
      <c r="S791" s="477"/>
      <c r="T791" s="477"/>
    </row>
    <row r="792" ht="12.75" customHeight="1">
      <c r="A792" s="544"/>
      <c r="B792" s="544"/>
      <c r="C792" s="703"/>
      <c r="D792" s="597"/>
      <c r="E792" s="704"/>
      <c r="F792" s="703"/>
      <c r="G792" s="597"/>
      <c r="H792" s="453"/>
      <c r="I792" s="493"/>
      <c r="J792" s="597"/>
      <c r="K792" s="544"/>
      <c r="L792" s="544"/>
      <c r="M792" s="597"/>
      <c r="N792" s="597"/>
      <c r="O792" s="544"/>
      <c r="P792" s="544"/>
      <c r="Q792" s="544"/>
      <c r="R792" s="544"/>
      <c r="S792" s="477"/>
      <c r="T792" s="477"/>
    </row>
    <row r="793" ht="12.75" customHeight="1">
      <c r="A793" s="544"/>
      <c r="B793" s="544"/>
      <c r="C793" s="703"/>
      <c r="D793" s="597"/>
      <c r="E793" s="704"/>
      <c r="F793" s="703"/>
      <c r="G793" s="597"/>
      <c r="H793" s="453"/>
      <c r="I793" s="493"/>
      <c r="J793" s="597"/>
      <c r="K793" s="544"/>
      <c r="L793" s="544"/>
      <c r="M793" s="597"/>
      <c r="N793" s="597"/>
      <c r="O793" s="544"/>
      <c r="P793" s="544"/>
      <c r="Q793" s="544"/>
      <c r="R793" s="544"/>
      <c r="S793" s="477"/>
      <c r="T793" s="477"/>
    </row>
    <row r="794" ht="12.75" customHeight="1">
      <c r="A794" s="544"/>
      <c r="B794" s="544"/>
      <c r="C794" s="703"/>
      <c r="D794" s="597"/>
      <c r="E794" s="704"/>
      <c r="F794" s="703"/>
      <c r="G794" s="597"/>
      <c r="H794" s="453"/>
      <c r="I794" s="493"/>
      <c r="J794" s="597"/>
      <c r="K794" s="544"/>
      <c r="L794" s="544"/>
      <c r="M794" s="597"/>
      <c r="N794" s="597"/>
      <c r="O794" s="544"/>
      <c r="P794" s="544"/>
      <c r="Q794" s="544"/>
      <c r="R794" s="544"/>
      <c r="S794" s="477"/>
      <c r="T794" s="477"/>
    </row>
    <row r="795" ht="12.75" customHeight="1">
      <c r="A795" s="544"/>
      <c r="B795" s="544"/>
      <c r="C795" s="703"/>
      <c r="D795" s="597"/>
      <c r="E795" s="704"/>
      <c r="F795" s="703"/>
      <c r="G795" s="597"/>
      <c r="H795" s="453"/>
      <c r="I795" s="493"/>
      <c r="J795" s="597"/>
      <c r="K795" s="544"/>
      <c r="L795" s="544"/>
      <c r="M795" s="597"/>
      <c r="N795" s="597"/>
      <c r="O795" s="544"/>
      <c r="P795" s="544"/>
      <c r="Q795" s="544"/>
      <c r="R795" s="544"/>
      <c r="S795" s="477"/>
      <c r="T795" s="477"/>
    </row>
    <row r="796" ht="12.75" customHeight="1">
      <c r="A796" s="544"/>
      <c r="B796" s="544"/>
      <c r="C796" s="703"/>
      <c r="D796" s="597"/>
      <c r="E796" s="704"/>
      <c r="F796" s="703"/>
      <c r="G796" s="597"/>
      <c r="H796" s="453"/>
      <c r="I796" s="493"/>
      <c r="J796" s="597"/>
      <c r="K796" s="544"/>
      <c r="L796" s="544"/>
      <c r="M796" s="597"/>
      <c r="N796" s="597"/>
      <c r="O796" s="544"/>
      <c r="P796" s="544"/>
      <c r="Q796" s="544"/>
      <c r="R796" s="544"/>
      <c r="S796" s="477"/>
      <c r="T796" s="477"/>
    </row>
    <row r="797" ht="12.75" customHeight="1">
      <c r="A797" s="544"/>
      <c r="B797" s="544"/>
      <c r="C797" s="703"/>
      <c r="D797" s="597"/>
      <c r="E797" s="704"/>
      <c r="F797" s="703"/>
      <c r="G797" s="597"/>
      <c r="H797" s="453"/>
      <c r="I797" s="493"/>
      <c r="J797" s="597"/>
      <c r="K797" s="544"/>
      <c r="L797" s="544"/>
      <c r="M797" s="597"/>
      <c r="N797" s="597"/>
      <c r="O797" s="544"/>
      <c r="P797" s="544"/>
      <c r="Q797" s="544"/>
      <c r="R797" s="544"/>
      <c r="S797" s="477"/>
      <c r="T797" s="477"/>
    </row>
    <row r="798" ht="12.75" customHeight="1">
      <c r="A798" s="544"/>
      <c r="B798" s="544"/>
      <c r="C798" s="703"/>
      <c r="D798" s="597"/>
      <c r="E798" s="704"/>
      <c r="F798" s="703"/>
      <c r="G798" s="597"/>
      <c r="H798" s="453"/>
      <c r="I798" s="493"/>
      <c r="J798" s="597"/>
      <c r="K798" s="544"/>
      <c r="L798" s="544"/>
      <c r="M798" s="597"/>
      <c r="N798" s="597"/>
      <c r="O798" s="544"/>
      <c r="P798" s="544"/>
      <c r="Q798" s="544"/>
      <c r="R798" s="544"/>
      <c r="S798" s="477"/>
      <c r="T798" s="477"/>
    </row>
    <row r="799" ht="12.75" customHeight="1">
      <c r="A799" s="544"/>
      <c r="B799" s="544"/>
      <c r="C799" s="703"/>
      <c r="D799" s="597"/>
      <c r="E799" s="704"/>
      <c r="F799" s="703"/>
      <c r="G799" s="597"/>
      <c r="H799" s="453"/>
      <c r="I799" s="493"/>
      <c r="J799" s="597"/>
      <c r="K799" s="544"/>
      <c r="L799" s="544"/>
      <c r="M799" s="597"/>
      <c r="N799" s="597"/>
      <c r="O799" s="544"/>
      <c r="P799" s="544"/>
      <c r="Q799" s="544"/>
      <c r="R799" s="544"/>
      <c r="S799" s="477"/>
      <c r="T799" s="477"/>
    </row>
    <row r="800" ht="12.75" customHeight="1">
      <c r="A800" s="544"/>
      <c r="B800" s="544"/>
      <c r="C800" s="703"/>
      <c r="D800" s="597"/>
      <c r="E800" s="704"/>
      <c r="F800" s="703"/>
      <c r="G800" s="597"/>
      <c r="H800" s="453"/>
      <c r="I800" s="493"/>
      <c r="J800" s="597"/>
      <c r="K800" s="544"/>
      <c r="L800" s="544"/>
      <c r="M800" s="597"/>
      <c r="N800" s="597"/>
      <c r="O800" s="544"/>
      <c r="P800" s="544"/>
      <c r="Q800" s="544"/>
      <c r="R800" s="544"/>
      <c r="S800" s="477"/>
      <c r="T800" s="477"/>
    </row>
    <row r="801" ht="12.75" customHeight="1">
      <c r="A801" s="544"/>
      <c r="B801" s="544"/>
      <c r="C801" s="703"/>
      <c r="D801" s="597"/>
      <c r="E801" s="704"/>
      <c r="F801" s="703"/>
      <c r="G801" s="597"/>
      <c r="H801" s="453"/>
      <c r="I801" s="493"/>
      <c r="J801" s="597"/>
      <c r="K801" s="544"/>
      <c r="L801" s="544"/>
      <c r="M801" s="597"/>
      <c r="N801" s="597"/>
      <c r="O801" s="544"/>
      <c r="P801" s="544"/>
      <c r="Q801" s="544"/>
      <c r="R801" s="544"/>
      <c r="S801" s="477"/>
      <c r="T801" s="477"/>
    </row>
    <row r="802" ht="12.75" customHeight="1">
      <c r="A802" s="544"/>
      <c r="B802" s="544"/>
      <c r="C802" s="703"/>
      <c r="D802" s="597"/>
      <c r="E802" s="704"/>
      <c r="F802" s="703"/>
      <c r="G802" s="597"/>
      <c r="H802" s="453"/>
      <c r="I802" s="493"/>
      <c r="J802" s="597"/>
      <c r="K802" s="544"/>
      <c r="L802" s="544"/>
      <c r="M802" s="597"/>
      <c r="N802" s="597"/>
      <c r="O802" s="544"/>
      <c r="P802" s="544"/>
      <c r="Q802" s="544"/>
      <c r="R802" s="544"/>
      <c r="S802" s="477"/>
      <c r="T802" s="477"/>
    </row>
    <row r="803" ht="12.75" customHeight="1">
      <c r="A803" s="544"/>
      <c r="B803" s="544"/>
      <c r="C803" s="703"/>
      <c r="D803" s="597"/>
      <c r="E803" s="704"/>
      <c r="F803" s="703"/>
      <c r="G803" s="597"/>
      <c r="H803" s="453"/>
      <c r="I803" s="493"/>
      <c r="J803" s="597"/>
      <c r="K803" s="544"/>
      <c r="L803" s="544"/>
      <c r="M803" s="597"/>
      <c r="N803" s="597"/>
      <c r="O803" s="544"/>
      <c r="P803" s="544"/>
      <c r="Q803" s="544"/>
      <c r="R803" s="544"/>
      <c r="S803" s="477"/>
      <c r="T803" s="477"/>
    </row>
    <row r="804" ht="12.75" customHeight="1">
      <c r="A804" s="544"/>
      <c r="B804" s="544"/>
      <c r="C804" s="703"/>
      <c r="D804" s="597"/>
      <c r="E804" s="704"/>
      <c r="F804" s="703"/>
      <c r="G804" s="597"/>
      <c r="H804" s="453"/>
      <c r="I804" s="493"/>
      <c r="J804" s="597"/>
      <c r="K804" s="544"/>
      <c r="L804" s="544"/>
      <c r="M804" s="597"/>
      <c r="N804" s="597"/>
      <c r="O804" s="544"/>
      <c r="P804" s="544"/>
      <c r="Q804" s="544"/>
      <c r="R804" s="544"/>
      <c r="S804" s="477"/>
      <c r="T804" s="477"/>
    </row>
    <row r="805" ht="12.75" customHeight="1">
      <c r="A805" s="544"/>
      <c r="B805" s="544"/>
      <c r="C805" s="703"/>
      <c r="D805" s="597"/>
      <c r="E805" s="704"/>
      <c r="F805" s="703"/>
      <c r="G805" s="597"/>
      <c r="H805" s="453"/>
      <c r="I805" s="493"/>
      <c r="J805" s="597"/>
      <c r="K805" s="544"/>
      <c r="L805" s="544"/>
      <c r="M805" s="597"/>
      <c r="N805" s="597"/>
      <c r="O805" s="544"/>
      <c r="P805" s="544"/>
      <c r="Q805" s="544"/>
      <c r="R805" s="544"/>
      <c r="S805" s="477"/>
      <c r="T805" s="477"/>
    </row>
    <row r="806" ht="12.75" customHeight="1">
      <c r="A806" s="544"/>
      <c r="B806" s="544"/>
      <c r="C806" s="703"/>
      <c r="D806" s="597"/>
      <c r="E806" s="704"/>
      <c r="F806" s="703"/>
      <c r="G806" s="597"/>
      <c r="H806" s="453"/>
      <c r="I806" s="493"/>
      <c r="J806" s="597"/>
      <c r="K806" s="544"/>
      <c r="L806" s="544"/>
      <c r="M806" s="597"/>
      <c r="N806" s="597"/>
      <c r="O806" s="544"/>
      <c r="P806" s="544"/>
      <c r="Q806" s="544"/>
      <c r="R806" s="544"/>
      <c r="S806" s="477"/>
      <c r="T806" s="477"/>
    </row>
    <row r="807" ht="12.75" customHeight="1">
      <c r="A807" s="544"/>
      <c r="B807" s="544"/>
      <c r="C807" s="703"/>
      <c r="D807" s="597"/>
      <c r="E807" s="704"/>
      <c r="F807" s="703"/>
      <c r="G807" s="597"/>
      <c r="H807" s="453"/>
      <c r="I807" s="493"/>
      <c r="J807" s="597"/>
      <c r="K807" s="544"/>
      <c r="L807" s="544"/>
      <c r="M807" s="597"/>
      <c r="N807" s="597"/>
      <c r="O807" s="544"/>
      <c r="P807" s="544"/>
      <c r="Q807" s="544"/>
      <c r="R807" s="544"/>
      <c r="S807" s="477"/>
      <c r="T807" s="477"/>
    </row>
    <row r="808" ht="12.75" customHeight="1">
      <c r="A808" s="544"/>
      <c r="B808" s="544"/>
      <c r="C808" s="703"/>
      <c r="D808" s="597"/>
      <c r="E808" s="704"/>
      <c r="F808" s="703"/>
      <c r="G808" s="597"/>
      <c r="H808" s="453"/>
      <c r="I808" s="493"/>
      <c r="J808" s="597"/>
      <c r="K808" s="544"/>
      <c r="L808" s="544"/>
      <c r="M808" s="597"/>
      <c r="N808" s="597"/>
      <c r="O808" s="544"/>
      <c r="P808" s="544"/>
      <c r="Q808" s="544"/>
      <c r="R808" s="544"/>
      <c r="S808" s="477"/>
      <c r="T808" s="477"/>
    </row>
    <row r="809" ht="12.75" customHeight="1">
      <c r="A809" s="544"/>
      <c r="B809" s="544"/>
      <c r="C809" s="703"/>
      <c r="D809" s="597"/>
      <c r="E809" s="704"/>
      <c r="F809" s="703"/>
      <c r="G809" s="597"/>
      <c r="H809" s="453"/>
      <c r="I809" s="493"/>
      <c r="J809" s="597"/>
      <c r="K809" s="544"/>
      <c r="L809" s="544"/>
      <c r="M809" s="597"/>
      <c r="N809" s="597"/>
      <c r="O809" s="544"/>
      <c r="P809" s="544"/>
      <c r="Q809" s="544"/>
      <c r="R809" s="544"/>
      <c r="S809" s="477"/>
      <c r="T809" s="477"/>
    </row>
    <row r="810" ht="12.75" customHeight="1">
      <c r="A810" s="544"/>
      <c r="B810" s="544"/>
      <c r="C810" s="703"/>
      <c r="D810" s="597"/>
      <c r="E810" s="704"/>
      <c r="F810" s="703"/>
      <c r="G810" s="597"/>
      <c r="H810" s="453"/>
      <c r="I810" s="493"/>
      <c r="J810" s="597"/>
      <c r="K810" s="544"/>
      <c r="L810" s="544"/>
      <c r="M810" s="597"/>
      <c r="N810" s="597"/>
      <c r="O810" s="544"/>
      <c r="P810" s="544"/>
      <c r="Q810" s="544"/>
      <c r="R810" s="544"/>
      <c r="S810" s="477"/>
      <c r="T810" s="477"/>
    </row>
    <row r="811" ht="12.75" customHeight="1">
      <c r="A811" s="544"/>
      <c r="B811" s="544"/>
      <c r="C811" s="703"/>
      <c r="D811" s="597"/>
      <c r="E811" s="704"/>
      <c r="F811" s="703"/>
      <c r="G811" s="597"/>
      <c r="H811" s="453"/>
      <c r="I811" s="493"/>
      <c r="J811" s="597"/>
      <c r="K811" s="544"/>
      <c r="L811" s="544"/>
      <c r="M811" s="597"/>
      <c r="N811" s="597"/>
      <c r="O811" s="544"/>
      <c r="P811" s="544"/>
      <c r="Q811" s="544"/>
      <c r="R811" s="544"/>
      <c r="S811" s="477"/>
      <c r="T811" s="477"/>
    </row>
    <row r="812" ht="12.75" customHeight="1">
      <c r="A812" s="544"/>
      <c r="B812" s="544"/>
      <c r="C812" s="703"/>
      <c r="D812" s="597"/>
      <c r="E812" s="704"/>
      <c r="F812" s="703"/>
      <c r="G812" s="597"/>
      <c r="H812" s="453"/>
      <c r="I812" s="493"/>
      <c r="J812" s="597"/>
      <c r="K812" s="544"/>
      <c r="L812" s="544"/>
      <c r="M812" s="597"/>
      <c r="N812" s="597"/>
      <c r="O812" s="544"/>
      <c r="P812" s="544"/>
      <c r="Q812" s="544"/>
      <c r="R812" s="544"/>
      <c r="S812" s="477"/>
      <c r="T812" s="477"/>
    </row>
    <row r="813" ht="12.75" customHeight="1">
      <c r="A813" s="544"/>
      <c r="B813" s="544"/>
      <c r="C813" s="703"/>
      <c r="D813" s="597"/>
      <c r="E813" s="704"/>
      <c r="F813" s="703"/>
      <c r="G813" s="597"/>
      <c r="H813" s="453"/>
      <c r="I813" s="493"/>
      <c r="J813" s="597"/>
      <c r="K813" s="544"/>
      <c r="L813" s="544"/>
      <c r="M813" s="597"/>
      <c r="N813" s="597"/>
      <c r="O813" s="544"/>
      <c r="P813" s="544"/>
      <c r="Q813" s="544"/>
      <c r="R813" s="544"/>
      <c r="S813" s="477"/>
      <c r="T813" s="477"/>
    </row>
    <row r="814" ht="12.75" customHeight="1">
      <c r="A814" s="544"/>
      <c r="B814" s="544"/>
      <c r="C814" s="703"/>
      <c r="D814" s="597"/>
      <c r="E814" s="704"/>
      <c r="F814" s="703"/>
      <c r="G814" s="597"/>
      <c r="H814" s="453"/>
      <c r="I814" s="493"/>
      <c r="J814" s="597"/>
      <c r="K814" s="544"/>
      <c r="L814" s="544"/>
      <c r="M814" s="597"/>
      <c r="N814" s="597"/>
      <c r="O814" s="544"/>
      <c r="P814" s="544"/>
      <c r="Q814" s="544"/>
      <c r="R814" s="544"/>
      <c r="S814" s="477"/>
      <c r="T814" s="477"/>
    </row>
    <row r="815" ht="12.75" customHeight="1">
      <c r="A815" s="544"/>
      <c r="B815" s="544"/>
      <c r="C815" s="703"/>
      <c r="D815" s="597"/>
      <c r="E815" s="704"/>
      <c r="F815" s="703"/>
      <c r="G815" s="597"/>
      <c r="H815" s="453"/>
      <c r="I815" s="493"/>
      <c r="J815" s="597"/>
      <c r="K815" s="544"/>
      <c r="L815" s="544"/>
      <c r="M815" s="597"/>
      <c r="N815" s="597"/>
      <c r="O815" s="544"/>
      <c r="P815" s="544"/>
      <c r="Q815" s="544"/>
      <c r="R815" s="544"/>
      <c r="S815" s="477"/>
      <c r="T815" s="477"/>
    </row>
    <row r="816" ht="12.75" customHeight="1">
      <c r="A816" s="544"/>
      <c r="B816" s="544"/>
      <c r="C816" s="703"/>
      <c r="D816" s="597"/>
      <c r="E816" s="704"/>
      <c r="F816" s="703"/>
      <c r="G816" s="597"/>
      <c r="H816" s="453"/>
      <c r="I816" s="493"/>
      <c r="J816" s="597"/>
      <c r="K816" s="544"/>
      <c r="L816" s="544"/>
      <c r="M816" s="597"/>
      <c r="N816" s="597"/>
      <c r="O816" s="544"/>
      <c r="P816" s="544"/>
      <c r="Q816" s="544"/>
      <c r="R816" s="544"/>
      <c r="S816" s="477"/>
      <c r="T816" s="477"/>
    </row>
    <row r="817" ht="12.75" customHeight="1">
      <c r="A817" s="544"/>
      <c r="B817" s="544"/>
      <c r="C817" s="703"/>
      <c r="D817" s="597"/>
      <c r="E817" s="704"/>
      <c r="F817" s="703"/>
      <c r="G817" s="597"/>
      <c r="H817" s="453"/>
      <c r="I817" s="493"/>
      <c r="J817" s="597"/>
      <c r="K817" s="544"/>
      <c r="L817" s="544"/>
      <c r="M817" s="597"/>
      <c r="N817" s="597"/>
      <c r="O817" s="544"/>
      <c r="P817" s="544"/>
      <c r="Q817" s="544"/>
      <c r="R817" s="544"/>
      <c r="S817" s="477"/>
      <c r="T817" s="477"/>
    </row>
    <row r="818" ht="12.75" customHeight="1">
      <c r="A818" s="544"/>
      <c r="B818" s="544"/>
      <c r="C818" s="703"/>
      <c r="D818" s="597"/>
      <c r="E818" s="704"/>
      <c r="F818" s="703"/>
      <c r="G818" s="597"/>
      <c r="H818" s="453"/>
      <c r="I818" s="493"/>
      <c r="J818" s="597"/>
      <c r="K818" s="544"/>
      <c r="L818" s="544"/>
      <c r="M818" s="597"/>
      <c r="N818" s="597"/>
      <c r="O818" s="544"/>
      <c r="P818" s="544"/>
      <c r="Q818" s="544"/>
      <c r="R818" s="544"/>
      <c r="S818" s="477"/>
      <c r="T818" s="477"/>
    </row>
    <row r="819" ht="12.75" customHeight="1">
      <c r="A819" s="544"/>
      <c r="B819" s="544"/>
      <c r="C819" s="703"/>
      <c r="D819" s="597"/>
      <c r="E819" s="704"/>
      <c r="F819" s="703"/>
      <c r="G819" s="597"/>
      <c r="H819" s="453"/>
      <c r="I819" s="493"/>
      <c r="J819" s="597"/>
      <c r="K819" s="544"/>
      <c r="L819" s="544"/>
      <c r="M819" s="597"/>
      <c r="N819" s="597"/>
      <c r="O819" s="544"/>
      <c r="P819" s="544"/>
      <c r="Q819" s="544"/>
      <c r="R819" s="544"/>
      <c r="S819" s="477"/>
      <c r="T819" s="477"/>
    </row>
    <row r="820" ht="12.75" customHeight="1">
      <c r="A820" s="544"/>
      <c r="B820" s="544"/>
      <c r="C820" s="703"/>
      <c r="D820" s="597"/>
      <c r="E820" s="704"/>
      <c r="F820" s="703"/>
      <c r="G820" s="597"/>
      <c r="H820" s="453"/>
      <c r="I820" s="493"/>
      <c r="J820" s="597"/>
      <c r="K820" s="544"/>
      <c r="L820" s="544"/>
      <c r="M820" s="597"/>
      <c r="N820" s="597"/>
      <c r="O820" s="544"/>
      <c r="P820" s="544"/>
      <c r="Q820" s="544"/>
      <c r="R820" s="544"/>
      <c r="S820" s="477"/>
      <c r="T820" s="477"/>
    </row>
    <row r="821" ht="12.75" customHeight="1">
      <c r="A821" s="544"/>
      <c r="B821" s="544"/>
      <c r="C821" s="703"/>
      <c r="D821" s="597"/>
      <c r="E821" s="704"/>
      <c r="F821" s="703"/>
      <c r="G821" s="597"/>
      <c r="H821" s="453"/>
      <c r="I821" s="493"/>
      <c r="J821" s="597"/>
      <c r="K821" s="544"/>
      <c r="L821" s="544"/>
      <c r="M821" s="597"/>
      <c r="N821" s="597"/>
      <c r="O821" s="544"/>
      <c r="P821" s="544"/>
      <c r="Q821" s="544"/>
      <c r="R821" s="544"/>
      <c r="S821" s="477"/>
      <c r="T821" s="477"/>
    </row>
    <row r="822" ht="12.75" customHeight="1">
      <c r="A822" s="544"/>
      <c r="B822" s="544"/>
      <c r="C822" s="703"/>
      <c r="D822" s="597"/>
      <c r="E822" s="704"/>
      <c r="F822" s="703"/>
      <c r="G822" s="597"/>
      <c r="H822" s="453"/>
      <c r="I822" s="493"/>
      <c r="J822" s="597"/>
      <c r="K822" s="544"/>
      <c r="L822" s="544"/>
      <c r="M822" s="597"/>
      <c r="N822" s="597"/>
      <c r="O822" s="544"/>
      <c r="P822" s="544"/>
      <c r="Q822" s="544"/>
      <c r="R822" s="544"/>
      <c r="S822" s="477"/>
      <c r="T822" s="477"/>
    </row>
    <row r="823" ht="12.75" customHeight="1">
      <c r="A823" s="544"/>
      <c r="B823" s="544"/>
      <c r="C823" s="703"/>
      <c r="D823" s="597"/>
      <c r="E823" s="704"/>
      <c r="F823" s="703"/>
      <c r="G823" s="597"/>
      <c r="H823" s="453"/>
      <c r="I823" s="493"/>
      <c r="J823" s="597"/>
      <c r="K823" s="544"/>
      <c r="L823" s="544"/>
      <c r="M823" s="597"/>
      <c r="N823" s="597"/>
      <c r="O823" s="544"/>
      <c r="P823" s="544"/>
      <c r="Q823" s="544"/>
      <c r="R823" s="544"/>
      <c r="S823" s="477"/>
      <c r="T823" s="477"/>
    </row>
    <row r="824" ht="12.75" customHeight="1">
      <c r="A824" s="544"/>
      <c r="B824" s="544"/>
      <c r="C824" s="703"/>
      <c r="D824" s="597"/>
      <c r="E824" s="704"/>
      <c r="F824" s="703"/>
      <c r="G824" s="597"/>
      <c r="H824" s="453"/>
      <c r="I824" s="493"/>
      <c r="J824" s="597"/>
      <c r="K824" s="544"/>
      <c r="L824" s="544"/>
      <c r="M824" s="597"/>
      <c r="N824" s="597"/>
      <c r="O824" s="544"/>
      <c r="P824" s="544"/>
      <c r="Q824" s="544"/>
      <c r="R824" s="544"/>
      <c r="S824" s="477"/>
      <c r="T824" s="477"/>
    </row>
    <row r="825" ht="12.75" customHeight="1">
      <c r="A825" s="544"/>
      <c r="B825" s="544"/>
      <c r="C825" s="703"/>
      <c r="D825" s="597"/>
      <c r="E825" s="704"/>
      <c r="F825" s="703"/>
      <c r="G825" s="597"/>
      <c r="H825" s="453"/>
      <c r="I825" s="493"/>
      <c r="J825" s="597"/>
      <c r="K825" s="544"/>
      <c r="L825" s="544"/>
      <c r="M825" s="597"/>
      <c r="N825" s="597"/>
      <c r="O825" s="544"/>
      <c r="P825" s="544"/>
      <c r="Q825" s="544"/>
      <c r="R825" s="544"/>
      <c r="S825" s="477"/>
      <c r="T825" s="477"/>
    </row>
    <row r="826" ht="12.75" customHeight="1">
      <c r="A826" s="544"/>
      <c r="B826" s="544"/>
      <c r="C826" s="703"/>
      <c r="D826" s="597"/>
      <c r="E826" s="704"/>
      <c r="F826" s="703"/>
      <c r="G826" s="597"/>
      <c r="H826" s="453"/>
      <c r="I826" s="493"/>
      <c r="J826" s="597"/>
      <c r="K826" s="544"/>
      <c r="L826" s="544"/>
      <c r="M826" s="597"/>
      <c r="N826" s="597"/>
      <c r="O826" s="544"/>
      <c r="P826" s="544"/>
      <c r="Q826" s="544"/>
      <c r="R826" s="544"/>
      <c r="S826" s="477"/>
      <c r="T826" s="477"/>
    </row>
    <row r="827" ht="12.75" customHeight="1">
      <c r="A827" s="544"/>
      <c r="B827" s="544"/>
      <c r="C827" s="703"/>
      <c r="D827" s="597"/>
      <c r="E827" s="704"/>
      <c r="F827" s="703"/>
      <c r="G827" s="597"/>
      <c r="H827" s="453"/>
      <c r="I827" s="493"/>
      <c r="J827" s="597"/>
      <c r="K827" s="544"/>
      <c r="L827" s="544"/>
      <c r="M827" s="597"/>
      <c r="N827" s="597"/>
      <c r="O827" s="544"/>
      <c r="P827" s="544"/>
      <c r="Q827" s="544"/>
      <c r="R827" s="544"/>
      <c r="S827" s="477"/>
      <c r="T827" s="477"/>
    </row>
    <row r="828" ht="12.75" customHeight="1">
      <c r="A828" s="544"/>
      <c r="B828" s="544"/>
      <c r="C828" s="703"/>
      <c r="D828" s="597"/>
      <c r="E828" s="704"/>
      <c r="F828" s="703"/>
      <c r="G828" s="597"/>
      <c r="H828" s="453"/>
      <c r="I828" s="493"/>
      <c r="J828" s="597"/>
      <c r="K828" s="544"/>
      <c r="L828" s="544"/>
      <c r="M828" s="597"/>
      <c r="N828" s="597"/>
      <c r="O828" s="544"/>
      <c r="P828" s="544"/>
      <c r="Q828" s="544"/>
      <c r="R828" s="544"/>
      <c r="S828" s="477"/>
      <c r="T828" s="477"/>
    </row>
    <row r="829" ht="12.75" customHeight="1">
      <c r="A829" s="544"/>
      <c r="B829" s="544"/>
      <c r="C829" s="703"/>
      <c r="D829" s="597"/>
      <c r="E829" s="704"/>
      <c r="F829" s="703"/>
      <c r="G829" s="597"/>
      <c r="H829" s="453"/>
      <c r="I829" s="493"/>
      <c r="J829" s="597"/>
      <c r="K829" s="544"/>
      <c r="L829" s="544"/>
      <c r="M829" s="597"/>
      <c r="N829" s="597"/>
      <c r="O829" s="544"/>
      <c r="P829" s="544"/>
      <c r="Q829" s="544"/>
      <c r="R829" s="544"/>
      <c r="S829" s="477"/>
      <c r="T829" s="477"/>
    </row>
    <row r="830" ht="12.75" customHeight="1">
      <c r="A830" s="544"/>
      <c r="B830" s="544"/>
      <c r="C830" s="703"/>
      <c r="D830" s="597"/>
      <c r="E830" s="704"/>
      <c r="F830" s="703"/>
      <c r="G830" s="597"/>
      <c r="H830" s="453"/>
      <c r="I830" s="493"/>
      <c r="J830" s="597"/>
      <c r="K830" s="544"/>
      <c r="L830" s="544"/>
      <c r="M830" s="597"/>
      <c r="N830" s="597"/>
      <c r="O830" s="544"/>
      <c r="P830" s="544"/>
      <c r="Q830" s="544"/>
      <c r="R830" s="544"/>
      <c r="S830" s="477"/>
      <c r="T830" s="477"/>
    </row>
    <row r="831" ht="12.75" customHeight="1">
      <c r="A831" s="544"/>
      <c r="B831" s="544"/>
      <c r="C831" s="703"/>
      <c r="D831" s="597"/>
      <c r="E831" s="704"/>
      <c r="F831" s="703"/>
      <c r="G831" s="597"/>
      <c r="H831" s="453"/>
      <c r="I831" s="493"/>
      <c r="J831" s="597"/>
      <c r="K831" s="544"/>
      <c r="L831" s="544"/>
      <c r="M831" s="597"/>
      <c r="N831" s="597"/>
      <c r="O831" s="544"/>
      <c r="P831" s="544"/>
      <c r="Q831" s="544"/>
      <c r="R831" s="544"/>
      <c r="S831" s="477"/>
      <c r="T831" s="477"/>
    </row>
    <row r="832" ht="12.75" customHeight="1">
      <c r="A832" s="544"/>
      <c r="B832" s="544"/>
      <c r="C832" s="703"/>
      <c r="D832" s="597"/>
      <c r="E832" s="704"/>
      <c r="F832" s="703"/>
      <c r="G832" s="597"/>
      <c r="H832" s="453"/>
      <c r="I832" s="493"/>
      <c r="J832" s="597"/>
      <c r="K832" s="544"/>
      <c r="L832" s="544"/>
      <c r="M832" s="597"/>
      <c r="N832" s="597"/>
      <c r="O832" s="544"/>
      <c r="P832" s="544"/>
      <c r="Q832" s="544"/>
      <c r="R832" s="544"/>
      <c r="S832" s="477"/>
      <c r="T832" s="477"/>
    </row>
    <row r="833" ht="12.75" customHeight="1">
      <c r="A833" s="544"/>
      <c r="B833" s="544"/>
      <c r="C833" s="703"/>
      <c r="D833" s="597"/>
      <c r="E833" s="704"/>
      <c r="F833" s="703"/>
      <c r="G833" s="597"/>
      <c r="H833" s="453"/>
      <c r="I833" s="493"/>
      <c r="J833" s="597"/>
      <c r="K833" s="544"/>
      <c r="L833" s="544"/>
      <c r="M833" s="597"/>
      <c r="N833" s="597"/>
      <c r="O833" s="544"/>
      <c r="P833" s="544"/>
      <c r="Q833" s="544"/>
      <c r="R833" s="544"/>
      <c r="S833" s="477"/>
      <c r="T833" s="477"/>
    </row>
    <row r="834" ht="12.75" customHeight="1">
      <c r="A834" s="544"/>
      <c r="B834" s="544"/>
      <c r="C834" s="703"/>
      <c r="D834" s="597"/>
      <c r="E834" s="704"/>
      <c r="F834" s="703"/>
      <c r="G834" s="597"/>
      <c r="H834" s="453"/>
      <c r="I834" s="493"/>
      <c r="J834" s="597"/>
      <c r="K834" s="544"/>
      <c r="L834" s="544"/>
      <c r="M834" s="597"/>
      <c r="N834" s="597"/>
      <c r="O834" s="544"/>
      <c r="P834" s="544"/>
      <c r="Q834" s="544"/>
      <c r="R834" s="544"/>
      <c r="S834" s="477"/>
      <c r="T834" s="477"/>
    </row>
    <row r="835" ht="12.75" customHeight="1">
      <c r="A835" s="544"/>
      <c r="B835" s="544"/>
      <c r="C835" s="703"/>
      <c r="D835" s="597"/>
      <c r="E835" s="704"/>
      <c r="F835" s="703"/>
      <c r="G835" s="597"/>
      <c r="H835" s="453"/>
      <c r="I835" s="493"/>
      <c r="J835" s="597"/>
      <c r="K835" s="544"/>
      <c r="L835" s="544"/>
      <c r="M835" s="597"/>
      <c r="N835" s="597"/>
      <c r="O835" s="544"/>
      <c r="P835" s="544"/>
      <c r="Q835" s="544"/>
      <c r="R835" s="544"/>
      <c r="S835" s="477"/>
      <c r="T835" s="477"/>
    </row>
    <row r="836" ht="12.75" customHeight="1">
      <c r="A836" s="544"/>
      <c r="B836" s="544"/>
      <c r="C836" s="703"/>
      <c r="D836" s="597"/>
      <c r="E836" s="704"/>
      <c r="F836" s="703"/>
      <c r="G836" s="597"/>
      <c r="H836" s="453"/>
      <c r="I836" s="493"/>
      <c r="J836" s="597"/>
      <c r="K836" s="544"/>
      <c r="L836" s="544"/>
      <c r="M836" s="597"/>
      <c r="N836" s="597"/>
      <c r="O836" s="544"/>
      <c r="P836" s="544"/>
      <c r="Q836" s="544"/>
      <c r="R836" s="544"/>
      <c r="S836" s="477"/>
      <c r="T836" s="477"/>
    </row>
    <row r="837" ht="12.75" customHeight="1">
      <c r="A837" s="544"/>
      <c r="B837" s="544"/>
      <c r="C837" s="703"/>
      <c r="D837" s="597"/>
      <c r="E837" s="704"/>
      <c r="F837" s="703"/>
      <c r="G837" s="597"/>
      <c r="H837" s="453"/>
      <c r="I837" s="493"/>
      <c r="J837" s="597"/>
      <c r="K837" s="544"/>
      <c r="L837" s="544"/>
      <c r="M837" s="597"/>
      <c r="N837" s="597"/>
      <c r="O837" s="544"/>
      <c r="P837" s="544"/>
      <c r="Q837" s="544"/>
      <c r="R837" s="544"/>
      <c r="S837" s="477"/>
      <c r="T837" s="477"/>
    </row>
    <row r="838" ht="12.75" customHeight="1">
      <c r="A838" s="544"/>
      <c r="B838" s="544"/>
      <c r="C838" s="703"/>
      <c r="D838" s="597"/>
      <c r="E838" s="704"/>
      <c r="F838" s="703"/>
      <c r="G838" s="597"/>
      <c r="H838" s="453"/>
      <c r="I838" s="493"/>
      <c r="J838" s="597"/>
      <c r="K838" s="544"/>
      <c r="L838" s="544"/>
      <c r="M838" s="597"/>
      <c r="N838" s="597"/>
      <c r="O838" s="544"/>
      <c r="P838" s="544"/>
      <c r="Q838" s="544"/>
      <c r="R838" s="544"/>
      <c r="S838" s="477"/>
      <c r="T838" s="477"/>
    </row>
    <row r="839" ht="12.75" customHeight="1">
      <c r="A839" s="544"/>
      <c r="B839" s="544"/>
      <c r="C839" s="703"/>
      <c r="D839" s="597"/>
      <c r="E839" s="704"/>
      <c r="F839" s="703"/>
      <c r="G839" s="597"/>
      <c r="H839" s="453"/>
      <c r="I839" s="493"/>
      <c r="J839" s="597"/>
      <c r="K839" s="544"/>
      <c r="L839" s="544"/>
      <c r="M839" s="597"/>
      <c r="N839" s="597"/>
      <c r="O839" s="544"/>
      <c r="P839" s="544"/>
      <c r="Q839" s="544"/>
      <c r="R839" s="544"/>
      <c r="S839" s="477"/>
      <c r="T839" s="477"/>
    </row>
    <row r="840" ht="12.75" customHeight="1">
      <c r="A840" s="544"/>
      <c r="B840" s="544"/>
      <c r="C840" s="703"/>
      <c r="D840" s="597"/>
      <c r="E840" s="704"/>
      <c r="F840" s="703"/>
      <c r="G840" s="597"/>
      <c r="H840" s="453"/>
      <c r="I840" s="493"/>
      <c r="J840" s="597"/>
      <c r="K840" s="544"/>
      <c r="L840" s="544"/>
      <c r="M840" s="597"/>
      <c r="N840" s="597"/>
      <c r="O840" s="544"/>
      <c r="P840" s="544"/>
      <c r="Q840" s="544"/>
      <c r="R840" s="544"/>
      <c r="S840" s="477"/>
      <c r="T840" s="477"/>
    </row>
    <row r="841" ht="12.75" customHeight="1">
      <c r="A841" s="544"/>
      <c r="B841" s="544"/>
      <c r="C841" s="703"/>
      <c r="D841" s="597"/>
      <c r="E841" s="704"/>
      <c r="F841" s="703"/>
      <c r="G841" s="597"/>
      <c r="H841" s="453"/>
      <c r="I841" s="493"/>
      <c r="J841" s="597"/>
      <c r="K841" s="544"/>
      <c r="L841" s="544"/>
      <c r="M841" s="597"/>
      <c r="N841" s="597"/>
      <c r="O841" s="544"/>
      <c r="P841" s="544"/>
      <c r="Q841" s="544"/>
      <c r="R841" s="544"/>
      <c r="S841" s="477"/>
      <c r="T841" s="477"/>
    </row>
    <row r="842" ht="12.75" customHeight="1">
      <c r="A842" s="544"/>
      <c r="B842" s="544"/>
      <c r="C842" s="703"/>
      <c r="D842" s="597"/>
      <c r="E842" s="704"/>
      <c r="F842" s="703"/>
      <c r="G842" s="597"/>
      <c r="H842" s="453"/>
      <c r="I842" s="493"/>
      <c r="J842" s="597"/>
      <c r="K842" s="544"/>
      <c r="L842" s="544"/>
      <c r="M842" s="597"/>
      <c r="N842" s="597"/>
      <c r="O842" s="544"/>
      <c r="P842" s="544"/>
      <c r="Q842" s="544"/>
      <c r="R842" s="544"/>
      <c r="S842" s="477"/>
      <c r="T842" s="477"/>
    </row>
    <row r="843" ht="12.75" customHeight="1">
      <c r="A843" s="544"/>
      <c r="B843" s="544"/>
      <c r="C843" s="703"/>
      <c r="D843" s="597"/>
      <c r="E843" s="704"/>
      <c r="F843" s="703"/>
      <c r="G843" s="597"/>
      <c r="H843" s="453"/>
      <c r="I843" s="493"/>
      <c r="J843" s="597"/>
      <c r="K843" s="544"/>
      <c r="L843" s="544"/>
      <c r="M843" s="597"/>
      <c r="N843" s="597"/>
      <c r="O843" s="544"/>
      <c r="P843" s="544"/>
      <c r="Q843" s="544"/>
      <c r="R843" s="544"/>
      <c r="S843" s="477"/>
      <c r="T843" s="477"/>
    </row>
    <row r="844" ht="12.75" customHeight="1">
      <c r="A844" s="544"/>
      <c r="B844" s="544"/>
      <c r="C844" s="703"/>
      <c r="D844" s="597"/>
      <c r="E844" s="704"/>
      <c r="F844" s="703"/>
      <c r="G844" s="597"/>
      <c r="H844" s="453"/>
      <c r="I844" s="493"/>
      <c r="J844" s="597"/>
      <c r="K844" s="544"/>
      <c r="L844" s="544"/>
      <c r="M844" s="597"/>
      <c r="N844" s="597"/>
      <c r="O844" s="544"/>
      <c r="P844" s="544"/>
      <c r="Q844" s="544"/>
      <c r="R844" s="544"/>
      <c r="S844" s="477"/>
      <c r="T844" s="477"/>
    </row>
    <row r="845" ht="12.75" customHeight="1">
      <c r="A845" s="544"/>
      <c r="B845" s="544"/>
      <c r="C845" s="703"/>
      <c r="D845" s="597"/>
      <c r="E845" s="704"/>
      <c r="F845" s="703"/>
      <c r="G845" s="597"/>
      <c r="H845" s="453"/>
      <c r="I845" s="493"/>
      <c r="J845" s="597"/>
      <c r="K845" s="544"/>
      <c r="L845" s="544"/>
      <c r="M845" s="597"/>
      <c r="N845" s="597"/>
      <c r="O845" s="544"/>
      <c r="P845" s="544"/>
      <c r="Q845" s="544"/>
      <c r="R845" s="544"/>
      <c r="S845" s="477"/>
      <c r="T845" s="477"/>
    </row>
    <row r="846" ht="12.75" customHeight="1">
      <c r="A846" s="544"/>
      <c r="B846" s="544"/>
      <c r="C846" s="703"/>
      <c r="D846" s="597"/>
      <c r="E846" s="704"/>
      <c r="F846" s="703"/>
      <c r="G846" s="597"/>
      <c r="H846" s="453"/>
      <c r="I846" s="493"/>
      <c r="J846" s="597"/>
      <c r="K846" s="544"/>
      <c r="L846" s="544"/>
      <c r="M846" s="597"/>
      <c r="N846" s="597"/>
      <c r="O846" s="544"/>
      <c r="P846" s="544"/>
      <c r="Q846" s="544"/>
      <c r="R846" s="544"/>
      <c r="S846" s="477"/>
      <c r="T846" s="477"/>
    </row>
    <row r="847" ht="12.75" customHeight="1">
      <c r="A847" s="544"/>
      <c r="B847" s="544"/>
      <c r="C847" s="703"/>
      <c r="D847" s="597"/>
      <c r="E847" s="704"/>
      <c r="F847" s="703"/>
      <c r="G847" s="597"/>
      <c r="H847" s="453"/>
      <c r="I847" s="493"/>
      <c r="J847" s="597"/>
      <c r="K847" s="544"/>
      <c r="L847" s="544"/>
      <c r="M847" s="597"/>
      <c r="N847" s="597"/>
      <c r="O847" s="544"/>
      <c r="P847" s="544"/>
      <c r="Q847" s="544"/>
      <c r="R847" s="544"/>
      <c r="S847" s="477"/>
      <c r="T847" s="477"/>
    </row>
    <row r="848" ht="12.75" customHeight="1">
      <c r="A848" s="544"/>
      <c r="B848" s="544"/>
      <c r="C848" s="703"/>
      <c r="D848" s="597"/>
      <c r="E848" s="704"/>
      <c r="F848" s="703"/>
      <c r="G848" s="597"/>
      <c r="H848" s="453"/>
      <c r="I848" s="493"/>
      <c r="J848" s="597"/>
      <c r="K848" s="544"/>
      <c r="L848" s="544"/>
      <c r="M848" s="597"/>
      <c r="N848" s="597"/>
      <c r="O848" s="544"/>
      <c r="P848" s="544"/>
      <c r="Q848" s="544"/>
      <c r="R848" s="544"/>
      <c r="S848" s="477"/>
      <c r="T848" s="477"/>
    </row>
    <row r="849" ht="12.75" customHeight="1">
      <c r="A849" s="544"/>
      <c r="B849" s="544"/>
      <c r="C849" s="703"/>
      <c r="D849" s="597"/>
      <c r="E849" s="704"/>
      <c r="F849" s="703"/>
      <c r="G849" s="597"/>
      <c r="H849" s="453"/>
      <c r="I849" s="493"/>
      <c r="J849" s="597"/>
      <c r="K849" s="544"/>
      <c r="L849" s="544"/>
      <c r="M849" s="597"/>
      <c r="N849" s="597"/>
      <c r="O849" s="544"/>
      <c r="P849" s="544"/>
      <c r="Q849" s="544"/>
      <c r="R849" s="544"/>
      <c r="S849" s="477"/>
      <c r="T849" s="477"/>
    </row>
    <row r="850" ht="12.75" customHeight="1">
      <c r="A850" s="544"/>
      <c r="B850" s="544"/>
      <c r="C850" s="703"/>
      <c r="D850" s="597"/>
      <c r="E850" s="704"/>
      <c r="F850" s="703"/>
      <c r="G850" s="597"/>
      <c r="H850" s="453"/>
      <c r="I850" s="493"/>
      <c r="J850" s="597"/>
      <c r="K850" s="544"/>
      <c r="L850" s="544"/>
      <c r="M850" s="597"/>
      <c r="N850" s="597"/>
      <c r="O850" s="544"/>
      <c r="P850" s="544"/>
      <c r="Q850" s="544"/>
      <c r="R850" s="544"/>
      <c r="S850" s="477"/>
      <c r="T850" s="477"/>
    </row>
    <row r="851" ht="12.75" customHeight="1">
      <c r="A851" s="544"/>
      <c r="B851" s="544"/>
      <c r="C851" s="703"/>
      <c r="D851" s="597"/>
      <c r="E851" s="704"/>
      <c r="F851" s="703"/>
      <c r="G851" s="597"/>
      <c r="H851" s="453"/>
      <c r="I851" s="493"/>
      <c r="J851" s="597"/>
      <c r="K851" s="544"/>
      <c r="L851" s="544"/>
      <c r="M851" s="597"/>
      <c r="N851" s="597"/>
      <c r="O851" s="544"/>
      <c r="P851" s="544"/>
      <c r="Q851" s="544"/>
      <c r="R851" s="544"/>
      <c r="S851" s="477"/>
      <c r="T851" s="477"/>
    </row>
    <row r="852" ht="12.75" customHeight="1">
      <c r="A852" s="544"/>
      <c r="B852" s="544"/>
      <c r="C852" s="703"/>
      <c r="D852" s="597"/>
      <c r="E852" s="704"/>
      <c r="F852" s="703"/>
      <c r="G852" s="597"/>
      <c r="H852" s="453"/>
      <c r="I852" s="493"/>
      <c r="J852" s="597"/>
      <c r="K852" s="544"/>
      <c r="L852" s="544"/>
      <c r="M852" s="597"/>
      <c r="N852" s="597"/>
      <c r="O852" s="544"/>
      <c r="P852" s="544"/>
      <c r="Q852" s="544"/>
      <c r="R852" s="544"/>
      <c r="S852" s="477"/>
      <c r="T852" s="477"/>
    </row>
    <row r="853" ht="12.75" customHeight="1">
      <c r="A853" s="544"/>
      <c r="B853" s="544"/>
      <c r="C853" s="703"/>
      <c r="D853" s="597"/>
      <c r="E853" s="704"/>
      <c r="F853" s="703"/>
      <c r="G853" s="597"/>
      <c r="H853" s="453"/>
      <c r="I853" s="493"/>
      <c r="J853" s="597"/>
      <c r="K853" s="544"/>
      <c r="L853" s="544"/>
      <c r="M853" s="597"/>
      <c r="N853" s="597"/>
      <c r="O853" s="544"/>
      <c r="P853" s="544"/>
      <c r="Q853" s="544"/>
      <c r="R853" s="544"/>
      <c r="S853" s="477"/>
      <c r="T853" s="477"/>
    </row>
    <row r="854" ht="12.75" customHeight="1">
      <c r="A854" s="544"/>
      <c r="B854" s="544"/>
      <c r="C854" s="703"/>
      <c r="D854" s="597"/>
      <c r="E854" s="704"/>
      <c r="F854" s="703"/>
      <c r="G854" s="597"/>
      <c r="H854" s="453"/>
      <c r="I854" s="493"/>
      <c r="J854" s="597"/>
      <c r="K854" s="544"/>
      <c r="L854" s="544"/>
      <c r="M854" s="597"/>
      <c r="N854" s="597"/>
      <c r="O854" s="544"/>
      <c r="P854" s="544"/>
      <c r="Q854" s="544"/>
      <c r="R854" s="544"/>
      <c r="S854" s="477"/>
      <c r="T854" s="477"/>
    </row>
    <row r="855" ht="12.75" customHeight="1">
      <c r="A855" s="544"/>
      <c r="B855" s="544"/>
      <c r="C855" s="703"/>
      <c r="D855" s="597"/>
      <c r="E855" s="704"/>
      <c r="F855" s="703"/>
      <c r="G855" s="597"/>
      <c r="H855" s="453"/>
      <c r="I855" s="493"/>
      <c r="J855" s="597"/>
      <c r="K855" s="544"/>
      <c r="L855" s="544"/>
      <c r="M855" s="597"/>
      <c r="N855" s="597"/>
      <c r="O855" s="544"/>
      <c r="P855" s="544"/>
      <c r="Q855" s="544"/>
      <c r="R855" s="544"/>
      <c r="S855" s="477"/>
      <c r="T855" s="477"/>
    </row>
    <row r="856" ht="12.75" customHeight="1">
      <c r="A856" s="544"/>
      <c r="B856" s="544"/>
      <c r="C856" s="703"/>
      <c r="D856" s="597"/>
      <c r="E856" s="704"/>
      <c r="F856" s="703"/>
      <c r="G856" s="597"/>
      <c r="H856" s="453"/>
      <c r="I856" s="493"/>
      <c r="J856" s="597"/>
      <c r="K856" s="544"/>
      <c r="L856" s="544"/>
      <c r="M856" s="597"/>
      <c r="N856" s="597"/>
      <c r="O856" s="544"/>
      <c r="P856" s="544"/>
      <c r="Q856" s="544"/>
      <c r="R856" s="544"/>
      <c r="S856" s="477"/>
      <c r="T856" s="477"/>
    </row>
    <row r="857" ht="12.75" customHeight="1">
      <c r="A857" s="544"/>
      <c r="B857" s="544"/>
      <c r="C857" s="703"/>
      <c r="D857" s="597"/>
      <c r="E857" s="704"/>
      <c r="F857" s="703"/>
      <c r="G857" s="597"/>
      <c r="H857" s="453"/>
      <c r="I857" s="493"/>
      <c r="J857" s="597"/>
      <c r="K857" s="544"/>
      <c r="L857" s="544"/>
      <c r="M857" s="597"/>
      <c r="N857" s="597"/>
      <c r="O857" s="544"/>
      <c r="P857" s="544"/>
      <c r="Q857" s="544"/>
      <c r="R857" s="544"/>
      <c r="S857" s="477"/>
      <c r="T857" s="477"/>
    </row>
    <row r="858" ht="12.75" customHeight="1">
      <c r="A858" s="544"/>
      <c r="B858" s="544"/>
      <c r="C858" s="703"/>
      <c r="D858" s="597"/>
      <c r="E858" s="704"/>
      <c r="F858" s="703"/>
      <c r="G858" s="597"/>
      <c r="H858" s="453"/>
      <c r="I858" s="493"/>
      <c r="J858" s="597"/>
      <c r="K858" s="544"/>
      <c r="L858" s="544"/>
      <c r="M858" s="597"/>
      <c r="N858" s="597"/>
      <c r="O858" s="544"/>
      <c r="P858" s="544"/>
      <c r="Q858" s="544"/>
      <c r="R858" s="544"/>
      <c r="S858" s="477"/>
      <c r="T858" s="477"/>
    </row>
    <row r="859" ht="12.75" customHeight="1">
      <c r="A859" s="544"/>
      <c r="B859" s="544"/>
      <c r="C859" s="703"/>
      <c r="D859" s="597"/>
      <c r="E859" s="704"/>
      <c r="F859" s="703"/>
      <c r="G859" s="597"/>
      <c r="H859" s="453"/>
      <c r="I859" s="493"/>
      <c r="J859" s="597"/>
      <c r="K859" s="544"/>
      <c r="L859" s="544"/>
      <c r="M859" s="597"/>
      <c r="N859" s="597"/>
      <c r="O859" s="544"/>
      <c r="P859" s="544"/>
      <c r="Q859" s="544"/>
      <c r="R859" s="544"/>
      <c r="S859" s="477"/>
      <c r="T859" s="477"/>
    </row>
    <row r="860" ht="12.75" customHeight="1">
      <c r="A860" s="544"/>
      <c r="B860" s="544"/>
      <c r="C860" s="703"/>
      <c r="D860" s="597"/>
      <c r="E860" s="704"/>
      <c r="F860" s="703"/>
      <c r="G860" s="597"/>
      <c r="H860" s="453"/>
      <c r="I860" s="493"/>
      <c r="J860" s="597"/>
      <c r="K860" s="544"/>
      <c r="L860" s="544"/>
      <c r="M860" s="597"/>
      <c r="N860" s="597"/>
      <c r="O860" s="544"/>
      <c r="P860" s="544"/>
      <c r="Q860" s="544"/>
      <c r="R860" s="544"/>
      <c r="S860" s="477"/>
      <c r="T860" s="477"/>
    </row>
    <row r="861" ht="12.75" customHeight="1">
      <c r="A861" s="544"/>
      <c r="B861" s="544"/>
      <c r="C861" s="703"/>
      <c r="D861" s="597"/>
      <c r="E861" s="704"/>
      <c r="F861" s="703"/>
      <c r="G861" s="597"/>
      <c r="H861" s="453"/>
      <c r="I861" s="493"/>
      <c r="J861" s="597"/>
      <c r="K861" s="544"/>
      <c r="L861" s="544"/>
      <c r="M861" s="597"/>
      <c r="N861" s="597"/>
      <c r="O861" s="544"/>
      <c r="P861" s="544"/>
      <c r="Q861" s="544"/>
      <c r="R861" s="544"/>
      <c r="S861" s="477"/>
      <c r="T861" s="477"/>
    </row>
    <row r="862" ht="12.75" customHeight="1">
      <c r="A862" s="544"/>
      <c r="B862" s="544"/>
      <c r="C862" s="703"/>
      <c r="D862" s="597"/>
      <c r="E862" s="704"/>
      <c r="F862" s="703"/>
      <c r="G862" s="597"/>
      <c r="H862" s="453"/>
      <c r="I862" s="493"/>
      <c r="J862" s="597"/>
      <c r="K862" s="544"/>
      <c r="L862" s="544"/>
      <c r="M862" s="597"/>
      <c r="N862" s="597"/>
      <c r="O862" s="544"/>
      <c r="P862" s="544"/>
      <c r="Q862" s="544"/>
      <c r="R862" s="544"/>
      <c r="S862" s="477"/>
      <c r="T862" s="477"/>
    </row>
    <row r="863" ht="12.75" customHeight="1">
      <c r="A863" s="544"/>
      <c r="B863" s="544"/>
      <c r="C863" s="703"/>
      <c r="D863" s="597"/>
      <c r="E863" s="704"/>
      <c r="F863" s="703"/>
      <c r="G863" s="597"/>
      <c r="H863" s="453"/>
      <c r="I863" s="493"/>
      <c r="J863" s="597"/>
      <c r="K863" s="544"/>
      <c r="L863" s="544"/>
      <c r="M863" s="597"/>
      <c r="N863" s="597"/>
      <c r="O863" s="544"/>
      <c r="P863" s="544"/>
      <c r="Q863" s="544"/>
      <c r="R863" s="544"/>
      <c r="S863" s="477"/>
      <c r="T863" s="477"/>
    </row>
    <row r="864" ht="12.75" customHeight="1">
      <c r="A864" s="544"/>
      <c r="B864" s="544"/>
      <c r="C864" s="703"/>
      <c r="D864" s="597"/>
      <c r="E864" s="704"/>
      <c r="F864" s="703"/>
      <c r="G864" s="597"/>
      <c r="H864" s="453"/>
      <c r="I864" s="493"/>
      <c r="J864" s="597"/>
      <c r="K864" s="544"/>
      <c r="L864" s="544"/>
      <c r="M864" s="597"/>
      <c r="N864" s="597"/>
      <c r="O864" s="544"/>
      <c r="P864" s="544"/>
      <c r="Q864" s="544"/>
      <c r="R864" s="544"/>
      <c r="S864" s="477"/>
      <c r="T864" s="477"/>
    </row>
    <row r="865" ht="12.75" customHeight="1">
      <c r="A865" s="544"/>
      <c r="B865" s="544"/>
      <c r="C865" s="703"/>
      <c r="D865" s="597"/>
      <c r="E865" s="704"/>
      <c r="F865" s="703"/>
      <c r="G865" s="597"/>
      <c r="H865" s="453"/>
      <c r="I865" s="493"/>
      <c r="J865" s="597"/>
      <c r="K865" s="544"/>
      <c r="L865" s="544"/>
      <c r="M865" s="597"/>
      <c r="N865" s="597"/>
      <c r="O865" s="544"/>
      <c r="P865" s="544"/>
      <c r="Q865" s="544"/>
      <c r="R865" s="544"/>
      <c r="S865" s="477"/>
      <c r="T865" s="477"/>
    </row>
    <row r="866" ht="12.75" customHeight="1">
      <c r="A866" s="544"/>
      <c r="B866" s="544"/>
      <c r="C866" s="703"/>
      <c r="D866" s="597"/>
      <c r="E866" s="704"/>
      <c r="F866" s="703"/>
      <c r="G866" s="597"/>
      <c r="H866" s="453"/>
      <c r="I866" s="493"/>
      <c r="J866" s="597"/>
      <c r="K866" s="544"/>
      <c r="L866" s="544"/>
      <c r="M866" s="597"/>
      <c r="N866" s="597"/>
      <c r="O866" s="544"/>
      <c r="P866" s="544"/>
      <c r="Q866" s="544"/>
      <c r="R866" s="544"/>
      <c r="S866" s="477"/>
      <c r="T866" s="477"/>
    </row>
    <row r="867" ht="12.75" customHeight="1">
      <c r="A867" s="544"/>
      <c r="B867" s="544"/>
      <c r="C867" s="703"/>
      <c r="D867" s="597"/>
      <c r="E867" s="704"/>
      <c r="F867" s="703"/>
      <c r="G867" s="597"/>
      <c r="H867" s="453"/>
      <c r="I867" s="493"/>
      <c r="J867" s="597"/>
      <c r="K867" s="544"/>
      <c r="L867" s="544"/>
      <c r="M867" s="597"/>
      <c r="N867" s="597"/>
      <c r="O867" s="544"/>
      <c r="P867" s="544"/>
      <c r="Q867" s="544"/>
      <c r="R867" s="544"/>
      <c r="S867" s="477"/>
      <c r="T867" s="477"/>
    </row>
    <row r="868" ht="12.75" customHeight="1">
      <c r="A868" s="544"/>
      <c r="B868" s="544"/>
      <c r="C868" s="703"/>
      <c r="D868" s="597"/>
      <c r="E868" s="704"/>
      <c r="F868" s="703"/>
      <c r="G868" s="597"/>
      <c r="H868" s="453"/>
      <c r="I868" s="493"/>
      <c r="J868" s="597"/>
      <c r="K868" s="544"/>
      <c r="L868" s="544"/>
      <c r="M868" s="597"/>
      <c r="N868" s="597"/>
      <c r="O868" s="544"/>
      <c r="P868" s="544"/>
      <c r="Q868" s="544"/>
      <c r="R868" s="544"/>
      <c r="S868" s="477"/>
      <c r="T868" s="477"/>
    </row>
    <row r="869" ht="12.75" customHeight="1">
      <c r="A869" s="544"/>
      <c r="B869" s="544"/>
      <c r="C869" s="703"/>
      <c r="D869" s="597"/>
      <c r="E869" s="704"/>
      <c r="F869" s="703"/>
      <c r="G869" s="597"/>
      <c r="H869" s="453"/>
      <c r="I869" s="493"/>
      <c r="J869" s="597"/>
      <c r="K869" s="544"/>
      <c r="L869" s="544"/>
      <c r="M869" s="597"/>
      <c r="N869" s="597"/>
      <c r="O869" s="544"/>
      <c r="P869" s="544"/>
      <c r="Q869" s="544"/>
      <c r="R869" s="544"/>
      <c r="S869" s="477"/>
      <c r="T869" s="477"/>
    </row>
    <row r="870" ht="12.75" customHeight="1">
      <c r="A870" s="544"/>
      <c r="B870" s="544"/>
      <c r="C870" s="703"/>
      <c r="D870" s="597"/>
      <c r="E870" s="704"/>
      <c r="F870" s="703"/>
      <c r="G870" s="597"/>
      <c r="H870" s="453"/>
      <c r="I870" s="493"/>
      <c r="J870" s="597"/>
      <c r="K870" s="544"/>
      <c r="L870" s="544"/>
      <c r="M870" s="597"/>
      <c r="N870" s="597"/>
      <c r="O870" s="544"/>
      <c r="P870" s="544"/>
      <c r="Q870" s="544"/>
      <c r="R870" s="544"/>
      <c r="S870" s="477"/>
      <c r="T870" s="477"/>
    </row>
    <row r="871" ht="12.75" customHeight="1">
      <c r="A871" s="544"/>
      <c r="B871" s="544"/>
      <c r="C871" s="703"/>
      <c r="D871" s="597"/>
      <c r="E871" s="704"/>
      <c r="F871" s="703"/>
      <c r="G871" s="597"/>
      <c r="H871" s="453"/>
      <c r="I871" s="493"/>
      <c r="J871" s="597"/>
      <c r="K871" s="544"/>
      <c r="L871" s="544"/>
      <c r="M871" s="597"/>
      <c r="N871" s="597"/>
      <c r="O871" s="544"/>
      <c r="P871" s="544"/>
      <c r="Q871" s="544"/>
      <c r="R871" s="544"/>
      <c r="S871" s="477"/>
      <c r="T871" s="477"/>
    </row>
    <row r="872" ht="12.75" customHeight="1">
      <c r="A872" s="544"/>
      <c r="B872" s="544"/>
      <c r="C872" s="703"/>
      <c r="D872" s="597"/>
      <c r="E872" s="704"/>
      <c r="F872" s="703"/>
      <c r="G872" s="597"/>
      <c r="H872" s="453"/>
      <c r="I872" s="493"/>
      <c r="J872" s="597"/>
      <c r="K872" s="544"/>
      <c r="L872" s="544"/>
      <c r="M872" s="597"/>
      <c r="N872" s="597"/>
      <c r="O872" s="544"/>
      <c r="P872" s="544"/>
      <c r="Q872" s="544"/>
      <c r="R872" s="544"/>
      <c r="S872" s="477"/>
      <c r="T872" s="477"/>
    </row>
    <row r="873" ht="12.75" customHeight="1">
      <c r="A873" s="544"/>
      <c r="B873" s="544"/>
      <c r="C873" s="703"/>
      <c r="D873" s="597"/>
      <c r="E873" s="704"/>
      <c r="F873" s="703"/>
      <c r="G873" s="597"/>
      <c r="H873" s="453"/>
      <c r="I873" s="493"/>
      <c r="J873" s="597"/>
      <c r="K873" s="544"/>
      <c r="L873" s="544"/>
      <c r="M873" s="597"/>
      <c r="N873" s="597"/>
      <c r="O873" s="544"/>
      <c r="P873" s="544"/>
      <c r="Q873" s="544"/>
      <c r="R873" s="544"/>
      <c r="S873" s="477"/>
      <c r="T873" s="477"/>
    </row>
    <row r="874" ht="12.75" customHeight="1">
      <c r="A874" s="544"/>
      <c r="B874" s="544"/>
      <c r="C874" s="703"/>
      <c r="D874" s="597"/>
      <c r="E874" s="704"/>
      <c r="F874" s="703"/>
      <c r="G874" s="597"/>
      <c r="H874" s="453"/>
      <c r="I874" s="493"/>
      <c r="J874" s="597"/>
      <c r="K874" s="544"/>
      <c r="L874" s="544"/>
      <c r="M874" s="597"/>
      <c r="N874" s="597"/>
      <c r="O874" s="544"/>
      <c r="P874" s="544"/>
      <c r="Q874" s="544"/>
      <c r="R874" s="544"/>
      <c r="S874" s="477"/>
      <c r="T874" s="477"/>
    </row>
    <row r="875" ht="12.75" customHeight="1">
      <c r="A875" s="544"/>
      <c r="B875" s="544"/>
      <c r="C875" s="703"/>
      <c r="D875" s="597"/>
      <c r="E875" s="704"/>
      <c r="F875" s="703"/>
      <c r="G875" s="597"/>
      <c r="H875" s="453"/>
      <c r="I875" s="493"/>
      <c r="J875" s="597"/>
      <c r="K875" s="544"/>
      <c r="L875" s="544"/>
      <c r="M875" s="597"/>
      <c r="N875" s="597"/>
      <c r="O875" s="544"/>
      <c r="P875" s="544"/>
      <c r="Q875" s="544"/>
      <c r="R875" s="544"/>
      <c r="S875" s="477"/>
      <c r="T875" s="477"/>
    </row>
    <row r="876" ht="12.75" customHeight="1">
      <c r="A876" s="544"/>
      <c r="B876" s="544"/>
      <c r="C876" s="703"/>
      <c r="D876" s="597"/>
      <c r="E876" s="704"/>
      <c r="F876" s="703"/>
      <c r="G876" s="597"/>
      <c r="H876" s="453"/>
      <c r="I876" s="493"/>
      <c r="J876" s="597"/>
      <c r="K876" s="544"/>
      <c r="L876" s="544"/>
      <c r="M876" s="597"/>
      <c r="N876" s="597"/>
      <c r="O876" s="544"/>
      <c r="P876" s="544"/>
      <c r="Q876" s="544"/>
      <c r="R876" s="544"/>
      <c r="S876" s="477"/>
      <c r="T876" s="477"/>
    </row>
    <row r="877" ht="12.75" customHeight="1">
      <c r="A877" s="544"/>
      <c r="B877" s="544"/>
      <c r="C877" s="703"/>
      <c r="D877" s="597"/>
      <c r="E877" s="704"/>
      <c r="F877" s="703"/>
      <c r="G877" s="597"/>
      <c r="H877" s="453"/>
      <c r="I877" s="493"/>
      <c r="J877" s="597"/>
      <c r="K877" s="544"/>
      <c r="L877" s="544"/>
      <c r="M877" s="597"/>
      <c r="N877" s="597"/>
      <c r="O877" s="544"/>
      <c r="P877" s="544"/>
      <c r="Q877" s="544"/>
      <c r="R877" s="544"/>
      <c r="S877" s="477"/>
      <c r="T877" s="477"/>
    </row>
    <row r="878" ht="12.75" customHeight="1">
      <c r="A878" s="544"/>
      <c r="B878" s="544"/>
      <c r="C878" s="703"/>
      <c r="D878" s="597"/>
      <c r="E878" s="704"/>
      <c r="F878" s="703"/>
      <c r="G878" s="597"/>
      <c r="H878" s="453"/>
      <c r="I878" s="493"/>
      <c r="J878" s="597"/>
      <c r="K878" s="544"/>
      <c r="L878" s="544"/>
      <c r="M878" s="597"/>
      <c r="N878" s="597"/>
      <c r="O878" s="544"/>
      <c r="P878" s="544"/>
      <c r="Q878" s="544"/>
      <c r="R878" s="544"/>
      <c r="S878" s="477"/>
      <c r="T878" s="477"/>
    </row>
    <row r="879" ht="12.75" customHeight="1">
      <c r="A879" s="544"/>
      <c r="B879" s="544"/>
      <c r="C879" s="703"/>
      <c r="D879" s="597"/>
      <c r="E879" s="704"/>
      <c r="F879" s="703"/>
      <c r="G879" s="597"/>
      <c r="H879" s="453"/>
      <c r="I879" s="493"/>
      <c r="J879" s="597"/>
      <c r="K879" s="544"/>
      <c r="L879" s="544"/>
      <c r="M879" s="597"/>
      <c r="N879" s="597"/>
      <c r="O879" s="544"/>
      <c r="P879" s="544"/>
      <c r="Q879" s="544"/>
      <c r="R879" s="544"/>
      <c r="S879" s="477"/>
      <c r="T879" s="477"/>
    </row>
    <row r="880" ht="12.75" customHeight="1">
      <c r="A880" s="544"/>
      <c r="B880" s="544"/>
      <c r="C880" s="703"/>
      <c r="D880" s="597"/>
      <c r="E880" s="704"/>
      <c r="F880" s="703"/>
      <c r="G880" s="597"/>
      <c r="H880" s="453"/>
      <c r="I880" s="493"/>
      <c r="J880" s="597"/>
      <c r="K880" s="544"/>
      <c r="L880" s="544"/>
      <c r="M880" s="597"/>
      <c r="N880" s="597"/>
      <c r="O880" s="544"/>
      <c r="P880" s="544"/>
      <c r="Q880" s="544"/>
      <c r="R880" s="544"/>
      <c r="S880" s="477"/>
      <c r="T880" s="477"/>
    </row>
    <row r="881" ht="12.75" customHeight="1">
      <c r="A881" s="544"/>
      <c r="B881" s="544"/>
      <c r="C881" s="703"/>
      <c r="D881" s="597"/>
      <c r="E881" s="704"/>
      <c r="F881" s="703"/>
      <c r="G881" s="597"/>
      <c r="H881" s="453"/>
      <c r="I881" s="493"/>
      <c r="J881" s="597"/>
      <c r="K881" s="544"/>
      <c r="L881" s="544"/>
      <c r="M881" s="597"/>
      <c r="N881" s="597"/>
      <c r="O881" s="544"/>
      <c r="P881" s="544"/>
      <c r="Q881" s="544"/>
      <c r="R881" s="544"/>
      <c r="S881" s="477"/>
      <c r="T881" s="477"/>
    </row>
    <row r="882" ht="12.75" customHeight="1">
      <c r="A882" s="544"/>
      <c r="B882" s="544"/>
      <c r="C882" s="703"/>
      <c r="D882" s="597"/>
      <c r="E882" s="704"/>
      <c r="F882" s="703"/>
      <c r="G882" s="597"/>
      <c r="H882" s="453"/>
      <c r="I882" s="493"/>
      <c r="J882" s="597"/>
      <c r="K882" s="544"/>
      <c r="L882" s="544"/>
      <c r="M882" s="597"/>
      <c r="N882" s="597"/>
      <c r="O882" s="544"/>
      <c r="P882" s="544"/>
      <c r="Q882" s="544"/>
      <c r="R882" s="544"/>
      <c r="S882" s="477"/>
      <c r="T882" s="477"/>
    </row>
    <row r="883" ht="12.75" customHeight="1">
      <c r="A883" s="544"/>
      <c r="B883" s="544"/>
      <c r="C883" s="703"/>
      <c r="D883" s="597"/>
      <c r="E883" s="704"/>
      <c r="F883" s="703"/>
      <c r="G883" s="597"/>
      <c r="H883" s="453"/>
      <c r="I883" s="493"/>
      <c r="J883" s="597"/>
      <c r="K883" s="544"/>
      <c r="L883" s="544"/>
      <c r="M883" s="597"/>
      <c r="N883" s="597"/>
      <c r="O883" s="544"/>
      <c r="P883" s="544"/>
      <c r="Q883" s="544"/>
      <c r="R883" s="544"/>
      <c r="S883" s="477"/>
      <c r="T883" s="477"/>
    </row>
    <row r="884" ht="12.75" customHeight="1">
      <c r="A884" s="544"/>
      <c r="B884" s="544"/>
      <c r="C884" s="703"/>
      <c r="D884" s="597"/>
      <c r="E884" s="704"/>
      <c r="F884" s="703"/>
      <c r="G884" s="597"/>
      <c r="H884" s="453"/>
      <c r="I884" s="493"/>
      <c r="J884" s="597"/>
      <c r="K884" s="544"/>
      <c r="L884" s="544"/>
      <c r="M884" s="597"/>
      <c r="N884" s="597"/>
      <c r="O884" s="544"/>
      <c r="P884" s="544"/>
      <c r="Q884" s="544"/>
      <c r="R884" s="544"/>
      <c r="S884" s="477"/>
      <c r="T884" s="477"/>
    </row>
    <row r="885" ht="12.75" customHeight="1">
      <c r="A885" s="544"/>
      <c r="B885" s="544"/>
      <c r="C885" s="703"/>
      <c r="D885" s="597"/>
      <c r="E885" s="704"/>
      <c r="F885" s="703"/>
      <c r="G885" s="597"/>
      <c r="H885" s="453"/>
      <c r="I885" s="493"/>
      <c r="J885" s="597"/>
      <c r="K885" s="544"/>
      <c r="L885" s="544"/>
      <c r="M885" s="597"/>
      <c r="N885" s="597"/>
      <c r="O885" s="544"/>
      <c r="P885" s="544"/>
      <c r="Q885" s="544"/>
      <c r="R885" s="544"/>
      <c r="S885" s="477"/>
      <c r="T885" s="477"/>
    </row>
    <row r="886" ht="12.75" customHeight="1">
      <c r="A886" s="544"/>
      <c r="B886" s="544"/>
      <c r="C886" s="703"/>
      <c r="D886" s="597"/>
      <c r="E886" s="704"/>
      <c r="F886" s="703"/>
      <c r="G886" s="597"/>
      <c r="H886" s="453"/>
      <c r="I886" s="493"/>
      <c r="J886" s="597"/>
      <c r="K886" s="544"/>
      <c r="L886" s="544"/>
      <c r="M886" s="597"/>
      <c r="N886" s="597"/>
      <c r="O886" s="544"/>
      <c r="P886" s="544"/>
      <c r="Q886" s="544"/>
      <c r="R886" s="544"/>
      <c r="S886" s="477"/>
      <c r="T886" s="477"/>
    </row>
    <row r="887" ht="12.75" customHeight="1">
      <c r="A887" s="544"/>
      <c r="B887" s="544"/>
      <c r="C887" s="703"/>
      <c r="D887" s="597"/>
      <c r="E887" s="704"/>
      <c r="F887" s="703"/>
      <c r="G887" s="597"/>
      <c r="H887" s="453"/>
      <c r="I887" s="493"/>
      <c r="J887" s="597"/>
      <c r="K887" s="544"/>
      <c r="L887" s="544"/>
      <c r="M887" s="597"/>
      <c r="N887" s="597"/>
      <c r="O887" s="544"/>
      <c r="P887" s="544"/>
      <c r="Q887" s="544"/>
      <c r="R887" s="544"/>
      <c r="S887" s="477"/>
      <c r="T887" s="477"/>
    </row>
    <row r="888" ht="12.75" customHeight="1">
      <c r="A888" s="544"/>
      <c r="B888" s="544"/>
      <c r="C888" s="703"/>
      <c r="D888" s="597"/>
      <c r="E888" s="704"/>
      <c r="F888" s="703"/>
      <c r="G888" s="597"/>
      <c r="H888" s="453"/>
      <c r="I888" s="493"/>
      <c r="J888" s="597"/>
      <c r="K888" s="544"/>
      <c r="L888" s="544"/>
      <c r="M888" s="597"/>
      <c r="N888" s="597"/>
      <c r="O888" s="544"/>
      <c r="P888" s="544"/>
      <c r="Q888" s="544"/>
      <c r="R888" s="544"/>
      <c r="S888" s="477"/>
      <c r="T888" s="477"/>
    </row>
    <row r="889" ht="12.75" customHeight="1">
      <c r="A889" s="544"/>
      <c r="B889" s="544"/>
      <c r="C889" s="703"/>
      <c r="D889" s="597"/>
      <c r="E889" s="704"/>
      <c r="F889" s="703"/>
      <c r="G889" s="597"/>
      <c r="H889" s="453"/>
      <c r="I889" s="493"/>
      <c r="J889" s="597"/>
      <c r="K889" s="544"/>
      <c r="L889" s="544"/>
      <c r="M889" s="597"/>
      <c r="N889" s="597"/>
      <c r="O889" s="544"/>
      <c r="P889" s="544"/>
      <c r="Q889" s="544"/>
      <c r="R889" s="544"/>
      <c r="S889" s="477"/>
      <c r="T889" s="477"/>
    </row>
    <row r="890" ht="12.75" customHeight="1">
      <c r="A890" s="544"/>
      <c r="B890" s="544"/>
      <c r="C890" s="703"/>
      <c r="D890" s="597"/>
      <c r="E890" s="704"/>
      <c r="F890" s="703"/>
      <c r="G890" s="597"/>
      <c r="H890" s="453"/>
      <c r="I890" s="493"/>
      <c r="J890" s="597"/>
      <c r="K890" s="544"/>
      <c r="L890" s="544"/>
      <c r="M890" s="597"/>
      <c r="N890" s="597"/>
      <c r="O890" s="544"/>
      <c r="P890" s="544"/>
      <c r="Q890" s="544"/>
      <c r="R890" s="544"/>
      <c r="S890" s="477"/>
      <c r="T890" s="477"/>
    </row>
    <row r="891" ht="12.75" customHeight="1">
      <c r="A891" s="544"/>
      <c r="B891" s="544"/>
      <c r="C891" s="703"/>
      <c r="D891" s="597"/>
      <c r="E891" s="704"/>
      <c r="F891" s="703"/>
      <c r="G891" s="597"/>
      <c r="H891" s="453"/>
      <c r="I891" s="493"/>
      <c r="J891" s="597"/>
      <c r="K891" s="544"/>
      <c r="L891" s="544"/>
      <c r="M891" s="597"/>
      <c r="N891" s="597"/>
      <c r="O891" s="544"/>
      <c r="P891" s="544"/>
      <c r="Q891" s="544"/>
      <c r="R891" s="544"/>
      <c r="S891" s="477"/>
      <c r="T891" s="477"/>
    </row>
    <row r="892" ht="12.75" customHeight="1">
      <c r="A892" s="544"/>
      <c r="B892" s="544"/>
      <c r="C892" s="703"/>
      <c r="D892" s="597"/>
      <c r="E892" s="704"/>
      <c r="F892" s="703"/>
      <c r="G892" s="597"/>
      <c r="H892" s="453"/>
      <c r="I892" s="493"/>
      <c r="J892" s="597"/>
      <c r="K892" s="544"/>
      <c r="L892" s="544"/>
      <c r="M892" s="597"/>
      <c r="N892" s="597"/>
      <c r="O892" s="544"/>
      <c r="P892" s="544"/>
      <c r="Q892" s="544"/>
      <c r="R892" s="544"/>
      <c r="S892" s="477"/>
      <c r="T892" s="477"/>
    </row>
    <row r="893" ht="12.75" customHeight="1">
      <c r="A893" s="544"/>
      <c r="B893" s="544"/>
      <c r="C893" s="703"/>
      <c r="D893" s="597"/>
      <c r="E893" s="704"/>
      <c r="F893" s="703"/>
      <c r="G893" s="597"/>
      <c r="H893" s="453"/>
      <c r="I893" s="493"/>
      <c r="J893" s="597"/>
      <c r="K893" s="544"/>
      <c r="L893" s="544"/>
      <c r="M893" s="597"/>
      <c r="N893" s="597"/>
      <c r="O893" s="544"/>
      <c r="P893" s="544"/>
      <c r="Q893" s="544"/>
      <c r="R893" s="544"/>
      <c r="S893" s="477"/>
      <c r="T893" s="477"/>
    </row>
    <row r="894" ht="12.75" customHeight="1">
      <c r="A894" s="544"/>
      <c r="B894" s="544"/>
      <c r="C894" s="703"/>
      <c r="D894" s="597"/>
      <c r="E894" s="704"/>
      <c r="F894" s="703"/>
      <c r="G894" s="597"/>
      <c r="H894" s="453"/>
      <c r="I894" s="493"/>
      <c r="J894" s="597"/>
      <c r="K894" s="544"/>
      <c r="L894" s="544"/>
      <c r="M894" s="597"/>
      <c r="N894" s="597"/>
      <c r="O894" s="544"/>
      <c r="P894" s="544"/>
      <c r="Q894" s="544"/>
      <c r="R894" s="544"/>
      <c r="S894" s="477"/>
      <c r="T894" s="477"/>
    </row>
    <row r="895" ht="12.75" customHeight="1">
      <c r="A895" s="544"/>
      <c r="B895" s="544"/>
      <c r="C895" s="703"/>
      <c r="D895" s="597"/>
      <c r="E895" s="704"/>
      <c r="F895" s="703"/>
      <c r="G895" s="597"/>
      <c r="H895" s="453"/>
      <c r="I895" s="493"/>
      <c r="J895" s="597"/>
      <c r="K895" s="544"/>
      <c r="L895" s="544"/>
      <c r="M895" s="597"/>
      <c r="N895" s="597"/>
      <c r="O895" s="544"/>
      <c r="P895" s="544"/>
      <c r="Q895" s="544"/>
      <c r="R895" s="544"/>
      <c r="S895" s="477"/>
      <c r="T895" s="477"/>
    </row>
    <row r="896" ht="12.75" customHeight="1">
      <c r="A896" s="544"/>
      <c r="B896" s="544"/>
      <c r="C896" s="703"/>
      <c r="D896" s="597"/>
      <c r="E896" s="704"/>
      <c r="F896" s="703"/>
      <c r="G896" s="597"/>
      <c r="H896" s="453"/>
      <c r="I896" s="493"/>
      <c r="J896" s="597"/>
      <c r="K896" s="544"/>
      <c r="L896" s="544"/>
      <c r="M896" s="597"/>
      <c r="N896" s="597"/>
      <c r="O896" s="544"/>
      <c r="P896" s="544"/>
      <c r="Q896" s="544"/>
      <c r="R896" s="544"/>
      <c r="S896" s="477"/>
      <c r="T896" s="477"/>
    </row>
    <row r="897" ht="12.75" customHeight="1">
      <c r="A897" s="544"/>
      <c r="B897" s="544"/>
      <c r="C897" s="703"/>
      <c r="D897" s="597"/>
      <c r="E897" s="704"/>
      <c r="F897" s="703"/>
      <c r="G897" s="597"/>
      <c r="H897" s="453"/>
      <c r="I897" s="493"/>
      <c r="J897" s="597"/>
      <c r="K897" s="544"/>
      <c r="L897" s="544"/>
      <c r="M897" s="597"/>
      <c r="N897" s="597"/>
      <c r="O897" s="544"/>
      <c r="P897" s="544"/>
      <c r="Q897" s="544"/>
      <c r="R897" s="544"/>
      <c r="S897" s="477"/>
      <c r="T897" s="477"/>
    </row>
    <row r="898" ht="12.75" customHeight="1">
      <c r="A898" s="544"/>
      <c r="B898" s="544"/>
      <c r="C898" s="703"/>
      <c r="D898" s="597"/>
      <c r="E898" s="704"/>
      <c r="F898" s="703"/>
      <c r="G898" s="597"/>
      <c r="H898" s="453"/>
      <c r="I898" s="493"/>
      <c r="J898" s="597"/>
      <c r="K898" s="544"/>
      <c r="L898" s="544"/>
      <c r="M898" s="597"/>
      <c r="N898" s="597"/>
      <c r="O898" s="544"/>
      <c r="P898" s="544"/>
      <c r="Q898" s="544"/>
      <c r="R898" s="544"/>
      <c r="S898" s="477"/>
      <c r="T898" s="477"/>
    </row>
    <row r="899" ht="12.75" customHeight="1">
      <c r="A899" s="544"/>
      <c r="B899" s="544"/>
      <c r="C899" s="703"/>
      <c r="D899" s="597"/>
      <c r="E899" s="704"/>
      <c r="F899" s="703"/>
      <c r="G899" s="597"/>
      <c r="H899" s="453"/>
      <c r="I899" s="493"/>
      <c r="J899" s="597"/>
      <c r="K899" s="544"/>
      <c r="L899" s="544"/>
      <c r="M899" s="597"/>
      <c r="N899" s="597"/>
      <c r="O899" s="544"/>
      <c r="P899" s="544"/>
      <c r="Q899" s="544"/>
      <c r="R899" s="544"/>
      <c r="S899" s="477"/>
      <c r="T899" s="477"/>
    </row>
    <row r="900" ht="12.75" customHeight="1">
      <c r="A900" s="544"/>
      <c r="B900" s="544"/>
      <c r="C900" s="703"/>
      <c r="D900" s="597"/>
      <c r="E900" s="704"/>
      <c r="F900" s="703"/>
      <c r="G900" s="597"/>
      <c r="H900" s="453"/>
      <c r="I900" s="493"/>
      <c r="J900" s="597"/>
      <c r="K900" s="544"/>
      <c r="L900" s="544"/>
      <c r="M900" s="597"/>
      <c r="N900" s="597"/>
      <c r="O900" s="544"/>
      <c r="P900" s="544"/>
      <c r="Q900" s="544"/>
      <c r="R900" s="544"/>
      <c r="S900" s="477"/>
      <c r="T900" s="477"/>
    </row>
    <row r="901" ht="12.75" customHeight="1">
      <c r="A901" s="544"/>
      <c r="B901" s="544"/>
      <c r="C901" s="703"/>
      <c r="D901" s="597"/>
      <c r="E901" s="704"/>
      <c r="F901" s="703"/>
      <c r="G901" s="597"/>
      <c r="H901" s="453"/>
      <c r="I901" s="493"/>
      <c r="J901" s="597"/>
      <c r="K901" s="544"/>
      <c r="L901" s="544"/>
      <c r="M901" s="597"/>
      <c r="N901" s="597"/>
      <c r="O901" s="544"/>
      <c r="P901" s="544"/>
      <c r="Q901" s="544"/>
      <c r="R901" s="544"/>
      <c r="S901" s="477"/>
      <c r="T901" s="477"/>
    </row>
    <row r="902" ht="12.75" customHeight="1">
      <c r="A902" s="544"/>
      <c r="B902" s="544"/>
      <c r="C902" s="703"/>
      <c r="D902" s="597"/>
      <c r="E902" s="704"/>
      <c r="F902" s="703"/>
      <c r="G902" s="597"/>
      <c r="H902" s="453"/>
      <c r="I902" s="493"/>
      <c r="J902" s="597"/>
      <c r="K902" s="544"/>
      <c r="L902" s="544"/>
      <c r="M902" s="597"/>
      <c r="N902" s="597"/>
      <c r="O902" s="544"/>
      <c r="P902" s="544"/>
      <c r="Q902" s="544"/>
      <c r="R902" s="544"/>
      <c r="S902" s="477"/>
      <c r="T902" s="477"/>
    </row>
    <row r="903" ht="12.75" customHeight="1">
      <c r="A903" s="544"/>
      <c r="B903" s="544"/>
      <c r="C903" s="703"/>
      <c r="D903" s="597"/>
      <c r="E903" s="704"/>
      <c r="F903" s="703"/>
      <c r="G903" s="597"/>
      <c r="H903" s="453"/>
      <c r="I903" s="493"/>
      <c r="J903" s="597"/>
      <c r="K903" s="544"/>
      <c r="L903" s="544"/>
      <c r="M903" s="597"/>
      <c r="N903" s="597"/>
      <c r="O903" s="544"/>
      <c r="P903" s="544"/>
      <c r="Q903" s="544"/>
      <c r="R903" s="544"/>
      <c r="S903" s="477"/>
      <c r="T903" s="477"/>
    </row>
    <row r="904" ht="12.75" customHeight="1">
      <c r="A904" s="544"/>
      <c r="B904" s="544"/>
      <c r="C904" s="703"/>
      <c r="D904" s="597"/>
      <c r="E904" s="704"/>
      <c r="F904" s="703"/>
      <c r="G904" s="597"/>
      <c r="H904" s="453"/>
      <c r="I904" s="493"/>
      <c r="J904" s="597"/>
      <c r="K904" s="544"/>
      <c r="L904" s="544"/>
      <c r="M904" s="597"/>
      <c r="N904" s="597"/>
      <c r="O904" s="544"/>
      <c r="P904" s="544"/>
      <c r="Q904" s="544"/>
      <c r="R904" s="544"/>
      <c r="S904" s="477"/>
      <c r="T904" s="477"/>
    </row>
    <row r="905" ht="12.75" customHeight="1">
      <c r="A905" s="544"/>
      <c r="B905" s="544"/>
      <c r="C905" s="703"/>
      <c r="D905" s="597"/>
      <c r="E905" s="704"/>
      <c r="F905" s="703"/>
      <c r="G905" s="597"/>
      <c r="H905" s="453"/>
      <c r="I905" s="493"/>
      <c r="J905" s="597"/>
      <c r="K905" s="544"/>
      <c r="L905" s="544"/>
      <c r="M905" s="597"/>
      <c r="N905" s="597"/>
      <c r="O905" s="544"/>
      <c r="P905" s="544"/>
      <c r="Q905" s="544"/>
      <c r="R905" s="544"/>
      <c r="S905" s="477"/>
      <c r="T905" s="477"/>
    </row>
    <row r="906" ht="12.75" customHeight="1">
      <c r="A906" s="544"/>
      <c r="B906" s="544"/>
      <c r="C906" s="703"/>
      <c r="D906" s="597"/>
      <c r="E906" s="704"/>
      <c r="F906" s="703"/>
      <c r="G906" s="597"/>
      <c r="H906" s="453"/>
      <c r="I906" s="493"/>
      <c r="J906" s="597"/>
      <c r="K906" s="544"/>
      <c r="L906" s="544"/>
      <c r="M906" s="597"/>
      <c r="N906" s="597"/>
      <c r="O906" s="544"/>
      <c r="P906" s="544"/>
      <c r="Q906" s="544"/>
      <c r="R906" s="544"/>
      <c r="S906" s="477"/>
      <c r="T906" s="477"/>
    </row>
    <row r="907" ht="12.75" customHeight="1">
      <c r="A907" s="544"/>
      <c r="B907" s="544"/>
      <c r="C907" s="703"/>
      <c r="D907" s="597"/>
      <c r="E907" s="704"/>
      <c r="F907" s="703"/>
      <c r="G907" s="597"/>
      <c r="H907" s="453"/>
      <c r="I907" s="493"/>
      <c r="J907" s="597"/>
      <c r="K907" s="544"/>
      <c r="L907" s="544"/>
      <c r="M907" s="597"/>
      <c r="N907" s="597"/>
      <c r="O907" s="544"/>
      <c r="P907" s="544"/>
      <c r="Q907" s="544"/>
      <c r="R907" s="544"/>
      <c r="S907" s="477"/>
      <c r="T907" s="477"/>
    </row>
    <row r="908" ht="12.75" customHeight="1">
      <c r="A908" s="544"/>
      <c r="B908" s="544"/>
      <c r="C908" s="703"/>
      <c r="D908" s="597"/>
      <c r="E908" s="704"/>
      <c r="F908" s="703"/>
      <c r="G908" s="597"/>
      <c r="H908" s="453"/>
      <c r="I908" s="493"/>
      <c r="J908" s="597"/>
      <c r="K908" s="544"/>
      <c r="L908" s="544"/>
      <c r="M908" s="597"/>
      <c r="N908" s="597"/>
      <c r="O908" s="544"/>
      <c r="P908" s="544"/>
      <c r="Q908" s="544"/>
      <c r="R908" s="544"/>
      <c r="S908" s="477"/>
      <c r="T908" s="477"/>
    </row>
    <row r="909" ht="12.75" customHeight="1">
      <c r="A909" s="544"/>
      <c r="B909" s="544"/>
      <c r="C909" s="703"/>
      <c r="D909" s="597"/>
      <c r="E909" s="704"/>
      <c r="F909" s="703"/>
      <c r="G909" s="597"/>
      <c r="H909" s="453"/>
      <c r="I909" s="493"/>
      <c r="J909" s="597"/>
      <c r="K909" s="544"/>
      <c r="L909" s="544"/>
      <c r="M909" s="597"/>
      <c r="N909" s="597"/>
      <c r="O909" s="544"/>
      <c r="P909" s="544"/>
      <c r="Q909" s="544"/>
      <c r="R909" s="544"/>
      <c r="S909" s="477"/>
      <c r="T909" s="477"/>
    </row>
    <row r="910" ht="12.75" customHeight="1">
      <c r="A910" s="544"/>
      <c r="B910" s="544"/>
      <c r="C910" s="703"/>
      <c r="D910" s="597"/>
      <c r="E910" s="704"/>
      <c r="F910" s="703"/>
      <c r="G910" s="597"/>
      <c r="H910" s="453"/>
      <c r="I910" s="493"/>
      <c r="J910" s="597"/>
      <c r="K910" s="544"/>
      <c r="L910" s="544"/>
      <c r="M910" s="597"/>
      <c r="N910" s="597"/>
      <c r="O910" s="544"/>
      <c r="P910" s="544"/>
      <c r="Q910" s="544"/>
      <c r="R910" s="544"/>
      <c r="S910" s="477"/>
      <c r="T910" s="477"/>
    </row>
    <row r="911" ht="12.75" customHeight="1">
      <c r="A911" s="544"/>
      <c r="B911" s="544"/>
      <c r="C911" s="703"/>
      <c r="D911" s="597"/>
      <c r="E911" s="704"/>
      <c r="F911" s="703"/>
      <c r="G911" s="597"/>
      <c r="H911" s="453"/>
      <c r="I911" s="493"/>
      <c r="J911" s="597"/>
      <c r="K911" s="544"/>
      <c r="L911" s="544"/>
      <c r="M911" s="597"/>
      <c r="N911" s="597"/>
      <c r="O911" s="544"/>
      <c r="P911" s="544"/>
      <c r="Q911" s="544"/>
      <c r="R911" s="544"/>
      <c r="S911" s="477"/>
      <c r="T911" s="477"/>
    </row>
    <row r="912" ht="12.75" customHeight="1">
      <c r="A912" s="544"/>
      <c r="B912" s="544"/>
      <c r="C912" s="703"/>
      <c r="D912" s="597"/>
      <c r="E912" s="704"/>
      <c r="F912" s="703"/>
      <c r="G912" s="597"/>
      <c r="H912" s="453"/>
      <c r="I912" s="493"/>
      <c r="J912" s="597"/>
      <c r="K912" s="544"/>
      <c r="L912" s="544"/>
      <c r="M912" s="597"/>
      <c r="N912" s="597"/>
      <c r="O912" s="544"/>
      <c r="P912" s="544"/>
      <c r="Q912" s="544"/>
      <c r="R912" s="544"/>
      <c r="S912" s="477"/>
      <c r="T912" s="477"/>
    </row>
    <row r="913" ht="12.75" customHeight="1">
      <c r="A913" s="544"/>
      <c r="B913" s="544"/>
      <c r="C913" s="703"/>
      <c r="D913" s="597"/>
      <c r="E913" s="704"/>
      <c r="F913" s="703"/>
      <c r="G913" s="597"/>
      <c r="H913" s="453"/>
      <c r="I913" s="493"/>
      <c r="J913" s="597"/>
      <c r="K913" s="544"/>
      <c r="L913" s="544"/>
      <c r="M913" s="597"/>
      <c r="N913" s="597"/>
      <c r="O913" s="544"/>
      <c r="P913" s="544"/>
      <c r="Q913" s="544"/>
      <c r="R913" s="544"/>
      <c r="S913" s="477"/>
      <c r="T913" s="477"/>
    </row>
    <row r="914" ht="12.75" customHeight="1">
      <c r="A914" s="544"/>
      <c r="B914" s="544"/>
      <c r="C914" s="703"/>
      <c r="D914" s="597"/>
      <c r="E914" s="704"/>
      <c r="F914" s="703"/>
      <c r="G914" s="597"/>
      <c r="H914" s="453"/>
      <c r="I914" s="493"/>
      <c r="J914" s="597"/>
      <c r="K914" s="544"/>
      <c r="L914" s="544"/>
      <c r="M914" s="597"/>
      <c r="N914" s="597"/>
      <c r="O914" s="544"/>
      <c r="P914" s="544"/>
      <c r="Q914" s="544"/>
      <c r="R914" s="544"/>
      <c r="S914" s="477"/>
      <c r="T914" s="477"/>
    </row>
    <row r="915" ht="12.75" customHeight="1">
      <c r="A915" s="544"/>
      <c r="B915" s="544"/>
      <c r="C915" s="703"/>
      <c r="D915" s="597"/>
      <c r="E915" s="704"/>
      <c r="F915" s="703"/>
      <c r="G915" s="597"/>
      <c r="H915" s="453"/>
      <c r="I915" s="493"/>
      <c r="J915" s="597"/>
      <c r="K915" s="544"/>
      <c r="L915" s="544"/>
      <c r="M915" s="597"/>
      <c r="N915" s="597"/>
      <c r="O915" s="544"/>
      <c r="P915" s="544"/>
      <c r="Q915" s="544"/>
      <c r="R915" s="544"/>
      <c r="S915" s="477"/>
      <c r="T915" s="477"/>
    </row>
    <row r="916" ht="12.75" customHeight="1">
      <c r="A916" s="544"/>
      <c r="B916" s="544"/>
      <c r="C916" s="703"/>
      <c r="D916" s="597"/>
      <c r="E916" s="704"/>
      <c r="F916" s="703"/>
      <c r="G916" s="597"/>
      <c r="H916" s="453"/>
      <c r="I916" s="493"/>
      <c r="J916" s="597"/>
      <c r="K916" s="544"/>
      <c r="L916" s="544"/>
      <c r="M916" s="597"/>
      <c r="N916" s="597"/>
      <c r="O916" s="544"/>
      <c r="P916" s="544"/>
      <c r="Q916" s="544"/>
      <c r="R916" s="544"/>
      <c r="S916" s="477"/>
      <c r="T916" s="477"/>
    </row>
    <row r="917" ht="12.75" customHeight="1">
      <c r="A917" s="544"/>
      <c r="B917" s="544"/>
      <c r="C917" s="703"/>
      <c r="D917" s="597"/>
      <c r="E917" s="704"/>
      <c r="F917" s="703"/>
      <c r="G917" s="597"/>
      <c r="H917" s="453"/>
      <c r="I917" s="493"/>
      <c r="J917" s="597"/>
      <c r="K917" s="544"/>
      <c r="L917" s="544"/>
      <c r="M917" s="597"/>
      <c r="N917" s="597"/>
      <c r="O917" s="544"/>
      <c r="P917" s="544"/>
      <c r="Q917" s="544"/>
      <c r="R917" s="544"/>
      <c r="S917" s="477"/>
      <c r="T917" s="477"/>
    </row>
    <row r="918" ht="12.75" customHeight="1">
      <c r="A918" s="544"/>
      <c r="B918" s="544"/>
      <c r="C918" s="703"/>
      <c r="D918" s="597"/>
      <c r="E918" s="704"/>
      <c r="F918" s="703"/>
      <c r="G918" s="597"/>
      <c r="H918" s="453"/>
      <c r="I918" s="493"/>
      <c r="J918" s="597"/>
      <c r="K918" s="544"/>
      <c r="L918" s="544"/>
      <c r="M918" s="597"/>
      <c r="N918" s="597"/>
      <c r="O918" s="544"/>
      <c r="P918" s="544"/>
      <c r="Q918" s="544"/>
      <c r="R918" s="544"/>
      <c r="S918" s="477"/>
      <c r="T918" s="477"/>
    </row>
    <row r="919" ht="12.75" customHeight="1">
      <c r="A919" s="544"/>
      <c r="B919" s="544"/>
      <c r="C919" s="703"/>
      <c r="D919" s="597"/>
      <c r="E919" s="704"/>
      <c r="F919" s="703"/>
      <c r="G919" s="597"/>
      <c r="H919" s="453"/>
      <c r="I919" s="493"/>
      <c r="J919" s="597"/>
      <c r="K919" s="544"/>
      <c r="L919" s="544"/>
      <c r="M919" s="597"/>
      <c r="N919" s="597"/>
      <c r="O919" s="544"/>
      <c r="P919" s="544"/>
      <c r="Q919" s="544"/>
      <c r="R919" s="544"/>
      <c r="S919" s="477"/>
      <c r="T919" s="477"/>
    </row>
    <row r="920" ht="12.75" customHeight="1">
      <c r="A920" s="544"/>
      <c r="B920" s="544"/>
      <c r="C920" s="703"/>
      <c r="D920" s="597"/>
      <c r="E920" s="704"/>
      <c r="F920" s="703"/>
      <c r="G920" s="597"/>
      <c r="H920" s="453"/>
      <c r="I920" s="493"/>
      <c r="J920" s="597"/>
      <c r="K920" s="544"/>
      <c r="L920" s="544"/>
      <c r="M920" s="597"/>
      <c r="N920" s="597"/>
      <c r="O920" s="544"/>
      <c r="P920" s="544"/>
      <c r="Q920" s="544"/>
      <c r="R920" s="544"/>
      <c r="S920" s="477"/>
      <c r="T920" s="477"/>
    </row>
    <row r="921" ht="12.75" customHeight="1">
      <c r="A921" s="544"/>
      <c r="B921" s="544"/>
      <c r="C921" s="703"/>
      <c r="D921" s="597"/>
      <c r="E921" s="704"/>
      <c r="F921" s="703"/>
      <c r="G921" s="597"/>
      <c r="H921" s="453"/>
      <c r="I921" s="493"/>
      <c r="J921" s="597"/>
      <c r="K921" s="544"/>
      <c r="L921" s="544"/>
      <c r="M921" s="597"/>
      <c r="N921" s="597"/>
      <c r="O921" s="544"/>
      <c r="P921" s="544"/>
      <c r="Q921" s="544"/>
      <c r="R921" s="544"/>
      <c r="S921" s="477"/>
      <c r="T921" s="477"/>
    </row>
    <row r="922" ht="12.75" customHeight="1">
      <c r="A922" s="544"/>
      <c r="B922" s="544"/>
      <c r="C922" s="703"/>
      <c r="D922" s="597"/>
      <c r="E922" s="704"/>
      <c r="F922" s="703"/>
      <c r="G922" s="597"/>
      <c r="H922" s="453"/>
      <c r="I922" s="493"/>
      <c r="J922" s="597"/>
      <c r="K922" s="544"/>
      <c r="L922" s="544"/>
      <c r="M922" s="597"/>
      <c r="N922" s="597"/>
      <c r="O922" s="544"/>
      <c r="P922" s="544"/>
      <c r="Q922" s="544"/>
      <c r="R922" s="544"/>
      <c r="S922" s="477"/>
      <c r="T922" s="477"/>
    </row>
    <row r="923" ht="12.75" customHeight="1">
      <c r="A923" s="544"/>
      <c r="B923" s="544"/>
      <c r="C923" s="703"/>
      <c r="D923" s="597"/>
      <c r="E923" s="704"/>
      <c r="F923" s="703"/>
      <c r="G923" s="597"/>
      <c r="H923" s="453"/>
      <c r="I923" s="493"/>
      <c r="J923" s="597"/>
      <c r="K923" s="544"/>
      <c r="L923" s="544"/>
      <c r="M923" s="597"/>
      <c r="N923" s="597"/>
      <c r="O923" s="544"/>
      <c r="P923" s="544"/>
      <c r="Q923" s="544"/>
      <c r="R923" s="544"/>
      <c r="S923" s="477"/>
      <c r="T923" s="477"/>
    </row>
    <row r="924" ht="12.75" customHeight="1">
      <c r="A924" s="544"/>
      <c r="B924" s="544"/>
      <c r="C924" s="703"/>
      <c r="D924" s="597"/>
      <c r="E924" s="704"/>
      <c r="F924" s="703"/>
      <c r="G924" s="597"/>
      <c r="H924" s="453"/>
      <c r="I924" s="493"/>
      <c r="J924" s="597"/>
      <c r="K924" s="544"/>
      <c r="L924" s="544"/>
      <c r="M924" s="597"/>
      <c r="N924" s="597"/>
      <c r="O924" s="544"/>
      <c r="P924" s="544"/>
      <c r="Q924" s="544"/>
      <c r="R924" s="544"/>
      <c r="S924" s="477"/>
      <c r="T924" s="477"/>
    </row>
    <row r="925" ht="12.75" customHeight="1">
      <c r="A925" s="544"/>
      <c r="B925" s="544"/>
      <c r="C925" s="703"/>
      <c r="D925" s="597"/>
      <c r="E925" s="704"/>
      <c r="F925" s="703"/>
      <c r="G925" s="597"/>
      <c r="H925" s="453"/>
      <c r="I925" s="493"/>
      <c r="J925" s="597"/>
      <c r="K925" s="544"/>
      <c r="L925" s="544"/>
      <c r="M925" s="597"/>
      <c r="N925" s="597"/>
      <c r="O925" s="544"/>
      <c r="P925" s="544"/>
      <c r="Q925" s="544"/>
      <c r="R925" s="544"/>
      <c r="S925" s="477"/>
      <c r="T925" s="477"/>
    </row>
    <row r="926" ht="12.75" customHeight="1">
      <c r="A926" s="544"/>
      <c r="B926" s="544"/>
      <c r="C926" s="703"/>
      <c r="D926" s="597"/>
      <c r="E926" s="704"/>
      <c r="F926" s="703"/>
      <c r="G926" s="597"/>
      <c r="H926" s="453"/>
      <c r="I926" s="493"/>
      <c r="J926" s="597"/>
      <c r="K926" s="544"/>
      <c r="L926" s="544"/>
      <c r="M926" s="597"/>
      <c r="N926" s="597"/>
      <c r="O926" s="544"/>
      <c r="P926" s="544"/>
      <c r="Q926" s="544"/>
      <c r="R926" s="544"/>
      <c r="S926" s="477"/>
      <c r="T926" s="477"/>
    </row>
    <row r="927" ht="12.75" customHeight="1">
      <c r="A927" s="544"/>
      <c r="B927" s="544"/>
      <c r="C927" s="703"/>
      <c r="D927" s="597"/>
      <c r="E927" s="704"/>
      <c r="F927" s="703"/>
      <c r="G927" s="597"/>
      <c r="H927" s="453"/>
      <c r="I927" s="493"/>
      <c r="J927" s="597"/>
      <c r="K927" s="544"/>
      <c r="L927" s="544"/>
      <c r="M927" s="597"/>
      <c r="N927" s="597"/>
      <c r="O927" s="544"/>
      <c r="P927" s="544"/>
      <c r="Q927" s="544"/>
      <c r="R927" s="544"/>
      <c r="S927" s="477"/>
      <c r="T927" s="477"/>
    </row>
    <row r="928" ht="12.75" customHeight="1">
      <c r="A928" s="544"/>
      <c r="B928" s="544"/>
      <c r="C928" s="703"/>
      <c r="D928" s="597"/>
      <c r="E928" s="704"/>
      <c r="F928" s="703"/>
      <c r="G928" s="597"/>
      <c r="H928" s="453"/>
      <c r="I928" s="493"/>
      <c r="J928" s="597"/>
      <c r="K928" s="544"/>
      <c r="L928" s="544"/>
      <c r="M928" s="597"/>
      <c r="N928" s="597"/>
      <c r="O928" s="544"/>
      <c r="P928" s="544"/>
      <c r="Q928" s="544"/>
      <c r="R928" s="544"/>
      <c r="S928" s="477"/>
      <c r="T928" s="477"/>
    </row>
    <row r="929" ht="12.75" customHeight="1">
      <c r="A929" s="544"/>
      <c r="B929" s="544"/>
      <c r="C929" s="703"/>
      <c r="D929" s="597"/>
      <c r="E929" s="704"/>
      <c r="F929" s="703"/>
      <c r="G929" s="597"/>
      <c r="H929" s="453"/>
      <c r="I929" s="493"/>
      <c r="J929" s="597"/>
      <c r="K929" s="544"/>
      <c r="L929" s="544"/>
      <c r="M929" s="597"/>
      <c r="N929" s="597"/>
      <c r="O929" s="544"/>
      <c r="P929" s="544"/>
      <c r="Q929" s="544"/>
      <c r="R929" s="544"/>
      <c r="S929" s="477"/>
      <c r="T929" s="477"/>
    </row>
    <row r="930" ht="12.75" customHeight="1">
      <c r="A930" s="544"/>
      <c r="B930" s="544"/>
      <c r="C930" s="703"/>
      <c r="D930" s="597"/>
      <c r="E930" s="704"/>
      <c r="F930" s="703"/>
      <c r="G930" s="597"/>
      <c r="H930" s="453"/>
      <c r="I930" s="493"/>
      <c r="J930" s="597"/>
      <c r="K930" s="544"/>
      <c r="L930" s="544"/>
      <c r="M930" s="597"/>
      <c r="N930" s="597"/>
      <c r="O930" s="544"/>
      <c r="P930" s="544"/>
      <c r="Q930" s="544"/>
      <c r="R930" s="544"/>
      <c r="S930" s="477"/>
      <c r="T930" s="477"/>
    </row>
    <row r="931" ht="12.75" customHeight="1">
      <c r="A931" s="544"/>
      <c r="B931" s="544"/>
      <c r="C931" s="703"/>
      <c r="D931" s="597"/>
      <c r="E931" s="704"/>
      <c r="F931" s="703"/>
      <c r="G931" s="597"/>
      <c r="H931" s="453"/>
      <c r="I931" s="493"/>
      <c r="J931" s="597"/>
      <c r="K931" s="544"/>
      <c r="L931" s="544"/>
      <c r="M931" s="597"/>
      <c r="N931" s="597"/>
      <c r="O931" s="544"/>
      <c r="P931" s="544"/>
      <c r="Q931" s="544"/>
      <c r="R931" s="544"/>
      <c r="S931" s="477"/>
      <c r="T931" s="477"/>
    </row>
    <row r="932" ht="12.75" customHeight="1">
      <c r="A932" s="544"/>
      <c r="B932" s="544"/>
      <c r="C932" s="703"/>
      <c r="D932" s="597"/>
      <c r="E932" s="704"/>
      <c r="F932" s="703"/>
      <c r="G932" s="597"/>
      <c r="H932" s="453"/>
      <c r="I932" s="493"/>
      <c r="J932" s="597"/>
      <c r="K932" s="544"/>
      <c r="L932" s="544"/>
      <c r="M932" s="597"/>
      <c r="N932" s="597"/>
      <c r="O932" s="544"/>
      <c r="P932" s="544"/>
      <c r="Q932" s="544"/>
      <c r="R932" s="544"/>
      <c r="S932" s="477"/>
      <c r="T932" s="477"/>
    </row>
    <row r="933" ht="12.75" customHeight="1">
      <c r="A933" s="544"/>
      <c r="B933" s="544"/>
      <c r="C933" s="703"/>
      <c r="D933" s="597"/>
      <c r="E933" s="704"/>
      <c r="F933" s="703"/>
      <c r="G933" s="597"/>
      <c r="H933" s="453"/>
      <c r="I933" s="493"/>
      <c r="J933" s="597"/>
      <c r="K933" s="544"/>
      <c r="L933" s="544"/>
      <c r="M933" s="597"/>
      <c r="N933" s="597"/>
      <c r="O933" s="544"/>
      <c r="P933" s="544"/>
      <c r="Q933" s="544"/>
      <c r="R933" s="544"/>
      <c r="S933" s="477"/>
      <c r="T933" s="477"/>
    </row>
    <row r="934" ht="12.75" customHeight="1">
      <c r="A934" s="544"/>
      <c r="B934" s="544"/>
      <c r="C934" s="703"/>
      <c r="D934" s="597"/>
      <c r="E934" s="704"/>
      <c r="F934" s="703"/>
      <c r="G934" s="597"/>
      <c r="H934" s="453"/>
      <c r="I934" s="493"/>
      <c r="J934" s="597"/>
      <c r="K934" s="544"/>
      <c r="L934" s="544"/>
      <c r="M934" s="597"/>
      <c r="N934" s="597"/>
      <c r="O934" s="544"/>
      <c r="P934" s="544"/>
      <c r="Q934" s="544"/>
      <c r="R934" s="544"/>
      <c r="S934" s="477"/>
      <c r="T934" s="477"/>
    </row>
    <row r="935" ht="12.75" customHeight="1">
      <c r="A935" s="544"/>
      <c r="B935" s="544"/>
      <c r="C935" s="703"/>
      <c r="D935" s="597"/>
      <c r="E935" s="704"/>
      <c r="F935" s="703"/>
      <c r="G935" s="597"/>
      <c r="H935" s="453"/>
      <c r="I935" s="493"/>
      <c r="J935" s="597"/>
      <c r="K935" s="544"/>
      <c r="L935" s="544"/>
      <c r="M935" s="597"/>
      <c r="N935" s="597"/>
      <c r="O935" s="544"/>
      <c r="P935" s="544"/>
      <c r="Q935" s="544"/>
      <c r="R935" s="544"/>
      <c r="S935" s="477"/>
      <c r="T935" s="477"/>
    </row>
    <row r="936" ht="12.75" customHeight="1">
      <c r="A936" s="544"/>
      <c r="B936" s="544"/>
      <c r="C936" s="703"/>
      <c r="D936" s="597"/>
      <c r="E936" s="704"/>
      <c r="F936" s="703"/>
      <c r="G936" s="597"/>
      <c r="H936" s="453"/>
      <c r="I936" s="493"/>
      <c r="J936" s="597"/>
      <c r="K936" s="544"/>
      <c r="L936" s="544"/>
      <c r="M936" s="597"/>
      <c r="N936" s="597"/>
      <c r="O936" s="544"/>
      <c r="P936" s="544"/>
      <c r="Q936" s="544"/>
      <c r="R936" s="544"/>
      <c r="S936" s="477"/>
      <c r="T936" s="477"/>
    </row>
    <row r="937" ht="12.75" customHeight="1">
      <c r="A937" s="544"/>
      <c r="B937" s="544"/>
      <c r="C937" s="703"/>
      <c r="D937" s="597"/>
      <c r="E937" s="704"/>
      <c r="F937" s="703"/>
      <c r="G937" s="597"/>
      <c r="H937" s="453"/>
      <c r="I937" s="493"/>
      <c r="J937" s="597"/>
      <c r="K937" s="544"/>
      <c r="L937" s="544"/>
      <c r="M937" s="597"/>
      <c r="N937" s="597"/>
      <c r="O937" s="544"/>
      <c r="P937" s="544"/>
      <c r="Q937" s="544"/>
      <c r="R937" s="544"/>
      <c r="S937" s="477"/>
      <c r="T937" s="477"/>
    </row>
    <row r="938" ht="12.75" customHeight="1">
      <c r="A938" s="544"/>
      <c r="B938" s="544"/>
      <c r="C938" s="703"/>
      <c r="D938" s="597"/>
      <c r="E938" s="704"/>
      <c r="F938" s="703"/>
      <c r="G938" s="597"/>
      <c r="H938" s="453"/>
      <c r="I938" s="493"/>
      <c r="J938" s="597"/>
      <c r="K938" s="544"/>
      <c r="L938" s="544"/>
      <c r="M938" s="597"/>
      <c r="N938" s="597"/>
      <c r="O938" s="544"/>
      <c r="P938" s="544"/>
      <c r="Q938" s="544"/>
      <c r="R938" s="544"/>
      <c r="S938" s="477"/>
      <c r="T938" s="477"/>
    </row>
    <row r="939" ht="12.75" customHeight="1">
      <c r="A939" s="544"/>
      <c r="B939" s="544"/>
      <c r="C939" s="703"/>
      <c r="D939" s="597"/>
      <c r="E939" s="704"/>
      <c r="F939" s="703"/>
      <c r="G939" s="597"/>
      <c r="H939" s="453"/>
      <c r="I939" s="493"/>
      <c r="J939" s="597"/>
      <c r="K939" s="544"/>
      <c r="L939" s="544"/>
      <c r="M939" s="597"/>
      <c r="N939" s="597"/>
      <c r="O939" s="544"/>
      <c r="P939" s="544"/>
      <c r="Q939" s="544"/>
      <c r="R939" s="544"/>
      <c r="S939" s="477"/>
      <c r="T939" s="477"/>
    </row>
    <row r="940" ht="12.75" customHeight="1">
      <c r="A940" s="544"/>
      <c r="B940" s="544"/>
      <c r="C940" s="703"/>
      <c r="D940" s="597"/>
      <c r="E940" s="704"/>
      <c r="F940" s="703"/>
      <c r="G940" s="597"/>
      <c r="H940" s="453"/>
      <c r="I940" s="493"/>
      <c r="J940" s="597"/>
      <c r="K940" s="544"/>
      <c r="L940" s="544"/>
      <c r="M940" s="597"/>
      <c r="N940" s="597"/>
      <c r="O940" s="544"/>
      <c r="P940" s="544"/>
      <c r="Q940" s="544"/>
      <c r="R940" s="544"/>
      <c r="S940" s="477"/>
      <c r="T940" s="477"/>
    </row>
    <row r="941" ht="12.75" customHeight="1">
      <c r="A941" s="544"/>
      <c r="B941" s="544"/>
      <c r="C941" s="703"/>
      <c r="D941" s="597"/>
      <c r="E941" s="704"/>
      <c r="F941" s="703"/>
      <c r="G941" s="597"/>
      <c r="H941" s="453"/>
      <c r="I941" s="493"/>
      <c r="J941" s="597"/>
      <c r="K941" s="544"/>
      <c r="L941" s="544"/>
      <c r="M941" s="597"/>
      <c r="N941" s="597"/>
      <c r="O941" s="544"/>
      <c r="P941" s="544"/>
      <c r="Q941" s="544"/>
      <c r="R941" s="544"/>
      <c r="S941" s="477"/>
      <c r="T941" s="477"/>
    </row>
    <row r="942" ht="12.75" customHeight="1">
      <c r="A942" s="544"/>
      <c r="B942" s="544"/>
      <c r="C942" s="703"/>
      <c r="D942" s="597"/>
      <c r="E942" s="704"/>
      <c r="F942" s="703"/>
      <c r="G942" s="597"/>
      <c r="H942" s="453"/>
      <c r="I942" s="493"/>
      <c r="J942" s="597"/>
      <c r="K942" s="544"/>
      <c r="L942" s="544"/>
      <c r="M942" s="597"/>
      <c r="N942" s="597"/>
      <c r="O942" s="544"/>
      <c r="P942" s="544"/>
      <c r="Q942" s="544"/>
      <c r="R942" s="544"/>
      <c r="S942" s="477"/>
      <c r="T942" s="477"/>
    </row>
    <row r="943" ht="12.75" customHeight="1">
      <c r="A943" s="544"/>
      <c r="B943" s="544"/>
      <c r="C943" s="703"/>
      <c r="D943" s="597"/>
      <c r="E943" s="704"/>
      <c r="F943" s="703"/>
      <c r="G943" s="597"/>
      <c r="H943" s="453"/>
      <c r="I943" s="493"/>
      <c r="J943" s="597"/>
      <c r="K943" s="544"/>
      <c r="L943" s="544"/>
      <c r="M943" s="597"/>
      <c r="N943" s="597"/>
      <c r="O943" s="544"/>
      <c r="P943" s="544"/>
      <c r="Q943" s="544"/>
      <c r="R943" s="544"/>
      <c r="S943" s="477"/>
      <c r="T943" s="477"/>
    </row>
    <row r="944" ht="12.75" customHeight="1">
      <c r="A944" s="544"/>
      <c r="B944" s="544"/>
      <c r="C944" s="703"/>
      <c r="D944" s="597"/>
      <c r="E944" s="704"/>
      <c r="F944" s="703"/>
      <c r="G944" s="597"/>
      <c r="H944" s="453"/>
      <c r="I944" s="493"/>
      <c r="J944" s="597"/>
      <c r="K944" s="544"/>
      <c r="L944" s="544"/>
      <c r="M944" s="597"/>
      <c r="N944" s="597"/>
      <c r="O944" s="544"/>
      <c r="P944" s="544"/>
      <c r="Q944" s="544"/>
      <c r="R944" s="544"/>
      <c r="S944" s="477"/>
      <c r="T944" s="477"/>
    </row>
    <row r="945" ht="12.75" customHeight="1">
      <c r="A945" s="544"/>
      <c r="B945" s="544"/>
      <c r="C945" s="703"/>
      <c r="D945" s="597"/>
      <c r="E945" s="704"/>
      <c r="F945" s="703"/>
      <c r="G945" s="597"/>
      <c r="H945" s="453"/>
      <c r="I945" s="493"/>
      <c r="J945" s="597"/>
      <c r="K945" s="544"/>
      <c r="L945" s="544"/>
      <c r="M945" s="597"/>
      <c r="N945" s="597"/>
      <c r="O945" s="544"/>
      <c r="P945" s="544"/>
      <c r="Q945" s="544"/>
      <c r="R945" s="544"/>
      <c r="S945" s="477"/>
      <c r="T945" s="477"/>
    </row>
    <row r="946" ht="12.75" customHeight="1">
      <c r="A946" s="544"/>
      <c r="B946" s="544"/>
      <c r="C946" s="703"/>
      <c r="D946" s="597"/>
      <c r="E946" s="704"/>
      <c r="F946" s="703"/>
      <c r="G946" s="597"/>
      <c r="H946" s="453"/>
      <c r="I946" s="493"/>
      <c r="J946" s="597"/>
      <c r="K946" s="544"/>
      <c r="L946" s="544"/>
      <c r="M946" s="597"/>
      <c r="N946" s="597"/>
      <c r="O946" s="544"/>
      <c r="P946" s="544"/>
      <c r="Q946" s="544"/>
      <c r="R946" s="544"/>
      <c r="S946" s="477"/>
      <c r="T946" s="477"/>
    </row>
    <row r="947" ht="12.75" customHeight="1">
      <c r="A947" s="544"/>
      <c r="B947" s="544"/>
      <c r="C947" s="703"/>
      <c r="D947" s="597"/>
      <c r="E947" s="704"/>
      <c r="F947" s="703"/>
      <c r="G947" s="597"/>
      <c r="H947" s="453"/>
      <c r="I947" s="493"/>
      <c r="J947" s="597"/>
      <c r="K947" s="544"/>
      <c r="L947" s="544"/>
      <c r="M947" s="597"/>
      <c r="N947" s="597"/>
      <c r="O947" s="544"/>
      <c r="P947" s="544"/>
      <c r="Q947" s="544"/>
      <c r="R947" s="544"/>
      <c r="S947" s="477"/>
      <c r="T947" s="477"/>
    </row>
    <row r="948" ht="12.75" customHeight="1">
      <c r="A948" s="544"/>
      <c r="B948" s="544"/>
      <c r="C948" s="703"/>
      <c r="D948" s="597"/>
      <c r="E948" s="704"/>
      <c r="F948" s="703"/>
      <c r="G948" s="597"/>
      <c r="H948" s="453"/>
      <c r="I948" s="493"/>
      <c r="J948" s="597"/>
      <c r="K948" s="544"/>
      <c r="L948" s="544"/>
      <c r="M948" s="597"/>
      <c r="N948" s="597"/>
      <c r="O948" s="544"/>
      <c r="P948" s="544"/>
      <c r="Q948" s="544"/>
      <c r="R948" s="544"/>
      <c r="S948" s="477"/>
      <c r="T948" s="477"/>
    </row>
    <row r="949" ht="12.75" customHeight="1">
      <c r="A949" s="544"/>
      <c r="B949" s="544"/>
      <c r="C949" s="703"/>
      <c r="D949" s="597"/>
      <c r="E949" s="704"/>
      <c r="F949" s="703"/>
      <c r="G949" s="597"/>
      <c r="H949" s="453"/>
      <c r="I949" s="493"/>
      <c r="J949" s="597"/>
      <c r="K949" s="544"/>
      <c r="L949" s="544"/>
      <c r="M949" s="597"/>
      <c r="N949" s="597"/>
      <c r="O949" s="544"/>
      <c r="P949" s="544"/>
      <c r="Q949" s="544"/>
      <c r="R949" s="544"/>
      <c r="S949" s="477"/>
      <c r="T949" s="477"/>
    </row>
    <row r="950" ht="12.75" customHeight="1">
      <c r="A950" s="544"/>
      <c r="B950" s="544"/>
      <c r="C950" s="703"/>
      <c r="D950" s="597"/>
      <c r="E950" s="704"/>
      <c r="F950" s="703"/>
      <c r="G950" s="597"/>
      <c r="H950" s="453"/>
      <c r="I950" s="493"/>
      <c r="J950" s="597"/>
      <c r="K950" s="544"/>
      <c r="L950" s="544"/>
      <c r="M950" s="597"/>
      <c r="N950" s="597"/>
      <c r="O950" s="544"/>
      <c r="P950" s="544"/>
      <c r="Q950" s="544"/>
      <c r="R950" s="544"/>
      <c r="S950" s="477"/>
      <c r="T950" s="477"/>
    </row>
    <row r="951" ht="12.75" customHeight="1">
      <c r="A951" s="544"/>
      <c r="B951" s="544"/>
      <c r="C951" s="703"/>
      <c r="D951" s="597"/>
      <c r="E951" s="704"/>
      <c r="F951" s="703"/>
      <c r="G951" s="597"/>
      <c r="H951" s="453"/>
      <c r="I951" s="493"/>
      <c r="J951" s="597"/>
      <c r="K951" s="544"/>
      <c r="L951" s="544"/>
      <c r="M951" s="597"/>
      <c r="N951" s="597"/>
      <c r="O951" s="544"/>
      <c r="P951" s="544"/>
      <c r="Q951" s="544"/>
      <c r="R951" s="544"/>
      <c r="S951" s="477"/>
      <c r="T951" s="477"/>
    </row>
    <row r="952" ht="12.75" customHeight="1">
      <c r="A952" s="544"/>
      <c r="B952" s="544"/>
      <c r="C952" s="703"/>
      <c r="D952" s="597"/>
      <c r="E952" s="704"/>
      <c r="F952" s="703"/>
      <c r="G952" s="597"/>
      <c r="H952" s="453"/>
      <c r="I952" s="493"/>
      <c r="J952" s="597"/>
      <c r="K952" s="544"/>
      <c r="L952" s="544"/>
      <c r="M952" s="597"/>
      <c r="N952" s="597"/>
      <c r="O952" s="544"/>
      <c r="P952" s="544"/>
      <c r="Q952" s="544"/>
      <c r="R952" s="544"/>
      <c r="S952" s="477"/>
      <c r="T952" s="477"/>
    </row>
    <row r="953" ht="12.75" customHeight="1">
      <c r="A953" s="544"/>
      <c r="B953" s="544"/>
      <c r="C953" s="703"/>
      <c r="D953" s="597"/>
      <c r="E953" s="704"/>
      <c r="F953" s="703"/>
      <c r="G953" s="597"/>
      <c r="H953" s="453"/>
      <c r="I953" s="493"/>
      <c r="J953" s="597"/>
      <c r="K953" s="544"/>
      <c r="L953" s="544"/>
      <c r="M953" s="597"/>
      <c r="N953" s="597"/>
      <c r="O953" s="544"/>
      <c r="P953" s="544"/>
      <c r="Q953" s="544"/>
      <c r="R953" s="544"/>
      <c r="S953" s="477"/>
      <c r="T953" s="477"/>
    </row>
    <row r="954" ht="12.75" customHeight="1">
      <c r="A954" s="544"/>
      <c r="B954" s="544"/>
      <c r="C954" s="703"/>
      <c r="D954" s="597"/>
      <c r="E954" s="704"/>
      <c r="F954" s="703"/>
      <c r="G954" s="597"/>
      <c r="H954" s="453"/>
      <c r="I954" s="493"/>
      <c r="J954" s="597"/>
      <c r="K954" s="544"/>
      <c r="L954" s="544"/>
      <c r="M954" s="597"/>
      <c r="N954" s="597"/>
      <c r="O954" s="544"/>
      <c r="P954" s="544"/>
      <c r="Q954" s="544"/>
      <c r="R954" s="544"/>
      <c r="S954" s="477"/>
      <c r="T954" s="477"/>
    </row>
    <row r="955" ht="12.75" customHeight="1">
      <c r="A955" s="544"/>
      <c r="B955" s="544"/>
      <c r="C955" s="703"/>
      <c r="D955" s="597"/>
      <c r="E955" s="704"/>
      <c r="F955" s="703"/>
      <c r="G955" s="597"/>
      <c r="H955" s="453"/>
      <c r="I955" s="493"/>
      <c r="J955" s="597"/>
      <c r="K955" s="544"/>
      <c r="L955" s="544"/>
      <c r="M955" s="597"/>
      <c r="N955" s="597"/>
      <c r="O955" s="544"/>
      <c r="P955" s="544"/>
      <c r="Q955" s="544"/>
      <c r="R955" s="544"/>
      <c r="S955" s="477"/>
      <c r="T955" s="477"/>
    </row>
    <row r="956" ht="12.75" customHeight="1">
      <c r="A956" s="544"/>
      <c r="B956" s="544"/>
      <c r="C956" s="703"/>
      <c r="D956" s="597"/>
      <c r="E956" s="704"/>
      <c r="F956" s="703"/>
      <c r="G956" s="597"/>
      <c r="H956" s="453"/>
      <c r="I956" s="493"/>
      <c r="J956" s="597"/>
      <c r="K956" s="544"/>
      <c r="L956" s="544"/>
      <c r="M956" s="597"/>
      <c r="N956" s="597"/>
      <c r="O956" s="544"/>
      <c r="P956" s="544"/>
      <c r="Q956" s="544"/>
      <c r="R956" s="544"/>
      <c r="S956" s="477"/>
      <c r="T956" s="477"/>
    </row>
    <row r="957" ht="12.75" customHeight="1">
      <c r="A957" s="544"/>
      <c r="B957" s="544"/>
      <c r="C957" s="703"/>
      <c r="D957" s="597"/>
      <c r="E957" s="704"/>
      <c r="F957" s="703"/>
      <c r="G957" s="597"/>
      <c r="H957" s="453"/>
      <c r="I957" s="493"/>
      <c r="J957" s="597"/>
      <c r="K957" s="544"/>
      <c r="L957" s="544"/>
      <c r="M957" s="597"/>
      <c r="N957" s="597"/>
      <c r="O957" s="544"/>
      <c r="P957" s="544"/>
      <c r="Q957" s="544"/>
      <c r="R957" s="544"/>
      <c r="S957" s="477"/>
      <c r="T957" s="477"/>
    </row>
    <row r="958" ht="12.75" customHeight="1">
      <c r="A958" s="544"/>
      <c r="B958" s="544"/>
      <c r="C958" s="703"/>
      <c r="D958" s="597"/>
      <c r="E958" s="704"/>
      <c r="F958" s="703"/>
      <c r="G958" s="597"/>
      <c r="H958" s="453"/>
      <c r="I958" s="493"/>
      <c r="J958" s="597"/>
      <c r="K958" s="544"/>
      <c r="L958" s="544"/>
      <c r="M958" s="597"/>
      <c r="N958" s="597"/>
      <c r="O958" s="544"/>
      <c r="P958" s="544"/>
      <c r="Q958" s="544"/>
      <c r="R958" s="544"/>
      <c r="S958" s="477"/>
      <c r="T958" s="477"/>
    </row>
    <row r="959" ht="12.75" customHeight="1">
      <c r="A959" s="544"/>
      <c r="B959" s="544"/>
      <c r="C959" s="703"/>
      <c r="D959" s="597"/>
      <c r="E959" s="704"/>
      <c r="F959" s="703"/>
      <c r="G959" s="597"/>
      <c r="H959" s="453"/>
      <c r="I959" s="493"/>
      <c r="J959" s="597"/>
      <c r="K959" s="544"/>
      <c r="L959" s="544"/>
      <c r="M959" s="597"/>
      <c r="N959" s="597"/>
      <c r="O959" s="544"/>
      <c r="P959" s="544"/>
      <c r="Q959" s="544"/>
      <c r="R959" s="544"/>
      <c r="S959" s="477"/>
      <c r="T959" s="477"/>
    </row>
    <row r="960" ht="12.75" customHeight="1">
      <c r="A960" s="544"/>
      <c r="B960" s="544"/>
      <c r="C960" s="703"/>
      <c r="D960" s="597"/>
      <c r="E960" s="704"/>
      <c r="F960" s="703"/>
      <c r="G960" s="597"/>
      <c r="H960" s="453"/>
      <c r="I960" s="493"/>
      <c r="J960" s="597"/>
      <c r="K960" s="544"/>
      <c r="L960" s="544"/>
      <c r="M960" s="597"/>
      <c r="N960" s="597"/>
      <c r="O960" s="544"/>
      <c r="P960" s="544"/>
      <c r="Q960" s="544"/>
      <c r="R960" s="544"/>
      <c r="S960" s="477"/>
      <c r="T960" s="477"/>
    </row>
    <row r="961" ht="12.75" customHeight="1">
      <c r="A961" s="544"/>
      <c r="B961" s="544"/>
      <c r="C961" s="703"/>
      <c r="D961" s="597"/>
      <c r="E961" s="704"/>
      <c r="F961" s="703"/>
      <c r="G961" s="597"/>
      <c r="H961" s="453"/>
      <c r="I961" s="493"/>
      <c r="J961" s="597"/>
      <c r="K961" s="544"/>
      <c r="L961" s="544"/>
      <c r="M961" s="597"/>
      <c r="N961" s="597"/>
      <c r="O961" s="544"/>
      <c r="P961" s="544"/>
      <c r="Q961" s="544"/>
      <c r="R961" s="544"/>
      <c r="S961" s="477"/>
      <c r="T961" s="477"/>
    </row>
    <row r="962" ht="12.75" customHeight="1">
      <c r="A962" s="544"/>
      <c r="B962" s="544"/>
      <c r="C962" s="703"/>
      <c r="D962" s="597"/>
      <c r="E962" s="704"/>
      <c r="F962" s="703"/>
      <c r="G962" s="597"/>
      <c r="H962" s="453"/>
      <c r="I962" s="493"/>
      <c r="J962" s="597"/>
      <c r="K962" s="544"/>
      <c r="L962" s="544"/>
      <c r="M962" s="597"/>
      <c r="N962" s="597"/>
      <c r="O962" s="544"/>
      <c r="P962" s="544"/>
      <c r="Q962" s="544"/>
      <c r="R962" s="544"/>
      <c r="S962" s="477"/>
      <c r="T962" s="477"/>
    </row>
    <row r="963" ht="12.75" customHeight="1">
      <c r="A963" s="544"/>
      <c r="B963" s="544"/>
      <c r="C963" s="703"/>
      <c r="D963" s="597"/>
      <c r="E963" s="704"/>
      <c r="F963" s="703"/>
      <c r="G963" s="597"/>
      <c r="H963" s="453"/>
      <c r="I963" s="493"/>
      <c r="J963" s="597"/>
      <c r="K963" s="544"/>
      <c r="L963" s="544"/>
      <c r="M963" s="597"/>
      <c r="N963" s="597"/>
      <c r="O963" s="544"/>
      <c r="P963" s="544"/>
      <c r="Q963" s="544"/>
      <c r="R963" s="544"/>
      <c r="S963" s="477"/>
      <c r="T963" s="477"/>
    </row>
    <row r="964" ht="12.75" customHeight="1">
      <c r="A964" s="544"/>
      <c r="B964" s="544"/>
      <c r="C964" s="703"/>
      <c r="D964" s="597"/>
      <c r="E964" s="704"/>
      <c r="F964" s="703"/>
      <c r="G964" s="597"/>
      <c r="H964" s="453"/>
      <c r="I964" s="493"/>
      <c r="J964" s="597"/>
      <c r="K964" s="544"/>
      <c r="L964" s="544"/>
      <c r="M964" s="597"/>
      <c r="N964" s="597"/>
      <c r="O964" s="544"/>
      <c r="P964" s="544"/>
      <c r="Q964" s="544"/>
      <c r="R964" s="544"/>
      <c r="S964" s="477"/>
      <c r="T964" s="477"/>
    </row>
    <row r="965" ht="12.75" customHeight="1">
      <c r="A965" s="544"/>
      <c r="B965" s="544"/>
      <c r="C965" s="703"/>
      <c r="D965" s="597"/>
      <c r="E965" s="704"/>
      <c r="F965" s="703"/>
      <c r="G965" s="597"/>
      <c r="H965" s="453"/>
      <c r="I965" s="493"/>
      <c r="J965" s="597"/>
      <c r="K965" s="544"/>
      <c r="L965" s="544"/>
      <c r="M965" s="597"/>
      <c r="N965" s="597"/>
      <c r="O965" s="544"/>
      <c r="P965" s="544"/>
      <c r="Q965" s="544"/>
      <c r="R965" s="544"/>
      <c r="S965" s="477"/>
      <c r="T965" s="477"/>
    </row>
    <row r="966" ht="12.75" customHeight="1">
      <c r="A966" s="544"/>
      <c r="B966" s="544"/>
      <c r="C966" s="703"/>
      <c r="D966" s="597"/>
      <c r="E966" s="704"/>
      <c r="F966" s="703"/>
      <c r="G966" s="597"/>
      <c r="H966" s="453"/>
      <c r="I966" s="493"/>
      <c r="J966" s="597"/>
      <c r="K966" s="544"/>
      <c r="L966" s="544"/>
      <c r="M966" s="597"/>
      <c r="N966" s="597"/>
      <c r="O966" s="544"/>
      <c r="P966" s="544"/>
      <c r="Q966" s="544"/>
      <c r="R966" s="544"/>
      <c r="S966" s="477"/>
      <c r="T966" s="477"/>
    </row>
    <row r="967" ht="12.75" customHeight="1">
      <c r="A967" s="544"/>
      <c r="B967" s="544"/>
      <c r="C967" s="703"/>
      <c r="D967" s="597"/>
      <c r="E967" s="704"/>
      <c r="F967" s="703"/>
      <c r="G967" s="597"/>
      <c r="H967" s="453"/>
      <c r="I967" s="493"/>
      <c r="J967" s="597"/>
      <c r="K967" s="544"/>
      <c r="L967" s="544"/>
      <c r="M967" s="597"/>
      <c r="N967" s="597"/>
      <c r="O967" s="544"/>
      <c r="P967" s="544"/>
      <c r="Q967" s="544"/>
      <c r="R967" s="544"/>
      <c r="S967" s="477"/>
      <c r="T967" s="477"/>
    </row>
    <row r="968" ht="12.75" customHeight="1">
      <c r="A968" s="544"/>
      <c r="B968" s="544"/>
      <c r="C968" s="703"/>
      <c r="D968" s="597"/>
      <c r="E968" s="704"/>
      <c r="F968" s="703"/>
      <c r="G968" s="597"/>
      <c r="H968" s="453"/>
      <c r="I968" s="493"/>
      <c r="J968" s="597"/>
      <c r="K968" s="544"/>
      <c r="L968" s="544"/>
      <c r="M968" s="597"/>
      <c r="N968" s="597"/>
      <c r="O968" s="544"/>
      <c r="P968" s="544"/>
      <c r="Q968" s="544"/>
      <c r="R968" s="544"/>
      <c r="S968" s="477"/>
      <c r="T968" s="477"/>
    </row>
    <row r="969" ht="12.75" customHeight="1">
      <c r="A969" s="544"/>
      <c r="B969" s="544"/>
      <c r="C969" s="703"/>
      <c r="D969" s="597"/>
      <c r="E969" s="704"/>
      <c r="F969" s="703"/>
      <c r="G969" s="597"/>
      <c r="H969" s="453"/>
      <c r="I969" s="493"/>
      <c r="J969" s="597"/>
      <c r="K969" s="544"/>
      <c r="L969" s="544"/>
      <c r="M969" s="597"/>
      <c r="N969" s="597"/>
      <c r="O969" s="544"/>
      <c r="P969" s="544"/>
      <c r="Q969" s="544"/>
      <c r="R969" s="544"/>
      <c r="S969" s="477"/>
      <c r="T969" s="477"/>
    </row>
    <row r="970" ht="12.75" customHeight="1">
      <c r="A970" s="544"/>
      <c r="B970" s="544"/>
      <c r="C970" s="703"/>
      <c r="D970" s="597"/>
      <c r="E970" s="704"/>
      <c r="F970" s="703"/>
      <c r="G970" s="597"/>
      <c r="H970" s="453"/>
      <c r="I970" s="493"/>
      <c r="J970" s="597"/>
      <c r="K970" s="544"/>
      <c r="L970" s="544"/>
      <c r="M970" s="597"/>
      <c r="N970" s="597"/>
      <c r="O970" s="544"/>
      <c r="P970" s="544"/>
      <c r="Q970" s="544"/>
      <c r="R970" s="544"/>
      <c r="S970" s="477"/>
      <c r="T970" s="477"/>
    </row>
    <row r="971" ht="12.75" customHeight="1">
      <c r="A971" s="544"/>
      <c r="B971" s="544"/>
      <c r="C971" s="703"/>
      <c r="D971" s="597"/>
      <c r="E971" s="704"/>
      <c r="F971" s="703"/>
      <c r="G971" s="597"/>
      <c r="H971" s="453"/>
      <c r="I971" s="493"/>
      <c r="J971" s="597"/>
      <c r="K971" s="544"/>
      <c r="L971" s="544"/>
      <c r="M971" s="597"/>
      <c r="N971" s="597"/>
      <c r="O971" s="544"/>
      <c r="P971" s="544"/>
      <c r="Q971" s="544"/>
      <c r="R971" s="544"/>
      <c r="S971" s="477"/>
      <c r="T971" s="477"/>
    </row>
    <row r="972" ht="12.75" customHeight="1">
      <c r="A972" s="544"/>
      <c r="B972" s="544"/>
      <c r="C972" s="703"/>
      <c r="D972" s="597"/>
      <c r="E972" s="704"/>
      <c r="F972" s="703"/>
      <c r="G972" s="597"/>
      <c r="H972" s="453"/>
      <c r="I972" s="493"/>
      <c r="J972" s="597"/>
      <c r="K972" s="544"/>
      <c r="L972" s="544"/>
      <c r="M972" s="597"/>
      <c r="N972" s="597"/>
      <c r="O972" s="544"/>
      <c r="P972" s="544"/>
      <c r="Q972" s="544"/>
      <c r="R972" s="544"/>
      <c r="S972" s="477"/>
      <c r="T972" s="477"/>
    </row>
    <row r="973" ht="12.75" customHeight="1">
      <c r="A973" s="544"/>
      <c r="B973" s="544"/>
      <c r="C973" s="703"/>
      <c r="D973" s="597"/>
      <c r="E973" s="704"/>
      <c r="F973" s="703"/>
      <c r="G973" s="597"/>
      <c r="H973" s="453"/>
      <c r="I973" s="493"/>
      <c r="J973" s="597"/>
      <c r="K973" s="544"/>
      <c r="L973" s="544"/>
      <c r="M973" s="597"/>
      <c r="N973" s="597"/>
      <c r="O973" s="544"/>
      <c r="P973" s="544"/>
      <c r="Q973" s="544"/>
      <c r="R973" s="544"/>
      <c r="S973" s="477"/>
      <c r="T973" s="477"/>
    </row>
    <row r="974" ht="12.75" customHeight="1">
      <c r="A974" s="544"/>
      <c r="B974" s="544"/>
      <c r="C974" s="703"/>
      <c r="D974" s="597"/>
      <c r="E974" s="704"/>
      <c r="F974" s="703"/>
      <c r="G974" s="597"/>
      <c r="H974" s="453"/>
      <c r="I974" s="493"/>
      <c r="J974" s="597"/>
      <c r="K974" s="544"/>
      <c r="L974" s="544"/>
      <c r="M974" s="597"/>
      <c r="N974" s="597"/>
      <c r="O974" s="544"/>
      <c r="P974" s="544"/>
      <c r="Q974" s="544"/>
      <c r="R974" s="544"/>
      <c r="S974" s="477"/>
      <c r="T974" s="477"/>
    </row>
    <row r="975" ht="12.75" customHeight="1">
      <c r="A975" s="544"/>
      <c r="B975" s="544"/>
      <c r="C975" s="703"/>
      <c r="D975" s="597"/>
      <c r="E975" s="704"/>
      <c r="F975" s="703"/>
      <c r="G975" s="597"/>
      <c r="H975" s="453"/>
      <c r="I975" s="493"/>
      <c r="J975" s="597"/>
      <c r="K975" s="544"/>
      <c r="L975" s="544"/>
      <c r="M975" s="597"/>
      <c r="N975" s="597"/>
      <c r="O975" s="544"/>
      <c r="P975" s="544"/>
      <c r="Q975" s="544"/>
      <c r="R975" s="544"/>
      <c r="S975" s="477"/>
      <c r="T975" s="477"/>
    </row>
    <row r="976" ht="12.75" customHeight="1">
      <c r="A976" s="544"/>
      <c r="B976" s="544"/>
      <c r="C976" s="703"/>
      <c r="D976" s="597"/>
      <c r="E976" s="704"/>
      <c r="F976" s="703"/>
      <c r="G976" s="597"/>
      <c r="H976" s="453"/>
      <c r="I976" s="493"/>
      <c r="J976" s="597"/>
      <c r="K976" s="544"/>
      <c r="L976" s="544"/>
      <c r="M976" s="597"/>
      <c r="N976" s="597"/>
      <c r="O976" s="544"/>
      <c r="P976" s="544"/>
      <c r="Q976" s="544"/>
      <c r="R976" s="544"/>
      <c r="S976" s="477"/>
      <c r="T976" s="477"/>
    </row>
    <row r="977" ht="12.75" customHeight="1">
      <c r="A977" s="544"/>
      <c r="B977" s="544"/>
      <c r="C977" s="703"/>
      <c r="D977" s="597"/>
      <c r="E977" s="704"/>
      <c r="F977" s="703"/>
      <c r="G977" s="597"/>
      <c r="H977" s="453"/>
      <c r="I977" s="493"/>
      <c r="J977" s="597"/>
      <c r="K977" s="544"/>
      <c r="L977" s="544"/>
      <c r="M977" s="597"/>
      <c r="N977" s="597"/>
      <c r="O977" s="544"/>
      <c r="P977" s="544"/>
      <c r="Q977" s="544"/>
      <c r="R977" s="544"/>
      <c r="S977" s="477"/>
      <c r="T977" s="477"/>
    </row>
    <row r="978" ht="12.75" customHeight="1">
      <c r="A978" s="544"/>
      <c r="B978" s="544"/>
      <c r="C978" s="703"/>
      <c r="D978" s="597"/>
      <c r="E978" s="704"/>
      <c r="F978" s="703"/>
      <c r="G978" s="597"/>
      <c r="H978" s="453"/>
      <c r="I978" s="493"/>
      <c r="J978" s="597"/>
      <c r="K978" s="544"/>
      <c r="L978" s="544"/>
      <c r="M978" s="597"/>
      <c r="N978" s="597"/>
      <c r="O978" s="544"/>
      <c r="P978" s="544"/>
      <c r="Q978" s="544"/>
      <c r="R978" s="544"/>
      <c r="S978" s="477"/>
      <c r="T978" s="477"/>
    </row>
    <row r="979" ht="12.75" customHeight="1">
      <c r="A979" s="544"/>
      <c r="B979" s="544"/>
      <c r="C979" s="703"/>
      <c r="D979" s="597"/>
      <c r="E979" s="704"/>
      <c r="F979" s="703"/>
      <c r="G979" s="597"/>
      <c r="H979" s="453"/>
      <c r="I979" s="493"/>
      <c r="J979" s="597"/>
      <c r="K979" s="544"/>
      <c r="L979" s="544"/>
      <c r="M979" s="597"/>
      <c r="N979" s="597"/>
      <c r="O979" s="544"/>
      <c r="P979" s="544"/>
      <c r="Q979" s="544"/>
      <c r="R979" s="544"/>
      <c r="S979" s="477"/>
      <c r="T979" s="477"/>
    </row>
    <row r="980" ht="12.75" customHeight="1">
      <c r="A980" s="544"/>
      <c r="B980" s="544"/>
      <c r="C980" s="703"/>
      <c r="D980" s="597"/>
      <c r="E980" s="704"/>
      <c r="F980" s="703"/>
      <c r="G980" s="597"/>
      <c r="H980" s="453"/>
      <c r="I980" s="493"/>
      <c r="J980" s="597"/>
      <c r="K980" s="544"/>
      <c r="L980" s="544"/>
      <c r="M980" s="597"/>
      <c r="N980" s="597"/>
      <c r="O980" s="544"/>
      <c r="P980" s="544"/>
      <c r="Q980" s="544"/>
      <c r="R980" s="544"/>
      <c r="S980" s="477"/>
      <c r="T980" s="477"/>
    </row>
    <row r="981" ht="12.75" customHeight="1">
      <c r="A981" s="544"/>
      <c r="B981" s="544"/>
      <c r="C981" s="703"/>
      <c r="D981" s="597"/>
      <c r="E981" s="704"/>
      <c r="F981" s="703"/>
      <c r="G981" s="597"/>
      <c r="H981" s="453"/>
      <c r="I981" s="493"/>
      <c r="J981" s="597"/>
      <c r="K981" s="544"/>
      <c r="L981" s="544"/>
      <c r="M981" s="597"/>
      <c r="N981" s="597"/>
      <c r="O981" s="544"/>
      <c r="P981" s="544"/>
      <c r="Q981" s="544"/>
      <c r="R981" s="544"/>
      <c r="S981" s="477"/>
      <c r="T981" s="477"/>
    </row>
    <row r="982" ht="12.75" customHeight="1">
      <c r="A982" s="544"/>
      <c r="B982" s="544"/>
      <c r="C982" s="703"/>
      <c r="D982" s="597"/>
      <c r="E982" s="704"/>
      <c r="F982" s="703"/>
      <c r="G982" s="597"/>
      <c r="H982" s="453"/>
      <c r="I982" s="493"/>
      <c r="J982" s="597"/>
      <c r="K982" s="544"/>
      <c r="L982" s="544"/>
      <c r="M982" s="597"/>
      <c r="N982" s="597"/>
      <c r="O982" s="544"/>
      <c r="P982" s="544"/>
      <c r="Q982" s="544"/>
      <c r="R982" s="544"/>
      <c r="S982" s="477"/>
      <c r="T982" s="477"/>
    </row>
    <row r="983" ht="12.75" customHeight="1">
      <c r="A983" s="544"/>
      <c r="B983" s="544"/>
      <c r="C983" s="703"/>
      <c r="D983" s="597"/>
      <c r="E983" s="704"/>
      <c r="F983" s="703"/>
      <c r="G983" s="597"/>
      <c r="H983" s="453"/>
      <c r="I983" s="493"/>
      <c r="J983" s="597"/>
      <c r="K983" s="544"/>
      <c r="L983" s="544"/>
      <c r="M983" s="597"/>
      <c r="N983" s="597"/>
      <c r="O983" s="544"/>
      <c r="P983" s="544"/>
      <c r="Q983" s="544"/>
      <c r="R983" s="544"/>
      <c r="S983" s="477"/>
      <c r="T983" s="477"/>
    </row>
    <row r="984" ht="12.75" customHeight="1">
      <c r="A984" s="544"/>
      <c r="B984" s="544"/>
      <c r="C984" s="703"/>
      <c r="D984" s="597"/>
      <c r="E984" s="704"/>
      <c r="F984" s="703"/>
      <c r="G984" s="597"/>
      <c r="H984" s="453"/>
      <c r="I984" s="493"/>
      <c r="J984" s="597"/>
      <c r="K984" s="544"/>
      <c r="L984" s="544"/>
      <c r="M984" s="597"/>
      <c r="N984" s="597"/>
      <c r="O984" s="544"/>
      <c r="P984" s="544"/>
      <c r="Q984" s="544"/>
      <c r="R984" s="544"/>
      <c r="S984" s="477"/>
      <c r="T984" s="477"/>
    </row>
    <row r="985" ht="12.75" customHeight="1">
      <c r="A985" s="544"/>
      <c r="B985" s="544"/>
      <c r="C985" s="703"/>
      <c r="D985" s="597"/>
      <c r="E985" s="704"/>
      <c r="F985" s="703"/>
      <c r="G985" s="597"/>
      <c r="H985" s="453"/>
      <c r="I985" s="493"/>
      <c r="J985" s="597"/>
      <c r="K985" s="544"/>
      <c r="L985" s="544"/>
      <c r="M985" s="597"/>
      <c r="N985" s="597"/>
      <c r="O985" s="544"/>
      <c r="P985" s="544"/>
      <c r="Q985" s="544"/>
      <c r="R985" s="544"/>
      <c r="S985" s="477"/>
      <c r="T985" s="477"/>
    </row>
    <row r="986" ht="12.75" customHeight="1">
      <c r="A986" s="544"/>
      <c r="B986" s="544"/>
      <c r="C986" s="703"/>
      <c r="D986" s="597"/>
      <c r="E986" s="704"/>
      <c r="F986" s="703"/>
      <c r="G986" s="597"/>
      <c r="H986" s="453"/>
      <c r="I986" s="493"/>
      <c r="J986" s="597"/>
      <c r="K986" s="544"/>
      <c r="L986" s="544"/>
      <c r="M986" s="597"/>
      <c r="N986" s="597"/>
      <c r="O986" s="544"/>
      <c r="P986" s="544"/>
      <c r="Q986" s="544"/>
      <c r="R986" s="544"/>
      <c r="S986" s="477"/>
      <c r="T986" s="477"/>
    </row>
    <row r="987" ht="12.75" customHeight="1">
      <c r="A987" s="544"/>
      <c r="B987" s="544"/>
      <c r="C987" s="703"/>
      <c r="D987" s="597"/>
      <c r="E987" s="704"/>
      <c r="F987" s="703"/>
      <c r="G987" s="597"/>
      <c r="H987" s="453"/>
      <c r="I987" s="493"/>
      <c r="J987" s="597"/>
      <c r="K987" s="544"/>
      <c r="L987" s="544"/>
      <c r="M987" s="597"/>
      <c r="N987" s="597"/>
      <c r="O987" s="544"/>
      <c r="P987" s="544"/>
      <c r="Q987" s="544"/>
      <c r="R987" s="544"/>
      <c r="S987" s="477"/>
      <c r="T987" s="477"/>
    </row>
    <row r="988" ht="12.75" customHeight="1">
      <c r="A988" s="544"/>
      <c r="B988" s="544"/>
      <c r="C988" s="703"/>
      <c r="D988" s="597"/>
      <c r="E988" s="704"/>
      <c r="F988" s="703"/>
      <c r="G988" s="597"/>
      <c r="H988" s="453"/>
      <c r="I988" s="493"/>
      <c r="J988" s="597"/>
      <c r="K988" s="544"/>
      <c r="L988" s="544"/>
      <c r="M988" s="597"/>
      <c r="N988" s="597"/>
      <c r="O988" s="544"/>
      <c r="P988" s="544"/>
      <c r="Q988" s="544"/>
      <c r="R988" s="544"/>
      <c r="S988" s="477"/>
      <c r="T988" s="477"/>
    </row>
    <row r="989" ht="12.75" customHeight="1">
      <c r="A989" s="544"/>
      <c r="B989" s="544"/>
      <c r="C989" s="703"/>
      <c r="D989" s="597"/>
      <c r="E989" s="704"/>
      <c r="F989" s="703"/>
      <c r="G989" s="597"/>
      <c r="H989" s="453"/>
      <c r="I989" s="493"/>
      <c r="J989" s="597"/>
      <c r="K989" s="544"/>
      <c r="L989" s="544"/>
      <c r="M989" s="597"/>
      <c r="N989" s="597"/>
      <c r="O989" s="544"/>
      <c r="P989" s="544"/>
      <c r="Q989" s="544"/>
      <c r="R989" s="544"/>
      <c r="S989" s="477"/>
      <c r="T989" s="477"/>
    </row>
    <row r="990" ht="12.75" customHeight="1">
      <c r="A990" s="544"/>
      <c r="B990" s="544"/>
      <c r="C990" s="703"/>
      <c r="D990" s="597"/>
      <c r="E990" s="704"/>
      <c r="F990" s="703"/>
      <c r="G990" s="597"/>
      <c r="H990" s="453"/>
      <c r="I990" s="493"/>
      <c r="J990" s="597"/>
      <c r="K990" s="544"/>
      <c r="L990" s="544"/>
      <c r="M990" s="597"/>
      <c r="N990" s="597"/>
      <c r="O990" s="544"/>
      <c r="P990" s="544"/>
      <c r="Q990" s="544"/>
      <c r="R990" s="544"/>
      <c r="S990" s="477"/>
      <c r="T990" s="477"/>
    </row>
    <row r="991" ht="12.75" customHeight="1">
      <c r="A991" s="544"/>
      <c r="B991" s="544"/>
      <c r="C991" s="703"/>
      <c r="D991" s="597"/>
      <c r="E991" s="704"/>
      <c r="F991" s="703"/>
      <c r="G991" s="597"/>
      <c r="H991" s="453"/>
      <c r="I991" s="493"/>
      <c r="J991" s="597"/>
      <c r="K991" s="544"/>
      <c r="L991" s="544"/>
      <c r="M991" s="597"/>
      <c r="N991" s="597"/>
      <c r="O991" s="544"/>
      <c r="P991" s="544"/>
      <c r="Q991" s="544"/>
      <c r="R991" s="544"/>
      <c r="S991" s="477"/>
      <c r="T991" s="477"/>
    </row>
    <row r="992" ht="12.75" customHeight="1">
      <c r="A992" s="544"/>
      <c r="B992" s="544"/>
      <c r="C992" s="703"/>
      <c r="D992" s="597"/>
      <c r="E992" s="704"/>
      <c r="F992" s="703"/>
      <c r="G992" s="597"/>
      <c r="H992" s="453"/>
      <c r="I992" s="493"/>
      <c r="J992" s="597"/>
      <c r="K992" s="544"/>
      <c r="L992" s="544"/>
      <c r="M992" s="597"/>
      <c r="N992" s="597"/>
      <c r="O992" s="544"/>
      <c r="P992" s="544"/>
      <c r="Q992" s="544"/>
      <c r="R992" s="544"/>
      <c r="S992" s="477"/>
      <c r="T992" s="477"/>
    </row>
    <row r="993" ht="12.75" customHeight="1">
      <c r="A993" s="544"/>
      <c r="B993" s="544"/>
      <c r="C993" s="703"/>
      <c r="D993" s="597"/>
      <c r="E993" s="704"/>
      <c r="F993" s="703"/>
      <c r="G993" s="597"/>
      <c r="H993" s="453"/>
      <c r="I993" s="493"/>
      <c r="J993" s="597"/>
      <c r="K993" s="544"/>
      <c r="L993" s="544"/>
      <c r="M993" s="597"/>
      <c r="N993" s="597"/>
      <c r="O993" s="544"/>
      <c r="P993" s="544"/>
      <c r="Q993" s="544"/>
      <c r="R993" s="544"/>
      <c r="S993" s="477"/>
      <c r="T993" s="477"/>
    </row>
    <row r="994" ht="12.75" customHeight="1">
      <c r="A994" s="544"/>
      <c r="B994" s="544"/>
      <c r="C994" s="703"/>
      <c r="D994" s="597"/>
      <c r="E994" s="704"/>
      <c r="F994" s="703"/>
      <c r="G994" s="597"/>
      <c r="H994" s="453"/>
      <c r="I994" s="493"/>
      <c r="J994" s="597"/>
      <c r="K994" s="544"/>
      <c r="L994" s="544"/>
      <c r="M994" s="597"/>
      <c r="N994" s="597"/>
      <c r="O994" s="544"/>
      <c r="P994" s="544"/>
      <c r="Q994" s="544"/>
      <c r="R994" s="544"/>
      <c r="S994" s="477"/>
      <c r="T994" s="477"/>
    </row>
    <row r="995" ht="12.75" customHeight="1">
      <c r="A995" s="544"/>
      <c r="B995" s="544"/>
      <c r="C995" s="703"/>
      <c r="D995" s="597"/>
      <c r="E995" s="704"/>
      <c r="F995" s="703"/>
      <c r="G995" s="597"/>
      <c r="H995" s="453"/>
      <c r="I995" s="493"/>
      <c r="J995" s="597"/>
      <c r="K995" s="544"/>
      <c r="L995" s="544"/>
      <c r="M995" s="597"/>
      <c r="N995" s="597"/>
      <c r="O995" s="544"/>
      <c r="P995" s="544"/>
      <c r="Q995" s="544"/>
      <c r="R995" s="544"/>
      <c r="S995" s="477"/>
      <c r="T995" s="477"/>
    </row>
    <row r="996" ht="12.75" customHeight="1">
      <c r="A996" s="544"/>
      <c r="B996" s="544"/>
      <c r="C996" s="703"/>
      <c r="D996" s="597"/>
      <c r="E996" s="704"/>
      <c r="F996" s="703"/>
      <c r="G996" s="597"/>
      <c r="H996" s="453"/>
      <c r="I996" s="493"/>
      <c r="J996" s="597"/>
      <c r="K996" s="544"/>
      <c r="L996" s="544"/>
      <c r="M996" s="597"/>
      <c r="N996" s="597"/>
      <c r="O996" s="544"/>
      <c r="P996" s="544"/>
      <c r="Q996" s="544"/>
      <c r="R996" s="544"/>
      <c r="S996" s="477"/>
      <c r="T996" s="477"/>
    </row>
    <row r="997" ht="12.75" customHeight="1">
      <c r="A997" s="544"/>
      <c r="B997" s="544"/>
      <c r="C997" s="703"/>
      <c r="D997" s="597"/>
      <c r="E997" s="704"/>
      <c r="F997" s="703"/>
      <c r="G997" s="597"/>
      <c r="H997" s="453"/>
      <c r="I997" s="493"/>
      <c r="J997" s="597"/>
      <c r="K997" s="544"/>
      <c r="L997" s="544"/>
      <c r="M997" s="597"/>
      <c r="N997" s="597"/>
      <c r="O997" s="544"/>
      <c r="P997" s="544"/>
      <c r="Q997" s="544"/>
      <c r="R997" s="544"/>
      <c r="S997" s="477"/>
      <c r="T997" s="477"/>
    </row>
    <row r="998" ht="12.75" customHeight="1">
      <c r="A998" s="544"/>
      <c r="B998" s="544"/>
      <c r="C998" s="703"/>
      <c r="D998" s="597"/>
      <c r="E998" s="704"/>
      <c r="F998" s="703"/>
      <c r="G998" s="597"/>
      <c r="H998" s="453"/>
      <c r="I998" s="493"/>
      <c r="J998" s="597"/>
      <c r="K998" s="544"/>
      <c r="L998" s="544"/>
      <c r="M998" s="597"/>
      <c r="N998" s="597"/>
      <c r="O998" s="544"/>
      <c r="P998" s="544"/>
      <c r="Q998" s="544"/>
      <c r="R998" s="544"/>
      <c r="S998" s="477"/>
      <c r="T998" s="477"/>
    </row>
    <row r="999" ht="12.75" customHeight="1">
      <c r="A999" s="544"/>
      <c r="B999" s="544"/>
      <c r="C999" s="703"/>
      <c r="D999" s="597"/>
      <c r="E999" s="704"/>
      <c r="F999" s="703"/>
      <c r="G999" s="597"/>
      <c r="H999" s="453"/>
      <c r="I999" s="493"/>
      <c r="J999" s="597"/>
      <c r="K999" s="544"/>
      <c r="L999" s="544"/>
      <c r="M999" s="597"/>
      <c r="N999" s="597"/>
      <c r="O999" s="544"/>
      <c r="P999" s="544"/>
      <c r="Q999" s="544"/>
      <c r="R999" s="544"/>
      <c r="S999" s="477"/>
      <c r="T999" s="477"/>
    </row>
    <row r="1000" ht="12.75" customHeight="1">
      <c r="A1000" s="544"/>
      <c r="B1000" s="544"/>
      <c r="C1000" s="703"/>
      <c r="D1000" s="597"/>
      <c r="E1000" s="704"/>
      <c r="F1000" s="703"/>
      <c r="G1000" s="597"/>
      <c r="H1000" s="453"/>
      <c r="I1000" s="493"/>
      <c r="J1000" s="597"/>
      <c r="K1000" s="544"/>
      <c r="L1000" s="544"/>
      <c r="M1000" s="597"/>
      <c r="N1000" s="597"/>
      <c r="O1000" s="544"/>
      <c r="P1000" s="544"/>
      <c r="Q1000" s="544"/>
      <c r="R1000" s="544"/>
      <c r="S1000" s="477"/>
      <c r="T1000" s="477"/>
    </row>
    <row r="1001" ht="12.75" customHeight="1">
      <c r="A1001" s="544"/>
      <c r="B1001" s="544"/>
      <c r="C1001" s="703"/>
      <c r="D1001" s="597"/>
      <c r="E1001" s="704"/>
      <c r="F1001" s="703"/>
      <c r="G1001" s="597"/>
      <c r="H1001" s="453"/>
      <c r="I1001" s="493"/>
      <c r="J1001" s="597"/>
      <c r="K1001" s="544"/>
      <c r="L1001" s="544"/>
      <c r="M1001" s="597"/>
      <c r="N1001" s="597"/>
      <c r="O1001" s="544"/>
      <c r="P1001" s="544"/>
      <c r="Q1001" s="544"/>
      <c r="R1001" s="544"/>
      <c r="S1001" s="477"/>
      <c r="T1001" s="477"/>
    </row>
    <row r="1002" ht="12.75" customHeight="1">
      <c r="A1002" s="544"/>
      <c r="B1002" s="544"/>
      <c r="C1002" s="703"/>
      <c r="D1002" s="597"/>
      <c r="E1002" s="704"/>
      <c r="F1002" s="703"/>
      <c r="G1002" s="597"/>
      <c r="H1002" s="453"/>
      <c r="I1002" s="493"/>
      <c r="J1002" s="597"/>
      <c r="K1002" s="544"/>
      <c r="L1002" s="544"/>
      <c r="M1002" s="597"/>
      <c r="N1002" s="597"/>
      <c r="O1002" s="544"/>
      <c r="P1002" s="544"/>
      <c r="Q1002" s="544"/>
      <c r="R1002" s="544"/>
      <c r="S1002" s="477"/>
      <c r="T1002" s="477"/>
    </row>
    <row r="1003" ht="12.75" customHeight="1">
      <c r="A1003" s="544"/>
      <c r="B1003" s="544"/>
      <c r="C1003" s="703"/>
      <c r="D1003" s="597"/>
      <c r="E1003" s="704"/>
      <c r="F1003" s="703"/>
      <c r="G1003" s="597"/>
      <c r="H1003" s="453"/>
      <c r="I1003" s="493"/>
      <c r="J1003" s="597"/>
      <c r="K1003" s="544"/>
      <c r="L1003" s="544"/>
      <c r="M1003" s="597"/>
      <c r="N1003" s="597"/>
      <c r="O1003" s="544"/>
      <c r="P1003" s="544"/>
      <c r="Q1003" s="544"/>
      <c r="R1003" s="544"/>
      <c r="S1003" s="477"/>
      <c r="T1003" s="477"/>
    </row>
    <row r="1004" ht="12.75" customHeight="1">
      <c r="A1004" s="544"/>
      <c r="B1004" s="544"/>
      <c r="C1004" s="703"/>
      <c r="D1004" s="597"/>
      <c r="E1004" s="704"/>
      <c r="F1004" s="703"/>
      <c r="G1004" s="597"/>
      <c r="H1004" s="453"/>
      <c r="I1004" s="493"/>
      <c r="J1004" s="597"/>
      <c r="K1004" s="544"/>
      <c r="L1004" s="544"/>
      <c r="M1004" s="597"/>
      <c r="N1004" s="597"/>
      <c r="O1004" s="544"/>
      <c r="P1004" s="544"/>
      <c r="Q1004" s="544"/>
      <c r="R1004" s="544"/>
      <c r="S1004" s="477"/>
      <c r="T1004" s="477"/>
    </row>
    <row r="1005" ht="12.75" customHeight="1">
      <c r="A1005" s="544"/>
      <c r="B1005" s="544"/>
      <c r="C1005" s="703"/>
      <c r="D1005" s="597"/>
      <c r="E1005" s="704"/>
      <c r="F1005" s="703"/>
      <c r="G1005" s="597"/>
      <c r="H1005" s="453"/>
      <c r="I1005" s="493"/>
      <c r="J1005" s="597"/>
      <c r="K1005" s="544"/>
      <c r="L1005" s="544"/>
      <c r="M1005" s="597"/>
      <c r="N1005" s="597"/>
      <c r="O1005" s="544"/>
      <c r="P1005" s="544"/>
      <c r="Q1005" s="544"/>
      <c r="R1005" s="544"/>
      <c r="S1005" s="477"/>
      <c r="T1005" s="477"/>
    </row>
    <row r="1006" ht="12.75" customHeight="1">
      <c r="A1006" s="544"/>
      <c r="B1006" s="544"/>
      <c r="C1006" s="703"/>
      <c r="D1006" s="597"/>
      <c r="E1006" s="704"/>
      <c r="F1006" s="703"/>
      <c r="G1006" s="597"/>
      <c r="H1006" s="453"/>
      <c r="I1006" s="493"/>
      <c r="J1006" s="597"/>
      <c r="K1006" s="544"/>
      <c r="L1006" s="544"/>
      <c r="M1006" s="597"/>
      <c r="N1006" s="597"/>
      <c r="O1006" s="544"/>
      <c r="P1006" s="544"/>
      <c r="Q1006" s="544"/>
      <c r="R1006" s="544"/>
      <c r="S1006" s="477"/>
      <c r="T1006" s="477"/>
    </row>
    <row r="1007" ht="12.75" customHeight="1">
      <c r="A1007" s="544"/>
      <c r="B1007" s="544"/>
      <c r="C1007" s="703"/>
      <c r="D1007" s="597"/>
      <c r="E1007" s="704"/>
      <c r="F1007" s="703"/>
      <c r="G1007" s="597"/>
      <c r="H1007" s="453"/>
      <c r="I1007" s="493"/>
      <c r="J1007" s="597"/>
      <c r="K1007" s="544"/>
      <c r="L1007" s="544"/>
      <c r="M1007" s="597"/>
      <c r="N1007" s="597"/>
      <c r="O1007" s="544"/>
      <c r="P1007" s="544"/>
      <c r="Q1007" s="544"/>
      <c r="R1007" s="544"/>
      <c r="S1007" s="477"/>
      <c r="T1007" s="477"/>
    </row>
    <row r="1008" ht="12.75" customHeight="1">
      <c r="A1008" s="544"/>
      <c r="B1008" s="544"/>
      <c r="C1008" s="703"/>
      <c r="D1008" s="597"/>
      <c r="E1008" s="704"/>
      <c r="F1008" s="703"/>
      <c r="G1008" s="597"/>
      <c r="H1008" s="453"/>
      <c r="I1008" s="493"/>
      <c r="J1008" s="597"/>
      <c r="K1008" s="544"/>
      <c r="L1008" s="544"/>
      <c r="M1008" s="597"/>
      <c r="N1008" s="597"/>
      <c r="O1008" s="544"/>
      <c r="P1008" s="544"/>
      <c r="Q1008" s="544"/>
      <c r="R1008" s="544"/>
      <c r="S1008" s="477"/>
      <c r="T1008" s="477"/>
    </row>
    <row r="1009" ht="12.75" customHeight="1">
      <c r="A1009" s="544"/>
      <c r="B1009" s="544"/>
      <c r="C1009" s="703"/>
      <c r="D1009" s="597"/>
      <c r="E1009" s="704"/>
      <c r="F1009" s="703"/>
      <c r="G1009" s="597"/>
      <c r="H1009" s="453"/>
      <c r="I1009" s="493"/>
      <c r="J1009" s="597"/>
      <c r="K1009" s="544"/>
      <c r="L1009" s="544"/>
      <c r="M1009" s="597"/>
      <c r="N1009" s="597"/>
      <c r="O1009" s="544"/>
      <c r="P1009" s="544"/>
      <c r="Q1009" s="544"/>
      <c r="R1009" s="544"/>
      <c r="S1009" s="477"/>
      <c r="T1009" s="477"/>
    </row>
    <row r="1010" ht="12.75" customHeight="1">
      <c r="A1010" s="544"/>
      <c r="B1010" s="544"/>
      <c r="C1010" s="703"/>
      <c r="D1010" s="597"/>
      <c r="E1010" s="704"/>
      <c r="F1010" s="703"/>
      <c r="G1010" s="597"/>
      <c r="H1010" s="453"/>
      <c r="I1010" s="493"/>
      <c r="J1010" s="597"/>
      <c r="K1010" s="544"/>
      <c r="L1010" s="544"/>
      <c r="M1010" s="597"/>
      <c r="N1010" s="597"/>
      <c r="O1010" s="544"/>
      <c r="P1010" s="544"/>
      <c r="Q1010" s="544"/>
      <c r="R1010" s="544"/>
      <c r="S1010" s="477"/>
      <c r="T1010" s="477"/>
    </row>
    <row r="1011" ht="12.75" customHeight="1">
      <c r="A1011" s="544"/>
      <c r="B1011" s="544"/>
      <c r="C1011" s="703"/>
      <c r="D1011" s="597"/>
      <c r="E1011" s="704"/>
      <c r="F1011" s="703"/>
      <c r="G1011" s="597"/>
      <c r="H1011" s="453"/>
      <c r="I1011" s="493"/>
      <c r="J1011" s="597"/>
      <c r="K1011" s="544"/>
      <c r="L1011" s="544"/>
      <c r="M1011" s="597"/>
      <c r="N1011" s="597"/>
      <c r="O1011" s="544"/>
      <c r="P1011" s="544"/>
      <c r="Q1011" s="544"/>
      <c r="R1011" s="544"/>
      <c r="S1011" s="477"/>
      <c r="T1011" s="477"/>
    </row>
    <row r="1012" ht="12.75" customHeight="1">
      <c r="A1012" s="544"/>
      <c r="B1012" s="544"/>
      <c r="C1012" s="703"/>
      <c r="D1012" s="597"/>
      <c r="E1012" s="704"/>
      <c r="F1012" s="703"/>
      <c r="G1012" s="597"/>
      <c r="H1012" s="453"/>
      <c r="I1012" s="493"/>
      <c r="J1012" s="597"/>
      <c r="K1012" s="544"/>
      <c r="L1012" s="544"/>
      <c r="M1012" s="597"/>
      <c r="N1012" s="597"/>
      <c r="O1012" s="544"/>
      <c r="P1012" s="544"/>
      <c r="Q1012" s="544"/>
      <c r="R1012" s="544"/>
      <c r="S1012" s="477"/>
      <c r="T1012" s="477"/>
    </row>
    <row r="1013" ht="12.75" customHeight="1">
      <c r="A1013" s="544"/>
      <c r="B1013" s="544"/>
      <c r="C1013" s="703"/>
      <c r="D1013" s="597"/>
      <c r="E1013" s="704"/>
      <c r="F1013" s="703"/>
      <c r="G1013" s="597"/>
      <c r="H1013" s="453"/>
      <c r="I1013" s="493"/>
      <c r="J1013" s="597"/>
      <c r="K1013" s="544"/>
      <c r="L1013" s="544"/>
      <c r="M1013" s="597"/>
      <c r="N1013" s="597"/>
      <c r="O1013" s="544"/>
      <c r="P1013" s="544"/>
      <c r="Q1013" s="544"/>
      <c r="R1013" s="544"/>
      <c r="S1013" s="477"/>
      <c r="T1013" s="477"/>
    </row>
    <row r="1014" ht="12.75" customHeight="1">
      <c r="A1014" s="544"/>
      <c r="B1014" s="544"/>
      <c r="C1014" s="703"/>
      <c r="D1014" s="597"/>
      <c r="E1014" s="704"/>
      <c r="F1014" s="703"/>
      <c r="G1014" s="597"/>
      <c r="H1014" s="453"/>
      <c r="I1014" s="493"/>
      <c r="J1014" s="597"/>
      <c r="K1014" s="544"/>
      <c r="L1014" s="544"/>
      <c r="M1014" s="597"/>
      <c r="N1014" s="597"/>
      <c r="O1014" s="544"/>
      <c r="P1014" s="544"/>
      <c r="Q1014" s="544"/>
      <c r="R1014" s="544"/>
      <c r="S1014" s="477"/>
      <c r="T1014" s="477"/>
    </row>
    <row r="1015" ht="12.75" customHeight="1">
      <c r="A1015" s="544"/>
      <c r="B1015" s="544"/>
      <c r="C1015" s="703"/>
      <c r="D1015" s="597"/>
      <c r="E1015" s="704"/>
      <c r="F1015" s="703"/>
      <c r="G1015" s="597"/>
      <c r="H1015" s="453"/>
      <c r="I1015" s="493"/>
      <c r="J1015" s="597"/>
      <c r="K1015" s="544"/>
      <c r="L1015" s="544"/>
      <c r="M1015" s="597"/>
      <c r="N1015" s="597"/>
      <c r="O1015" s="544"/>
      <c r="P1015" s="544"/>
      <c r="Q1015" s="544"/>
      <c r="R1015" s="544"/>
      <c r="S1015" s="477"/>
      <c r="T1015" s="477"/>
    </row>
    <row r="1016" ht="12.75" customHeight="1">
      <c r="A1016" s="544"/>
      <c r="B1016" s="544"/>
      <c r="C1016" s="703"/>
      <c r="D1016" s="597"/>
      <c r="E1016" s="704"/>
      <c r="F1016" s="703"/>
      <c r="G1016" s="597"/>
      <c r="H1016" s="453"/>
      <c r="I1016" s="493"/>
      <c r="J1016" s="597"/>
      <c r="K1016" s="544"/>
      <c r="L1016" s="544"/>
      <c r="M1016" s="597"/>
      <c r="N1016" s="597"/>
      <c r="O1016" s="544"/>
      <c r="P1016" s="544"/>
      <c r="Q1016" s="544"/>
      <c r="R1016" s="544"/>
      <c r="S1016" s="477"/>
      <c r="T1016" s="477"/>
    </row>
    <row r="1017" ht="12.75" customHeight="1">
      <c r="A1017" s="544"/>
      <c r="B1017" s="544"/>
      <c r="C1017" s="703"/>
      <c r="D1017" s="597"/>
      <c r="E1017" s="704"/>
      <c r="F1017" s="703"/>
      <c r="G1017" s="597"/>
      <c r="H1017" s="453"/>
      <c r="I1017" s="493"/>
      <c r="J1017" s="597"/>
      <c r="K1017" s="544"/>
      <c r="L1017" s="544"/>
      <c r="M1017" s="597"/>
      <c r="N1017" s="597"/>
      <c r="O1017" s="544"/>
      <c r="P1017" s="544"/>
      <c r="Q1017" s="544"/>
      <c r="R1017" s="544"/>
      <c r="S1017" s="477"/>
      <c r="T1017" s="477"/>
    </row>
    <row r="1018" ht="12.75" customHeight="1">
      <c r="A1018" s="544"/>
      <c r="B1018" s="544"/>
      <c r="C1018" s="703"/>
      <c r="D1018" s="597"/>
      <c r="E1018" s="704"/>
      <c r="F1018" s="703"/>
      <c r="G1018" s="597"/>
      <c r="H1018" s="453"/>
      <c r="I1018" s="493"/>
      <c r="J1018" s="597"/>
      <c r="K1018" s="544"/>
      <c r="L1018" s="544"/>
      <c r="M1018" s="597"/>
      <c r="N1018" s="597"/>
      <c r="O1018" s="544"/>
      <c r="P1018" s="544"/>
      <c r="Q1018" s="544"/>
      <c r="R1018" s="544"/>
      <c r="S1018" s="477"/>
      <c r="T1018" s="477"/>
    </row>
    <row r="1019" ht="12.75" customHeight="1">
      <c r="A1019" s="544"/>
      <c r="B1019" s="544"/>
      <c r="C1019" s="703"/>
      <c r="D1019" s="597"/>
      <c r="E1019" s="704"/>
      <c r="F1019" s="703"/>
      <c r="G1019" s="597"/>
      <c r="H1019" s="453"/>
      <c r="I1019" s="493"/>
      <c r="J1019" s="597"/>
      <c r="K1019" s="544"/>
      <c r="L1019" s="544"/>
      <c r="M1019" s="597"/>
      <c r="N1019" s="597"/>
      <c r="O1019" s="544"/>
      <c r="P1019" s="544"/>
      <c r="Q1019" s="544"/>
      <c r="R1019" s="544"/>
      <c r="S1019" s="477"/>
      <c r="T1019" s="477"/>
    </row>
    <row r="1020" ht="12.75" customHeight="1">
      <c r="A1020" s="544"/>
      <c r="B1020" s="544"/>
      <c r="C1020" s="703"/>
      <c r="D1020" s="597"/>
      <c r="E1020" s="704"/>
      <c r="F1020" s="703"/>
      <c r="G1020" s="597"/>
      <c r="H1020" s="453"/>
      <c r="I1020" s="493"/>
      <c r="J1020" s="597"/>
      <c r="K1020" s="544"/>
      <c r="L1020" s="544"/>
      <c r="M1020" s="597"/>
      <c r="N1020" s="597"/>
      <c r="O1020" s="544"/>
      <c r="P1020" s="544"/>
      <c r="Q1020" s="544"/>
      <c r="R1020" s="544"/>
      <c r="S1020" s="477"/>
      <c r="T1020" s="477"/>
    </row>
    <row r="1021" ht="12.75" customHeight="1">
      <c r="A1021" s="544"/>
      <c r="B1021" s="544"/>
      <c r="C1021" s="703"/>
      <c r="D1021" s="597"/>
      <c r="E1021" s="704"/>
      <c r="F1021" s="703"/>
      <c r="G1021" s="597"/>
      <c r="H1021" s="453"/>
      <c r="I1021" s="493"/>
      <c r="J1021" s="597"/>
      <c r="K1021" s="544"/>
      <c r="L1021" s="544"/>
      <c r="M1021" s="597"/>
      <c r="N1021" s="597"/>
      <c r="O1021" s="544"/>
      <c r="P1021" s="544"/>
      <c r="Q1021" s="544"/>
      <c r="R1021" s="544"/>
      <c r="S1021" s="477"/>
      <c r="T1021" s="477"/>
    </row>
    <row r="1022" ht="12.75" customHeight="1">
      <c r="A1022" s="544"/>
      <c r="B1022" s="544"/>
      <c r="C1022" s="703"/>
      <c r="D1022" s="597"/>
      <c r="E1022" s="704"/>
      <c r="F1022" s="703"/>
      <c r="G1022" s="597"/>
      <c r="H1022" s="453"/>
      <c r="I1022" s="493"/>
      <c r="J1022" s="597"/>
      <c r="K1022" s="544"/>
      <c r="L1022" s="544"/>
      <c r="M1022" s="597"/>
      <c r="N1022" s="597"/>
      <c r="O1022" s="544"/>
      <c r="P1022" s="544"/>
      <c r="Q1022" s="544"/>
      <c r="R1022" s="544"/>
      <c r="S1022" s="477"/>
      <c r="T1022" s="477"/>
    </row>
    <row r="1023" ht="12.75" customHeight="1">
      <c r="A1023" s="544"/>
      <c r="B1023" s="544"/>
      <c r="C1023" s="703"/>
      <c r="D1023" s="597"/>
      <c r="E1023" s="704"/>
      <c r="F1023" s="703"/>
      <c r="G1023" s="597"/>
      <c r="H1023" s="453"/>
      <c r="I1023" s="493"/>
      <c r="J1023" s="597"/>
      <c r="K1023" s="544"/>
      <c r="L1023" s="544"/>
      <c r="M1023" s="597"/>
      <c r="N1023" s="597"/>
      <c r="O1023" s="544"/>
      <c r="P1023" s="544"/>
      <c r="Q1023" s="544"/>
      <c r="R1023" s="544"/>
      <c r="S1023" s="477"/>
      <c r="T1023" s="477"/>
    </row>
    <row r="1024" ht="12.75" customHeight="1">
      <c r="A1024" s="544"/>
      <c r="B1024" s="544"/>
      <c r="C1024" s="703"/>
      <c r="D1024" s="597"/>
      <c r="E1024" s="704"/>
      <c r="F1024" s="703"/>
      <c r="G1024" s="597"/>
      <c r="H1024" s="453"/>
      <c r="I1024" s="493"/>
      <c r="J1024" s="597"/>
      <c r="K1024" s="544"/>
      <c r="L1024" s="544"/>
      <c r="M1024" s="597"/>
      <c r="N1024" s="597"/>
      <c r="O1024" s="544"/>
      <c r="P1024" s="544"/>
      <c r="Q1024" s="544"/>
      <c r="R1024" s="544"/>
      <c r="S1024" s="477"/>
      <c r="T1024" s="477"/>
    </row>
    <row r="1025" ht="12.75" customHeight="1">
      <c r="A1025" s="544"/>
      <c r="B1025" s="544"/>
      <c r="C1025" s="703"/>
      <c r="D1025" s="597"/>
      <c r="E1025" s="704"/>
      <c r="F1025" s="703"/>
      <c r="G1025" s="597"/>
      <c r="H1025" s="453"/>
      <c r="I1025" s="493"/>
      <c r="J1025" s="597"/>
      <c r="K1025" s="544"/>
      <c r="L1025" s="544"/>
      <c r="M1025" s="597"/>
      <c r="N1025" s="597"/>
      <c r="O1025" s="544"/>
      <c r="P1025" s="544"/>
      <c r="Q1025" s="544"/>
      <c r="R1025" s="544"/>
      <c r="S1025" s="477"/>
      <c r="T1025" s="477"/>
    </row>
    <row r="1026" ht="12.75" customHeight="1">
      <c r="A1026" s="544"/>
      <c r="B1026" s="544"/>
      <c r="C1026" s="703"/>
      <c r="D1026" s="597"/>
      <c r="E1026" s="704"/>
      <c r="F1026" s="703"/>
      <c r="G1026" s="597"/>
      <c r="H1026" s="453"/>
      <c r="I1026" s="493"/>
      <c r="J1026" s="597"/>
      <c r="K1026" s="544"/>
      <c r="L1026" s="544"/>
      <c r="M1026" s="597"/>
      <c r="N1026" s="597"/>
      <c r="O1026" s="544"/>
      <c r="P1026" s="544"/>
      <c r="Q1026" s="544"/>
      <c r="R1026" s="544"/>
      <c r="S1026" s="477"/>
      <c r="T1026" s="477"/>
    </row>
    <row r="1027" ht="12.75" customHeight="1">
      <c r="A1027" s="544"/>
      <c r="B1027" s="544"/>
      <c r="C1027" s="703"/>
      <c r="D1027" s="597"/>
      <c r="E1027" s="704"/>
      <c r="F1027" s="703"/>
      <c r="G1027" s="597"/>
      <c r="H1027" s="453"/>
      <c r="I1027" s="493"/>
      <c r="J1027" s="597"/>
      <c r="K1027" s="544"/>
      <c r="L1027" s="544"/>
      <c r="M1027" s="597"/>
      <c r="N1027" s="597"/>
      <c r="O1027" s="544"/>
      <c r="P1027" s="544"/>
      <c r="Q1027" s="544"/>
      <c r="R1027" s="544"/>
      <c r="S1027" s="477"/>
      <c r="T1027" s="477"/>
    </row>
    <row r="1028" ht="12.75" customHeight="1">
      <c r="A1028" s="544"/>
      <c r="B1028" s="544"/>
      <c r="C1028" s="703"/>
      <c r="D1028" s="597"/>
      <c r="E1028" s="704"/>
      <c r="F1028" s="703"/>
      <c r="G1028" s="597"/>
      <c r="H1028" s="453"/>
      <c r="I1028" s="493"/>
      <c r="J1028" s="597"/>
      <c r="K1028" s="544"/>
      <c r="L1028" s="544"/>
      <c r="M1028" s="597"/>
      <c r="N1028" s="597"/>
      <c r="O1028" s="544"/>
      <c r="P1028" s="544"/>
      <c r="Q1028" s="544"/>
      <c r="R1028" s="544"/>
      <c r="S1028" s="477"/>
      <c r="T1028" s="477"/>
    </row>
    <row r="1029" ht="12.75" customHeight="1">
      <c r="A1029" s="544"/>
      <c r="B1029" s="544"/>
      <c r="C1029" s="703"/>
      <c r="D1029" s="597"/>
      <c r="E1029" s="704"/>
      <c r="F1029" s="703"/>
      <c r="G1029" s="597"/>
      <c r="H1029" s="453"/>
      <c r="I1029" s="493"/>
      <c r="J1029" s="597"/>
      <c r="K1029" s="544"/>
      <c r="L1029" s="544"/>
      <c r="M1029" s="597"/>
      <c r="N1029" s="597"/>
      <c r="O1029" s="544"/>
      <c r="P1029" s="544"/>
      <c r="Q1029" s="544"/>
      <c r="R1029" s="544"/>
      <c r="S1029" s="477"/>
      <c r="T1029" s="477"/>
    </row>
    <row r="1030" ht="12.75" customHeight="1">
      <c r="A1030" s="544"/>
      <c r="B1030" s="544"/>
      <c r="C1030" s="703"/>
      <c r="D1030" s="597"/>
      <c r="E1030" s="704"/>
      <c r="F1030" s="703"/>
      <c r="G1030" s="597"/>
      <c r="H1030" s="453"/>
      <c r="I1030" s="493"/>
      <c r="J1030" s="597"/>
      <c r="K1030" s="544"/>
      <c r="L1030" s="544"/>
      <c r="M1030" s="597"/>
      <c r="N1030" s="597"/>
      <c r="O1030" s="544"/>
      <c r="P1030" s="544"/>
      <c r="Q1030" s="544"/>
      <c r="R1030" s="544"/>
      <c r="S1030" s="477"/>
      <c r="T1030" s="477"/>
    </row>
    <row r="1031" ht="12.75" customHeight="1">
      <c r="A1031" s="544"/>
      <c r="B1031" s="544"/>
      <c r="C1031" s="703"/>
      <c r="D1031" s="597"/>
      <c r="E1031" s="704"/>
      <c r="F1031" s="703"/>
      <c r="G1031" s="597"/>
      <c r="H1031" s="453"/>
      <c r="I1031" s="493"/>
      <c r="J1031" s="597"/>
      <c r="K1031" s="544"/>
      <c r="L1031" s="544"/>
      <c r="M1031" s="597"/>
      <c r="N1031" s="597"/>
      <c r="O1031" s="544"/>
      <c r="P1031" s="544"/>
      <c r="Q1031" s="544"/>
      <c r="R1031" s="544"/>
      <c r="S1031" s="477"/>
      <c r="T1031" s="477"/>
    </row>
    <row r="1032" ht="12.75" customHeight="1">
      <c r="A1032" s="544"/>
      <c r="B1032" s="544"/>
      <c r="C1032" s="703"/>
      <c r="D1032" s="597"/>
      <c r="E1032" s="704"/>
      <c r="F1032" s="703"/>
      <c r="G1032" s="597"/>
      <c r="H1032" s="453"/>
      <c r="I1032" s="493"/>
      <c r="J1032" s="597"/>
      <c r="K1032" s="544"/>
      <c r="L1032" s="544"/>
      <c r="M1032" s="597"/>
      <c r="N1032" s="597"/>
      <c r="O1032" s="544"/>
      <c r="P1032" s="544"/>
      <c r="Q1032" s="544"/>
      <c r="R1032" s="544"/>
      <c r="S1032" s="477"/>
      <c r="T1032" s="477"/>
    </row>
    <row r="1033" ht="12.75" customHeight="1">
      <c r="A1033" s="544"/>
      <c r="B1033" s="544"/>
      <c r="C1033" s="703"/>
      <c r="D1033" s="597"/>
      <c r="E1033" s="704"/>
      <c r="F1033" s="703"/>
      <c r="G1033" s="597"/>
      <c r="H1033" s="453"/>
      <c r="I1033" s="493"/>
      <c r="J1033" s="597"/>
      <c r="K1033" s="544"/>
      <c r="L1033" s="544"/>
      <c r="M1033" s="597"/>
      <c r="N1033" s="597"/>
      <c r="O1033" s="544"/>
      <c r="P1033" s="544"/>
      <c r="Q1033" s="544"/>
      <c r="R1033" s="544"/>
      <c r="S1033" s="477"/>
      <c r="T1033" s="477"/>
    </row>
    <row r="1034" ht="12.75" customHeight="1">
      <c r="A1034" s="544"/>
      <c r="B1034" s="544"/>
      <c r="C1034" s="703"/>
      <c r="D1034" s="597"/>
      <c r="E1034" s="704"/>
      <c r="F1034" s="703"/>
      <c r="G1034" s="597"/>
      <c r="H1034" s="453"/>
      <c r="I1034" s="493"/>
      <c r="J1034" s="597"/>
      <c r="K1034" s="544"/>
      <c r="L1034" s="544"/>
      <c r="M1034" s="597"/>
      <c r="N1034" s="597"/>
      <c r="O1034" s="544"/>
      <c r="P1034" s="544"/>
      <c r="Q1034" s="544"/>
      <c r="R1034" s="544"/>
      <c r="S1034" s="477"/>
      <c r="T1034" s="477"/>
    </row>
    <row r="1035" ht="12.75" customHeight="1">
      <c r="A1035" s="544"/>
      <c r="B1035" s="544"/>
      <c r="C1035" s="703"/>
      <c r="D1035" s="597"/>
      <c r="E1035" s="704"/>
      <c r="F1035" s="703"/>
      <c r="G1035" s="597"/>
      <c r="H1035" s="453"/>
      <c r="I1035" s="493"/>
      <c r="J1035" s="597"/>
      <c r="K1035" s="544"/>
      <c r="L1035" s="544"/>
      <c r="M1035" s="597"/>
      <c r="N1035" s="597"/>
      <c r="O1035" s="544"/>
      <c r="P1035" s="544"/>
      <c r="Q1035" s="544"/>
      <c r="R1035" s="544"/>
      <c r="S1035" s="477"/>
      <c r="T1035" s="477"/>
    </row>
    <row r="1036" ht="12.75" customHeight="1">
      <c r="A1036" s="544"/>
      <c r="B1036" s="544"/>
      <c r="C1036" s="703"/>
      <c r="D1036" s="597"/>
      <c r="E1036" s="704"/>
      <c r="F1036" s="703"/>
      <c r="G1036" s="597"/>
      <c r="H1036" s="453"/>
      <c r="I1036" s="493"/>
      <c r="J1036" s="597"/>
      <c r="K1036" s="544"/>
      <c r="L1036" s="544"/>
      <c r="M1036" s="597"/>
      <c r="N1036" s="597"/>
      <c r="O1036" s="544"/>
      <c r="P1036" s="544"/>
      <c r="Q1036" s="544"/>
      <c r="R1036" s="544"/>
      <c r="S1036" s="477"/>
      <c r="T1036" s="477"/>
    </row>
    <row r="1037" ht="12.75" customHeight="1">
      <c r="A1037" s="544"/>
      <c r="B1037" s="544"/>
      <c r="C1037" s="703"/>
      <c r="D1037" s="597"/>
      <c r="E1037" s="704"/>
      <c r="F1037" s="703"/>
      <c r="G1037" s="597"/>
      <c r="H1037" s="453"/>
      <c r="I1037" s="493"/>
      <c r="J1037" s="597"/>
      <c r="K1037" s="544"/>
      <c r="L1037" s="544"/>
      <c r="M1037" s="597"/>
      <c r="N1037" s="597"/>
      <c r="O1037" s="544"/>
      <c r="P1037" s="544"/>
      <c r="Q1037" s="544"/>
      <c r="R1037" s="544"/>
      <c r="S1037" s="477"/>
      <c r="T1037" s="477"/>
    </row>
    <row r="1038" ht="12.75" customHeight="1">
      <c r="A1038" s="544"/>
      <c r="B1038" s="544"/>
      <c r="C1038" s="703"/>
      <c r="D1038" s="597"/>
      <c r="E1038" s="704"/>
      <c r="F1038" s="703"/>
      <c r="G1038" s="597"/>
      <c r="H1038" s="453"/>
      <c r="I1038" s="493"/>
      <c r="J1038" s="597"/>
      <c r="K1038" s="544"/>
      <c r="L1038" s="544"/>
      <c r="M1038" s="597"/>
      <c r="N1038" s="597"/>
      <c r="O1038" s="544"/>
      <c r="P1038" s="544"/>
      <c r="Q1038" s="544"/>
      <c r="R1038" s="544"/>
      <c r="S1038" s="477"/>
      <c r="T1038" s="477"/>
    </row>
    <row r="1039" ht="12.75" customHeight="1">
      <c r="A1039" s="544"/>
      <c r="B1039" s="544"/>
      <c r="C1039" s="703"/>
      <c r="D1039" s="597"/>
      <c r="E1039" s="704"/>
      <c r="F1039" s="703"/>
      <c r="G1039" s="597"/>
      <c r="H1039" s="453"/>
      <c r="I1039" s="493"/>
      <c r="J1039" s="597"/>
      <c r="K1039" s="544"/>
      <c r="L1039" s="544"/>
      <c r="M1039" s="597"/>
      <c r="N1039" s="597"/>
      <c r="O1039" s="544"/>
      <c r="P1039" s="544"/>
      <c r="Q1039" s="544"/>
      <c r="R1039" s="544"/>
      <c r="S1039" s="477"/>
      <c r="T1039" s="477"/>
    </row>
    <row r="1040" ht="12.75" customHeight="1">
      <c r="A1040" s="544"/>
      <c r="B1040" s="544"/>
      <c r="C1040" s="703"/>
      <c r="D1040" s="597"/>
      <c r="E1040" s="704"/>
      <c r="F1040" s="703"/>
      <c r="G1040" s="597"/>
      <c r="H1040" s="453"/>
      <c r="I1040" s="493"/>
      <c r="J1040" s="597"/>
      <c r="K1040" s="544"/>
      <c r="L1040" s="544"/>
      <c r="M1040" s="597"/>
      <c r="N1040" s="597"/>
      <c r="O1040" s="544"/>
      <c r="P1040" s="544"/>
      <c r="Q1040" s="544"/>
      <c r="R1040" s="544"/>
      <c r="S1040" s="477"/>
      <c r="T1040" s="477"/>
    </row>
    <row r="1041" ht="12.75" customHeight="1">
      <c r="A1041" s="544"/>
      <c r="B1041" s="544"/>
      <c r="C1041" s="703"/>
      <c r="D1041" s="597"/>
      <c r="E1041" s="704"/>
      <c r="F1041" s="703"/>
      <c r="G1041" s="597"/>
      <c r="H1041" s="453"/>
      <c r="I1041" s="493"/>
      <c r="J1041" s="597"/>
      <c r="K1041" s="544"/>
      <c r="L1041" s="544"/>
      <c r="M1041" s="597"/>
      <c r="N1041" s="597"/>
      <c r="O1041" s="544"/>
      <c r="P1041" s="544"/>
      <c r="Q1041" s="544"/>
      <c r="R1041" s="544"/>
      <c r="S1041" s="477"/>
      <c r="T1041" s="477"/>
    </row>
    <row r="1042" ht="12.75" customHeight="1">
      <c r="A1042" s="544"/>
      <c r="B1042" s="544"/>
      <c r="C1042" s="703"/>
      <c r="D1042" s="597"/>
      <c r="E1042" s="704"/>
      <c r="F1042" s="703"/>
      <c r="G1042" s="597"/>
      <c r="H1042" s="453"/>
      <c r="I1042" s="493"/>
      <c r="J1042" s="597"/>
      <c r="K1042" s="544"/>
      <c r="L1042" s="544"/>
      <c r="M1042" s="597"/>
      <c r="N1042" s="597"/>
      <c r="O1042" s="544"/>
      <c r="P1042" s="544"/>
      <c r="Q1042" s="544"/>
      <c r="R1042" s="544"/>
      <c r="S1042" s="477"/>
      <c r="T1042" s="477"/>
    </row>
  </sheetData>
  <mergeCells count="415">
    <mergeCell ref="J4:J5"/>
    <mergeCell ref="K4:K5"/>
    <mergeCell ref="M4:M5"/>
    <mergeCell ref="N4:N5"/>
    <mergeCell ref="O4:O5"/>
    <mergeCell ref="R4:R5"/>
    <mergeCell ref="B1:C1"/>
    <mergeCell ref="H1:I1"/>
    <mergeCell ref="E4:E5"/>
    <mergeCell ref="F4:F5"/>
    <mergeCell ref="G4:G5"/>
    <mergeCell ref="H4:H5"/>
    <mergeCell ref="I4:I5"/>
    <mergeCell ref="M6:M8"/>
    <mergeCell ref="N6:N8"/>
    <mergeCell ref="O6:O8"/>
    <mergeCell ref="Q6:Q8"/>
    <mergeCell ref="R6:R8"/>
    <mergeCell ref="E6:E8"/>
    <mergeCell ref="F6:F8"/>
    <mergeCell ref="G6:G8"/>
    <mergeCell ref="H6:H8"/>
    <mergeCell ref="I6:I8"/>
    <mergeCell ref="J6:J8"/>
    <mergeCell ref="K6:K8"/>
    <mergeCell ref="M10:M11"/>
    <mergeCell ref="N10:N11"/>
    <mergeCell ref="O10:O11"/>
    <mergeCell ref="P10:P11"/>
    <mergeCell ref="Q10:Q11"/>
    <mergeCell ref="M12:M13"/>
    <mergeCell ref="N12:N13"/>
    <mergeCell ref="O12:O13"/>
    <mergeCell ref="Q12:Q13"/>
    <mergeCell ref="R12:R13"/>
    <mergeCell ref="L15:L17"/>
    <mergeCell ref="M15:M17"/>
    <mergeCell ref="N15:N17"/>
    <mergeCell ref="O15:O17"/>
    <mergeCell ref="Q15:Q17"/>
    <mergeCell ref="R15:R17"/>
    <mergeCell ref="E15:E17"/>
    <mergeCell ref="F15:F17"/>
    <mergeCell ref="G15:G17"/>
    <mergeCell ref="H15:H17"/>
    <mergeCell ref="I15:I17"/>
    <mergeCell ref="J15:J17"/>
    <mergeCell ref="K15:K17"/>
    <mergeCell ref="E10:E11"/>
    <mergeCell ref="F10:F11"/>
    <mergeCell ref="G10:G11"/>
    <mergeCell ref="H10:H11"/>
    <mergeCell ref="I10:I11"/>
    <mergeCell ref="J10:J11"/>
    <mergeCell ref="K10:K11"/>
    <mergeCell ref="E12:E13"/>
    <mergeCell ref="F12:F13"/>
    <mergeCell ref="G12:G13"/>
    <mergeCell ref="H12:H13"/>
    <mergeCell ref="I12:I13"/>
    <mergeCell ref="J12:J13"/>
    <mergeCell ref="K12:K13"/>
    <mergeCell ref="L20:L21"/>
    <mergeCell ref="M20:M21"/>
    <mergeCell ref="N20:N21"/>
    <mergeCell ref="O20:O21"/>
    <mergeCell ref="P20:P21"/>
    <mergeCell ref="Q20:Q21"/>
    <mergeCell ref="R20:R21"/>
    <mergeCell ref="E20:E21"/>
    <mergeCell ref="F20:F21"/>
    <mergeCell ref="G20:G21"/>
    <mergeCell ref="H20:H21"/>
    <mergeCell ref="I20:I21"/>
    <mergeCell ref="J20:J21"/>
    <mergeCell ref="K20:K21"/>
    <mergeCell ref="L23:L25"/>
    <mergeCell ref="M23:M25"/>
    <mergeCell ref="N23:N25"/>
    <mergeCell ref="O23:O25"/>
    <mergeCell ref="P23:P25"/>
    <mergeCell ref="R23:R25"/>
    <mergeCell ref="E23:E25"/>
    <mergeCell ref="F23:F25"/>
    <mergeCell ref="G23:G25"/>
    <mergeCell ref="H23:H25"/>
    <mergeCell ref="I23:I25"/>
    <mergeCell ref="J23:J25"/>
    <mergeCell ref="K23:K25"/>
    <mergeCell ref="L30:L31"/>
    <mergeCell ref="M30:M31"/>
    <mergeCell ref="N30:N31"/>
    <mergeCell ref="O30:O31"/>
    <mergeCell ref="P30:P31"/>
    <mergeCell ref="Q30:Q31"/>
    <mergeCell ref="R30:R31"/>
    <mergeCell ref="E30:E31"/>
    <mergeCell ref="F30:F31"/>
    <mergeCell ref="G30:G31"/>
    <mergeCell ref="H30:H31"/>
    <mergeCell ref="I30:I31"/>
    <mergeCell ref="J30:J31"/>
    <mergeCell ref="K30:K31"/>
    <mergeCell ref="L48:L49"/>
    <mergeCell ref="M48:M49"/>
    <mergeCell ref="N48:N49"/>
    <mergeCell ref="O48:O49"/>
    <mergeCell ref="P48:P49"/>
    <mergeCell ref="Q48:Q49"/>
    <mergeCell ref="R48:R49"/>
    <mergeCell ref="E48:E49"/>
    <mergeCell ref="F48:F49"/>
    <mergeCell ref="G48:G49"/>
    <mergeCell ref="H48:H49"/>
    <mergeCell ref="I48:I49"/>
    <mergeCell ref="J48:J49"/>
    <mergeCell ref="K48:K49"/>
    <mergeCell ref="L50:L51"/>
    <mergeCell ref="M50:M51"/>
    <mergeCell ref="N50:N51"/>
    <mergeCell ref="O50:O51"/>
    <mergeCell ref="P50:P51"/>
    <mergeCell ref="Q50:Q51"/>
    <mergeCell ref="R50:R51"/>
    <mergeCell ref="E50:E51"/>
    <mergeCell ref="F50:F51"/>
    <mergeCell ref="G50:G51"/>
    <mergeCell ref="H50:H51"/>
    <mergeCell ref="I50:I51"/>
    <mergeCell ref="J50:J51"/>
    <mergeCell ref="K50:K51"/>
    <mergeCell ref="L58:L60"/>
    <mergeCell ref="M58:M60"/>
    <mergeCell ref="N58:N60"/>
    <mergeCell ref="O58:O60"/>
    <mergeCell ref="P58:P60"/>
    <mergeCell ref="Q58:Q60"/>
    <mergeCell ref="R58:R60"/>
    <mergeCell ref="E58:E60"/>
    <mergeCell ref="F58:F60"/>
    <mergeCell ref="G58:G60"/>
    <mergeCell ref="H58:H60"/>
    <mergeCell ref="I58:I60"/>
    <mergeCell ref="J58:J60"/>
    <mergeCell ref="K58:K60"/>
    <mergeCell ref="L63:L64"/>
    <mergeCell ref="M63:M64"/>
    <mergeCell ref="N63:N64"/>
    <mergeCell ref="O63:O64"/>
    <mergeCell ref="P63:P64"/>
    <mergeCell ref="Q63:Q64"/>
    <mergeCell ref="R63:R64"/>
    <mergeCell ref="E63:E64"/>
    <mergeCell ref="F63:F64"/>
    <mergeCell ref="G63:G64"/>
    <mergeCell ref="H63:H64"/>
    <mergeCell ref="I63:I64"/>
    <mergeCell ref="J63:J64"/>
    <mergeCell ref="K63:K64"/>
    <mergeCell ref="L66:L67"/>
    <mergeCell ref="M66:M67"/>
    <mergeCell ref="N66:N67"/>
    <mergeCell ref="O66:O67"/>
    <mergeCell ref="P66:P67"/>
    <mergeCell ref="Q66:Q67"/>
    <mergeCell ref="R66:R67"/>
    <mergeCell ref="E66:E67"/>
    <mergeCell ref="F66:F67"/>
    <mergeCell ref="G66:G67"/>
    <mergeCell ref="H66:H67"/>
    <mergeCell ref="I66:I67"/>
    <mergeCell ref="J66:J67"/>
    <mergeCell ref="K66:K67"/>
    <mergeCell ref="L85:L96"/>
    <mergeCell ref="M85:M96"/>
    <mergeCell ref="N85:N96"/>
    <mergeCell ref="O85:O96"/>
    <mergeCell ref="P85:P96"/>
    <mergeCell ref="Q85:Q96"/>
    <mergeCell ref="R85:R96"/>
    <mergeCell ref="E85:E96"/>
    <mergeCell ref="F85:F96"/>
    <mergeCell ref="G85:G96"/>
    <mergeCell ref="H85:H96"/>
    <mergeCell ref="I85:I96"/>
    <mergeCell ref="J85:J96"/>
    <mergeCell ref="K85:K96"/>
    <mergeCell ref="L26:L27"/>
    <mergeCell ref="M26:M27"/>
    <mergeCell ref="N26:N27"/>
    <mergeCell ref="O26:O27"/>
    <mergeCell ref="R26:R27"/>
    <mergeCell ref="E26:E27"/>
    <mergeCell ref="F26:F27"/>
    <mergeCell ref="G26:G27"/>
    <mergeCell ref="H26:H27"/>
    <mergeCell ref="I26:I27"/>
    <mergeCell ref="J26:J27"/>
    <mergeCell ref="K26:K27"/>
    <mergeCell ref="J42:J43"/>
    <mergeCell ref="K42:K43"/>
    <mergeCell ref="L42:L43"/>
    <mergeCell ref="M42:M43"/>
    <mergeCell ref="N42:N43"/>
    <mergeCell ref="A42:A43"/>
    <mergeCell ref="B42:B43"/>
    <mergeCell ref="C42:C43"/>
    <mergeCell ref="D42:D43"/>
    <mergeCell ref="E42:E43"/>
    <mergeCell ref="F42:F43"/>
    <mergeCell ref="H42:H43"/>
    <mergeCell ref="L44:L45"/>
    <mergeCell ref="M44:M45"/>
    <mergeCell ref="N44:N45"/>
    <mergeCell ref="E44:E45"/>
    <mergeCell ref="F44:F45"/>
    <mergeCell ref="G44:G45"/>
    <mergeCell ref="H44:H45"/>
    <mergeCell ref="I44:I45"/>
    <mergeCell ref="J44:J45"/>
    <mergeCell ref="K44:K45"/>
    <mergeCell ref="N114:N115"/>
    <mergeCell ref="O114:O115"/>
    <mergeCell ref="P114:P115"/>
    <mergeCell ref="Q114:Q115"/>
    <mergeCell ref="R114:R115"/>
    <mergeCell ref="G114:G115"/>
    <mergeCell ref="H114:H115"/>
    <mergeCell ref="I114:I115"/>
    <mergeCell ref="J114:J115"/>
    <mergeCell ref="K114:K115"/>
    <mergeCell ref="L114:L115"/>
    <mergeCell ref="M114:M115"/>
    <mergeCell ref="L132:L135"/>
    <mergeCell ref="M132:M135"/>
    <mergeCell ref="N132:N135"/>
    <mergeCell ref="O132:O135"/>
    <mergeCell ref="P132:P135"/>
    <mergeCell ref="Q132:Q135"/>
    <mergeCell ref="R132:R135"/>
    <mergeCell ref="E132:E135"/>
    <mergeCell ref="F132:F135"/>
    <mergeCell ref="G132:G135"/>
    <mergeCell ref="H132:H135"/>
    <mergeCell ref="I132:I135"/>
    <mergeCell ref="J132:J135"/>
    <mergeCell ref="K132:K135"/>
    <mergeCell ref="L140:L142"/>
    <mergeCell ref="M140:M142"/>
    <mergeCell ref="N140:N142"/>
    <mergeCell ref="P140:P142"/>
    <mergeCell ref="R140:R142"/>
    <mergeCell ref="E140:E142"/>
    <mergeCell ref="F140:F142"/>
    <mergeCell ref="G140:G142"/>
    <mergeCell ref="H140:H142"/>
    <mergeCell ref="I140:I142"/>
    <mergeCell ref="J140:J142"/>
    <mergeCell ref="K140:K142"/>
    <mergeCell ref="M145:M146"/>
    <mergeCell ref="O145:O146"/>
    <mergeCell ref="P145:P146"/>
    <mergeCell ref="Q145:Q146"/>
    <mergeCell ref="R145:R146"/>
    <mergeCell ref="E145:E146"/>
    <mergeCell ref="F145:F146"/>
    <mergeCell ref="H145:H146"/>
    <mergeCell ref="I145:I146"/>
    <mergeCell ref="J145:J146"/>
    <mergeCell ref="K145:K146"/>
    <mergeCell ref="L145:L146"/>
    <mergeCell ref="L112:L113"/>
    <mergeCell ref="M112:M113"/>
    <mergeCell ref="N112:N113"/>
    <mergeCell ref="O112:O113"/>
    <mergeCell ref="P112:P113"/>
    <mergeCell ref="Q112:Q113"/>
    <mergeCell ref="R112:R113"/>
    <mergeCell ref="E112:E113"/>
    <mergeCell ref="F112:F113"/>
    <mergeCell ref="G112:G113"/>
    <mergeCell ref="H112:H113"/>
    <mergeCell ref="I112:I113"/>
    <mergeCell ref="J112:J113"/>
    <mergeCell ref="K112:K113"/>
    <mergeCell ref="L122:L123"/>
    <mergeCell ref="M122:M123"/>
    <mergeCell ref="N122:N123"/>
    <mergeCell ref="E122:E123"/>
    <mergeCell ref="F122:F123"/>
    <mergeCell ref="G122:G123"/>
    <mergeCell ref="H122:H123"/>
    <mergeCell ref="I122:I123"/>
    <mergeCell ref="J122:J123"/>
    <mergeCell ref="K122:K123"/>
    <mergeCell ref="L128:L131"/>
    <mergeCell ref="M128:M131"/>
    <mergeCell ref="N128:N131"/>
    <mergeCell ref="O128:O131"/>
    <mergeCell ref="P128:P131"/>
    <mergeCell ref="Q128:Q131"/>
    <mergeCell ref="R128:R131"/>
    <mergeCell ref="E128:E131"/>
    <mergeCell ref="F128:F131"/>
    <mergeCell ref="G128:G131"/>
    <mergeCell ref="H128:H131"/>
    <mergeCell ref="I128:I131"/>
    <mergeCell ref="J128:J131"/>
    <mergeCell ref="K128:K131"/>
    <mergeCell ref="L147:L148"/>
    <mergeCell ref="M147:M148"/>
    <mergeCell ref="O147:O148"/>
    <mergeCell ref="P147:P148"/>
    <mergeCell ref="Q147:Q148"/>
    <mergeCell ref="R147:R148"/>
    <mergeCell ref="E147:E148"/>
    <mergeCell ref="F147:F148"/>
    <mergeCell ref="G147:G148"/>
    <mergeCell ref="H147:H148"/>
    <mergeCell ref="I147:I148"/>
    <mergeCell ref="J147:J148"/>
    <mergeCell ref="K147:K148"/>
    <mergeCell ref="L52:L56"/>
    <mergeCell ref="M52:M56"/>
    <mergeCell ref="N52:N56"/>
    <mergeCell ref="O52:O56"/>
    <mergeCell ref="P52:P55"/>
    <mergeCell ref="Q52:Q55"/>
    <mergeCell ref="R52:R56"/>
    <mergeCell ref="E52:E56"/>
    <mergeCell ref="F52:F56"/>
    <mergeCell ref="G52:G56"/>
    <mergeCell ref="H52:H56"/>
    <mergeCell ref="I52:I56"/>
    <mergeCell ref="J52:J56"/>
    <mergeCell ref="K52:K56"/>
    <mergeCell ref="O73:O74"/>
    <mergeCell ref="Q73:Q74"/>
    <mergeCell ref="R73:R74"/>
    <mergeCell ref="E73:E74"/>
    <mergeCell ref="F73:F74"/>
    <mergeCell ref="G73:G74"/>
    <mergeCell ref="H73:H74"/>
    <mergeCell ref="I73:I74"/>
    <mergeCell ref="J73:J74"/>
    <mergeCell ref="N73:N74"/>
    <mergeCell ref="L77:L78"/>
    <mergeCell ref="M77:M78"/>
    <mergeCell ref="N77:N78"/>
    <mergeCell ref="O77:O78"/>
    <mergeCell ref="Q77:Q78"/>
    <mergeCell ref="R77:R78"/>
    <mergeCell ref="E77:E78"/>
    <mergeCell ref="F77:F78"/>
    <mergeCell ref="G77:G78"/>
    <mergeCell ref="H77:H78"/>
    <mergeCell ref="I77:I78"/>
    <mergeCell ref="J77:J78"/>
    <mergeCell ref="K77:K78"/>
    <mergeCell ref="L80:L82"/>
    <mergeCell ref="M80:M82"/>
    <mergeCell ref="N80:N82"/>
    <mergeCell ref="O80:O82"/>
    <mergeCell ref="P80:P82"/>
    <mergeCell ref="Q80:Q81"/>
    <mergeCell ref="R80:R82"/>
    <mergeCell ref="E80:E81"/>
    <mergeCell ref="F80:F82"/>
    <mergeCell ref="G80:G82"/>
    <mergeCell ref="H80:H82"/>
    <mergeCell ref="I80:I82"/>
    <mergeCell ref="J80:J82"/>
    <mergeCell ref="K80:K82"/>
    <mergeCell ref="L99:L100"/>
    <mergeCell ref="M99:M100"/>
    <mergeCell ref="N99:N100"/>
    <mergeCell ref="O99:O100"/>
    <mergeCell ref="P99:P100"/>
    <mergeCell ref="Q99:Q100"/>
    <mergeCell ref="R99:R100"/>
    <mergeCell ref="E99:E100"/>
    <mergeCell ref="F99:F100"/>
    <mergeCell ref="G99:G100"/>
    <mergeCell ref="H99:H100"/>
    <mergeCell ref="I99:I100"/>
    <mergeCell ref="J99:J100"/>
    <mergeCell ref="K99:K100"/>
    <mergeCell ref="L103:L104"/>
    <mergeCell ref="M103:M104"/>
    <mergeCell ref="N103:N104"/>
    <mergeCell ref="O103:O104"/>
    <mergeCell ref="P103:P104"/>
    <mergeCell ref="Q103:Q104"/>
    <mergeCell ref="R103:R104"/>
    <mergeCell ref="E103:E104"/>
    <mergeCell ref="F103:F104"/>
    <mergeCell ref="G103:G104"/>
    <mergeCell ref="H103:H104"/>
    <mergeCell ref="I103:I104"/>
    <mergeCell ref="J103:J104"/>
    <mergeCell ref="K103:K104"/>
    <mergeCell ref="L136:L137"/>
    <mergeCell ref="M136:M137"/>
    <mergeCell ref="N136:N137"/>
    <mergeCell ref="O136:O137"/>
    <mergeCell ref="P136:P137"/>
    <mergeCell ref="Q136:Q137"/>
    <mergeCell ref="R136:R137"/>
    <mergeCell ref="E136:E137"/>
    <mergeCell ref="F136:F137"/>
    <mergeCell ref="G136:G137"/>
    <mergeCell ref="H136:H137"/>
    <mergeCell ref="I136:I137"/>
    <mergeCell ref="J136:J137"/>
    <mergeCell ref="K136:K137"/>
  </mergeCells>
  <dataValidations>
    <dataValidation type="list" allowBlank="1" showErrorMessage="1" sqref="L2:L15 L18:L20 L22:L23 L26 L28:L30 L32:L42 L44 L46:L48 L50 L52 L57:L58 L61:L63 L65:L66 L68:L77 L79:L80 L83:L85 L97:L99 L101:L103 L105:L112 L114 L116:L122 L124:L128 L132 L136 L138:L140 L143:L145 L147 L149:L1042">
      <formula1>"UP System,SUC/HEI,Government,Private Local,International"</formula1>
    </dataValidation>
    <dataValidation type="list" allowBlank="1" showErrorMessage="1" sqref="R2:R4 R6 R9:R12 R14:R15 R19:R20 R22:R23 R26 R28:R30 R32:R48 R50 R52 R57:R58 R61:R63 R65:R66 R68:R73 R75:R77 R79:R80 R83:R85 R97:R99 R101:R103 R105:R112 R114 R116:R128 R132 R136 R138:R140 R143:R145 R147 R149:R154">
      <formula1>"Carmel,Jasmine,Marj,Nadelene,Omics Lab Team,Bioinfo Team"</formula1>
    </dataValidation>
    <dataValidation type="list" allowBlank="1" showErrorMessage="1" sqref="M2:M3">
      <formula1>"In-House,External"</formula1>
    </dataValidation>
    <dataValidation type="list" allowBlank="1" showErrorMessage="1" sqref="O2:O4 O6 O9:O10 O12 O15 O19:O20 O22:O23 O26 O28:O30 O32:O48 O50 O52 O57:O58 O61:O63 O65:O66 O68:O73 O75:O77 O79:O80 O83:O85 O97:O99 O101 O103 O105:O112 O114 O116:O128 O132 O136 O138:O145 O147 O149:O1042">
      <formula1>"Equipment Use,Laboratory Service,Retail Sales"</formula1>
    </dataValidation>
    <dataValidation type="list" allowBlank="1" showErrorMessage="1" sqref="G2:G4 G6 G9:G10 G12 G14:G15 G18:G20 G22:G23 G26 G28:G30 G32:G44 G46:G48 G50 G52 G57:G58 G61:G63 G65:G66 G68:G73 G75:G77 G79:G80 G83:G85 G97:G99 G101:G103 G105:G112 G114 G116:G122 G124:G128 G132 G136 G138:G140 G143:G147 G149:G161 G164:G165">
      <formula1>"Completed,Incoming,Cancelled,Ongoing"</formula1>
    </dataValidation>
    <dataValidation type="list" allowBlank="1" showErrorMessage="1" sqref="R18">
      <formula1>"Carmel,Jasmine,Marj,Nadelene,Omics Lab Team,Bioinfo Team,Tine A,Nadine,Kneessa,Anne"</formula1>
    </dataValidation>
    <dataValidation type="list" allowBlank="1" showErrorMessage="1" sqref="M4 M6 M9:M10 M12 M14:M15 M18:M20 M22:M23 M26 M28:M30 M32:M42 M44 M46:M48 M50 M52 M57:M58 M61:M63 M65:M66 M68:M77 M79:M80 M83:M85 M97:M99 M101:M103 M105:M112 M114 M116:M122 M124:M128 M132 M136 M138:M140 M143:M145 M147 M149:M1042">
      <formula1>"Internal,External"</formula1>
    </dataValidation>
    <dataValidation type="list" allowBlank="1" showErrorMessage="1" sqref="S2:S151">
      <formula1>"Yes,No"</formula1>
    </dataValidation>
  </dataValidations>
  <printOptions/>
  <pageMargins bottom="0.75" footer="0.0" header="0.0" left="0.7" right="0.7" top="0.75"/>
  <pageSetup paperSize="9"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5"/>
    <col customWidth="1" min="6" max="6" width="16.5"/>
  </cols>
  <sheetData>
    <row r="1">
      <c r="A1" s="705" t="s">
        <v>2427</v>
      </c>
      <c r="C1" s="706" t="s">
        <v>2275</v>
      </c>
    </row>
    <row r="2">
      <c r="A2" s="92"/>
      <c r="B2" s="92"/>
      <c r="C2" s="706" t="s">
        <v>2336</v>
      </c>
      <c r="D2" s="706" t="s">
        <v>1416</v>
      </c>
      <c r="E2" s="706" t="s">
        <v>1418</v>
      </c>
      <c r="F2" s="706" t="s">
        <v>1919</v>
      </c>
      <c r="G2" s="706" t="s">
        <v>1472</v>
      </c>
      <c r="H2" s="706" t="s">
        <v>1415</v>
      </c>
      <c r="I2" s="706" t="s">
        <v>2428</v>
      </c>
      <c r="J2" s="706" t="s">
        <v>2429</v>
      </c>
      <c r="K2" s="706" t="s">
        <v>2374</v>
      </c>
      <c r="L2" s="706" t="s">
        <v>1606</v>
      </c>
      <c r="M2" s="92"/>
      <c r="N2" s="92"/>
      <c r="O2" s="92"/>
      <c r="P2" s="92"/>
      <c r="Q2" s="92"/>
      <c r="R2" s="92"/>
      <c r="S2" s="92"/>
      <c r="T2" s="92"/>
      <c r="U2" s="92"/>
      <c r="V2" s="92"/>
      <c r="W2" s="92"/>
      <c r="X2" s="92"/>
      <c r="Y2" s="92"/>
      <c r="Z2" s="92"/>
    </row>
    <row r="3">
      <c r="A3" s="44" t="s">
        <v>17</v>
      </c>
      <c r="B3" s="35">
        <f>COUNTIF('Project Records_v1'!G2:G1042,"ongoing")</f>
        <v>33</v>
      </c>
    </row>
    <row r="4">
      <c r="A4" s="44" t="s">
        <v>22</v>
      </c>
      <c r="B4" s="35">
        <f>countif('Project Records_v1'!G2:G1042, "completed")</f>
        <v>70</v>
      </c>
    </row>
    <row r="5">
      <c r="A5" s="44" t="s">
        <v>101</v>
      </c>
      <c r="B5" s="35">
        <f>COUNTIF('Project Records_v1'!G2:G1042,"cancelled")</f>
        <v>5</v>
      </c>
    </row>
    <row r="6">
      <c r="A6" s="428" t="s">
        <v>2430</v>
      </c>
      <c r="B6" s="428">
        <f>sum(B3:B5)</f>
        <v>108</v>
      </c>
      <c r="C6" s="707">
        <f>countif('Project Records_v1'!M:M,"Internal")</f>
        <v>32</v>
      </c>
      <c r="D6" s="707">
        <f>countif('Project Records_v1'!M:M,"External")</f>
        <v>69</v>
      </c>
      <c r="E6" s="707">
        <f>countif('Project Records_v1'!O:O, "equipment use")</f>
        <v>51</v>
      </c>
      <c r="F6" s="707">
        <f>countif('Project Records_v1'!O:O,"Laboratory Service")</f>
        <v>45</v>
      </c>
      <c r="G6" s="707">
        <f>countif('Project Records_v1'!O:O,"retail sales")</f>
        <v>7</v>
      </c>
      <c r="H6" s="707">
        <f>countif('Project Records_v1'!L:L,"UP System")</f>
        <v>76</v>
      </c>
      <c r="I6" s="707">
        <f>countif('Project Records_v1'!L:L,"SUC/HEI")</f>
        <v>21</v>
      </c>
      <c r="J6" s="707">
        <f>countif('Project Records_v1'!L:L,"Government")</f>
        <v>6</v>
      </c>
      <c r="K6" s="707">
        <f>countif('Project Records_v1'!L:L,"Private local")</f>
        <v>1</v>
      </c>
      <c r="L6" s="707">
        <f>countif('Project Records_v1'!L:L,"International")</f>
        <v>3</v>
      </c>
    </row>
    <row r="8">
      <c r="A8" s="708"/>
      <c r="B8" s="708"/>
      <c r="C8" s="708"/>
      <c r="D8" s="708"/>
      <c r="E8" s="708"/>
      <c r="F8" s="709" t="s">
        <v>2427</v>
      </c>
      <c r="G8" s="708"/>
    </row>
    <row r="9">
      <c r="A9" s="708"/>
      <c r="B9" s="710">
        <v>2020.0</v>
      </c>
      <c r="C9" s="710">
        <v>2021.0</v>
      </c>
      <c r="D9" s="710">
        <v>2022.0</v>
      </c>
      <c r="E9" s="710">
        <v>2023.0</v>
      </c>
      <c r="F9" s="710">
        <v>2024.0</v>
      </c>
      <c r="G9" s="710" t="s">
        <v>2431</v>
      </c>
    </row>
    <row r="10">
      <c r="A10" s="711" t="s">
        <v>2432</v>
      </c>
      <c r="B10" s="708"/>
      <c r="C10" s="708"/>
      <c r="D10" s="708"/>
      <c r="E10" s="708"/>
      <c r="F10" s="708"/>
      <c r="G10" s="708"/>
    </row>
    <row r="11">
      <c r="A11" s="712" t="s">
        <v>22</v>
      </c>
      <c r="B11" s="713">
        <v>20.0</v>
      </c>
      <c r="C11" s="713">
        <v>8.0</v>
      </c>
      <c r="D11" s="713">
        <v>24.0</v>
      </c>
      <c r="E11" s="713">
        <v>41.0</v>
      </c>
      <c r="F11" s="713">
        <v>10.0</v>
      </c>
      <c r="G11" s="713">
        <v>103.0</v>
      </c>
    </row>
    <row r="12">
      <c r="A12" s="712" t="s">
        <v>17</v>
      </c>
      <c r="B12" s="713">
        <v>2.0</v>
      </c>
      <c r="C12" s="713">
        <v>3.0</v>
      </c>
      <c r="D12" s="713">
        <v>9.0</v>
      </c>
      <c r="E12" s="713">
        <v>16.0</v>
      </c>
      <c r="F12" s="713">
        <v>13.0</v>
      </c>
      <c r="G12" s="713">
        <v>43.0</v>
      </c>
    </row>
    <row r="13">
      <c r="A13" s="714" t="s">
        <v>101</v>
      </c>
      <c r="B13" s="715">
        <v>2.0</v>
      </c>
      <c r="C13" s="715">
        <v>1.0</v>
      </c>
      <c r="D13" s="715">
        <v>1.0</v>
      </c>
      <c r="E13" s="715">
        <v>1.0</v>
      </c>
      <c r="F13" s="715">
        <v>0.0</v>
      </c>
      <c r="G13" s="715">
        <v>5.0</v>
      </c>
    </row>
    <row r="14">
      <c r="A14" s="716" t="s">
        <v>2433</v>
      </c>
      <c r="B14" s="717">
        <v>24.0</v>
      </c>
      <c r="C14" s="717">
        <v>12.0</v>
      </c>
      <c r="D14" s="717">
        <v>34.0</v>
      </c>
      <c r="E14" s="717">
        <v>58.0</v>
      </c>
      <c r="F14" s="717">
        <v>23.0</v>
      </c>
      <c r="G14" s="717">
        <v>151.0</v>
      </c>
    </row>
    <row r="15">
      <c r="A15" s="718"/>
      <c r="B15" s="718"/>
      <c r="C15" s="718"/>
      <c r="D15" s="718"/>
      <c r="E15" s="718"/>
      <c r="F15" s="718"/>
      <c r="G15" s="718"/>
    </row>
    <row r="16">
      <c r="A16" s="719" t="s">
        <v>2434</v>
      </c>
      <c r="B16" s="708"/>
      <c r="C16" s="708"/>
      <c r="D16" s="708"/>
      <c r="E16" s="708"/>
      <c r="F16" s="708"/>
      <c r="G16" s="708"/>
    </row>
    <row r="17">
      <c r="A17" s="720" t="s">
        <v>22</v>
      </c>
      <c r="B17" s="721">
        <f>countif('Project Records_v1'!G3:G18, "completed")</f>
        <v>6</v>
      </c>
      <c r="C17" s="721">
        <f>countif('Project Records_v1'!G19:G28, "completed")</f>
        <v>4</v>
      </c>
      <c r="D17" s="721">
        <f>countif('Project Records_v1'!G29:G60, "completed")</f>
        <v>16</v>
      </c>
      <c r="E17" s="721">
        <f>countif('Project Records_v1'!G61:G106, "completed")</f>
        <v>21</v>
      </c>
      <c r="F17" s="721">
        <f>countif('Project Records_v1'!G107:G151, "completed")</f>
        <v>22</v>
      </c>
      <c r="G17" s="721">
        <f t="shared" ref="G17:G19" si="1">sum(B17:F17)</f>
        <v>69</v>
      </c>
    </row>
    <row r="18">
      <c r="A18" s="720" t="s">
        <v>17</v>
      </c>
      <c r="B18" s="721">
        <f>countif('Project Records_v1'!G2:G18, "Ongoing")</f>
        <v>2</v>
      </c>
      <c r="C18" s="721">
        <f>countif('Project Records_v1'!G19:G28,"ongoing")</f>
        <v>1</v>
      </c>
      <c r="D18" s="721">
        <f>countif('Project Records_v1'!G29:G60,"ongoing")</f>
        <v>5</v>
      </c>
      <c r="E18" s="721">
        <f>countif('Project Records_v1'!G61:G106,"ongoing")</f>
        <v>5</v>
      </c>
      <c r="F18" s="721">
        <f>countif('Project Records_v1'!G107:G151,"ongoing")</f>
        <v>10</v>
      </c>
      <c r="G18" s="721">
        <f t="shared" si="1"/>
        <v>23</v>
      </c>
    </row>
    <row r="19">
      <c r="A19" s="722" t="s">
        <v>101</v>
      </c>
      <c r="B19" s="721">
        <f>countif('Project Records_v1'!G5:G20, "cancelled")</f>
        <v>2</v>
      </c>
      <c r="C19" s="721">
        <f>countif('Project Records_v1'!G19:G28, "cancelled")</f>
        <v>1</v>
      </c>
      <c r="D19" s="721">
        <f>countif('Project Records_v1'!G29:G60, "cancelled")</f>
        <v>1</v>
      </c>
      <c r="E19" s="723">
        <f>countif('Project Records_v1'!G61:G106, "cancelled")</f>
        <v>1</v>
      </c>
      <c r="F19" s="723">
        <f>countif('Project Records_v1'!G107:G151, "cancelled")</f>
        <v>0</v>
      </c>
      <c r="G19" s="721">
        <f t="shared" si="1"/>
        <v>5</v>
      </c>
    </row>
    <row r="20">
      <c r="A20" s="724" t="s">
        <v>2435</v>
      </c>
      <c r="B20" s="725">
        <f t="shared" ref="B20:G20" si="2">sum(B17:B19)</f>
        <v>10</v>
      </c>
      <c r="C20" s="725">
        <f t="shared" si="2"/>
        <v>6</v>
      </c>
      <c r="D20" s="725">
        <f t="shared" si="2"/>
        <v>22</v>
      </c>
      <c r="E20" s="725">
        <f t="shared" si="2"/>
        <v>27</v>
      </c>
      <c r="F20" s="725">
        <f t="shared" si="2"/>
        <v>32</v>
      </c>
      <c r="G20" s="725">
        <f t="shared" si="2"/>
        <v>97</v>
      </c>
    </row>
    <row r="21">
      <c r="A21" s="718"/>
      <c r="B21" s="718"/>
      <c r="C21" s="718"/>
      <c r="D21" s="718"/>
      <c r="E21" s="718"/>
      <c r="F21" s="718"/>
      <c r="G21" s="718"/>
    </row>
    <row r="22">
      <c r="A22" s="726" t="s">
        <v>2436</v>
      </c>
      <c r="B22" s="727"/>
      <c r="C22" s="727"/>
      <c r="D22" s="727"/>
      <c r="E22" s="727"/>
      <c r="F22" s="727"/>
      <c r="G22" s="727"/>
    </row>
    <row r="23">
      <c r="A23" s="728" t="s">
        <v>22</v>
      </c>
      <c r="B23" s="729">
        <v>1.0</v>
      </c>
      <c r="C23" s="729">
        <v>3.0</v>
      </c>
      <c r="D23" s="729">
        <v>4.0</v>
      </c>
      <c r="E23" s="729">
        <v>6.0</v>
      </c>
      <c r="F23" s="729">
        <v>1.0</v>
      </c>
      <c r="G23" s="729">
        <f>sum(B23:F23)</f>
        <v>15</v>
      </c>
    </row>
  </sheetData>
  <mergeCells count="1">
    <mergeCell ref="C1:D1"/>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6.0"/>
    <col customWidth="1" min="2" max="2" width="27.5"/>
    <col customWidth="1" min="3" max="3" width="17.0"/>
    <col customWidth="1" min="4" max="4" width="9.38"/>
    <col customWidth="1" min="5" max="5" width="17.0"/>
    <col customWidth="1" min="6" max="6" width="20.38"/>
    <col customWidth="1" min="8" max="8" width="9.75"/>
    <col customWidth="1" min="10" max="10" width="19.25"/>
    <col customWidth="1" min="11" max="11" width="16.75"/>
    <col customWidth="1" min="12" max="12" width="14.13"/>
    <col customWidth="1" min="13" max="13" width="10.25"/>
    <col customWidth="1" min="15" max="15" width="13.63"/>
    <col customWidth="1" min="17" max="17" width="16.5"/>
    <col customWidth="1" min="18" max="18" width="15.13"/>
    <col customWidth="1" min="19" max="19" width="14.88"/>
  </cols>
  <sheetData>
    <row r="1" ht="22.5" customHeight="1">
      <c r="A1" s="730" t="s">
        <v>840</v>
      </c>
      <c r="B1" s="731" t="s">
        <v>2432</v>
      </c>
      <c r="C1" s="731" t="s">
        <v>2434</v>
      </c>
      <c r="D1" s="92"/>
      <c r="E1" s="732" t="s">
        <v>840</v>
      </c>
      <c r="F1" s="733" t="s">
        <v>2437</v>
      </c>
      <c r="G1" s="734" t="s">
        <v>1416</v>
      </c>
      <c r="H1" s="92"/>
      <c r="I1" s="733" t="s">
        <v>840</v>
      </c>
      <c r="J1" s="732" t="s">
        <v>1919</v>
      </c>
      <c r="K1" s="732" t="s">
        <v>1418</v>
      </c>
      <c r="L1" s="732" t="s">
        <v>1472</v>
      </c>
      <c r="M1" s="92"/>
      <c r="N1" s="733" t="s">
        <v>840</v>
      </c>
      <c r="O1" s="732" t="s">
        <v>1415</v>
      </c>
      <c r="P1" s="732" t="s">
        <v>1455</v>
      </c>
      <c r="Q1" s="732" t="s">
        <v>2429</v>
      </c>
      <c r="R1" s="732" t="s">
        <v>2374</v>
      </c>
      <c r="S1" s="732" t="s">
        <v>1606</v>
      </c>
    </row>
    <row r="2" ht="22.5" customHeight="1">
      <c r="A2" s="735">
        <v>2019.0</v>
      </c>
      <c r="B2" s="736">
        <f>countif('Client ID Records_v2'!A:A, "2019")</f>
        <v>1</v>
      </c>
      <c r="C2" s="735">
        <v>1.0</v>
      </c>
      <c r="E2" s="735">
        <v>2019.0</v>
      </c>
      <c r="F2" s="337">
        <f>COUNTIFS('Project Records_v2'!A:A,"2019",'Project Records_v2'!K:K,"In-House")</f>
        <v>1</v>
      </c>
      <c r="G2" s="337">
        <f>COUNTIFS('Project Records_v2'!A:A,"2019",'Project Records_v2'!K:K,"External")</f>
        <v>0</v>
      </c>
      <c r="I2" s="735">
        <v>2019.0</v>
      </c>
      <c r="J2" s="337">
        <f>COUNTIFS('Project Records_v2'!A:A,"2019",'Project Records_v2'!M:M,"Laboratory Services")</f>
        <v>0</v>
      </c>
      <c r="K2" s="337">
        <f>COUNTIFS('Project Records_v2'!A:A,"2019",'Project Records_v2'!M:M,"Equipment Use")</f>
        <v>0</v>
      </c>
      <c r="L2" s="337">
        <f>COUNTIFS('Project Records_v2'!A:A,"2019",'Project Records_v2'!M:M,"Retail Sales")</f>
        <v>0</v>
      </c>
      <c r="N2" s="735">
        <v>2019.0</v>
      </c>
      <c r="O2" s="337">
        <f>COUNTIFS('Project Records_v2'!A:A,"2019",'Project Records_v2'!J:J,"UP System")</f>
        <v>0</v>
      </c>
      <c r="P2" s="337">
        <f>COUNTIFS('Project Records_v2'!A:A,"2019",'Project Records_v2'!J:J,"SUC/HEI")</f>
        <v>0</v>
      </c>
      <c r="Q2" s="337">
        <f>COUNTIFS('Project Records_v2'!A:A,"2019",'Project Records_v2'!J:J,"Government")</f>
        <v>0</v>
      </c>
      <c r="R2" s="337">
        <f>COUNTIFS('Project Records_v2'!A:A,"2019",'Project Records_v2'!J:J,"Private/Local")</f>
        <v>0</v>
      </c>
      <c r="S2" s="337">
        <f>COUNTIFS('Project Records_v2'!A:A,"2019",'Project Records_v2'!J:J,"International")</f>
        <v>0</v>
      </c>
    </row>
    <row r="3" ht="22.5" customHeight="1">
      <c r="A3" s="735">
        <v>2020.0</v>
      </c>
      <c r="B3" s="735">
        <v>24.0</v>
      </c>
      <c r="C3" s="735">
        <v>9.0</v>
      </c>
      <c r="E3" s="735">
        <v>2020.0</v>
      </c>
      <c r="F3" s="337">
        <f>COUNTIFS('Project Records_v2'!A:A,"2020",'Project Records_v2'!K:K,"In-House")</f>
        <v>0</v>
      </c>
      <c r="G3" s="737">
        <f>COUNTIFS('Project Records_v2'!A:A,"2020",'Project Records_v2'!K:K,"External")</f>
        <v>9</v>
      </c>
      <c r="I3" s="735">
        <v>2020.0</v>
      </c>
      <c r="J3" s="337">
        <f>COUNTIFS('Project Records_v2'!A:A,"2020",'Project Records_v2'!M:M,"Laboratory Services")</f>
        <v>0</v>
      </c>
      <c r="K3" s="337">
        <f>COUNTIFS('Project Records_v2'!A:A,"2020",'Project Records_v2'!M:M,"Equipment Use")</f>
        <v>9</v>
      </c>
      <c r="L3" s="337">
        <f>COUNTIFS('Project Records_v2'!A:A,"2020",'Project Records_v2'!M:M,"Retail Sales")</f>
        <v>0</v>
      </c>
      <c r="N3" s="735">
        <v>2020.0</v>
      </c>
      <c r="O3" s="337">
        <f>COUNTIFS('Project Records_v2'!A:A,"2020",'Project Records_v2'!J:J,"UP System")</f>
        <v>9</v>
      </c>
      <c r="P3" s="337">
        <f>COUNTIFS('Project Records_v2'!A:A,"2020",'Project Records_v2'!J:J,"SUC/HEI")</f>
        <v>0</v>
      </c>
      <c r="Q3" s="337">
        <f>COUNTIFS('Project Records_v2'!A:A,"2020",'Project Records_v2'!J:J,"Government")</f>
        <v>0</v>
      </c>
      <c r="R3" s="337">
        <f>COUNTIFS('Project Records_v2'!A:A,"2020",'Project Records_v2'!J:J,"Private/Local")</f>
        <v>0</v>
      </c>
      <c r="S3" s="337">
        <f>COUNTIFS('Project Records_v2'!A:A,"2020",'Project Records_v2'!J:J,"International")</f>
        <v>0</v>
      </c>
    </row>
    <row r="4" ht="22.5" customHeight="1">
      <c r="A4" s="735">
        <v>2021.0</v>
      </c>
      <c r="B4" s="735">
        <v>12.0</v>
      </c>
      <c r="C4" s="735">
        <v>6.0</v>
      </c>
      <c r="E4" s="735">
        <v>2021.0</v>
      </c>
      <c r="F4" s="337">
        <f>COUNTIFS('Project Records_v2'!A:A,"2021",'Project Records_v2'!K:K,"In-House")</f>
        <v>0</v>
      </c>
      <c r="G4" s="737">
        <f>COUNTIFS('Project Records_v2'!A:A,"2021",'Project Records_v2'!K:K,"External")</f>
        <v>5</v>
      </c>
      <c r="I4" s="735">
        <v>2021.0</v>
      </c>
      <c r="J4" s="337">
        <f>COUNTIFS('Project Records_v2'!A:A,"2021",'Project Records_v2'!M:M,"Laboratory Services")</f>
        <v>2</v>
      </c>
      <c r="K4" s="337">
        <f>COUNTIFS('Project Records_v2'!A:A,"2021",'Project Records_v2'!M:M,"Equipment Use")</f>
        <v>2</v>
      </c>
      <c r="L4" s="337">
        <f>COUNTIFS('Project Records_v2'!A:A,"2021",'Project Records_v2'!M:M,"Retail Sales")</f>
        <v>1</v>
      </c>
      <c r="N4" s="735">
        <v>2021.0</v>
      </c>
      <c r="O4" s="337">
        <f>COUNTIFS('Project Records_v2'!A:A,"2021",'Project Records_v2'!J:J,"UP System")</f>
        <v>3</v>
      </c>
      <c r="P4" s="337">
        <f>COUNTIFS('Project Records_v2'!A:A,"2021",'Project Records_v2'!J:J,"SUC/HEI")</f>
        <v>3</v>
      </c>
      <c r="Q4" s="337">
        <f>COUNTIFS('Project Records_v2'!A:A,"2021",'Project Records_v2'!J:J,"Government")</f>
        <v>0</v>
      </c>
      <c r="R4" s="337">
        <f>COUNTIFS('Project Records_v2'!A:A,"2021",'Project Records_v2'!J:J,"Private/Local")</f>
        <v>0</v>
      </c>
      <c r="S4" s="337">
        <f>COUNTIFS('Project Records_v2'!A:A,"2021",'Project Records_v2'!J:J,"International")</f>
        <v>0</v>
      </c>
    </row>
    <row r="5" ht="22.5" customHeight="1">
      <c r="A5" s="735">
        <v>2022.0</v>
      </c>
      <c r="B5" s="735">
        <v>34.0</v>
      </c>
      <c r="C5" s="735">
        <v>21.0</v>
      </c>
      <c r="E5" s="735">
        <v>2022.0</v>
      </c>
      <c r="F5" s="337">
        <f>COUNTIFS('Project Records_v2'!A:A,"2022",'Project Records_v2'!K:K,"In-House")</f>
        <v>5</v>
      </c>
      <c r="G5" s="737">
        <f>COUNTIFS('Project Records_v2'!A:A,"2022",'Project Records_v2'!K:K,"External")</f>
        <v>16</v>
      </c>
      <c r="I5" s="735">
        <v>2022.0</v>
      </c>
      <c r="J5" s="337">
        <f>COUNTIFS('Project Records_v2'!A:A,"2022",'Project Records_v2'!M:M,"Laboratory Services")</f>
        <v>5</v>
      </c>
      <c r="K5" s="337">
        <f>COUNTIFS('Project Records_v2'!A:A,"2022",'Project Records_v2'!M:M,"Equipment Use")</f>
        <v>15</v>
      </c>
      <c r="L5" s="337">
        <f>COUNTIFS('Project Records_v2'!A:A,"2022",'Project Records_v2'!M:M,"Retail Sales")</f>
        <v>1</v>
      </c>
      <c r="N5" s="735">
        <v>2022.0</v>
      </c>
      <c r="O5" s="337">
        <f>COUNTIFS('Project Records_v2'!A:A,"2022",'Project Records_v2'!J:J,"UP System")</f>
        <v>18</v>
      </c>
      <c r="P5" s="337">
        <f>COUNTIFS('Project Records_v2'!A:A,"2022",'Project Records_v2'!J:J,"SUC/HEI")</f>
        <v>3</v>
      </c>
      <c r="Q5" s="337">
        <f>COUNTIFS('Project Records_v2'!A:A,"2022",'Project Records_v2'!J:J,"Government")</f>
        <v>0</v>
      </c>
      <c r="R5" s="337">
        <f>COUNTIFS('Project Records_v2'!A:A,"2022",'Project Records_v2'!J:J,"Private/Local")</f>
        <v>0</v>
      </c>
      <c r="S5" s="337">
        <f>COUNTIFS('Project Records_v2'!A:A,"2022",'Project Records_v2'!J:J,"International")</f>
        <v>0</v>
      </c>
    </row>
    <row r="6" ht="22.5" customHeight="1">
      <c r="A6" s="735">
        <v>2023.0</v>
      </c>
      <c r="B6" s="735">
        <v>58.0</v>
      </c>
      <c r="C6" s="735">
        <v>28.0</v>
      </c>
      <c r="E6" s="735">
        <v>2023.0</v>
      </c>
      <c r="F6" s="337">
        <f>COUNTIFS('Project Records_v2'!A:A,"2023",'Project Records_v2'!K:K,"In-House")</f>
        <v>14</v>
      </c>
      <c r="G6" s="737">
        <f>COUNTIFS('Project Records_v2'!A:A,"2023",'Project Records_v2'!K:K,"External")</f>
        <v>13</v>
      </c>
      <c r="I6" s="735">
        <v>2023.0</v>
      </c>
      <c r="J6" s="337">
        <f>COUNTIFS('Project Records_v2'!A:A,"2023",'Project Records_v2'!M:M,"Laboratory Services")</f>
        <v>10</v>
      </c>
      <c r="K6" s="337">
        <f>COUNTIFS('Project Records_v2'!A:A,"2023",'Project Records_v2'!M:M,"Equipment Use")</f>
        <v>13</v>
      </c>
      <c r="L6" s="337">
        <f>COUNTIFS('Project Records_v2'!A:A,"2023",'Project Records_v2'!M:M,"Retail Sales")</f>
        <v>4</v>
      </c>
      <c r="N6" s="735">
        <v>2023.0</v>
      </c>
      <c r="O6" s="337">
        <f>COUNTIFS('Project Records_v2'!A:A,"2023",'Project Records_v2'!J:J,"UP System")</f>
        <v>22</v>
      </c>
      <c r="P6" s="337">
        <f>COUNTIFS('Project Records_v2'!A:A,"2023",'Project Records_v2'!J:J,"SUC/HEI")</f>
        <v>2</v>
      </c>
      <c r="Q6" s="337">
        <f>COUNTIFS('Project Records_v2'!A:A,"2023",'Project Records_v2'!J:J,"Government")</f>
        <v>2</v>
      </c>
      <c r="R6" s="337">
        <f>COUNTIFS('Project Records_v2'!A:A,"2023",'Project Records_v2'!J:J,"Private/Local")</f>
        <v>0</v>
      </c>
      <c r="S6" s="337">
        <f>COUNTIFS('Project Records_v2'!A:A,"2023",'Project Records_v2'!J:J,"International")</f>
        <v>2</v>
      </c>
    </row>
    <row r="7" ht="22.5" customHeight="1">
      <c r="A7" s="735">
        <v>2024.0</v>
      </c>
      <c r="B7" s="736">
        <f>countif('Client ID Records_v2'!A:A, "2024")</f>
        <v>106</v>
      </c>
      <c r="C7" s="735">
        <f>COUNTIF('Project Records_v2'!A:A,"2024")</f>
        <v>49</v>
      </c>
      <c r="E7" s="735">
        <v>2024.0</v>
      </c>
      <c r="F7" s="337">
        <f>COUNTIFS('Project Records_v2'!A:A,"2024",'Project Records_v2'!K:K,"In-House")</f>
        <v>12</v>
      </c>
      <c r="G7" s="737">
        <f>COUNTIFS('Project Records_v2'!A:A,"2024",'Project Records_v2'!K:K,"External")</f>
        <v>37</v>
      </c>
      <c r="I7" s="735">
        <v>2024.0</v>
      </c>
      <c r="J7" s="337">
        <f>COUNTIFS('Project Records_v2'!A:A,"2024",'Project Records_v2'!M:M,"Laboratory Services")</f>
        <v>35</v>
      </c>
      <c r="K7" s="337">
        <f>COUNTIFS('Project Records_v2'!A:A,"2024",'Project Records_v2'!M:M,"Equipment Use")</f>
        <v>9</v>
      </c>
      <c r="L7" s="337">
        <f>COUNTIFS('Project Records_v2'!A:A,"2024",'Project Records_v2'!M:M,"Retail Sales")</f>
        <v>3</v>
      </c>
      <c r="N7" s="735">
        <v>2024.0</v>
      </c>
      <c r="O7" s="337">
        <f>COUNTIFS('Project Records_v2'!A:A,"2024",'Project Records_v2'!J:J,"UP System")</f>
        <v>28</v>
      </c>
      <c r="P7" s="337">
        <f>COUNTIFS('Project Records_v2'!A:A,"2024",'Project Records_v2'!J:J,"SUC/HEI")</f>
        <v>17</v>
      </c>
      <c r="Q7" s="337">
        <f>COUNTIFS('Project Records_v2'!A:A,"2024",'Project Records_v2'!J:J,"Government")</f>
        <v>3</v>
      </c>
      <c r="R7" s="337">
        <f>COUNTIFS('Project Records_v2'!A:A,"2024",'Project Records_v2'!J:J,"Private/Local")</f>
        <v>0</v>
      </c>
      <c r="S7" s="337">
        <f>COUNTIFS('Project Records_v2'!A:A,"2024",'Project Records_v2'!J:J,"International")</f>
        <v>1</v>
      </c>
    </row>
    <row r="8" ht="22.5" customHeight="1">
      <c r="A8" s="735">
        <v>2025.0</v>
      </c>
      <c r="B8" s="736">
        <f>countif('Client ID Records_v2'!A:A, "2025")</f>
        <v>75</v>
      </c>
      <c r="C8" s="735">
        <f>COUNTIF('Project Records_v2'!A:A,"2025")</f>
        <v>35</v>
      </c>
      <c r="E8" s="735">
        <v>2025.0</v>
      </c>
      <c r="F8" s="337">
        <f>COUNTIFS('Project Records_v2'!A:A,"2025",'Project Records_v2'!K:K,"In-House")</f>
        <v>7</v>
      </c>
      <c r="G8" s="737">
        <f>COUNTIFS('Project Records_v2'!A:A,"2025",'Project Records_v2'!K:K,"External")</f>
        <v>25</v>
      </c>
      <c r="I8" s="735">
        <v>2025.0</v>
      </c>
      <c r="J8" s="337">
        <f>COUNTIFS('Project Records_v2'!A:A,"2025",'Project Records_v2'!M:M,"Laboratory Services")</f>
        <v>22</v>
      </c>
      <c r="K8" s="337">
        <f>COUNTIFS('Project Records_v2'!A:A,"2025",'Project Records_v2'!M:M,"Equipment Use")</f>
        <v>4</v>
      </c>
      <c r="L8" s="337">
        <f>COUNTIFS('Project Records_v2'!A:A,"2025",'Project Records_v2'!M:M,"Retail Sales")</f>
        <v>0</v>
      </c>
      <c r="N8" s="735">
        <v>2025.0</v>
      </c>
      <c r="O8" s="337">
        <f>COUNTIFS('Project Records_v2'!A:A,"2025",'Project Records_v2'!J:J,"UP System")</f>
        <v>17</v>
      </c>
      <c r="P8" s="337">
        <f>COUNTIFS('Project Records_v2'!A:A,"2025",'Project Records_v2'!J:J,"SUC/HEI")</f>
        <v>11</v>
      </c>
      <c r="Q8" s="337">
        <f>COUNTIFS('Project Records_v2'!A:A,"2025",'Project Records_v2'!J:J,"Government")</f>
        <v>1</v>
      </c>
      <c r="R8" s="337">
        <f>COUNTIFS('Project Records_v2'!A:A,"2025",'Project Records_v2'!J:J,"Private/Local")</f>
        <v>1</v>
      </c>
      <c r="S8" s="337">
        <f>COUNTIFS('Project Records_v2'!A:A,"2025",'Project Records_v2'!J:J,"International")</f>
        <v>1</v>
      </c>
    </row>
    <row r="9" ht="22.5" customHeight="1">
      <c r="A9" s="738" t="s">
        <v>2263</v>
      </c>
      <c r="B9" s="738">
        <f t="shared" ref="B9:C9" si="1">SUM(B2:B8)</f>
        <v>310</v>
      </c>
      <c r="C9" s="738">
        <f t="shared" si="1"/>
        <v>149</v>
      </c>
      <c r="E9" s="738" t="s">
        <v>2263</v>
      </c>
      <c r="F9" s="737">
        <f>sum(FUNDING_SOURCE[PGC Visayas Funded])</f>
        <v>39</v>
      </c>
      <c r="G9" s="737">
        <f>sum(FUNDING_SOURCE[PGC Visayas Funded])</f>
        <v>39</v>
      </c>
      <c r="I9" s="738" t="s">
        <v>2263</v>
      </c>
      <c r="J9" s="737">
        <f t="shared" ref="J9:L9" si="2">sum(J2:J8)</f>
        <v>74</v>
      </c>
      <c r="K9" s="737">
        <f t="shared" si="2"/>
        <v>52</v>
      </c>
      <c r="L9" s="737">
        <f t="shared" si="2"/>
        <v>9</v>
      </c>
      <c r="N9" s="738" t="s">
        <v>2263</v>
      </c>
      <c r="O9" s="737">
        <f t="shared" ref="O9:S9" si="3">sum(O2:O8)</f>
        <v>97</v>
      </c>
      <c r="P9" s="737">
        <f t="shared" si="3"/>
        <v>36</v>
      </c>
      <c r="Q9" s="737">
        <f t="shared" si="3"/>
        <v>6</v>
      </c>
      <c r="R9" s="737">
        <f t="shared" si="3"/>
        <v>1</v>
      </c>
      <c r="S9" s="737">
        <f t="shared" si="3"/>
        <v>4</v>
      </c>
    </row>
    <row r="10">
      <c r="A10" s="87"/>
      <c r="B10" s="87"/>
      <c r="C10" s="87"/>
      <c r="F10" s="87"/>
      <c r="J10" s="87"/>
      <c r="K10" s="87"/>
      <c r="L10" s="87"/>
      <c r="O10" s="87"/>
      <c r="P10" s="87"/>
      <c r="Q10" s="87"/>
      <c r="R10" s="87"/>
      <c r="S10" s="87"/>
    </row>
    <row r="11">
      <c r="A11" s="87"/>
      <c r="B11" s="87"/>
      <c r="C11" s="87"/>
      <c r="F11" s="87"/>
      <c r="J11" s="87"/>
      <c r="K11" s="87"/>
      <c r="L11" s="87"/>
      <c r="O11" s="87"/>
      <c r="P11" s="87"/>
      <c r="Q11" s="87"/>
      <c r="R11" s="87"/>
      <c r="S11" s="87"/>
    </row>
    <row r="12">
      <c r="A12" s="87"/>
      <c r="B12" s="87"/>
      <c r="C12" s="87"/>
      <c r="F12" s="87"/>
      <c r="J12" s="87"/>
      <c r="K12" s="87"/>
      <c r="L12" s="87"/>
      <c r="O12" s="87"/>
      <c r="P12" s="87"/>
      <c r="Q12" s="87"/>
      <c r="R12" s="87"/>
      <c r="S12" s="87"/>
    </row>
    <row r="13">
      <c r="A13" s="87"/>
      <c r="B13" s="87"/>
      <c r="C13" s="87"/>
      <c r="F13" s="87"/>
      <c r="J13" s="87"/>
      <c r="K13" s="87"/>
      <c r="L13" s="87"/>
      <c r="O13" s="87"/>
      <c r="P13" s="87"/>
      <c r="Q13" s="87"/>
      <c r="R13" s="87"/>
      <c r="S13" s="87"/>
    </row>
    <row r="14">
      <c r="A14" s="87"/>
      <c r="B14" s="87"/>
      <c r="C14" s="87"/>
      <c r="F14" s="87"/>
      <c r="J14" s="87"/>
      <c r="K14" s="87"/>
      <c r="L14" s="87"/>
      <c r="O14" s="87"/>
      <c r="P14" s="87"/>
      <c r="Q14" s="87"/>
      <c r="R14" s="87"/>
      <c r="S14" s="87"/>
    </row>
    <row r="15">
      <c r="A15" s="87"/>
      <c r="B15" s="87"/>
      <c r="C15" s="87"/>
      <c r="F15" s="87"/>
      <c r="J15" s="87"/>
      <c r="K15" s="87"/>
      <c r="L15" s="87"/>
      <c r="O15" s="87"/>
      <c r="P15" s="87"/>
      <c r="Q15" s="87"/>
      <c r="R15" s="87"/>
      <c r="S15" s="87"/>
    </row>
    <row r="16">
      <c r="A16" s="87"/>
      <c r="B16" s="87"/>
      <c r="C16" s="87"/>
      <c r="F16" s="87"/>
      <c r="K16" s="87"/>
      <c r="L16" s="87"/>
      <c r="O16" s="87"/>
      <c r="P16" s="87"/>
      <c r="Q16" s="87"/>
      <c r="R16" s="87"/>
      <c r="S16" s="87"/>
    </row>
    <row r="17">
      <c r="A17" s="87"/>
      <c r="B17" s="87"/>
      <c r="C17" s="87"/>
      <c r="F17" s="87"/>
      <c r="J17" s="87"/>
      <c r="K17" s="87"/>
      <c r="L17" s="87"/>
      <c r="O17" s="87"/>
      <c r="P17" s="87"/>
      <c r="Q17" s="87"/>
      <c r="R17" s="87"/>
      <c r="S17" s="87"/>
    </row>
    <row r="18">
      <c r="A18" s="87"/>
      <c r="B18" s="87"/>
      <c r="C18" s="87"/>
      <c r="F18" s="87"/>
      <c r="J18" s="87"/>
      <c r="K18" s="87"/>
      <c r="L18" s="87"/>
      <c r="O18" s="87"/>
      <c r="P18" s="87"/>
      <c r="Q18" s="87"/>
      <c r="R18" s="87"/>
      <c r="S18" s="87"/>
    </row>
    <row r="19">
      <c r="A19" s="87"/>
      <c r="B19" s="87"/>
      <c r="C19" s="87"/>
      <c r="F19" s="87"/>
      <c r="J19" s="87"/>
      <c r="K19" s="87"/>
      <c r="L19" s="87"/>
      <c r="O19" s="87"/>
      <c r="P19" s="87"/>
      <c r="Q19" s="87"/>
      <c r="R19" s="87"/>
      <c r="S19" s="87"/>
    </row>
    <row r="20">
      <c r="A20" s="87"/>
      <c r="B20" s="87"/>
      <c r="C20" s="87"/>
      <c r="F20" s="87"/>
      <c r="J20" s="87"/>
      <c r="K20" s="87"/>
      <c r="L20" s="87"/>
      <c r="O20" s="87"/>
      <c r="P20" s="87"/>
      <c r="Q20" s="87"/>
      <c r="R20" s="87"/>
      <c r="S20" s="87"/>
    </row>
    <row r="21">
      <c r="A21" s="87"/>
      <c r="B21" s="87"/>
      <c r="C21" s="87"/>
      <c r="F21" s="87"/>
      <c r="J21" s="87"/>
      <c r="K21" s="87"/>
      <c r="L21" s="87"/>
      <c r="O21" s="87"/>
      <c r="P21" s="87"/>
      <c r="Q21" s="87"/>
      <c r="R21" s="87"/>
      <c r="S21" s="87"/>
    </row>
    <row r="22">
      <c r="A22" s="87"/>
      <c r="B22" s="87"/>
      <c r="C22" s="87"/>
      <c r="F22" s="87"/>
      <c r="J22" s="87"/>
      <c r="K22" s="87"/>
      <c r="L22" s="87"/>
      <c r="O22" s="87"/>
      <c r="P22" s="87"/>
      <c r="Q22" s="87"/>
      <c r="R22" s="87"/>
      <c r="S22" s="87"/>
    </row>
    <row r="23">
      <c r="A23" s="87"/>
      <c r="B23" s="87"/>
      <c r="C23" s="87"/>
      <c r="F23" s="87"/>
      <c r="J23" s="87"/>
      <c r="K23" s="87"/>
      <c r="L23" s="87"/>
      <c r="O23" s="87"/>
      <c r="P23" s="87"/>
      <c r="Q23" s="87"/>
      <c r="R23" s="87"/>
      <c r="S23" s="87"/>
    </row>
    <row r="24">
      <c r="A24" s="87"/>
      <c r="B24" s="87"/>
      <c r="C24" s="87"/>
      <c r="F24" s="87"/>
      <c r="J24" s="87"/>
      <c r="K24" s="87"/>
      <c r="L24" s="87"/>
      <c r="O24" s="87"/>
      <c r="P24" s="87"/>
      <c r="Q24" s="87"/>
      <c r="R24" s="87"/>
      <c r="S24" s="87"/>
    </row>
    <row r="25">
      <c r="A25" s="87"/>
      <c r="B25" s="87"/>
      <c r="C25" s="87"/>
      <c r="F25" s="87"/>
      <c r="J25" s="87"/>
      <c r="K25" s="87"/>
      <c r="L25" s="87"/>
      <c r="O25" s="87"/>
      <c r="P25" s="87"/>
      <c r="Q25" s="87"/>
      <c r="R25" s="87"/>
      <c r="S25" s="87"/>
    </row>
    <row r="26">
      <c r="A26" s="87"/>
      <c r="B26" s="87"/>
      <c r="C26" s="87"/>
      <c r="F26" s="87"/>
      <c r="J26" s="87"/>
      <c r="K26" s="87"/>
      <c r="L26" s="87"/>
      <c r="O26" s="87"/>
      <c r="P26" s="87"/>
      <c r="Q26" s="87"/>
      <c r="R26" s="87"/>
      <c r="S26" s="87"/>
    </row>
    <row r="27">
      <c r="A27" s="706" t="s">
        <v>2438</v>
      </c>
      <c r="C27" s="87"/>
      <c r="J27" s="87"/>
      <c r="K27" s="87"/>
      <c r="L27" s="87"/>
      <c r="O27" s="87"/>
      <c r="P27" s="87"/>
      <c r="Q27" s="87"/>
      <c r="R27" s="87"/>
      <c r="S27" s="87"/>
    </row>
    <row r="28">
      <c r="A28" s="75"/>
      <c r="B28" s="48"/>
      <c r="C28" s="48"/>
      <c r="F28" s="48"/>
      <c r="J28" s="48"/>
      <c r="K28" s="48"/>
      <c r="L28" s="48"/>
      <c r="O28" s="48"/>
      <c r="P28" s="48"/>
      <c r="Q28" s="87"/>
      <c r="R28" s="87"/>
      <c r="S28" s="87"/>
    </row>
    <row r="29">
      <c r="A29" s="75" t="s">
        <v>32</v>
      </c>
      <c r="B29" s="87">
        <f>COUNTIFS('Client ID Records_v2'!H:H,"Faculty")</f>
        <v>65</v>
      </c>
      <c r="C29" s="87"/>
      <c r="F29" s="48"/>
      <c r="J29" s="48"/>
      <c r="K29" s="48"/>
      <c r="L29" s="48"/>
      <c r="O29" s="48"/>
      <c r="P29" s="48"/>
      <c r="Q29" s="87">
        <f>SUM(E29:P29)</f>
        <v>0</v>
      </c>
      <c r="R29" s="87"/>
      <c r="S29" s="87"/>
    </row>
    <row r="30">
      <c r="A30" s="75" t="s">
        <v>851</v>
      </c>
      <c r="B30" s="87">
        <f>COUNTIFS('Client ID Records_v2'!H:H,"Researcher/Technical Assistant")</f>
        <v>81</v>
      </c>
      <c r="C30" s="87"/>
      <c r="F30" s="48"/>
      <c r="J30" s="48"/>
      <c r="K30" s="48"/>
      <c r="L30" s="48"/>
      <c r="M30" s="48"/>
      <c r="N30" s="48"/>
      <c r="O30" s="48"/>
      <c r="P30" s="48"/>
      <c r="Q30" s="48">
        <v>0.0</v>
      </c>
      <c r="R30" s="87"/>
      <c r="S30" s="87"/>
    </row>
    <row r="31">
      <c r="A31" s="75" t="s">
        <v>896</v>
      </c>
      <c r="B31" s="87">
        <f>COUNTIFS('Client ID Records_v2'!H:H,"Undergrad Student")</f>
        <v>66</v>
      </c>
      <c r="C31" s="87"/>
      <c r="F31" s="87"/>
      <c r="J31" s="87"/>
      <c r="K31" s="87"/>
      <c r="L31" s="87"/>
      <c r="O31" s="87"/>
      <c r="P31" s="87"/>
      <c r="Q31" s="87"/>
      <c r="R31" s="87"/>
      <c r="S31" s="87"/>
    </row>
    <row r="32">
      <c r="A32" s="75" t="s">
        <v>564</v>
      </c>
      <c r="B32" s="87">
        <f>COUNTIFS('Client ID Records_v2'!H:H,"MS Student")</f>
        <v>23</v>
      </c>
      <c r="C32" s="87"/>
      <c r="F32" s="87"/>
      <c r="J32" s="87"/>
      <c r="K32" s="87"/>
      <c r="L32" s="87"/>
      <c r="O32" s="87"/>
      <c r="P32" s="87"/>
      <c r="Q32" s="87"/>
      <c r="R32" s="87"/>
      <c r="S32" s="87"/>
    </row>
    <row r="33">
      <c r="A33" s="75" t="s">
        <v>932</v>
      </c>
      <c r="B33" s="87">
        <f>COUNTIFS('Client ID Records_v2'!H:H,"Phd Student")</f>
        <v>5</v>
      </c>
      <c r="C33" s="87"/>
      <c r="F33" s="87"/>
      <c r="J33" s="87"/>
      <c r="K33" s="87"/>
      <c r="L33" s="87"/>
      <c r="O33" s="87"/>
      <c r="P33" s="87"/>
      <c r="Q33" s="87"/>
      <c r="R33" s="87"/>
      <c r="S33" s="87"/>
    </row>
    <row r="34">
      <c r="A34" s="75" t="s">
        <v>2439</v>
      </c>
      <c r="B34" s="87">
        <f>COUNTIFS('Client ID Records_v2'!H:H,"High School Students")</f>
        <v>10</v>
      </c>
      <c r="C34" s="87"/>
      <c r="F34" s="87"/>
      <c r="J34" s="87"/>
      <c r="K34" s="87"/>
      <c r="L34" s="87"/>
      <c r="O34" s="87"/>
      <c r="P34" s="87"/>
      <c r="Q34" s="87"/>
      <c r="R34" s="87"/>
      <c r="S34" s="87"/>
    </row>
    <row r="35">
      <c r="A35" s="75" t="s">
        <v>844</v>
      </c>
      <c r="B35" s="87">
        <f>COUNTIFS('Client ID Records_v2'!H:H,"Others")</f>
        <v>12</v>
      </c>
      <c r="C35" s="87"/>
      <c r="F35" s="87"/>
      <c r="J35" s="87"/>
      <c r="K35" s="87"/>
      <c r="L35" s="87"/>
      <c r="O35" s="87"/>
      <c r="P35" s="87"/>
      <c r="Q35" s="87"/>
      <c r="R35" s="87"/>
      <c r="S35" s="87"/>
    </row>
    <row r="36">
      <c r="A36" s="87"/>
      <c r="B36" s="87"/>
      <c r="C36" s="87"/>
      <c r="F36" s="87"/>
      <c r="J36" s="87"/>
      <c r="K36" s="87"/>
      <c r="L36" s="87"/>
      <c r="O36" s="87"/>
      <c r="P36" s="87"/>
      <c r="Q36" s="87"/>
      <c r="R36" s="87"/>
      <c r="S36" s="87"/>
    </row>
    <row r="37">
      <c r="A37" s="48" t="s">
        <v>2440</v>
      </c>
      <c r="C37" s="87"/>
      <c r="F37" s="87"/>
      <c r="J37" s="87"/>
      <c r="K37" s="87"/>
      <c r="L37" s="87"/>
      <c r="O37" s="87"/>
      <c r="P37" s="87"/>
      <c r="Q37" s="87"/>
      <c r="R37" s="87"/>
      <c r="S37" s="87"/>
    </row>
    <row r="38">
      <c r="A38" s="48" t="s">
        <v>2441</v>
      </c>
      <c r="B38" s="48">
        <v>32.0</v>
      </c>
      <c r="C38" s="48" t="s">
        <v>2442</v>
      </c>
      <c r="F38" s="87"/>
      <c r="J38" s="87"/>
      <c r="K38" s="87"/>
      <c r="L38" s="87"/>
      <c r="O38" s="87"/>
      <c r="P38" s="87"/>
      <c r="Q38" s="87"/>
      <c r="R38" s="87"/>
      <c r="S38" s="87"/>
    </row>
    <row r="39">
      <c r="A39" s="48" t="s">
        <v>2063</v>
      </c>
      <c r="B39" s="87">
        <f>COUNTIF('Charge SlipBilling'!F95:F136,"PROCESSING")</f>
        <v>15</v>
      </c>
      <c r="C39" s="87"/>
      <c r="F39" s="87"/>
      <c r="J39" s="87"/>
      <c r="K39" s="87"/>
      <c r="L39" s="87"/>
      <c r="O39" s="87"/>
      <c r="P39" s="87"/>
      <c r="Q39" s="87"/>
      <c r="R39" s="87"/>
      <c r="S39" s="87"/>
    </row>
    <row r="40">
      <c r="A40" s="48" t="s">
        <v>1918</v>
      </c>
      <c r="B40" s="87">
        <f>COUNTIF('Charge SlipBilling'!F96:F137,"PAID")</f>
        <v>23</v>
      </c>
      <c r="C40" s="87"/>
      <c r="F40" s="87"/>
      <c r="J40" s="87"/>
      <c r="K40" s="87"/>
      <c r="L40" s="87"/>
      <c r="O40" s="87"/>
      <c r="P40" s="87"/>
      <c r="Q40" s="87"/>
      <c r="R40" s="87"/>
      <c r="S40" s="87"/>
    </row>
    <row r="41">
      <c r="A41" s="48" t="s">
        <v>1854</v>
      </c>
      <c r="B41" s="48">
        <v>21.0</v>
      </c>
      <c r="C41" s="87"/>
      <c r="F41" s="87"/>
      <c r="J41" s="87"/>
      <c r="K41" s="87"/>
      <c r="L41" s="87"/>
      <c r="O41" s="87"/>
      <c r="P41" s="87"/>
      <c r="Q41" s="87"/>
      <c r="R41" s="87"/>
      <c r="S41" s="87"/>
    </row>
    <row r="42">
      <c r="A42" s="48" t="s">
        <v>2443</v>
      </c>
      <c r="B42" s="48">
        <v>4.0</v>
      </c>
      <c r="C42" s="87"/>
      <c r="F42" s="87"/>
      <c r="J42" s="87"/>
      <c r="K42" s="87"/>
      <c r="L42" s="87"/>
      <c r="O42" s="87"/>
      <c r="P42" s="87"/>
      <c r="Q42" s="87"/>
      <c r="R42" s="87"/>
      <c r="S42" s="87"/>
    </row>
    <row r="43">
      <c r="A43" s="87"/>
      <c r="B43" s="87"/>
      <c r="C43" s="87"/>
      <c r="F43" s="87"/>
      <c r="J43" s="87"/>
      <c r="K43" s="87"/>
      <c r="L43" s="87"/>
      <c r="O43" s="87"/>
      <c r="P43" s="87"/>
      <c r="Q43" s="87"/>
      <c r="R43" s="87"/>
      <c r="S43" s="87"/>
    </row>
    <row r="44">
      <c r="A44" s="87"/>
      <c r="B44" s="87"/>
      <c r="C44" s="87"/>
      <c r="F44" s="87"/>
      <c r="J44" s="87"/>
      <c r="K44" s="87"/>
      <c r="L44" s="87"/>
      <c r="O44" s="87"/>
      <c r="P44" s="87"/>
      <c r="Q44" s="87"/>
      <c r="R44" s="87"/>
      <c r="S44" s="87"/>
    </row>
    <row r="45">
      <c r="A45" s="87"/>
      <c r="B45" s="87"/>
      <c r="C45" s="87"/>
      <c r="F45" s="87"/>
      <c r="J45" s="87"/>
      <c r="K45" s="87"/>
      <c r="L45" s="87"/>
      <c r="O45" s="87"/>
      <c r="P45" s="87"/>
      <c r="Q45" s="87"/>
      <c r="R45" s="87"/>
      <c r="S45" s="87"/>
    </row>
    <row r="46">
      <c r="A46" s="87"/>
      <c r="B46" s="87"/>
      <c r="C46" s="87"/>
      <c r="F46" s="87"/>
      <c r="J46" s="87"/>
      <c r="K46" s="87"/>
      <c r="L46" s="87"/>
      <c r="O46" s="87"/>
      <c r="P46" s="87"/>
      <c r="Q46" s="87"/>
      <c r="R46" s="87"/>
      <c r="S46" s="87"/>
    </row>
    <row r="47">
      <c r="A47" s="87"/>
      <c r="B47" s="87"/>
      <c r="C47" s="87"/>
      <c r="F47" s="87"/>
      <c r="J47" s="87"/>
      <c r="K47" s="87"/>
      <c r="L47" s="87"/>
      <c r="O47" s="87"/>
      <c r="P47" s="87"/>
      <c r="Q47" s="87"/>
      <c r="R47" s="87"/>
      <c r="S47" s="87"/>
    </row>
    <row r="48">
      <c r="A48" s="87"/>
      <c r="B48" s="87"/>
      <c r="C48" s="87"/>
      <c r="F48" s="87"/>
      <c r="J48" s="87"/>
      <c r="K48" s="87"/>
      <c r="L48" s="87"/>
      <c r="O48" s="87"/>
      <c r="P48" s="87"/>
      <c r="Q48" s="87"/>
      <c r="R48" s="87"/>
      <c r="S48" s="87"/>
    </row>
    <row r="49">
      <c r="A49" s="87"/>
      <c r="B49" s="87"/>
      <c r="C49" s="87"/>
      <c r="F49" s="87"/>
      <c r="J49" s="87"/>
      <c r="K49" s="87"/>
      <c r="L49" s="87"/>
      <c r="O49" s="87"/>
      <c r="P49" s="87"/>
      <c r="Q49" s="87"/>
      <c r="R49" s="87"/>
      <c r="S49" s="87"/>
    </row>
    <row r="50">
      <c r="A50" s="87"/>
      <c r="B50" s="87"/>
      <c r="C50" s="87"/>
      <c r="F50" s="87"/>
      <c r="J50" s="87"/>
      <c r="K50" s="87"/>
      <c r="L50" s="87"/>
      <c r="O50" s="87"/>
      <c r="P50" s="87"/>
      <c r="Q50" s="87"/>
      <c r="R50" s="87"/>
      <c r="S50" s="87"/>
    </row>
    <row r="51">
      <c r="A51" s="87"/>
      <c r="B51" s="87"/>
      <c r="C51" s="87"/>
      <c r="F51" s="87"/>
      <c r="J51" s="87"/>
      <c r="K51" s="87"/>
      <c r="L51" s="87"/>
      <c r="O51" s="87"/>
      <c r="P51" s="87"/>
      <c r="Q51" s="87"/>
      <c r="R51" s="87"/>
      <c r="S51" s="87"/>
    </row>
    <row r="52">
      <c r="A52" s="87"/>
      <c r="B52" s="87"/>
      <c r="C52" s="87"/>
      <c r="F52" s="87"/>
      <c r="J52" s="87"/>
      <c r="K52" s="87"/>
      <c r="L52" s="87"/>
      <c r="O52" s="87"/>
      <c r="P52" s="87"/>
      <c r="Q52" s="87"/>
      <c r="R52" s="87"/>
      <c r="S52" s="87"/>
    </row>
    <row r="53">
      <c r="A53" s="87"/>
      <c r="B53" s="87"/>
      <c r="C53" s="87"/>
      <c r="F53" s="87"/>
      <c r="J53" s="87"/>
      <c r="K53" s="87"/>
      <c r="L53" s="87"/>
      <c r="O53" s="87"/>
      <c r="P53" s="87"/>
      <c r="Q53" s="87"/>
      <c r="R53" s="87"/>
      <c r="S53" s="87"/>
    </row>
    <row r="54">
      <c r="A54" s="87"/>
      <c r="B54" s="87"/>
      <c r="C54" s="87"/>
      <c r="F54" s="87"/>
      <c r="J54" s="87"/>
      <c r="K54" s="87"/>
      <c r="L54" s="87"/>
      <c r="O54" s="87"/>
      <c r="P54" s="87"/>
      <c r="Q54" s="87"/>
      <c r="R54" s="87"/>
      <c r="S54" s="87"/>
    </row>
    <row r="55">
      <c r="A55" s="87"/>
      <c r="B55" s="87"/>
      <c r="C55" s="87"/>
      <c r="F55" s="87"/>
      <c r="J55" s="87"/>
      <c r="K55" s="87"/>
      <c r="L55" s="87"/>
      <c r="O55" s="87"/>
      <c r="P55" s="87"/>
      <c r="Q55" s="87"/>
      <c r="R55" s="87"/>
      <c r="S55" s="87"/>
    </row>
    <row r="56">
      <c r="A56" s="87"/>
      <c r="B56" s="87"/>
      <c r="C56" s="87"/>
      <c r="F56" s="87"/>
      <c r="J56" s="87"/>
      <c r="K56" s="87"/>
      <c r="L56" s="87"/>
      <c r="O56" s="87"/>
      <c r="P56" s="87"/>
      <c r="Q56" s="87"/>
      <c r="R56" s="87"/>
      <c r="S56" s="87"/>
    </row>
    <row r="57">
      <c r="A57" s="87"/>
      <c r="B57" s="87"/>
      <c r="C57" s="87"/>
      <c r="F57" s="87"/>
      <c r="J57" s="87"/>
      <c r="K57" s="87"/>
      <c r="L57" s="87"/>
      <c r="O57" s="87"/>
      <c r="P57" s="87"/>
      <c r="Q57" s="87"/>
      <c r="R57" s="87"/>
      <c r="S57" s="87"/>
    </row>
    <row r="58">
      <c r="A58" s="87"/>
      <c r="B58" s="87"/>
      <c r="C58" s="87"/>
      <c r="F58" s="87"/>
      <c r="J58" s="87"/>
      <c r="K58" s="87"/>
      <c r="L58" s="87"/>
      <c r="O58" s="87"/>
      <c r="P58" s="87"/>
      <c r="Q58" s="87"/>
      <c r="R58" s="87"/>
      <c r="S58" s="87"/>
    </row>
    <row r="59">
      <c r="A59" s="87"/>
      <c r="B59" s="87"/>
      <c r="C59" s="87"/>
      <c r="F59" s="87"/>
      <c r="J59" s="87"/>
      <c r="K59" s="87"/>
      <c r="L59" s="87"/>
      <c r="O59" s="87"/>
      <c r="P59" s="87"/>
      <c r="Q59" s="87"/>
      <c r="R59" s="87"/>
      <c r="S59" s="87"/>
    </row>
    <row r="60">
      <c r="A60" s="87"/>
      <c r="B60" s="87"/>
      <c r="C60" s="87"/>
      <c r="F60" s="87"/>
      <c r="J60" s="87"/>
      <c r="K60" s="87"/>
      <c r="L60" s="87"/>
      <c r="O60" s="87"/>
      <c r="P60" s="87"/>
      <c r="Q60" s="87"/>
      <c r="R60" s="87"/>
      <c r="S60" s="87"/>
    </row>
    <row r="61">
      <c r="A61" s="87"/>
      <c r="B61" s="87"/>
      <c r="C61" s="87"/>
      <c r="F61" s="87"/>
      <c r="J61" s="87"/>
      <c r="K61" s="87"/>
      <c r="L61" s="87"/>
      <c r="O61" s="87"/>
      <c r="P61" s="87"/>
      <c r="Q61" s="87"/>
      <c r="R61" s="87"/>
      <c r="S61" s="87"/>
    </row>
    <row r="62">
      <c r="A62" s="87"/>
      <c r="B62" s="87"/>
      <c r="C62" s="87"/>
      <c r="F62" s="87"/>
      <c r="J62" s="87"/>
      <c r="K62" s="87"/>
      <c r="L62" s="87"/>
      <c r="O62" s="87"/>
      <c r="P62" s="87"/>
      <c r="Q62" s="87"/>
      <c r="R62" s="87"/>
      <c r="S62" s="87"/>
    </row>
    <row r="63">
      <c r="A63" s="87"/>
      <c r="B63" s="87"/>
      <c r="C63" s="87"/>
      <c r="F63" s="87"/>
      <c r="J63" s="87"/>
      <c r="K63" s="87"/>
      <c r="L63" s="87"/>
      <c r="O63" s="87"/>
      <c r="P63" s="87"/>
      <c r="Q63" s="87"/>
      <c r="R63" s="87"/>
      <c r="S63" s="87"/>
    </row>
    <row r="64">
      <c r="A64" s="87"/>
      <c r="B64" s="87"/>
      <c r="C64" s="87"/>
      <c r="F64" s="87"/>
      <c r="J64" s="87"/>
      <c r="K64" s="87"/>
      <c r="L64" s="87"/>
      <c r="O64" s="87"/>
      <c r="P64" s="87"/>
      <c r="Q64" s="87"/>
      <c r="R64" s="87"/>
      <c r="S64" s="87"/>
    </row>
    <row r="65">
      <c r="A65" s="87"/>
      <c r="B65" s="87"/>
      <c r="C65" s="87"/>
      <c r="F65" s="87"/>
      <c r="J65" s="87"/>
      <c r="K65" s="87"/>
      <c r="L65" s="87"/>
      <c r="O65" s="87"/>
      <c r="P65" s="87"/>
      <c r="Q65" s="87"/>
      <c r="R65" s="87"/>
      <c r="S65" s="87"/>
    </row>
    <row r="66">
      <c r="A66" s="87"/>
      <c r="B66" s="87"/>
      <c r="C66" s="87"/>
      <c r="F66" s="87"/>
      <c r="J66" s="87"/>
      <c r="K66" s="87"/>
      <c r="L66" s="87"/>
      <c r="O66" s="87"/>
      <c r="P66" s="87"/>
      <c r="Q66" s="87"/>
      <c r="R66" s="87"/>
      <c r="S66" s="87"/>
    </row>
    <row r="67">
      <c r="A67" s="87"/>
      <c r="B67" s="87"/>
      <c r="C67" s="87"/>
      <c r="F67" s="87"/>
      <c r="J67" s="87"/>
      <c r="K67" s="87"/>
      <c r="L67" s="87"/>
      <c r="O67" s="87"/>
      <c r="P67" s="87"/>
      <c r="Q67" s="87"/>
      <c r="R67" s="87"/>
      <c r="S67" s="87"/>
    </row>
    <row r="68">
      <c r="A68" s="87"/>
      <c r="B68" s="87"/>
      <c r="C68" s="87"/>
      <c r="F68" s="87"/>
      <c r="J68" s="87"/>
      <c r="K68" s="87"/>
      <c r="L68" s="87"/>
      <c r="O68" s="87"/>
      <c r="P68" s="87"/>
      <c r="Q68" s="87"/>
      <c r="R68" s="87"/>
      <c r="S68" s="87"/>
    </row>
    <row r="69">
      <c r="A69" s="87"/>
      <c r="B69" s="87"/>
      <c r="C69" s="87"/>
      <c r="F69" s="87"/>
      <c r="J69" s="87"/>
      <c r="K69" s="87"/>
      <c r="L69" s="87"/>
      <c r="O69" s="87"/>
      <c r="P69" s="87"/>
      <c r="Q69" s="87"/>
      <c r="R69" s="87"/>
      <c r="S69" s="87"/>
    </row>
    <row r="70">
      <c r="A70" s="87"/>
      <c r="B70" s="87"/>
      <c r="C70" s="87"/>
      <c r="F70" s="87"/>
      <c r="J70" s="87"/>
      <c r="K70" s="87"/>
      <c r="L70" s="87"/>
      <c r="O70" s="87"/>
      <c r="P70" s="87"/>
      <c r="Q70" s="87"/>
      <c r="R70" s="87"/>
      <c r="S70" s="87"/>
    </row>
    <row r="71">
      <c r="A71" s="87"/>
      <c r="B71" s="87"/>
      <c r="C71" s="87"/>
      <c r="F71" s="87"/>
      <c r="J71" s="87"/>
      <c r="K71" s="87"/>
      <c r="L71" s="87"/>
      <c r="O71" s="87"/>
      <c r="P71" s="87"/>
      <c r="Q71" s="87"/>
      <c r="R71" s="87"/>
      <c r="S71" s="87"/>
    </row>
    <row r="72">
      <c r="A72" s="87"/>
      <c r="B72" s="87"/>
      <c r="C72" s="87"/>
      <c r="F72" s="87"/>
      <c r="J72" s="87"/>
      <c r="K72" s="87"/>
      <c r="L72" s="87"/>
      <c r="O72" s="87"/>
      <c r="P72" s="87"/>
      <c r="Q72" s="87"/>
      <c r="R72" s="87"/>
      <c r="S72" s="87"/>
    </row>
    <row r="73">
      <c r="A73" s="87"/>
      <c r="B73" s="87"/>
      <c r="C73" s="87"/>
      <c r="F73" s="87"/>
      <c r="J73" s="87"/>
      <c r="K73" s="87"/>
      <c r="L73" s="87"/>
      <c r="O73" s="87"/>
      <c r="P73" s="87"/>
      <c r="Q73" s="87"/>
      <c r="R73" s="87"/>
      <c r="S73" s="87"/>
    </row>
    <row r="74">
      <c r="A74" s="87"/>
      <c r="B74" s="87"/>
      <c r="C74" s="87"/>
      <c r="F74" s="87"/>
      <c r="J74" s="87"/>
      <c r="K74" s="87"/>
      <c r="L74" s="87"/>
      <c r="O74" s="87"/>
      <c r="P74" s="87"/>
      <c r="Q74" s="87"/>
      <c r="R74" s="87"/>
      <c r="S74" s="87"/>
    </row>
    <row r="75">
      <c r="A75" s="87"/>
      <c r="B75" s="87"/>
      <c r="C75" s="87"/>
      <c r="F75" s="87"/>
      <c r="J75" s="87"/>
      <c r="K75" s="87"/>
      <c r="L75" s="87"/>
      <c r="O75" s="87"/>
      <c r="P75" s="87"/>
      <c r="Q75" s="87"/>
      <c r="R75" s="87"/>
      <c r="S75" s="87"/>
    </row>
    <row r="76">
      <c r="A76" s="87"/>
      <c r="B76" s="87"/>
      <c r="C76" s="87"/>
      <c r="F76" s="87"/>
      <c r="J76" s="87"/>
      <c r="K76" s="87"/>
      <c r="L76" s="87"/>
      <c r="O76" s="87"/>
      <c r="P76" s="87"/>
      <c r="Q76" s="87"/>
      <c r="R76" s="87"/>
      <c r="S76" s="87"/>
    </row>
    <row r="77">
      <c r="A77" s="87"/>
      <c r="B77" s="87"/>
      <c r="C77" s="87"/>
      <c r="F77" s="87"/>
      <c r="J77" s="87"/>
      <c r="K77" s="87"/>
      <c r="L77" s="87"/>
      <c r="O77" s="87"/>
      <c r="P77" s="87"/>
      <c r="Q77" s="87"/>
      <c r="R77" s="87"/>
      <c r="S77" s="87"/>
    </row>
    <row r="78">
      <c r="A78" s="87"/>
      <c r="B78" s="87"/>
      <c r="C78" s="87"/>
      <c r="F78" s="87"/>
      <c r="J78" s="87"/>
      <c r="K78" s="87"/>
      <c r="L78" s="87"/>
      <c r="O78" s="87"/>
      <c r="P78" s="87"/>
      <c r="Q78" s="87"/>
      <c r="R78" s="87"/>
      <c r="S78" s="87"/>
    </row>
    <row r="79">
      <c r="A79" s="87"/>
      <c r="B79" s="87"/>
      <c r="C79" s="87"/>
      <c r="F79" s="87"/>
      <c r="J79" s="87"/>
      <c r="K79" s="87"/>
      <c r="L79" s="87"/>
      <c r="O79" s="87"/>
      <c r="P79" s="87"/>
      <c r="Q79" s="87"/>
      <c r="R79" s="87"/>
      <c r="S79" s="87"/>
    </row>
    <row r="80">
      <c r="A80" s="87"/>
      <c r="B80" s="87"/>
      <c r="C80" s="87"/>
      <c r="F80" s="87"/>
      <c r="J80" s="87"/>
      <c r="K80" s="87"/>
      <c r="L80" s="87"/>
      <c r="O80" s="87"/>
      <c r="P80" s="87"/>
      <c r="Q80" s="87"/>
      <c r="R80" s="87"/>
      <c r="S80" s="87"/>
    </row>
    <row r="81">
      <c r="A81" s="87"/>
      <c r="B81" s="87"/>
      <c r="C81" s="87"/>
      <c r="F81" s="87"/>
      <c r="J81" s="87"/>
      <c r="K81" s="87"/>
      <c r="L81" s="87"/>
      <c r="O81" s="87"/>
      <c r="P81" s="87"/>
      <c r="Q81" s="87"/>
      <c r="R81" s="87"/>
      <c r="S81" s="87"/>
    </row>
    <row r="82">
      <c r="A82" s="87"/>
      <c r="B82" s="87"/>
      <c r="C82" s="87"/>
      <c r="F82" s="87"/>
      <c r="J82" s="87"/>
      <c r="K82" s="87"/>
      <c r="L82" s="87"/>
      <c r="O82" s="87"/>
      <c r="P82" s="87"/>
      <c r="Q82" s="87"/>
      <c r="R82" s="87"/>
      <c r="S82" s="87"/>
    </row>
    <row r="83">
      <c r="A83" s="87"/>
      <c r="B83" s="87"/>
      <c r="C83" s="87"/>
      <c r="F83" s="87"/>
      <c r="J83" s="87"/>
      <c r="K83" s="87"/>
      <c r="L83" s="87"/>
      <c r="O83" s="87"/>
      <c r="P83" s="87"/>
      <c r="Q83" s="87"/>
      <c r="R83" s="87"/>
      <c r="S83" s="87"/>
    </row>
    <row r="84">
      <c r="A84" s="87"/>
      <c r="B84" s="87"/>
      <c r="C84" s="87"/>
      <c r="F84" s="87"/>
      <c r="J84" s="87"/>
      <c r="K84" s="87"/>
      <c r="L84" s="87"/>
      <c r="O84" s="87"/>
      <c r="P84" s="87"/>
      <c r="Q84" s="87"/>
      <c r="R84" s="87"/>
      <c r="S84" s="87"/>
    </row>
    <row r="85">
      <c r="A85" s="87"/>
      <c r="B85" s="87"/>
      <c r="C85" s="87"/>
      <c r="F85" s="87"/>
      <c r="J85" s="87"/>
      <c r="K85" s="87"/>
      <c r="L85" s="87"/>
      <c r="O85" s="87"/>
      <c r="P85" s="87"/>
      <c r="Q85" s="87"/>
      <c r="R85" s="87"/>
      <c r="S85" s="87"/>
    </row>
    <row r="86">
      <c r="A86" s="87"/>
      <c r="B86" s="87"/>
      <c r="C86" s="87"/>
      <c r="F86" s="87"/>
      <c r="J86" s="87"/>
      <c r="K86" s="87"/>
      <c r="L86" s="87"/>
      <c r="O86" s="87"/>
      <c r="P86" s="87"/>
      <c r="Q86" s="87"/>
      <c r="R86" s="87"/>
      <c r="S86" s="87"/>
    </row>
    <row r="87">
      <c r="A87" s="87"/>
      <c r="B87" s="87"/>
      <c r="C87" s="87"/>
      <c r="F87" s="87"/>
      <c r="J87" s="87"/>
      <c r="K87" s="87"/>
      <c r="L87" s="87"/>
      <c r="O87" s="87"/>
      <c r="P87" s="87"/>
      <c r="Q87" s="87"/>
      <c r="R87" s="87"/>
      <c r="S87" s="87"/>
    </row>
    <row r="88">
      <c r="A88" s="87"/>
      <c r="B88" s="87"/>
      <c r="C88" s="87"/>
      <c r="F88" s="87"/>
      <c r="J88" s="87"/>
      <c r="K88" s="87"/>
      <c r="L88" s="87"/>
      <c r="O88" s="87"/>
      <c r="P88" s="87"/>
      <c r="Q88" s="87"/>
      <c r="R88" s="87"/>
      <c r="S88" s="87"/>
    </row>
    <row r="89">
      <c r="A89" s="87"/>
      <c r="B89" s="87"/>
      <c r="C89" s="87"/>
      <c r="F89" s="87"/>
      <c r="J89" s="87"/>
      <c r="K89" s="87"/>
      <c r="L89" s="87"/>
      <c r="O89" s="87"/>
      <c r="P89" s="87"/>
      <c r="Q89" s="87"/>
      <c r="R89" s="87"/>
      <c r="S89" s="87"/>
    </row>
    <row r="90">
      <c r="A90" s="87"/>
      <c r="B90" s="87"/>
      <c r="C90" s="87"/>
      <c r="F90" s="87"/>
      <c r="J90" s="87"/>
      <c r="K90" s="87"/>
      <c r="L90" s="87"/>
      <c r="O90" s="87"/>
      <c r="P90" s="87"/>
      <c r="Q90" s="87"/>
      <c r="R90" s="87"/>
      <c r="S90" s="87"/>
    </row>
    <row r="91">
      <c r="A91" s="87"/>
      <c r="B91" s="87"/>
      <c r="C91" s="87"/>
      <c r="F91" s="87"/>
      <c r="J91" s="87"/>
      <c r="K91" s="87"/>
      <c r="L91" s="87"/>
      <c r="O91" s="87"/>
      <c r="P91" s="87"/>
      <c r="Q91" s="87"/>
      <c r="R91" s="87"/>
      <c r="S91" s="87"/>
    </row>
    <row r="92">
      <c r="A92" s="87"/>
      <c r="B92" s="87"/>
      <c r="C92" s="87"/>
      <c r="F92" s="87"/>
      <c r="J92" s="87"/>
      <c r="K92" s="87"/>
      <c r="L92" s="87"/>
      <c r="O92" s="87"/>
      <c r="P92" s="87"/>
      <c r="Q92" s="87"/>
      <c r="R92" s="87"/>
      <c r="S92" s="87"/>
    </row>
    <row r="93">
      <c r="A93" s="87"/>
      <c r="B93" s="87"/>
      <c r="C93" s="87"/>
      <c r="F93" s="87"/>
      <c r="J93" s="87"/>
      <c r="K93" s="87"/>
      <c r="L93" s="87"/>
      <c r="O93" s="87"/>
      <c r="P93" s="87"/>
      <c r="Q93" s="87"/>
      <c r="R93" s="87"/>
      <c r="S93" s="87"/>
    </row>
    <row r="94">
      <c r="A94" s="87"/>
      <c r="B94" s="87"/>
      <c r="C94" s="87"/>
      <c r="F94" s="87"/>
      <c r="J94" s="87"/>
      <c r="K94" s="87"/>
      <c r="L94" s="87"/>
      <c r="O94" s="87"/>
      <c r="P94" s="87"/>
      <c r="Q94" s="87"/>
      <c r="R94" s="87"/>
      <c r="S94" s="87"/>
    </row>
    <row r="95">
      <c r="A95" s="87"/>
      <c r="B95" s="87"/>
      <c r="C95" s="87"/>
      <c r="F95" s="87"/>
      <c r="J95" s="87"/>
      <c r="K95" s="87"/>
      <c r="L95" s="87"/>
      <c r="O95" s="87"/>
      <c r="P95" s="87"/>
      <c r="Q95" s="87"/>
      <c r="R95" s="87"/>
      <c r="S95" s="87"/>
    </row>
    <row r="96">
      <c r="A96" s="87"/>
      <c r="B96" s="87"/>
      <c r="C96" s="87"/>
      <c r="F96" s="87"/>
      <c r="J96" s="87"/>
      <c r="K96" s="87"/>
      <c r="L96" s="87"/>
      <c r="O96" s="87"/>
      <c r="P96" s="87"/>
      <c r="Q96" s="87"/>
      <c r="R96" s="87"/>
      <c r="S96" s="87"/>
    </row>
    <row r="97">
      <c r="A97" s="87"/>
      <c r="B97" s="87"/>
      <c r="C97" s="87"/>
      <c r="F97" s="87"/>
      <c r="J97" s="87"/>
      <c r="K97" s="87"/>
      <c r="L97" s="87"/>
      <c r="O97" s="87"/>
      <c r="P97" s="87"/>
      <c r="Q97" s="87"/>
      <c r="R97" s="87"/>
      <c r="S97" s="87"/>
    </row>
    <row r="98">
      <c r="A98" s="87"/>
      <c r="B98" s="87"/>
      <c r="C98" s="87"/>
      <c r="F98" s="87"/>
      <c r="J98" s="87"/>
      <c r="K98" s="87"/>
      <c r="L98" s="87"/>
      <c r="O98" s="87"/>
      <c r="P98" s="87"/>
      <c r="Q98" s="87"/>
      <c r="R98" s="87"/>
      <c r="S98" s="87"/>
    </row>
    <row r="99">
      <c r="A99" s="87"/>
      <c r="B99" s="87"/>
      <c r="C99" s="87"/>
      <c r="F99" s="87"/>
      <c r="J99" s="87"/>
      <c r="K99" s="87"/>
      <c r="L99" s="87"/>
      <c r="O99" s="87"/>
      <c r="P99" s="87"/>
      <c r="Q99" s="87"/>
      <c r="R99" s="87"/>
      <c r="S99" s="87"/>
    </row>
    <row r="100">
      <c r="A100" s="87"/>
      <c r="B100" s="87"/>
      <c r="C100" s="87"/>
      <c r="F100" s="87"/>
      <c r="J100" s="87"/>
      <c r="K100" s="87"/>
      <c r="L100" s="87"/>
      <c r="O100" s="87"/>
      <c r="P100" s="87"/>
      <c r="Q100" s="87"/>
      <c r="R100" s="87"/>
      <c r="S100" s="87"/>
    </row>
    <row r="101">
      <c r="A101" s="87"/>
      <c r="B101" s="87"/>
      <c r="C101" s="87"/>
      <c r="F101" s="87"/>
      <c r="J101" s="87"/>
      <c r="K101" s="87"/>
      <c r="L101" s="87"/>
      <c r="O101" s="87"/>
      <c r="P101" s="87"/>
      <c r="Q101" s="87"/>
      <c r="R101" s="87"/>
      <c r="S101" s="87"/>
    </row>
    <row r="102">
      <c r="A102" s="87"/>
      <c r="B102" s="87"/>
      <c r="C102" s="87"/>
      <c r="F102" s="87"/>
      <c r="J102" s="87"/>
      <c r="K102" s="87"/>
      <c r="L102" s="87"/>
      <c r="O102" s="87"/>
      <c r="P102" s="87"/>
      <c r="Q102" s="87"/>
      <c r="R102" s="87"/>
      <c r="S102" s="87"/>
    </row>
    <row r="103">
      <c r="A103" s="87"/>
      <c r="B103" s="87"/>
      <c r="C103" s="87"/>
      <c r="F103" s="87"/>
      <c r="J103" s="87"/>
      <c r="K103" s="87"/>
      <c r="L103" s="87"/>
      <c r="O103" s="87"/>
      <c r="P103" s="87"/>
      <c r="Q103" s="87"/>
      <c r="R103" s="87"/>
      <c r="S103" s="87"/>
    </row>
    <row r="104">
      <c r="A104" s="87"/>
      <c r="B104" s="87"/>
      <c r="C104" s="87"/>
      <c r="F104" s="87"/>
      <c r="J104" s="87"/>
      <c r="K104" s="87"/>
      <c r="L104" s="87"/>
      <c r="O104" s="87"/>
      <c r="P104" s="87"/>
      <c r="Q104" s="87"/>
      <c r="R104" s="87"/>
      <c r="S104" s="87"/>
    </row>
    <row r="105">
      <c r="A105" s="87"/>
      <c r="B105" s="87"/>
      <c r="C105" s="87"/>
      <c r="F105" s="87"/>
      <c r="J105" s="87"/>
      <c r="K105" s="87"/>
      <c r="L105" s="87"/>
      <c r="O105" s="87"/>
      <c r="P105" s="87"/>
      <c r="Q105" s="87"/>
      <c r="R105" s="87"/>
      <c r="S105" s="87"/>
    </row>
    <row r="106">
      <c r="A106" s="87"/>
      <c r="B106" s="87"/>
      <c r="C106" s="87"/>
      <c r="F106" s="87"/>
      <c r="J106" s="87"/>
      <c r="K106" s="87"/>
      <c r="L106" s="87"/>
      <c r="O106" s="87"/>
      <c r="P106" s="87"/>
      <c r="Q106" s="87"/>
      <c r="R106" s="87"/>
      <c r="S106" s="87"/>
    </row>
    <row r="107">
      <c r="A107" s="87"/>
      <c r="B107" s="87"/>
      <c r="C107" s="87"/>
      <c r="F107" s="87"/>
      <c r="J107" s="87"/>
      <c r="K107" s="87"/>
      <c r="L107" s="87"/>
      <c r="O107" s="87"/>
      <c r="P107" s="87"/>
      <c r="Q107" s="87"/>
      <c r="R107" s="87"/>
      <c r="S107" s="87"/>
    </row>
    <row r="108">
      <c r="A108" s="87"/>
      <c r="B108" s="87"/>
      <c r="C108" s="87"/>
      <c r="F108" s="87"/>
      <c r="J108" s="87"/>
      <c r="K108" s="87"/>
      <c r="L108" s="87"/>
      <c r="O108" s="87"/>
      <c r="P108" s="87"/>
      <c r="Q108" s="87"/>
      <c r="R108" s="87"/>
      <c r="S108" s="87"/>
    </row>
    <row r="109">
      <c r="A109" s="87"/>
      <c r="B109" s="87"/>
      <c r="C109" s="87"/>
      <c r="F109" s="87"/>
      <c r="J109" s="87"/>
      <c r="K109" s="87"/>
      <c r="L109" s="87"/>
      <c r="O109" s="87"/>
      <c r="P109" s="87"/>
      <c r="Q109" s="87"/>
      <c r="R109" s="87"/>
      <c r="S109" s="87"/>
    </row>
    <row r="110">
      <c r="A110" s="87"/>
      <c r="B110" s="87"/>
      <c r="C110" s="87"/>
      <c r="F110" s="87"/>
      <c r="J110" s="87"/>
      <c r="K110" s="87"/>
      <c r="L110" s="87"/>
      <c r="O110" s="87"/>
      <c r="P110" s="87"/>
      <c r="Q110" s="87"/>
      <c r="R110" s="87"/>
      <c r="S110" s="87"/>
    </row>
    <row r="111">
      <c r="A111" s="87"/>
      <c r="B111" s="87"/>
      <c r="C111" s="87"/>
      <c r="F111" s="87"/>
      <c r="J111" s="87"/>
      <c r="K111" s="87"/>
      <c r="L111" s="87"/>
      <c r="O111" s="87"/>
      <c r="P111" s="87"/>
      <c r="Q111" s="87"/>
      <c r="R111" s="87"/>
      <c r="S111" s="87"/>
    </row>
    <row r="112">
      <c r="A112" s="87"/>
      <c r="B112" s="87"/>
      <c r="C112" s="87"/>
      <c r="F112" s="87"/>
      <c r="J112" s="87"/>
      <c r="K112" s="87"/>
      <c r="L112" s="87"/>
      <c r="O112" s="87"/>
      <c r="P112" s="87"/>
      <c r="Q112" s="87"/>
      <c r="R112" s="87"/>
      <c r="S112" s="87"/>
    </row>
    <row r="113">
      <c r="A113" s="87"/>
      <c r="B113" s="87"/>
      <c r="C113" s="87"/>
      <c r="F113" s="87"/>
      <c r="J113" s="87"/>
      <c r="K113" s="87"/>
      <c r="L113" s="87"/>
      <c r="O113" s="87"/>
      <c r="P113" s="87"/>
      <c r="Q113" s="87"/>
      <c r="R113" s="87"/>
      <c r="S113" s="87"/>
    </row>
    <row r="114">
      <c r="A114" s="87"/>
      <c r="B114" s="87"/>
      <c r="C114" s="87"/>
      <c r="F114" s="87"/>
      <c r="J114" s="87"/>
      <c r="K114" s="87"/>
      <c r="L114" s="87"/>
      <c r="O114" s="87"/>
      <c r="P114" s="87"/>
      <c r="Q114" s="87"/>
      <c r="R114" s="87"/>
      <c r="S114" s="87"/>
    </row>
    <row r="115">
      <c r="A115" s="87"/>
      <c r="B115" s="87"/>
      <c r="C115" s="87"/>
      <c r="F115" s="87"/>
      <c r="J115" s="87"/>
      <c r="K115" s="87"/>
      <c r="L115" s="87"/>
      <c r="O115" s="87"/>
      <c r="P115" s="87"/>
      <c r="Q115" s="87"/>
      <c r="R115" s="87"/>
      <c r="S115" s="87"/>
    </row>
    <row r="116">
      <c r="A116" s="87"/>
      <c r="B116" s="87"/>
      <c r="C116" s="87"/>
      <c r="F116" s="87"/>
      <c r="J116" s="87"/>
      <c r="K116" s="87"/>
      <c r="L116" s="87"/>
      <c r="O116" s="87"/>
      <c r="P116" s="87"/>
      <c r="Q116" s="87"/>
      <c r="R116" s="87"/>
      <c r="S116" s="87"/>
    </row>
    <row r="117">
      <c r="A117" s="87"/>
      <c r="B117" s="87"/>
      <c r="C117" s="87"/>
      <c r="F117" s="87"/>
      <c r="J117" s="87"/>
      <c r="K117" s="87"/>
      <c r="L117" s="87"/>
      <c r="O117" s="87"/>
      <c r="P117" s="87"/>
      <c r="Q117" s="87"/>
      <c r="R117" s="87"/>
      <c r="S117" s="87"/>
    </row>
    <row r="118">
      <c r="A118" s="87"/>
      <c r="B118" s="87"/>
      <c r="C118" s="87"/>
      <c r="F118" s="87"/>
      <c r="J118" s="87"/>
      <c r="K118" s="87"/>
      <c r="L118" s="87"/>
      <c r="O118" s="87"/>
      <c r="P118" s="87"/>
      <c r="Q118" s="87"/>
      <c r="R118" s="87"/>
      <c r="S118" s="87"/>
    </row>
    <row r="119">
      <c r="A119" s="87"/>
      <c r="B119" s="87"/>
      <c r="C119" s="87"/>
      <c r="F119" s="87"/>
      <c r="J119" s="87"/>
      <c r="K119" s="87"/>
      <c r="L119" s="87"/>
      <c r="O119" s="87"/>
      <c r="P119" s="87"/>
      <c r="Q119" s="87"/>
      <c r="R119" s="87"/>
      <c r="S119" s="87"/>
    </row>
    <row r="120">
      <c r="A120" s="87"/>
      <c r="B120" s="87"/>
      <c r="C120" s="87"/>
      <c r="F120" s="87"/>
      <c r="J120" s="87"/>
      <c r="K120" s="87"/>
      <c r="L120" s="87"/>
      <c r="O120" s="87"/>
      <c r="P120" s="87"/>
      <c r="Q120" s="87"/>
      <c r="R120" s="87"/>
      <c r="S120" s="87"/>
    </row>
    <row r="121">
      <c r="A121" s="87"/>
      <c r="B121" s="87"/>
      <c r="C121" s="87"/>
      <c r="F121" s="87"/>
      <c r="J121" s="87"/>
      <c r="K121" s="87"/>
      <c r="L121" s="87"/>
      <c r="O121" s="87"/>
      <c r="P121" s="87"/>
      <c r="Q121" s="87"/>
      <c r="R121" s="87"/>
      <c r="S121" s="87"/>
    </row>
    <row r="122">
      <c r="A122" s="87"/>
      <c r="B122" s="87"/>
      <c r="C122" s="87"/>
      <c r="F122" s="87"/>
      <c r="J122" s="87"/>
      <c r="K122" s="87"/>
      <c r="L122" s="87"/>
      <c r="O122" s="87"/>
      <c r="P122" s="87"/>
      <c r="Q122" s="87"/>
      <c r="R122" s="87"/>
      <c r="S122" s="87"/>
    </row>
    <row r="123">
      <c r="A123" s="87"/>
      <c r="B123" s="87"/>
      <c r="C123" s="87"/>
      <c r="F123" s="87"/>
      <c r="J123" s="87"/>
      <c r="K123" s="87"/>
      <c r="L123" s="87"/>
      <c r="O123" s="87"/>
      <c r="P123" s="87"/>
      <c r="Q123" s="87"/>
      <c r="R123" s="87"/>
      <c r="S123" s="87"/>
    </row>
    <row r="124">
      <c r="A124" s="87"/>
      <c r="B124" s="87"/>
      <c r="C124" s="87"/>
      <c r="F124" s="87"/>
      <c r="J124" s="87"/>
      <c r="K124" s="87"/>
      <c r="L124" s="87"/>
      <c r="O124" s="87"/>
      <c r="P124" s="87"/>
      <c r="Q124" s="87"/>
      <c r="R124" s="87"/>
      <c r="S124" s="87"/>
    </row>
    <row r="125">
      <c r="A125" s="87"/>
      <c r="B125" s="87"/>
      <c r="C125" s="87"/>
      <c r="F125" s="87"/>
      <c r="J125" s="87"/>
      <c r="K125" s="87"/>
      <c r="L125" s="87"/>
      <c r="O125" s="87"/>
      <c r="P125" s="87"/>
      <c r="Q125" s="87"/>
      <c r="R125" s="87"/>
      <c r="S125" s="87"/>
    </row>
    <row r="126">
      <c r="A126" s="87"/>
      <c r="B126" s="87"/>
      <c r="C126" s="87"/>
      <c r="F126" s="87"/>
      <c r="J126" s="87"/>
      <c r="K126" s="87"/>
      <c r="L126" s="87"/>
      <c r="O126" s="87"/>
      <c r="P126" s="87"/>
      <c r="Q126" s="87"/>
      <c r="R126" s="87"/>
      <c r="S126" s="87"/>
    </row>
    <row r="127">
      <c r="A127" s="87"/>
      <c r="B127" s="87"/>
      <c r="C127" s="87"/>
      <c r="F127" s="87"/>
      <c r="J127" s="87"/>
      <c r="K127" s="87"/>
      <c r="L127" s="87"/>
      <c r="O127" s="87"/>
      <c r="P127" s="87"/>
      <c r="Q127" s="87"/>
      <c r="R127" s="87"/>
      <c r="S127" s="87"/>
    </row>
    <row r="128">
      <c r="A128" s="87"/>
      <c r="B128" s="87"/>
      <c r="C128" s="87"/>
      <c r="F128" s="87"/>
      <c r="J128" s="87"/>
      <c r="K128" s="87"/>
      <c r="L128" s="87"/>
      <c r="O128" s="87"/>
      <c r="P128" s="87"/>
      <c r="Q128" s="87"/>
      <c r="R128" s="87"/>
      <c r="S128" s="87"/>
    </row>
    <row r="129">
      <c r="A129" s="87"/>
      <c r="B129" s="87"/>
      <c r="C129" s="87"/>
      <c r="F129" s="87"/>
      <c r="J129" s="87"/>
      <c r="K129" s="87"/>
      <c r="L129" s="87"/>
      <c r="O129" s="87"/>
      <c r="P129" s="87"/>
      <c r="Q129" s="87"/>
      <c r="R129" s="87"/>
      <c r="S129" s="87"/>
    </row>
    <row r="130">
      <c r="A130" s="87"/>
      <c r="B130" s="87"/>
      <c r="C130" s="87"/>
      <c r="F130" s="87"/>
      <c r="J130" s="87"/>
      <c r="K130" s="87"/>
      <c r="L130" s="87"/>
      <c r="O130" s="87"/>
      <c r="P130" s="87"/>
      <c r="Q130" s="87"/>
      <c r="R130" s="87"/>
      <c r="S130" s="87"/>
    </row>
    <row r="131">
      <c r="A131" s="87"/>
      <c r="B131" s="87"/>
      <c r="C131" s="87"/>
      <c r="F131" s="87"/>
      <c r="J131" s="87"/>
      <c r="K131" s="87"/>
      <c r="L131" s="87"/>
      <c r="O131" s="87"/>
      <c r="P131" s="87"/>
      <c r="Q131" s="87"/>
      <c r="R131" s="87"/>
      <c r="S131" s="87"/>
    </row>
    <row r="132">
      <c r="A132" s="87"/>
      <c r="B132" s="87"/>
      <c r="C132" s="87"/>
      <c r="F132" s="87"/>
      <c r="J132" s="87"/>
      <c r="K132" s="87"/>
      <c r="L132" s="87"/>
      <c r="O132" s="87"/>
      <c r="P132" s="87"/>
      <c r="Q132" s="87"/>
      <c r="R132" s="87"/>
      <c r="S132" s="87"/>
    </row>
    <row r="133">
      <c r="A133" s="87"/>
      <c r="B133" s="87"/>
      <c r="C133" s="87"/>
      <c r="F133" s="87"/>
      <c r="J133" s="87"/>
      <c r="K133" s="87"/>
      <c r="L133" s="87"/>
      <c r="O133" s="87"/>
      <c r="P133" s="87"/>
      <c r="Q133" s="87"/>
      <c r="R133" s="87"/>
      <c r="S133" s="87"/>
    </row>
    <row r="134">
      <c r="A134" s="87"/>
      <c r="B134" s="87"/>
      <c r="C134" s="87"/>
      <c r="F134" s="87"/>
      <c r="J134" s="87"/>
      <c r="K134" s="87"/>
      <c r="L134" s="87"/>
      <c r="O134" s="87"/>
      <c r="P134" s="87"/>
      <c r="Q134" s="87"/>
      <c r="R134" s="87"/>
      <c r="S134" s="87"/>
    </row>
    <row r="135">
      <c r="A135" s="87"/>
      <c r="B135" s="87"/>
      <c r="C135" s="87"/>
      <c r="F135" s="87"/>
      <c r="J135" s="87"/>
      <c r="K135" s="87"/>
      <c r="L135" s="87"/>
      <c r="O135" s="87"/>
      <c r="P135" s="87"/>
      <c r="Q135" s="87"/>
      <c r="R135" s="87"/>
      <c r="S135" s="87"/>
    </row>
    <row r="136">
      <c r="A136" s="87"/>
      <c r="B136" s="87"/>
      <c r="C136" s="87"/>
      <c r="F136" s="87"/>
      <c r="J136" s="87"/>
      <c r="K136" s="87"/>
      <c r="L136" s="87"/>
      <c r="O136" s="87"/>
      <c r="P136" s="87"/>
      <c r="Q136" s="87"/>
      <c r="R136" s="87"/>
      <c r="S136" s="87"/>
    </row>
    <row r="137">
      <c r="A137" s="87"/>
      <c r="B137" s="87"/>
      <c r="C137" s="87"/>
      <c r="F137" s="87"/>
      <c r="J137" s="87"/>
      <c r="K137" s="87"/>
      <c r="L137" s="87"/>
      <c r="O137" s="87"/>
      <c r="P137" s="87"/>
      <c r="Q137" s="87"/>
      <c r="R137" s="87"/>
      <c r="S137" s="87"/>
    </row>
    <row r="138">
      <c r="A138" s="87"/>
      <c r="B138" s="87"/>
      <c r="C138" s="87"/>
      <c r="F138" s="87"/>
      <c r="J138" s="87"/>
      <c r="K138" s="87"/>
      <c r="L138" s="87"/>
      <c r="O138" s="87"/>
      <c r="P138" s="87"/>
      <c r="Q138" s="87"/>
      <c r="R138" s="87"/>
      <c r="S138" s="87"/>
    </row>
    <row r="139">
      <c r="A139" s="87"/>
      <c r="B139" s="87"/>
      <c r="C139" s="87"/>
      <c r="F139" s="87"/>
      <c r="J139" s="87"/>
      <c r="K139" s="87"/>
      <c r="L139" s="87"/>
      <c r="O139" s="87"/>
      <c r="P139" s="87"/>
      <c r="Q139" s="87"/>
      <c r="R139" s="87"/>
      <c r="S139" s="87"/>
    </row>
    <row r="140">
      <c r="A140" s="87"/>
      <c r="B140" s="87"/>
      <c r="C140" s="87"/>
      <c r="F140" s="87"/>
      <c r="J140" s="87"/>
      <c r="K140" s="87"/>
      <c r="L140" s="87"/>
      <c r="O140" s="87"/>
      <c r="P140" s="87"/>
      <c r="Q140" s="87"/>
      <c r="R140" s="87"/>
      <c r="S140" s="87"/>
    </row>
    <row r="141">
      <c r="A141" s="87"/>
      <c r="B141" s="87"/>
      <c r="C141" s="87"/>
      <c r="F141" s="87"/>
      <c r="J141" s="87"/>
      <c r="K141" s="87"/>
      <c r="L141" s="87"/>
      <c r="O141" s="87"/>
      <c r="P141" s="87"/>
      <c r="Q141" s="87"/>
      <c r="R141" s="87"/>
      <c r="S141" s="87"/>
    </row>
    <row r="142">
      <c r="A142" s="87"/>
      <c r="B142" s="87"/>
      <c r="C142" s="87"/>
      <c r="F142" s="87"/>
      <c r="J142" s="87"/>
      <c r="K142" s="87"/>
      <c r="L142" s="87"/>
      <c r="O142" s="87"/>
      <c r="P142" s="87"/>
      <c r="Q142" s="87"/>
      <c r="R142" s="87"/>
      <c r="S142" s="87"/>
    </row>
    <row r="143">
      <c r="A143" s="87"/>
      <c r="B143" s="87"/>
      <c r="C143" s="87"/>
      <c r="F143" s="87"/>
      <c r="J143" s="87"/>
      <c r="K143" s="87"/>
      <c r="L143" s="87"/>
      <c r="O143" s="87"/>
      <c r="P143" s="87"/>
      <c r="Q143" s="87"/>
      <c r="R143" s="87"/>
      <c r="S143" s="87"/>
    </row>
    <row r="144">
      <c r="A144" s="87"/>
      <c r="B144" s="87"/>
      <c r="C144" s="87"/>
      <c r="F144" s="87"/>
      <c r="J144" s="87"/>
      <c r="K144" s="87"/>
      <c r="L144" s="87"/>
      <c r="O144" s="87"/>
      <c r="P144" s="87"/>
      <c r="Q144" s="87"/>
      <c r="R144" s="87"/>
      <c r="S144" s="87"/>
    </row>
    <row r="145">
      <c r="A145" s="87"/>
      <c r="B145" s="87"/>
      <c r="C145" s="87"/>
      <c r="F145" s="87"/>
      <c r="J145" s="87"/>
      <c r="K145" s="87"/>
      <c r="L145" s="87"/>
      <c r="O145" s="87"/>
      <c r="P145" s="87"/>
      <c r="Q145" s="87"/>
      <c r="R145" s="87"/>
      <c r="S145" s="87"/>
    </row>
    <row r="146">
      <c r="A146" s="87"/>
      <c r="B146" s="87"/>
      <c r="C146" s="87"/>
      <c r="F146" s="87"/>
      <c r="J146" s="87"/>
      <c r="K146" s="87"/>
      <c r="L146" s="87"/>
      <c r="O146" s="87"/>
      <c r="P146" s="87"/>
      <c r="Q146" s="87"/>
      <c r="R146" s="87"/>
      <c r="S146" s="87"/>
    </row>
    <row r="147">
      <c r="A147" s="87"/>
      <c r="B147" s="87"/>
      <c r="C147" s="87"/>
      <c r="F147" s="87"/>
      <c r="J147" s="87"/>
      <c r="K147" s="87"/>
      <c r="L147" s="87"/>
      <c r="O147" s="87"/>
      <c r="P147" s="87"/>
      <c r="Q147" s="87"/>
      <c r="R147" s="87"/>
      <c r="S147" s="87"/>
    </row>
    <row r="148">
      <c r="A148" s="87"/>
      <c r="B148" s="87"/>
      <c r="C148" s="87"/>
      <c r="F148" s="87"/>
      <c r="J148" s="87"/>
      <c r="K148" s="87"/>
      <c r="L148" s="87"/>
      <c r="O148" s="87"/>
      <c r="P148" s="87"/>
      <c r="Q148" s="87"/>
      <c r="R148" s="87"/>
      <c r="S148" s="87"/>
    </row>
    <row r="149">
      <c r="A149" s="87"/>
      <c r="B149" s="87"/>
      <c r="C149" s="87"/>
      <c r="F149" s="87"/>
      <c r="J149" s="87"/>
      <c r="K149" s="87"/>
      <c r="L149" s="87"/>
      <c r="O149" s="87"/>
      <c r="P149" s="87"/>
      <c r="Q149" s="87"/>
      <c r="R149" s="87"/>
      <c r="S149" s="87"/>
    </row>
    <row r="150">
      <c r="A150" s="87"/>
      <c r="B150" s="87"/>
      <c r="C150" s="87"/>
      <c r="F150" s="87"/>
      <c r="J150" s="87"/>
      <c r="K150" s="87"/>
      <c r="L150" s="87"/>
      <c r="O150" s="87"/>
      <c r="P150" s="87"/>
      <c r="Q150" s="87"/>
      <c r="R150" s="87"/>
      <c r="S150" s="87"/>
    </row>
    <row r="151">
      <c r="A151" s="87"/>
      <c r="B151" s="87"/>
      <c r="C151" s="87"/>
      <c r="F151" s="87"/>
      <c r="J151" s="87"/>
      <c r="K151" s="87"/>
      <c r="L151" s="87"/>
      <c r="O151" s="87"/>
      <c r="P151" s="87"/>
      <c r="Q151" s="87"/>
      <c r="R151" s="87"/>
      <c r="S151" s="87"/>
    </row>
    <row r="152">
      <c r="A152" s="87"/>
      <c r="B152" s="87"/>
      <c r="C152" s="87"/>
      <c r="F152" s="87"/>
      <c r="J152" s="87"/>
      <c r="K152" s="87"/>
      <c r="L152" s="87"/>
      <c r="O152" s="87"/>
      <c r="P152" s="87"/>
      <c r="Q152" s="87"/>
      <c r="R152" s="87"/>
      <c r="S152" s="87"/>
    </row>
    <row r="153">
      <c r="A153" s="87"/>
      <c r="B153" s="87"/>
      <c r="C153" s="87"/>
      <c r="F153" s="87"/>
      <c r="J153" s="87"/>
      <c r="K153" s="87"/>
      <c r="L153" s="87"/>
      <c r="O153" s="87"/>
      <c r="P153" s="87"/>
      <c r="Q153" s="87"/>
      <c r="R153" s="87"/>
      <c r="S153" s="87"/>
    </row>
    <row r="154">
      <c r="A154" s="87"/>
      <c r="B154" s="87"/>
      <c r="C154" s="87"/>
      <c r="F154" s="87"/>
      <c r="J154" s="87"/>
      <c r="K154" s="87"/>
      <c r="L154" s="87"/>
      <c r="O154" s="87"/>
      <c r="P154" s="87"/>
      <c r="Q154" s="87"/>
      <c r="R154" s="87"/>
      <c r="S154" s="87"/>
    </row>
    <row r="155">
      <c r="A155" s="87"/>
      <c r="B155" s="87"/>
      <c r="C155" s="87"/>
      <c r="F155" s="87"/>
      <c r="J155" s="87"/>
      <c r="K155" s="87"/>
      <c r="L155" s="87"/>
      <c r="O155" s="87"/>
      <c r="P155" s="87"/>
      <c r="Q155" s="87"/>
      <c r="R155" s="87"/>
      <c r="S155" s="87"/>
    </row>
    <row r="156">
      <c r="A156" s="87"/>
      <c r="B156" s="87"/>
      <c r="C156" s="87"/>
      <c r="F156" s="87"/>
      <c r="J156" s="87"/>
      <c r="K156" s="87"/>
      <c r="L156" s="87"/>
      <c r="O156" s="87"/>
      <c r="P156" s="87"/>
      <c r="Q156" s="87"/>
      <c r="R156" s="87"/>
      <c r="S156" s="87"/>
    </row>
    <row r="157">
      <c r="A157" s="87"/>
      <c r="B157" s="87"/>
      <c r="C157" s="87"/>
      <c r="F157" s="87"/>
      <c r="J157" s="87"/>
      <c r="K157" s="87"/>
      <c r="L157" s="87"/>
      <c r="O157" s="87"/>
      <c r="P157" s="87"/>
      <c r="Q157" s="87"/>
      <c r="R157" s="87"/>
      <c r="S157" s="87"/>
    </row>
    <row r="158">
      <c r="A158" s="87"/>
      <c r="B158" s="87"/>
      <c r="C158" s="87"/>
      <c r="F158" s="87"/>
      <c r="J158" s="87"/>
      <c r="K158" s="87"/>
      <c r="L158" s="87"/>
      <c r="O158" s="87"/>
      <c r="P158" s="87"/>
      <c r="Q158" s="87"/>
      <c r="R158" s="87"/>
      <c r="S158" s="87"/>
    </row>
    <row r="159">
      <c r="A159" s="87"/>
      <c r="B159" s="87"/>
      <c r="C159" s="87"/>
      <c r="F159" s="87"/>
      <c r="J159" s="87"/>
      <c r="K159" s="87"/>
      <c r="L159" s="87"/>
      <c r="O159" s="87"/>
      <c r="P159" s="87"/>
      <c r="Q159" s="87"/>
      <c r="R159" s="87"/>
      <c r="S159" s="87"/>
    </row>
    <row r="160">
      <c r="A160" s="87"/>
      <c r="B160" s="87"/>
      <c r="C160" s="87"/>
      <c r="F160" s="87"/>
      <c r="J160" s="87"/>
      <c r="K160" s="87"/>
      <c r="L160" s="87"/>
      <c r="O160" s="87"/>
      <c r="P160" s="87"/>
      <c r="Q160" s="87"/>
      <c r="R160" s="87"/>
      <c r="S160" s="87"/>
    </row>
    <row r="161">
      <c r="A161" s="87"/>
      <c r="B161" s="87"/>
      <c r="C161" s="87"/>
      <c r="F161" s="87"/>
      <c r="J161" s="87"/>
      <c r="K161" s="87"/>
      <c r="L161" s="87"/>
      <c r="O161" s="87"/>
      <c r="P161" s="87"/>
      <c r="Q161" s="87"/>
      <c r="R161" s="87"/>
      <c r="S161" s="87"/>
    </row>
    <row r="162">
      <c r="A162" s="87"/>
      <c r="B162" s="87"/>
      <c r="C162" s="87"/>
      <c r="F162" s="87"/>
      <c r="J162" s="87"/>
      <c r="K162" s="87"/>
      <c r="L162" s="87"/>
      <c r="O162" s="87"/>
      <c r="P162" s="87"/>
      <c r="Q162" s="87"/>
      <c r="R162" s="87"/>
      <c r="S162" s="87"/>
    </row>
    <row r="163">
      <c r="A163" s="87"/>
      <c r="B163" s="87"/>
      <c r="C163" s="87"/>
      <c r="F163" s="87"/>
      <c r="J163" s="87"/>
      <c r="K163" s="87"/>
      <c r="L163" s="87"/>
      <c r="O163" s="87"/>
      <c r="P163" s="87"/>
      <c r="Q163" s="87"/>
      <c r="R163" s="87"/>
      <c r="S163" s="87"/>
    </row>
    <row r="164">
      <c r="A164" s="87"/>
      <c r="B164" s="87"/>
      <c r="C164" s="87"/>
      <c r="F164" s="87"/>
      <c r="J164" s="87"/>
      <c r="K164" s="87"/>
      <c r="L164" s="87"/>
      <c r="O164" s="87"/>
      <c r="P164" s="87"/>
      <c r="Q164" s="87"/>
      <c r="R164" s="87"/>
      <c r="S164" s="87"/>
    </row>
    <row r="165">
      <c r="A165" s="87"/>
      <c r="B165" s="87"/>
      <c r="C165" s="87"/>
      <c r="F165" s="87"/>
      <c r="J165" s="87"/>
      <c r="K165" s="87"/>
      <c r="L165" s="87"/>
      <c r="O165" s="87"/>
      <c r="P165" s="87"/>
      <c r="Q165" s="87"/>
      <c r="R165" s="87"/>
      <c r="S165" s="87"/>
    </row>
    <row r="166">
      <c r="A166" s="87"/>
      <c r="B166" s="87"/>
      <c r="C166" s="87"/>
      <c r="F166" s="87"/>
      <c r="J166" s="87"/>
      <c r="K166" s="87"/>
      <c r="L166" s="87"/>
      <c r="O166" s="87"/>
      <c r="P166" s="87"/>
      <c r="Q166" s="87"/>
      <c r="R166" s="87"/>
      <c r="S166" s="87"/>
    </row>
    <row r="167">
      <c r="A167" s="87"/>
      <c r="B167" s="87"/>
      <c r="C167" s="87"/>
      <c r="F167" s="87"/>
      <c r="J167" s="87"/>
      <c r="K167" s="87"/>
      <c r="L167" s="87"/>
      <c r="O167" s="87"/>
      <c r="P167" s="87"/>
      <c r="Q167" s="87"/>
      <c r="R167" s="87"/>
      <c r="S167" s="87"/>
    </row>
    <row r="168">
      <c r="A168" s="87"/>
      <c r="B168" s="87"/>
      <c r="C168" s="87"/>
      <c r="F168" s="87"/>
      <c r="J168" s="87"/>
      <c r="K168" s="87"/>
      <c r="L168" s="87"/>
      <c r="O168" s="87"/>
      <c r="P168" s="87"/>
      <c r="Q168" s="87"/>
      <c r="R168" s="87"/>
      <c r="S168" s="87"/>
    </row>
    <row r="169">
      <c r="A169" s="87"/>
      <c r="B169" s="87"/>
      <c r="C169" s="87"/>
      <c r="F169" s="87"/>
      <c r="J169" s="87"/>
      <c r="K169" s="87"/>
      <c r="L169" s="87"/>
      <c r="O169" s="87"/>
      <c r="P169" s="87"/>
      <c r="Q169" s="87"/>
      <c r="R169" s="87"/>
      <c r="S169" s="87"/>
    </row>
    <row r="170">
      <c r="A170" s="87"/>
      <c r="B170" s="87"/>
      <c r="C170" s="87"/>
      <c r="F170" s="87"/>
      <c r="J170" s="87"/>
      <c r="K170" s="87"/>
      <c r="L170" s="87"/>
      <c r="O170" s="87"/>
      <c r="P170" s="87"/>
      <c r="Q170" s="87"/>
      <c r="R170" s="87"/>
      <c r="S170" s="87"/>
    </row>
    <row r="171">
      <c r="A171" s="87"/>
      <c r="B171" s="87"/>
      <c r="C171" s="87"/>
      <c r="F171" s="87"/>
      <c r="J171" s="87"/>
      <c r="K171" s="87"/>
      <c r="L171" s="87"/>
      <c r="O171" s="87"/>
      <c r="P171" s="87"/>
      <c r="Q171" s="87"/>
      <c r="R171" s="87"/>
      <c r="S171" s="87"/>
    </row>
    <row r="172">
      <c r="A172" s="87"/>
      <c r="B172" s="87"/>
      <c r="C172" s="87"/>
      <c r="F172" s="87"/>
      <c r="J172" s="87"/>
      <c r="K172" s="87"/>
      <c r="L172" s="87"/>
      <c r="O172" s="87"/>
      <c r="P172" s="87"/>
      <c r="Q172" s="87"/>
      <c r="R172" s="87"/>
      <c r="S172" s="87"/>
    </row>
    <row r="173">
      <c r="A173" s="87"/>
      <c r="B173" s="87"/>
      <c r="C173" s="87"/>
      <c r="F173" s="87"/>
      <c r="J173" s="87"/>
      <c r="K173" s="87"/>
      <c r="L173" s="87"/>
      <c r="O173" s="87"/>
      <c r="P173" s="87"/>
      <c r="Q173" s="87"/>
      <c r="R173" s="87"/>
      <c r="S173" s="87"/>
    </row>
    <row r="174">
      <c r="A174" s="87"/>
      <c r="B174" s="87"/>
      <c r="C174" s="87"/>
      <c r="F174" s="87"/>
      <c r="J174" s="87"/>
      <c r="K174" s="87"/>
      <c r="L174" s="87"/>
      <c r="O174" s="87"/>
      <c r="P174" s="87"/>
      <c r="Q174" s="87"/>
      <c r="R174" s="87"/>
      <c r="S174" s="87"/>
    </row>
    <row r="175">
      <c r="A175" s="87"/>
      <c r="B175" s="87"/>
      <c r="C175" s="87"/>
      <c r="F175" s="87"/>
      <c r="J175" s="87"/>
      <c r="K175" s="87"/>
      <c r="L175" s="87"/>
      <c r="O175" s="87"/>
      <c r="P175" s="87"/>
      <c r="Q175" s="87"/>
      <c r="R175" s="87"/>
      <c r="S175" s="87"/>
    </row>
    <row r="176">
      <c r="A176" s="87"/>
      <c r="B176" s="87"/>
      <c r="C176" s="87"/>
      <c r="F176" s="87"/>
      <c r="J176" s="87"/>
      <c r="K176" s="87"/>
      <c r="L176" s="87"/>
      <c r="O176" s="87"/>
      <c r="P176" s="87"/>
      <c r="Q176" s="87"/>
      <c r="R176" s="87"/>
      <c r="S176" s="87"/>
    </row>
    <row r="177">
      <c r="A177" s="87"/>
      <c r="B177" s="87"/>
      <c r="C177" s="87"/>
      <c r="F177" s="87"/>
      <c r="J177" s="87"/>
      <c r="K177" s="87"/>
      <c r="L177" s="87"/>
      <c r="O177" s="87"/>
      <c r="P177" s="87"/>
      <c r="Q177" s="87"/>
      <c r="R177" s="87"/>
      <c r="S177" s="87"/>
    </row>
    <row r="178">
      <c r="A178" s="87"/>
      <c r="B178" s="87"/>
      <c r="C178" s="87"/>
      <c r="F178" s="87"/>
      <c r="J178" s="87"/>
      <c r="K178" s="87"/>
      <c r="L178" s="87"/>
      <c r="O178" s="87"/>
      <c r="P178" s="87"/>
      <c r="Q178" s="87"/>
      <c r="R178" s="87"/>
      <c r="S178" s="87"/>
    </row>
    <row r="179">
      <c r="A179" s="87"/>
      <c r="B179" s="87"/>
      <c r="C179" s="87"/>
      <c r="F179" s="87"/>
      <c r="J179" s="87"/>
      <c r="K179" s="87"/>
      <c r="L179" s="87"/>
      <c r="O179" s="87"/>
      <c r="P179" s="87"/>
      <c r="Q179" s="87"/>
      <c r="R179" s="87"/>
      <c r="S179" s="87"/>
    </row>
    <row r="180">
      <c r="A180" s="87"/>
      <c r="B180" s="87"/>
      <c r="C180" s="87"/>
      <c r="F180" s="87"/>
      <c r="J180" s="87"/>
      <c r="K180" s="87"/>
      <c r="L180" s="87"/>
      <c r="O180" s="87"/>
      <c r="P180" s="87"/>
      <c r="Q180" s="87"/>
      <c r="R180" s="87"/>
      <c r="S180" s="87"/>
    </row>
    <row r="181">
      <c r="A181" s="87"/>
      <c r="B181" s="87"/>
      <c r="C181" s="87"/>
      <c r="F181" s="87"/>
      <c r="J181" s="87"/>
      <c r="K181" s="87"/>
      <c r="L181" s="87"/>
      <c r="O181" s="87"/>
      <c r="P181" s="87"/>
      <c r="Q181" s="87"/>
      <c r="R181" s="87"/>
      <c r="S181" s="87"/>
    </row>
    <row r="182">
      <c r="A182" s="87"/>
      <c r="B182" s="87"/>
      <c r="C182" s="87"/>
      <c r="F182" s="87"/>
      <c r="J182" s="87"/>
      <c r="K182" s="87"/>
      <c r="L182" s="87"/>
      <c r="O182" s="87"/>
      <c r="P182" s="87"/>
      <c r="Q182" s="87"/>
      <c r="R182" s="87"/>
      <c r="S182" s="87"/>
    </row>
    <row r="183">
      <c r="A183" s="87"/>
      <c r="B183" s="87"/>
      <c r="C183" s="87"/>
      <c r="F183" s="87"/>
      <c r="J183" s="87"/>
      <c r="K183" s="87"/>
      <c r="L183" s="87"/>
      <c r="O183" s="87"/>
      <c r="P183" s="87"/>
      <c r="Q183" s="87"/>
      <c r="R183" s="87"/>
      <c r="S183" s="87"/>
    </row>
    <row r="184">
      <c r="A184" s="87"/>
      <c r="B184" s="87"/>
      <c r="C184" s="87"/>
      <c r="F184" s="87"/>
      <c r="J184" s="87"/>
      <c r="K184" s="87"/>
      <c r="L184" s="87"/>
      <c r="O184" s="87"/>
      <c r="P184" s="87"/>
      <c r="Q184" s="87"/>
      <c r="R184" s="87"/>
      <c r="S184" s="87"/>
    </row>
    <row r="185">
      <c r="A185" s="87"/>
      <c r="B185" s="87"/>
      <c r="C185" s="87"/>
      <c r="F185" s="87"/>
      <c r="J185" s="87"/>
      <c r="K185" s="87"/>
      <c r="L185" s="87"/>
      <c r="O185" s="87"/>
      <c r="P185" s="87"/>
      <c r="Q185" s="87"/>
      <c r="R185" s="87"/>
      <c r="S185" s="87"/>
    </row>
    <row r="186">
      <c r="A186" s="87"/>
      <c r="B186" s="87"/>
      <c r="C186" s="87"/>
      <c r="F186" s="87"/>
      <c r="J186" s="87"/>
      <c r="K186" s="87"/>
      <c r="L186" s="87"/>
      <c r="O186" s="87"/>
      <c r="P186" s="87"/>
      <c r="Q186" s="87"/>
      <c r="R186" s="87"/>
      <c r="S186" s="87"/>
    </row>
    <row r="187">
      <c r="A187" s="87"/>
      <c r="B187" s="87"/>
      <c r="C187" s="87"/>
      <c r="F187" s="87"/>
      <c r="J187" s="87"/>
      <c r="K187" s="87"/>
      <c r="L187" s="87"/>
      <c r="O187" s="87"/>
      <c r="P187" s="87"/>
      <c r="Q187" s="87"/>
      <c r="R187" s="87"/>
      <c r="S187" s="87"/>
    </row>
    <row r="188">
      <c r="A188" s="87"/>
      <c r="B188" s="87"/>
      <c r="C188" s="87"/>
      <c r="F188" s="87"/>
      <c r="J188" s="87"/>
      <c r="K188" s="87"/>
      <c r="L188" s="87"/>
      <c r="O188" s="87"/>
      <c r="P188" s="87"/>
      <c r="Q188" s="87"/>
      <c r="R188" s="87"/>
      <c r="S188" s="87"/>
    </row>
    <row r="189">
      <c r="A189" s="87"/>
      <c r="B189" s="87"/>
      <c r="C189" s="87"/>
      <c r="F189" s="87"/>
      <c r="J189" s="87"/>
      <c r="K189" s="87"/>
      <c r="L189" s="87"/>
      <c r="O189" s="87"/>
      <c r="P189" s="87"/>
      <c r="Q189" s="87"/>
      <c r="R189" s="87"/>
      <c r="S189" s="87"/>
    </row>
    <row r="190">
      <c r="A190" s="87"/>
      <c r="B190" s="87"/>
      <c r="C190" s="87"/>
      <c r="F190" s="87"/>
      <c r="J190" s="87"/>
      <c r="K190" s="87"/>
      <c r="L190" s="87"/>
      <c r="O190" s="87"/>
      <c r="P190" s="87"/>
      <c r="Q190" s="87"/>
      <c r="R190" s="87"/>
      <c r="S190" s="87"/>
    </row>
    <row r="191">
      <c r="A191" s="87"/>
      <c r="B191" s="87"/>
      <c r="C191" s="87"/>
      <c r="F191" s="87"/>
      <c r="J191" s="87"/>
      <c r="K191" s="87"/>
      <c r="L191" s="87"/>
      <c r="O191" s="87"/>
      <c r="P191" s="87"/>
      <c r="Q191" s="87"/>
      <c r="R191" s="87"/>
      <c r="S191" s="87"/>
    </row>
    <row r="192">
      <c r="A192" s="87"/>
      <c r="B192" s="87"/>
      <c r="C192" s="87"/>
      <c r="F192" s="87"/>
      <c r="J192" s="87"/>
      <c r="K192" s="87"/>
      <c r="L192" s="87"/>
      <c r="O192" s="87"/>
      <c r="P192" s="87"/>
      <c r="Q192" s="87"/>
      <c r="R192" s="87"/>
      <c r="S192" s="87"/>
    </row>
    <row r="193">
      <c r="A193" s="87"/>
      <c r="B193" s="87"/>
      <c r="C193" s="87"/>
      <c r="F193" s="87"/>
      <c r="J193" s="87"/>
      <c r="K193" s="87"/>
      <c r="L193" s="87"/>
      <c r="O193" s="87"/>
      <c r="P193" s="87"/>
      <c r="Q193" s="87"/>
      <c r="R193" s="87"/>
      <c r="S193" s="87"/>
    </row>
    <row r="194">
      <c r="A194" s="87"/>
      <c r="B194" s="87"/>
      <c r="C194" s="87"/>
      <c r="F194" s="87"/>
      <c r="J194" s="87"/>
      <c r="K194" s="87"/>
      <c r="L194" s="87"/>
      <c r="O194" s="87"/>
      <c r="P194" s="87"/>
      <c r="Q194" s="87"/>
      <c r="R194" s="87"/>
      <c r="S194" s="87"/>
    </row>
    <row r="195">
      <c r="A195" s="87"/>
      <c r="B195" s="87"/>
      <c r="C195" s="87"/>
      <c r="F195" s="87"/>
      <c r="J195" s="87"/>
      <c r="K195" s="87"/>
      <c r="L195" s="87"/>
      <c r="O195" s="87"/>
      <c r="P195" s="87"/>
      <c r="Q195" s="87"/>
      <c r="R195" s="87"/>
      <c r="S195" s="87"/>
    </row>
    <row r="196">
      <c r="A196" s="87"/>
      <c r="B196" s="87"/>
      <c r="C196" s="87"/>
      <c r="F196" s="87"/>
      <c r="J196" s="87"/>
      <c r="K196" s="87"/>
      <c r="L196" s="87"/>
      <c r="O196" s="87"/>
      <c r="P196" s="87"/>
      <c r="Q196" s="87"/>
      <c r="R196" s="87"/>
      <c r="S196" s="87"/>
    </row>
    <row r="197">
      <c r="A197" s="87"/>
      <c r="B197" s="87"/>
      <c r="C197" s="87"/>
      <c r="F197" s="87"/>
      <c r="J197" s="87"/>
      <c r="K197" s="87"/>
      <c r="L197" s="87"/>
      <c r="O197" s="87"/>
      <c r="P197" s="87"/>
      <c r="Q197" s="87"/>
      <c r="R197" s="87"/>
      <c r="S197" s="87"/>
    </row>
    <row r="198">
      <c r="A198" s="87"/>
      <c r="B198" s="87"/>
      <c r="C198" s="87"/>
      <c r="F198" s="87"/>
      <c r="J198" s="87"/>
      <c r="K198" s="87"/>
      <c r="L198" s="87"/>
      <c r="O198" s="87"/>
      <c r="P198" s="87"/>
      <c r="Q198" s="87"/>
      <c r="R198" s="87"/>
      <c r="S198" s="87"/>
    </row>
    <row r="199">
      <c r="A199" s="87"/>
      <c r="B199" s="87"/>
      <c r="C199" s="87"/>
      <c r="F199" s="87"/>
      <c r="J199" s="87"/>
      <c r="K199" s="87"/>
      <c r="L199" s="87"/>
      <c r="O199" s="87"/>
      <c r="P199" s="87"/>
      <c r="Q199" s="87"/>
      <c r="R199" s="87"/>
      <c r="S199" s="87"/>
    </row>
    <row r="200">
      <c r="A200" s="87"/>
      <c r="B200" s="87"/>
      <c r="C200" s="87"/>
      <c r="F200" s="87"/>
      <c r="J200" s="87"/>
      <c r="K200" s="87"/>
      <c r="L200" s="87"/>
      <c r="O200" s="87"/>
      <c r="P200" s="87"/>
      <c r="Q200" s="87"/>
      <c r="R200" s="87"/>
      <c r="S200" s="87"/>
    </row>
    <row r="201">
      <c r="A201" s="87"/>
      <c r="B201" s="87"/>
      <c r="C201" s="87"/>
      <c r="F201" s="87"/>
      <c r="J201" s="87"/>
      <c r="K201" s="87"/>
      <c r="L201" s="87"/>
      <c r="O201" s="87"/>
      <c r="P201" s="87"/>
      <c r="Q201" s="87"/>
      <c r="R201" s="87"/>
      <c r="S201" s="87"/>
    </row>
    <row r="202">
      <c r="A202" s="87"/>
      <c r="B202" s="87"/>
      <c r="C202" s="87"/>
      <c r="F202" s="87"/>
      <c r="J202" s="87"/>
      <c r="K202" s="87"/>
      <c r="L202" s="87"/>
      <c r="O202" s="87"/>
      <c r="P202" s="87"/>
      <c r="Q202" s="87"/>
      <c r="R202" s="87"/>
      <c r="S202" s="87"/>
    </row>
    <row r="203">
      <c r="A203" s="87"/>
      <c r="B203" s="87"/>
      <c r="C203" s="87"/>
      <c r="F203" s="87"/>
      <c r="J203" s="87"/>
      <c r="K203" s="87"/>
      <c r="L203" s="87"/>
      <c r="O203" s="87"/>
      <c r="P203" s="87"/>
      <c r="Q203" s="87"/>
      <c r="R203" s="87"/>
      <c r="S203" s="87"/>
    </row>
    <row r="204">
      <c r="A204" s="87"/>
      <c r="B204" s="87"/>
      <c r="C204" s="87"/>
      <c r="F204" s="87"/>
      <c r="J204" s="87"/>
      <c r="K204" s="87"/>
      <c r="L204" s="87"/>
      <c r="O204" s="87"/>
      <c r="P204" s="87"/>
      <c r="Q204" s="87"/>
      <c r="R204" s="87"/>
      <c r="S204" s="87"/>
    </row>
    <row r="205">
      <c r="A205" s="87"/>
      <c r="B205" s="87"/>
      <c r="C205" s="87"/>
      <c r="F205" s="87"/>
      <c r="J205" s="87"/>
      <c r="K205" s="87"/>
      <c r="L205" s="87"/>
      <c r="O205" s="87"/>
      <c r="P205" s="87"/>
      <c r="Q205" s="87"/>
      <c r="R205" s="87"/>
      <c r="S205" s="87"/>
    </row>
    <row r="206">
      <c r="A206" s="87"/>
      <c r="B206" s="87"/>
      <c r="C206" s="87"/>
      <c r="F206" s="87"/>
      <c r="J206" s="87"/>
      <c r="K206" s="87"/>
      <c r="L206" s="87"/>
      <c r="O206" s="87"/>
      <c r="P206" s="87"/>
      <c r="Q206" s="87"/>
      <c r="R206" s="87"/>
      <c r="S206" s="87"/>
    </row>
    <row r="207">
      <c r="A207" s="87"/>
      <c r="B207" s="87"/>
      <c r="C207" s="87"/>
      <c r="F207" s="87"/>
      <c r="J207" s="87"/>
      <c r="K207" s="87"/>
      <c r="L207" s="87"/>
      <c r="O207" s="87"/>
      <c r="P207" s="87"/>
      <c r="Q207" s="87"/>
      <c r="R207" s="87"/>
      <c r="S207" s="87"/>
    </row>
    <row r="208">
      <c r="A208" s="87"/>
      <c r="B208" s="87"/>
      <c r="C208" s="87"/>
      <c r="F208" s="87"/>
      <c r="J208" s="87"/>
      <c r="K208" s="87"/>
      <c r="L208" s="87"/>
      <c r="O208" s="87"/>
      <c r="P208" s="87"/>
      <c r="Q208" s="87"/>
      <c r="R208" s="87"/>
      <c r="S208" s="87"/>
    </row>
    <row r="209">
      <c r="A209" s="87"/>
      <c r="B209" s="87"/>
      <c r="C209" s="87"/>
      <c r="F209" s="87"/>
      <c r="J209" s="87"/>
      <c r="K209" s="87"/>
      <c r="L209" s="87"/>
      <c r="O209" s="87"/>
      <c r="P209" s="87"/>
      <c r="Q209" s="87"/>
      <c r="R209" s="87"/>
      <c r="S209" s="87"/>
    </row>
    <row r="210">
      <c r="A210" s="87"/>
      <c r="B210" s="87"/>
      <c r="C210" s="87"/>
      <c r="F210" s="87"/>
      <c r="J210" s="87"/>
      <c r="K210" s="87"/>
      <c r="L210" s="87"/>
      <c r="O210" s="87"/>
      <c r="P210" s="87"/>
      <c r="Q210" s="87"/>
      <c r="R210" s="87"/>
      <c r="S210" s="87"/>
    </row>
    <row r="211">
      <c r="A211" s="87"/>
      <c r="B211" s="87"/>
      <c r="C211" s="87"/>
      <c r="F211" s="87"/>
      <c r="J211" s="87"/>
      <c r="K211" s="87"/>
      <c r="L211" s="87"/>
      <c r="O211" s="87"/>
      <c r="P211" s="87"/>
      <c r="Q211" s="87"/>
      <c r="R211" s="87"/>
      <c r="S211" s="87"/>
    </row>
    <row r="212">
      <c r="A212" s="87"/>
      <c r="B212" s="87"/>
      <c r="C212" s="87"/>
      <c r="F212" s="87"/>
      <c r="J212" s="87"/>
      <c r="K212" s="87"/>
      <c r="L212" s="87"/>
      <c r="O212" s="87"/>
      <c r="P212" s="87"/>
      <c r="Q212" s="87"/>
      <c r="R212" s="87"/>
      <c r="S212" s="87"/>
    </row>
    <row r="213">
      <c r="A213" s="87"/>
      <c r="B213" s="87"/>
      <c r="C213" s="87"/>
      <c r="F213" s="87"/>
      <c r="J213" s="87"/>
      <c r="K213" s="87"/>
      <c r="L213" s="87"/>
      <c r="O213" s="87"/>
      <c r="P213" s="87"/>
      <c r="Q213" s="87"/>
      <c r="R213" s="87"/>
      <c r="S213" s="87"/>
    </row>
    <row r="214">
      <c r="A214" s="87"/>
      <c r="B214" s="87"/>
      <c r="C214" s="87"/>
      <c r="F214" s="87"/>
      <c r="J214" s="87"/>
      <c r="K214" s="87"/>
      <c r="L214" s="87"/>
      <c r="O214" s="87"/>
      <c r="P214" s="87"/>
      <c r="Q214" s="87"/>
      <c r="R214" s="87"/>
      <c r="S214" s="87"/>
    </row>
    <row r="215">
      <c r="A215" s="87"/>
      <c r="B215" s="87"/>
      <c r="C215" s="87"/>
      <c r="F215" s="87"/>
      <c r="J215" s="87"/>
      <c r="K215" s="87"/>
      <c r="L215" s="87"/>
      <c r="O215" s="87"/>
      <c r="P215" s="87"/>
      <c r="Q215" s="87"/>
      <c r="R215" s="87"/>
      <c r="S215" s="87"/>
    </row>
    <row r="216">
      <c r="A216" s="87"/>
      <c r="B216" s="87"/>
      <c r="C216" s="87"/>
      <c r="F216" s="87"/>
      <c r="J216" s="87"/>
      <c r="K216" s="87"/>
      <c r="L216" s="87"/>
      <c r="O216" s="87"/>
      <c r="P216" s="87"/>
      <c r="Q216" s="87"/>
      <c r="R216" s="87"/>
      <c r="S216" s="87"/>
    </row>
    <row r="217">
      <c r="A217" s="87"/>
      <c r="B217" s="87"/>
      <c r="C217" s="87"/>
      <c r="F217" s="87"/>
      <c r="J217" s="87"/>
      <c r="K217" s="87"/>
      <c r="L217" s="87"/>
      <c r="O217" s="87"/>
      <c r="P217" s="87"/>
      <c r="Q217" s="87"/>
      <c r="R217" s="87"/>
      <c r="S217" s="87"/>
    </row>
    <row r="218">
      <c r="A218" s="87"/>
      <c r="B218" s="87"/>
      <c r="C218" s="87"/>
      <c r="F218" s="87"/>
      <c r="J218" s="87"/>
      <c r="K218" s="87"/>
      <c r="L218" s="87"/>
      <c r="O218" s="87"/>
      <c r="P218" s="87"/>
      <c r="Q218" s="87"/>
      <c r="R218" s="87"/>
      <c r="S218" s="87"/>
    </row>
    <row r="219">
      <c r="A219" s="87"/>
      <c r="B219" s="87"/>
      <c r="C219" s="87"/>
      <c r="F219" s="87"/>
      <c r="J219" s="87"/>
      <c r="K219" s="87"/>
      <c r="L219" s="87"/>
      <c r="O219" s="87"/>
      <c r="P219" s="87"/>
      <c r="Q219" s="87"/>
      <c r="R219" s="87"/>
      <c r="S219" s="87"/>
    </row>
    <row r="220">
      <c r="A220" s="87"/>
      <c r="B220" s="87"/>
      <c r="C220" s="87"/>
      <c r="F220" s="87"/>
      <c r="J220" s="87"/>
      <c r="K220" s="87"/>
      <c r="L220" s="87"/>
      <c r="O220" s="87"/>
      <c r="P220" s="87"/>
      <c r="Q220" s="87"/>
      <c r="R220" s="87"/>
      <c r="S220" s="87"/>
    </row>
    <row r="221">
      <c r="A221" s="87"/>
      <c r="B221" s="87"/>
      <c r="C221" s="87"/>
      <c r="F221" s="87"/>
      <c r="J221" s="87"/>
      <c r="K221" s="87"/>
      <c r="L221" s="87"/>
      <c r="O221" s="87"/>
      <c r="P221" s="87"/>
      <c r="Q221" s="87"/>
      <c r="R221" s="87"/>
      <c r="S221" s="87"/>
    </row>
    <row r="222">
      <c r="A222" s="87"/>
      <c r="B222" s="87"/>
      <c r="C222" s="87"/>
      <c r="F222" s="87"/>
      <c r="J222" s="87"/>
      <c r="K222" s="87"/>
      <c r="L222" s="87"/>
      <c r="O222" s="87"/>
      <c r="P222" s="87"/>
      <c r="Q222" s="87"/>
      <c r="R222" s="87"/>
      <c r="S222" s="87"/>
    </row>
    <row r="223">
      <c r="A223" s="87"/>
      <c r="B223" s="87"/>
      <c r="C223" s="87"/>
      <c r="F223" s="87"/>
      <c r="J223" s="87"/>
      <c r="K223" s="87"/>
      <c r="L223" s="87"/>
      <c r="O223" s="87"/>
      <c r="P223" s="87"/>
      <c r="Q223" s="87"/>
      <c r="R223" s="87"/>
      <c r="S223" s="87"/>
    </row>
    <row r="224">
      <c r="A224" s="87"/>
      <c r="B224" s="87"/>
      <c r="C224" s="87"/>
      <c r="F224" s="87"/>
      <c r="J224" s="87"/>
      <c r="K224" s="87"/>
      <c r="L224" s="87"/>
      <c r="O224" s="87"/>
      <c r="P224" s="87"/>
      <c r="Q224" s="87"/>
      <c r="R224" s="87"/>
      <c r="S224" s="87"/>
    </row>
    <row r="225">
      <c r="A225" s="87"/>
      <c r="B225" s="87"/>
      <c r="C225" s="87"/>
      <c r="F225" s="87"/>
      <c r="J225" s="87"/>
      <c r="K225" s="87"/>
      <c r="L225" s="87"/>
      <c r="O225" s="87"/>
      <c r="P225" s="87"/>
      <c r="Q225" s="87"/>
      <c r="R225" s="87"/>
      <c r="S225" s="87"/>
    </row>
    <row r="226">
      <c r="A226" s="87"/>
      <c r="B226" s="87"/>
      <c r="C226" s="87"/>
      <c r="F226" s="87"/>
      <c r="J226" s="87"/>
      <c r="K226" s="87"/>
      <c r="L226" s="87"/>
      <c r="O226" s="87"/>
      <c r="P226" s="87"/>
      <c r="Q226" s="87"/>
      <c r="R226" s="87"/>
      <c r="S226" s="87"/>
    </row>
    <row r="227">
      <c r="A227" s="87"/>
      <c r="B227" s="87"/>
      <c r="C227" s="87"/>
      <c r="F227" s="87"/>
      <c r="J227" s="87"/>
      <c r="K227" s="87"/>
      <c r="L227" s="87"/>
      <c r="O227" s="87"/>
      <c r="P227" s="87"/>
      <c r="Q227" s="87"/>
      <c r="R227" s="87"/>
      <c r="S227" s="87"/>
    </row>
    <row r="228">
      <c r="A228" s="87"/>
      <c r="B228" s="87"/>
      <c r="C228" s="87"/>
      <c r="F228" s="87"/>
      <c r="J228" s="87"/>
      <c r="K228" s="87"/>
      <c r="L228" s="87"/>
      <c r="O228" s="87"/>
      <c r="P228" s="87"/>
      <c r="Q228" s="87"/>
      <c r="R228" s="87"/>
      <c r="S228" s="87"/>
    </row>
    <row r="229">
      <c r="A229" s="87"/>
      <c r="B229" s="87"/>
      <c r="C229" s="87"/>
      <c r="F229" s="87"/>
      <c r="J229" s="87"/>
      <c r="K229" s="87"/>
      <c r="L229" s="87"/>
      <c r="O229" s="87"/>
      <c r="P229" s="87"/>
      <c r="Q229" s="87"/>
      <c r="R229" s="87"/>
      <c r="S229" s="87"/>
    </row>
    <row r="230">
      <c r="A230" s="87"/>
      <c r="B230" s="87"/>
      <c r="C230" s="87"/>
      <c r="F230" s="87"/>
      <c r="J230" s="87"/>
      <c r="K230" s="87"/>
      <c r="L230" s="87"/>
      <c r="O230" s="87"/>
      <c r="P230" s="87"/>
      <c r="Q230" s="87"/>
      <c r="R230" s="87"/>
      <c r="S230" s="87"/>
    </row>
    <row r="231">
      <c r="A231" s="87"/>
      <c r="B231" s="87"/>
      <c r="C231" s="87"/>
      <c r="F231" s="87"/>
      <c r="J231" s="87"/>
      <c r="K231" s="87"/>
      <c r="L231" s="87"/>
      <c r="O231" s="87"/>
      <c r="P231" s="87"/>
      <c r="Q231" s="87"/>
      <c r="R231" s="87"/>
      <c r="S231" s="87"/>
    </row>
    <row r="232">
      <c r="A232" s="87"/>
      <c r="B232" s="87"/>
      <c r="C232" s="87"/>
      <c r="F232" s="87"/>
      <c r="J232" s="87"/>
      <c r="K232" s="87"/>
      <c r="L232" s="87"/>
      <c r="O232" s="87"/>
      <c r="P232" s="87"/>
      <c r="Q232" s="87"/>
      <c r="R232" s="87"/>
      <c r="S232" s="87"/>
    </row>
    <row r="233">
      <c r="A233" s="87"/>
      <c r="B233" s="87"/>
      <c r="C233" s="87"/>
      <c r="F233" s="87"/>
      <c r="J233" s="87"/>
      <c r="K233" s="87"/>
      <c r="L233" s="87"/>
      <c r="O233" s="87"/>
      <c r="P233" s="87"/>
      <c r="Q233" s="87"/>
      <c r="R233" s="87"/>
      <c r="S233" s="87"/>
    </row>
    <row r="234">
      <c r="A234" s="87"/>
      <c r="B234" s="87"/>
      <c r="C234" s="87"/>
      <c r="F234" s="87"/>
      <c r="J234" s="87"/>
      <c r="K234" s="87"/>
      <c r="L234" s="87"/>
      <c r="O234" s="87"/>
      <c r="P234" s="87"/>
      <c r="Q234" s="87"/>
      <c r="R234" s="87"/>
      <c r="S234" s="87"/>
    </row>
    <row r="235">
      <c r="A235" s="87"/>
      <c r="B235" s="87"/>
      <c r="C235" s="87"/>
      <c r="F235" s="87"/>
      <c r="J235" s="87"/>
      <c r="K235" s="87"/>
      <c r="L235" s="87"/>
      <c r="O235" s="87"/>
      <c r="P235" s="87"/>
      <c r="Q235" s="87"/>
      <c r="R235" s="87"/>
      <c r="S235" s="87"/>
    </row>
    <row r="236">
      <c r="A236" s="87"/>
      <c r="B236" s="87"/>
      <c r="C236" s="87"/>
      <c r="F236" s="87"/>
      <c r="J236" s="87"/>
      <c r="K236" s="87"/>
      <c r="L236" s="87"/>
      <c r="O236" s="87"/>
      <c r="P236" s="87"/>
      <c r="Q236" s="87"/>
      <c r="R236" s="87"/>
      <c r="S236" s="87"/>
    </row>
    <row r="237">
      <c r="A237" s="87"/>
      <c r="B237" s="87"/>
      <c r="C237" s="87"/>
      <c r="F237" s="87"/>
      <c r="J237" s="87"/>
      <c r="K237" s="87"/>
      <c r="L237" s="87"/>
      <c r="O237" s="87"/>
      <c r="P237" s="87"/>
      <c r="Q237" s="87"/>
      <c r="R237" s="87"/>
      <c r="S237" s="87"/>
    </row>
    <row r="238">
      <c r="A238" s="87"/>
      <c r="B238" s="87"/>
      <c r="C238" s="87"/>
      <c r="F238" s="87"/>
      <c r="J238" s="87"/>
      <c r="K238" s="87"/>
      <c r="L238" s="87"/>
      <c r="O238" s="87"/>
      <c r="P238" s="87"/>
      <c r="Q238" s="87"/>
      <c r="R238" s="87"/>
      <c r="S238" s="87"/>
    </row>
    <row r="239">
      <c r="A239" s="87"/>
      <c r="B239" s="87"/>
      <c r="C239" s="87"/>
      <c r="F239" s="87"/>
      <c r="J239" s="87"/>
      <c r="K239" s="87"/>
      <c r="L239" s="87"/>
      <c r="O239" s="87"/>
      <c r="P239" s="87"/>
      <c r="Q239" s="87"/>
      <c r="R239" s="87"/>
      <c r="S239" s="87"/>
    </row>
    <row r="240">
      <c r="A240" s="87"/>
      <c r="B240" s="87"/>
      <c r="C240" s="87"/>
      <c r="F240" s="87"/>
      <c r="J240" s="87"/>
      <c r="K240" s="87"/>
      <c r="L240" s="87"/>
      <c r="O240" s="87"/>
      <c r="P240" s="87"/>
      <c r="Q240" s="87"/>
      <c r="R240" s="87"/>
      <c r="S240" s="87"/>
    </row>
    <row r="241">
      <c r="A241" s="87"/>
      <c r="B241" s="87"/>
      <c r="C241" s="87"/>
      <c r="F241" s="87"/>
      <c r="J241" s="87"/>
      <c r="K241" s="87"/>
      <c r="L241" s="87"/>
      <c r="O241" s="87"/>
      <c r="P241" s="87"/>
      <c r="Q241" s="87"/>
      <c r="R241" s="87"/>
      <c r="S241" s="87"/>
    </row>
    <row r="242">
      <c r="A242" s="87"/>
      <c r="B242" s="87"/>
      <c r="C242" s="87"/>
      <c r="F242" s="87"/>
      <c r="J242" s="87"/>
      <c r="K242" s="87"/>
      <c r="L242" s="87"/>
      <c r="O242" s="87"/>
      <c r="P242" s="87"/>
      <c r="Q242" s="87"/>
      <c r="R242" s="87"/>
      <c r="S242" s="87"/>
    </row>
    <row r="243">
      <c r="A243" s="87"/>
      <c r="B243" s="87"/>
      <c r="C243" s="87"/>
      <c r="F243" s="87"/>
      <c r="J243" s="87"/>
      <c r="K243" s="87"/>
      <c r="L243" s="87"/>
      <c r="O243" s="87"/>
      <c r="P243" s="87"/>
      <c r="Q243" s="87"/>
      <c r="R243" s="87"/>
      <c r="S243" s="87"/>
    </row>
    <row r="244">
      <c r="A244" s="87"/>
      <c r="B244" s="87"/>
      <c r="C244" s="87"/>
      <c r="F244" s="87"/>
      <c r="J244" s="87"/>
      <c r="K244" s="87"/>
      <c r="L244" s="87"/>
      <c r="O244" s="87"/>
      <c r="P244" s="87"/>
      <c r="Q244" s="87"/>
      <c r="R244" s="87"/>
      <c r="S244" s="87"/>
    </row>
    <row r="245">
      <c r="A245" s="87"/>
      <c r="B245" s="87"/>
      <c r="C245" s="87"/>
      <c r="F245" s="87"/>
      <c r="J245" s="87"/>
      <c r="K245" s="87"/>
      <c r="L245" s="87"/>
      <c r="O245" s="87"/>
      <c r="P245" s="87"/>
      <c r="Q245" s="87"/>
      <c r="R245" s="87"/>
      <c r="S245" s="87"/>
    </row>
    <row r="246">
      <c r="A246" s="87"/>
      <c r="B246" s="87"/>
      <c r="C246" s="87"/>
      <c r="F246" s="87"/>
      <c r="J246" s="87"/>
      <c r="K246" s="87"/>
      <c r="L246" s="87"/>
      <c r="O246" s="87"/>
      <c r="P246" s="87"/>
      <c r="Q246" s="87"/>
      <c r="R246" s="87"/>
      <c r="S246" s="87"/>
    </row>
    <row r="247">
      <c r="A247" s="87"/>
      <c r="B247" s="87"/>
      <c r="C247" s="87"/>
      <c r="F247" s="87"/>
      <c r="J247" s="87"/>
      <c r="K247" s="87"/>
      <c r="L247" s="87"/>
      <c r="O247" s="87"/>
      <c r="P247" s="87"/>
      <c r="Q247" s="87"/>
      <c r="R247" s="87"/>
      <c r="S247" s="87"/>
    </row>
    <row r="248">
      <c r="A248" s="87"/>
      <c r="B248" s="87"/>
      <c r="C248" s="87"/>
      <c r="F248" s="87"/>
      <c r="J248" s="87"/>
      <c r="K248" s="87"/>
      <c r="L248" s="87"/>
      <c r="O248" s="87"/>
      <c r="P248" s="87"/>
      <c r="Q248" s="87"/>
      <c r="R248" s="87"/>
      <c r="S248" s="87"/>
    </row>
    <row r="249">
      <c r="A249" s="87"/>
      <c r="B249" s="87"/>
      <c r="C249" s="87"/>
      <c r="F249" s="87"/>
      <c r="J249" s="87"/>
      <c r="K249" s="87"/>
      <c r="L249" s="87"/>
      <c r="O249" s="87"/>
      <c r="P249" s="87"/>
      <c r="Q249" s="87"/>
      <c r="R249" s="87"/>
      <c r="S249" s="87"/>
    </row>
    <row r="250">
      <c r="A250" s="87"/>
      <c r="B250" s="87"/>
      <c r="C250" s="87"/>
      <c r="F250" s="87"/>
      <c r="J250" s="87"/>
      <c r="K250" s="87"/>
      <c r="L250" s="87"/>
      <c r="O250" s="87"/>
      <c r="P250" s="87"/>
      <c r="Q250" s="87"/>
      <c r="R250" s="87"/>
      <c r="S250" s="87"/>
    </row>
    <row r="251">
      <c r="A251" s="87"/>
      <c r="B251" s="87"/>
      <c r="C251" s="87"/>
      <c r="F251" s="87"/>
      <c r="J251" s="87"/>
      <c r="K251" s="87"/>
      <c r="L251" s="87"/>
      <c r="O251" s="87"/>
      <c r="P251" s="87"/>
      <c r="Q251" s="87"/>
      <c r="R251" s="87"/>
      <c r="S251" s="87"/>
    </row>
    <row r="252">
      <c r="A252" s="87"/>
      <c r="B252" s="87"/>
      <c r="C252" s="87"/>
      <c r="F252" s="87"/>
      <c r="J252" s="87"/>
      <c r="K252" s="87"/>
      <c r="L252" s="87"/>
      <c r="O252" s="87"/>
      <c r="P252" s="87"/>
      <c r="Q252" s="87"/>
      <c r="R252" s="87"/>
      <c r="S252" s="87"/>
    </row>
    <row r="253">
      <c r="A253" s="87"/>
      <c r="B253" s="87"/>
      <c r="C253" s="87"/>
      <c r="F253" s="87"/>
      <c r="J253" s="87"/>
      <c r="K253" s="87"/>
      <c r="L253" s="87"/>
      <c r="O253" s="87"/>
      <c r="P253" s="87"/>
      <c r="Q253" s="87"/>
      <c r="R253" s="87"/>
      <c r="S253" s="87"/>
    </row>
    <row r="254">
      <c r="A254" s="87"/>
      <c r="B254" s="87"/>
      <c r="C254" s="87"/>
      <c r="F254" s="87"/>
      <c r="J254" s="87"/>
      <c r="K254" s="87"/>
      <c r="L254" s="87"/>
      <c r="O254" s="87"/>
      <c r="P254" s="87"/>
      <c r="Q254" s="87"/>
      <c r="R254" s="87"/>
      <c r="S254" s="87"/>
    </row>
    <row r="255">
      <c r="A255" s="87"/>
      <c r="B255" s="87"/>
      <c r="C255" s="87"/>
      <c r="F255" s="87"/>
      <c r="J255" s="87"/>
      <c r="K255" s="87"/>
      <c r="L255" s="87"/>
      <c r="O255" s="87"/>
      <c r="P255" s="87"/>
      <c r="Q255" s="87"/>
      <c r="R255" s="87"/>
      <c r="S255" s="87"/>
    </row>
    <row r="256">
      <c r="A256" s="87"/>
      <c r="B256" s="87"/>
      <c r="C256" s="87"/>
      <c r="F256" s="87"/>
      <c r="J256" s="87"/>
      <c r="K256" s="87"/>
      <c r="L256" s="87"/>
      <c r="O256" s="87"/>
      <c r="P256" s="87"/>
      <c r="Q256" s="87"/>
      <c r="R256" s="87"/>
      <c r="S256" s="87"/>
    </row>
    <row r="257">
      <c r="A257" s="87"/>
      <c r="B257" s="87"/>
      <c r="C257" s="87"/>
      <c r="F257" s="87"/>
      <c r="J257" s="87"/>
      <c r="K257" s="87"/>
      <c r="L257" s="87"/>
      <c r="O257" s="87"/>
      <c r="P257" s="87"/>
      <c r="Q257" s="87"/>
      <c r="R257" s="87"/>
      <c r="S257" s="87"/>
    </row>
    <row r="258">
      <c r="A258" s="87"/>
      <c r="B258" s="87"/>
      <c r="C258" s="87"/>
      <c r="F258" s="87"/>
      <c r="J258" s="87"/>
      <c r="K258" s="87"/>
      <c r="L258" s="87"/>
      <c r="O258" s="87"/>
      <c r="P258" s="87"/>
      <c r="Q258" s="87"/>
      <c r="R258" s="87"/>
      <c r="S258" s="87"/>
    </row>
    <row r="259">
      <c r="A259" s="87"/>
      <c r="B259" s="87"/>
      <c r="C259" s="87"/>
      <c r="F259" s="87"/>
      <c r="J259" s="87"/>
      <c r="K259" s="87"/>
      <c r="L259" s="87"/>
      <c r="O259" s="87"/>
      <c r="P259" s="87"/>
      <c r="Q259" s="87"/>
      <c r="R259" s="87"/>
      <c r="S259" s="87"/>
    </row>
    <row r="260">
      <c r="A260" s="87"/>
      <c r="B260" s="87"/>
      <c r="C260" s="87"/>
      <c r="F260" s="87"/>
      <c r="J260" s="87"/>
      <c r="K260" s="87"/>
      <c r="L260" s="87"/>
      <c r="O260" s="87"/>
      <c r="P260" s="87"/>
      <c r="Q260" s="87"/>
      <c r="R260" s="87"/>
      <c r="S260" s="87"/>
    </row>
    <row r="261">
      <c r="A261" s="87"/>
      <c r="B261" s="87"/>
      <c r="C261" s="87"/>
      <c r="F261" s="87"/>
      <c r="J261" s="87"/>
      <c r="K261" s="87"/>
      <c r="L261" s="87"/>
      <c r="O261" s="87"/>
      <c r="P261" s="87"/>
      <c r="Q261" s="87"/>
      <c r="R261" s="87"/>
      <c r="S261" s="87"/>
    </row>
    <row r="262">
      <c r="A262" s="87"/>
      <c r="B262" s="87"/>
      <c r="C262" s="87"/>
      <c r="F262" s="87"/>
      <c r="J262" s="87"/>
      <c r="K262" s="87"/>
      <c r="L262" s="87"/>
      <c r="O262" s="87"/>
      <c r="P262" s="87"/>
      <c r="Q262" s="87"/>
      <c r="R262" s="87"/>
      <c r="S262" s="87"/>
    </row>
    <row r="263">
      <c r="A263" s="87"/>
      <c r="B263" s="87"/>
      <c r="C263" s="87"/>
      <c r="F263" s="87"/>
      <c r="J263" s="87"/>
      <c r="K263" s="87"/>
      <c r="L263" s="87"/>
      <c r="O263" s="87"/>
      <c r="P263" s="87"/>
      <c r="Q263" s="87"/>
      <c r="R263" s="87"/>
      <c r="S263" s="87"/>
    </row>
    <row r="264">
      <c r="A264" s="87"/>
      <c r="B264" s="87"/>
      <c r="C264" s="87"/>
      <c r="F264" s="87"/>
      <c r="J264" s="87"/>
      <c r="K264" s="87"/>
      <c r="L264" s="87"/>
      <c r="O264" s="87"/>
      <c r="P264" s="87"/>
      <c r="Q264" s="87"/>
      <c r="R264" s="87"/>
      <c r="S264" s="87"/>
    </row>
    <row r="265">
      <c r="A265" s="87"/>
      <c r="B265" s="87"/>
      <c r="C265" s="87"/>
      <c r="F265" s="87"/>
      <c r="J265" s="87"/>
      <c r="K265" s="87"/>
      <c r="L265" s="87"/>
      <c r="O265" s="87"/>
      <c r="P265" s="87"/>
      <c r="Q265" s="87"/>
      <c r="R265" s="87"/>
      <c r="S265" s="87"/>
    </row>
    <row r="266">
      <c r="A266" s="87"/>
      <c r="B266" s="87"/>
      <c r="C266" s="87"/>
      <c r="F266" s="87"/>
      <c r="J266" s="87"/>
      <c r="K266" s="87"/>
      <c r="L266" s="87"/>
      <c r="O266" s="87"/>
      <c r="P266" s="87"/>
      <c r="Q266" s="87"/>
      <c r="R266" s="87"/>
      <c r="S266" s="87"/>
    </row>
    <row r="267">
      <c r="A267" s="87"/>
      <c r="B267" s="87"/>
      <c r="C267" s="87"/>
      <c r="F267" s="87"/>
      <c r="J267" s="87"/>
      <c r="K267" s="87"/>
      <c r="L267" s="87"/>
      <c r="O267" s="87"/>
      <c r="P267" s="87"/>
      <c r="Q267" s="87"/>
      <c r="R267" s="87"/>
      <c r="S267" s="87"/>
    </row>
    <row r="268">
      <c r="A268" s="87"/>
      <c r="B268" s="87"/>
      <c r="C268" s="87"/>
      <c r="F268" s="87"/>
      <c r="J268" s="87"/>
      <c r="K268" s="87"/>
      <c r="L268" s="87"/>
      <c r="O268" s="87"/>
      <c r="P268" s="87"/>
      <c r="Q268" s="87"/>
      <c r="R268" s="87"/>
      <c r="S268" s="87"/>
    </row>
    <row r="269">
      <c r="A269" s="87"/>
      <c r="B269" s="87"/>
      <c r="C269" s="87"/>
      <c r="F269" s="87"/>
      <c r="J269" s="87"/>
      <c r="K269" s="87"/>
      <c r="L269" s="87"/>
      <c r="O269" s="87"/>
      <c r="P269" s="87"/>
      <c r="Q269" s="87"/>
      <c r="R269" s="87"/>
      <c r="S269" s="87"/>
    </row>
    <row r="270">
      <c r="A270" s="87"/>
      <c r="B270" s="87"/>
      <c r="C270" s="87"/>
      <c r="F270" s="87"/>
      <c r="J270" s="87"/>
      <c r="K270" s="87"/>
      <c r="L270" s="87"/>
      <c r="O270" s="87"/>
      <c r="P270" s="87"/>
      <c r="Q270" s="87"/>
      <c r="R270" s="87"/>
      <c r="S270" s="87"/>
    </row>
    <row r="271">
      <c r="A271" s="87"/>
      <c r="B271" s="87"/>
      <c r="C271" s="87"/>
      <c r="F271" s="87"/>
      <c r="J271" s="87"/>
      <c r="K271" s="87"/>
      <c r="L271" s="87"/>
      <c r="O271" s="87"/>
      <c r="P271" s="87"/>
      <c r="Q271" s="87"/>
      <c r="R271" s="87"/>
      <c r="S271" s="87"/>
    </row>
    <row r="272">
      <c r="A272" s="87"/>
      <c r="B272" s="87"/>
      <c r="C272" s="87"/>
      <c r="F272" s="87"/>
      <c r="J272" s="87"/>
      <c r="K272" s="87"/>
      <c r="L272" s="87"/>
      <c r="O272" s="87"/>
      <c r="P272" s="87"/>
      <c r="Q272" s="87"/>
      <c r="R272" s="87"/>
      <c r="S272" s="87"/>
    </row>
    <row r="273">
      <c r="A273" s="87"/>
      <c r="B273" s="87"/>
      <c r="C273" s="87"/>
      <c r="F273" s="87"/>
      <c r="J273" s="87"/>
      <c r="K273" s="87"/>
      <c r="L273" s="87"/>
      <c r="O273" s="87"/>
      <c r="P273" s="87"/>
      <c r="Q273" s="87"/>
      <c r="R273" s="87"/>
      <c r="S273" s="87"/>
    </row>
    <row r="274">
      <c r="A274" s="87"/>
      <c r="B274" s="87"/>
      <c r="C274" s="87"/>
      <c r="F274" s="87"/>
      <c r="J274" s="87"/>
      <c r="K274" s="87"/>
      <c r="L274" s="87"/>
      <c r="O274" s="87"/>
      <c r="P274" s="87"/>
      <c r="Q274" s="87"/>
      <c r="R274" s="87"/>
      <c r="S274" s="87"/>
    </row>
    <row r="275">
      <c r="A275" s="87"/>
      <c r="B275" s="87"/>
      <c r="C275" s="87"/>
      <c r="F275" s="87"/>
      <c r="J275" s="87"/>
      <c r="K275" s="87"/>
      <c r="L275" s="87"/>
      <c r="O275" s="87"/>
      <c r="P275" s="87"/>
      <c r="Q275" s="87"/>
      <c r="R275" s="87"/>
      <c r="S275" s="87"/>
    </row>
    <row r="276">
      <c r="A276" s="87"/>
      <c r="B276" s="87"/>
      <c r="C276" s="87"/>
      <c r="F276" s="87"/>
      <c r="J276" s="87"/>
      <c r="K276" s="87"/>
      <c r="L276" s="87"/>
      <c r="O276" s="87"/>
      <c r="P276" s="87"/>
      <c r="Q276" s="87"/>
      <c r="R276" s="87"/>
      <c r="S276" s="87"/>
    </row>
    <row r="277">
      <c r="A277" s="87"/>
      <c r="B277" s="87"/>
      <c r="C277" s="87"/>
      <c r="F277" s="87"/>
      <c r="J277" s="87"/>
      <c r="K277" s="87"/>
      <c r="L277" s="87"/>
      <c r="O277" s="87"/>
      <c r="P277" s="87"/>
      <c r="Q277" s="87"/>
      <c r="R277" s="87"/>
      <c r="S277" s="87"/>
    </row>
    <row r="278">
      <c r="A278" s="87"/>
      <c r="B278" s="87"/>
      <c r="C278" s="87"/>
      <c r="F278" s="87"/>
      <c r="J278" s="87"/>
      <c r="K278" s="87"/>
      <c r="L278" s="87"/>
      <c r="O278" s="87"/>
      <c r="P278" s="87"/>
      <c r="Q278" s="87"/>
      <c r="R278" s="87"/>
      <c r="S278" s="87"/>
    </row>
    <row r="279">
      <c r="A279" s="87"/>
      <c r="B279" s="87"/>
      <c r="C279" s="87"/>
      <c r="F279" s="87"/>
      <c r="J279" s="87"/>
      <c r="K279" s="87"/>
      <c r="L279" s="87"/>
      <c r="O279" s="87"/>
      <c r="P279" s="87"/>
      <c r="Q279" s="87"/>
      <c r="R279" s="87"/>
      <c r="S279" s="87"/>
    </row>
    <row r="280">
      <c r="A280" s="87"/>
      <c r="B280" s="87"/>
      <c r="C280" s="87"/>
      <c r="F280" s="87"/>
      <c r="J280" s="87"/>
      <c r="K280" s="87"/>
      <c r="L280" s="87"/>
      <c r="O280" s="87"/>
      <c r="P280" s="87"/>
      <c r="Q280" s="87"/>
      <c r="R280" s="87"/>
      <c r="S280" s="87"/>
    </row>
    <row r="281">
      <c r="A281" s="87"/>
      <c r="B281" s="87"/>
      <c r="C281" s="87"/>
      <c r="F281" s="87"/>
      <c r="J281" s="87"/>
      <c r="K281" s="87"/>
      <c r="L281" s="87"/>
      <c r="O281" s="87"/>
      <c r="P281" s="87"/>
      <c r="Q281" s="87"/>
      <c r="R281" s="87"/>
      <c r="S281" s="87"/>
    </row>
    <row r="282">
      <c r="A282" s="87"/>
      <c r="B282" s="87"/>
      <c r="C282" s="87"/>
      <c r="F282" s="87"/>
      <c r="J282" s="87"/>
      <c r="K282" s="87"/>
      <c r="L282" s="87"/>
      <c r="O282" s="87"/>
      <c r="P282" s="87"/>
      <c r="Q282" s="87"/>
      <c r="R282" s="87"/>
      <c r="S282" s="87"/>
    </row>
    <row r="283">
      <c r="A283" s="87"/>
      <c r="B283" s="87"/>
      <c r="C283" s="87"/>
      <c r="F283" s="87"/>
      <c r="J283" s="87"/>
      <c r="K283" s="87"/>
      <c r="L283" s="87"/>
      <c r="O283" s="87"/>
      <c r="P283" s="87"/>
      <c r="Q283" s="87"/>
      <c r="R283" s="87"/>
      <c r="S283" s="87"/>
    </row>
    <row r="284">
      <c r="A284" s="87"/>
      <c r="B284" s="87"/>
      <c r="C284" s="87"/>
      <c r="F284" s="87"/>
      <c r="J284" s="87"/>
      <c r="K284" s="87"/>
      <c r="L284" s="87"/>
      <c r="O284" s="87"/>
      <c r="P284" s="87"/>
      <c r="Q284" s="87"/>
      <c r="R284" s="87"/>
      <c r="S284" s="87"/>
    </row>
    <row r="285">
      <c r="A285" s="87"/>
      <c r="B285" s="87"/>
      <c r="C285" s="87"/>
      <c r="F285" s="87"/>
      <c r="J285" s="87"/>
      <c r="K285" s="87"/>
      <c r="L285" s="87"/>
      <c r="O285" s="87"/>
      <c r="P285" s="87"/>
      <c r="Q285" s="87"/>
      <c r="R285" s="87"/>
      <c r="S285" s="87"/>
    </row>
    <row r="286">
      <c r="A286" s="87"/>
      <c r="B286" s="87"/>
      <c r="C286" s="87"/>
      <c r="F286" s="87"/>
      <c r="J286" s="87"/>
      <c r="K286" s="87"/>
      <c r="L286" s="87"/>
      <c r="O286" s="87"/>
      <c r="P286" s="87"/>
      <c r="Q286" s="87"/>
      <c r="R286" s="87"/>
      <c r="S286" s="87"/>
    </row>
    <row r="287">
      <c r="A287" s="87"/>
      <c r="B287" s="87"/>
      <c r="C287" s="87"/>
      <c r="F287" s="87"/>
      <c r="J287" s="87"/>
      <c r="K287" s="87"/>
      <c r="L287" s="87"/>
      <c r="O287" s="87"/>
      <c r="P287" s="87"/>
      <c r="Q287" s="87"/>
      <c r="R287" s="87"/>
      <c r="S287" s="87"/>
    </row>
    <row r="288">
      <c r="A288" s="87"/>
      <c r="B288" s="87"/>
      <c r="C288" s="87"/>
      <c r="F288" s="87"/>
      <c r="J288" s="87"/>
      <c r="K288" s="87"/>
      <c r="L288" s="87"/>
      <c r="O288" s="87"/>
      <c r="P288" s="87"/>
      <c r="Q288" s="87"/>
      <c r="R288" s="87"/>
      <c r="S288" s="87"/>
    </row>
    <row r="289">
      <c r="A289" s="87"/>
      <c r="B289" s="87"/>
      <c r="C289" s="87"/>
      <c r="F289" s="87"/>
      <c r="J289" s="87"/>
      <c r="K289" s="87"/>
      <c r="L289" s="87"/>
      <c r="O289" s="87"/>
      <c r="P289" s="87"/>
      <c r="Q289" s="87"/>
      <c r="R289" s="87"/>
      <c r="S289" s="87"/>
    </row>
    <row r="290">
      <c r="A290" s="87"/>
      <c r="B290" s="87"/>
      <c r="C290" s="87"/>
      <c r="F290" s="87"/>
      <c r="J290" s="87"/>
      <c r="K290" s="87"/>
      <c r="L290" s="87"/>
      <c r="O290" s="87"/>
      <c r="P290" s="87"/>
      <c r="Q290" s="87"/>
      <c r="R290" s="87"/>
      <c r="S290" s="87"/>
    </row>
    <row r="291">
      <c r="A291" s="87"/>
      <c r="B291" s="87"/>
      <c r="C291" s="87"/>
      <c r="F291" s="87"/>
      <c r="J291" s="87"/>
      <c r="K291" s="87"/>
      <c r="L291" s="87"/>
      <c r="O291" s="87"/>
      <c r="P291" s="87"/>
      <c r="Q291" s="87"/>
      <c r="R291" s="87"/>
      <c r="S291" s="87"/>
    </row>
    <row r="292">
      <c r="A292" s="87"/>
      <c r="B292" s="87"/>
      <c r="C292" s="87"/>
      <c r="F292" s="87"/>
      <c r="J292" s="87"/>
      <c r="K292" s="87"/>
      <c r="L292" s="87"/>
      <c r="O292" s="87"/>
      <c r="P292" s="87"/>
      <c r="Q292" s="87"/>
      <c r="R292" s="87"/>
      <c r="S292" s="87"/>
    </row>
    <row r="293">
      <c r="A293" s="87"/>
      <c r="B293" s="87"/>
      <c r="C293" s="87"/>
      <c r="F293" s="87"/>
      <c r="J293" s="87"/>
      <c r="K293" s="87"/>
      <c r="L293" s="87"/>
      <c r="O293" s="87"/>
      <c r="P293" s="87"/>
      <c r="Q293" s="87"/>
      <c r="R293" s="87"/>
      <c r="S293" s="87"/>
    </row>
    <row r="294">
      <c r="A294" s="87"/>
      <c r="B294" s="87"/>
      <c r="C294" s="87"/>
      <c r="F294" s="87"/>
      <c r="J294" s="87"/>
      <c r="K294" s="87"/>
      <c r="L294" s="87"/>
      <c r="O294" s="87"/>
      <c r="P294" s="87"/>
      <c r="Q294" s="87"/>
      <c r="R294" s="87"/>
      <c r="S294" s="87"/>
    </row>
    <row r="295">
      <c r="A295" s="87"/>
      <c r="B295" s="87"/>
      <c r="C295" s="87"/>
      <c r="F295" s="87"/>
      <c r="J295" s="87"/>
      <c r="K295" s="87"/>
      <c r="L295" s="87"/>
      <c r="O295" s="87"/>
      <c r="P295" s="87"/>
      <c r="Q295" s="87"/>
      <c r="R295" s="87"/>
      <c r="S295" s="87"/>
    </row>
    <row r="296">
      <c r="A296" s="87"/>
      <c r="B296" s="87"/>
      <c r="C296" s="87"/>
      <c r="F296" s="87"/>
      <c r="J296" s="87"/>
      <c r="K296" s="87"/>
      <c r="L296" s="87"/>
      <c r="O296" s="87"/>
      <c r="P296" s="87"/>
      <c r="Q296" s="87"/>
      <c r="R296" s="87"/>
      <c r="S296" s="87"/>
    </row>
    <row r="297">
      <c r="A297" s="87"/>
      <c r="B297" s="87"/>
      <c r="C297" s="87"/>
      <c r="F297" s="87"/>
      <c r="J297" s="87"/>
      <c r="K297" s="87"/>
      <c r="L297" s="87"/>
      <c r="O297" s="87"/>
      <c r="P297" s="87"/>
      <c r="Q297" s="87"/>
      <c r="R297" s="87"/>
      <c r="S297" s="87"/>
    </row>
    <row r="298">
      <c r="A298" s="87"/>
      <c r="B298" s="87"/>
      <c r="C298" s="87"/>
      <c r="F298" s="87"/>
      <c r="J298" s="87"/>
      <c r="K298" s="87"/>
      <c r="L298" s="87"/>
      <c r="O298" s="87"/>
      <c r="P298" s="87"/>
      <c r="Q298" s="87"/>
      <c r="R298" s="87"/>
      <c r="S298" s="87"/>
    </row>
    <row r="299">
      <c r="A299" s="87"/>
      <c r="B299" s="87"/>
      <c r="C299" s="87"/>
      <c r="F299" s="87"/>
      <c r="J299" s="87"/>
      <c r="K299" s="87"/>
      <c r="L299" s="87"/>
      <c r="O299" s="87"/>
      <c r="P299" s="87"/>
      <c r="Q299" s="87"/>
      <c r="R299" s="87"/>
      <c r="S299" s="87"/>
    </row>
    <row r="300">
      <c r="A300" s="87"/>
      <c r="B300" s="87"/>
      <c r="C300" s="87"/>
      <c r="F300" s="87"/>
      <c r="J300" s="87"/>
      <c r="K300" s="87"/>
      <c r="L300" s="87"/>
      <c r="O300" s="87"/>
      <c r="P300" s="87"/>
      <c r="Q300" s="87"/>
      <c r="R300" s="87"/>
      <c r="S300" s="87"/>
    </row>
    <row r="301">
      <c r="A301" s="87"/>
      <c r="B301" s="87"/>
      <c r="C301" s="87"/>
      <c r="F301" s="87"/>
      <c r="J301" s="87"/>
      <c r="K301" s="87"/>
      <c r="L301" s="87"/>
      <c r="O301" s="87"/>
      <c r="P301" s="87"/>
      <c r="Q301" s="87"/>
      <c r="R301" s="87"/>
      <c r="S301" s="87"/>
    </row>
    <row r="302">
      <c r="A302" s="87"/>
      <c r="B302" s="87"/>
      <c r="C302" s="87"/>
      <c r="F302" s="87"/>
      <c r="J302" s="87"/>
      <c r="K302" s="87"/>
      <c r="L302" s="87"/>
      <c r="O302" s="87"/>
      <c r="P302" s="87"/>
      <c r="Q302" s="87"/>
      <c r="R302" s="87"/>
      <c r="S302" s="87"/>
    </row>
    <row r="303">
      <c r="A303" s="87"/>
      <c r="B303" s="87"/>
      <c r="C303" s="87"/>
      <c r="F303" s="87"/>
      <c r="J303" s="87"/>
      <c r="K303" s="87"/>
      <c r="L303" s="87"/>
      <c r="O303" s="87"/>
      <c r="P303" s="87"/>
      <c r="Q303" s="87"/>
      <c r="R303" s="87"/>
      <c r="S303" s="87"/>
    </row>
    <row r="304">
      <c r="A304" s="87"/>
      <c r="B304" s="87"/>
      <c r="C304" s="87"/>
      <c r="F304" s="87"/>
      <c r="J304" s="87"/>
      <c r="K304" s="87"/>
      <c r="L304" s="87"/>
      <c r="O304" s="87"/>
      <c r="P304" s="87"/>
      <c r="Q304" s="87"/>
      <c r="R304" s="87"/>
      <c r="S304" s="87"/>
    </row>
    <row r="305">
      <c r="A305" s="87"/>
      <c r="B305" s="87"/>
      <c r="C305" s="87"/>
      <c r="F305" s="87"/>
      <c r="J305" s="87"/>
      <c r="K305" s="87"/>
      <c r="L305" s="87"/>
      <c r="O305" s="87"/>
      <c r="P305" s="87"/>
      <c r="Q305" s="87"/>
      <c r="R305" s="87"/>
      <c r="S305" s="87"/>
    </row>
    <row r="306">
      <c r="A306" s="87"/>
      <c r="B306" s="87"/>
      <c r="C306" s="87"/>
      <c r="F306" s="87"/>
      <c r="J306" s="87"/>
      <c r="K306" s="87"/>
      <c r="L306" s="87"/>
      <c r="O306" s="87"/>
      <c r="P306" s="87"/>
      <c r="Q306" s="87"/>
      <c r="R306" s="87"/>
      <c r="S306" s="87"/>
    </row>
    <row r="307">
      <c r="A307" s="87"/>
      <c r="B307" s="87"/>
      <c r="C307" s="87"/>
      <c r="F307" s="87"/>
      <c r="J307" s="87"/>
      <c r="K307" s="87"/>
      <c r="L307" s="87"/>
      <c r="O307" s="87"/>
      <c r="P307" s="87"/>
      <c r="Q307" s="87"/>
      <c r="R307" s="87"/>
      <c r="S307" s="87"/>
    </row>
    <row r="308">
      <c r="A308" s="87"/>
      <c r="B308" s="87"/>
      <c r="C308" s="87"/>
      <c r="F308" s="87"/>
      <c r="J308" s="87"/>
      <c r="K308" s="87"/>
      <c r="L308" s="87"/>
      <c r="O308" s="87"/>
      <c r="P308" s="87"/>
      <c r="Q308" s="87"/>
      <c r="R308" s="87"/>
      <c r="S308" s="87"/>
    </row>
    <row r="309">
      <c r="A309" s="87"/>
      <c r="B309" s="87"/>
      <c r="C309" s="87"/>
      <c r="F309" s="87"/>
      <c r="J309" s="87"/>
      <c r="K309" s="87"/>
      <c r="L309" s="87"/>
      <c r="O309" s="87"/>
      <c r="P309" s="87"/>
      <c r="Q309" s="87"/>
      <c r="R309" s="87"/>
      <c r="S309" s="87"/>
    </row>
    <row r="310">
      <c r="A310" s="87"/>
      <c r="B310" s="87"/>
      <c r="C310" s="87"/>
      <c r="F310" s="87"/>
      <c r="J310" s="87"/>
      <c r="K310" s="87"/>
      <c r="L310" s="87"/>
      <c r="O310" s="87"/>
      <c r="P310" s="87"/>
      <c r="Q310" s="87"/>
      <c r="R310" s="87"/>
      <c r="S310" s="87"/>
    </row>
    <row r="311">
      <c r="A311" s="87"/>
      <c r="B311" s="87"/>
      <c r="C311" s="87"/>
      <c r="F311" s="87"/>
      <c r="J311" s="87"/>
      <c r="K311" s="87"/>
      <c r="L311" s="87"/>
      <c r="O311" s="87"/>
      <c r="P311" s="87"/>
      <c r="Q311" s="87"/>
      <c r="R311" s="87"/>
      <c r="S311" s="87"/>
    </row>
    <row r="312">
      <c r="A312" s="87"/>
      <c r="B312" s="87"/>
      <c r="C312" s="87"/>
      <c r="F312" s="87"/>
      <c r="J312" s="87"/>
      <c r="K312" s="87"/>
      <c r="L312" s="87"/>
      <c r="O312" s="87"/>
      <c r="P312" s="87"/>
      <c r="Q312" s="87"/>
      <c r="R312" s="87"/>
      <c r="S312" s="87"/>
    </row>
    <row r="313">
      <c r="A313" s="87"/>
      <c r="B313" s="87"/>
      <c r="C313" s="87"/>
      <c r="F313" s="87"/>
      <c r="J313" s="87"/>
      <c r="K313" s="87"/>
      <c r="L313" s="87"/>
      <c r="O313" s="87"/>
      <c r="P313" s="87"/>
      <c r="Q313" s="87"/>
      <c r="R313" s="87"/>
      <c r="S313" s="87"/>
    </row>
    <row r="314">
      <c r="A314" s="87"/>
      <c r="B314" s="87"/>
      <c r="C314" s="87"/>
      <c r="F314" s="87"/>
      <c r="J314" s="87"/>
      <c r="K314" s="87"/>
      <c r="L314" s="87"/>
      <c r="O314" s="87"/>
      <c r="P314" s="87"/>
      <c r="Q314" s="87"/>
      <c r="R314" s="87"/>
      <c r="S314" s="87"/>
    </row>
    <row r="315">
      <c r="A315" s="87"/>
      <c r="B315" s="87"/>
      <c r="C315" s="87"/>
      <c r="F315" s="87"/>
      <c r="J315" s="87"/>
      <c r="K315" s="87"/>
      <c r="L315" s="87"/>
      <c r="O315" s="87"/>
      <c r="P315" s="87"/>
      <c r="Q315" s="87"/>
      <c r="R315" s="87"/>
      <c r="S315" s="87"/>
    </row>
    <row r="316">
      <c r="A316" s="87"/>
      <c r="B316" s="87"/>
      <c r="C316" s="87"/>
      <c r="F316" s="87"/>
      <c r="J316" s="87"/>
      <c r="K316" s="87"/>
      <c r="L316" s="87"/>
      <c r="O316" s="87"/>
      <c r="P316" s="87"/>
      <c r="Q316" s="87"/>
      <c r="R316" s="87"/>
      <c r="S316" s="87"/>
    </row>
    <row r="317">
      <c r="A317" s="87"/>
      <c r="B317" s="87"/>
      <c r="C317" s="87"/>
      <c r="F317" s="87"/>
      <c r="J317" s="87"/>
      <c r="K317" s="87"/>
      <c r="L317" s="87"/>
      <c r="O317" s="87"/>
      <c r="P317" s="87"/>
      <c r="Q317" s="87"/>
      <c r="R317" s="87"/>
      <c r="S317" s="87"/>
    </row>
    <row r="318">
      <c r="A318" s="87"/>
      <c r="B318" s="87"/>
      <c r="C318" s="87"/>
      <c r="F318" s="87"/>
      <c r="J318" s="87"/>
      <c r="K318" s="87"/>
      <c r="L318" s="87"/>
      <c r="O318" s="87"/>
      <c r="P318" s="87"/>
      <c r="Q318" s="87"/>
      <c r="R318" s="87"/>
      <c r="S318" s="87"/>
    </row>
    <row r="319">
      <c r="A319" s="87"/>
      <c r="B319" s="87"/>
      <c r="C319" s="87"/>
      <c r="F319" s="87"/>
      <c r="J319" s="87"/>
      <c r="K319" s="87"/>
      <c r="L319" s="87"/>
      <c r="O319" s="87"/>
      <c r="P319" s="87"/>
      <c r="Q319" s="87"/>
      <c r="R319" s="87"/>
      <c r="S319" s="87"/>
    </row>
    <row r="320">
      <c r="A320" s="87"/>
      <c r="B320" s="87"/>
      <c r="C320" s="87"/>
      <c r="F320" s="87"/>
      <c r="J320" s="87"/>
      <c r="K320" s="87"/>
      <c r="L320" s="87"/>
      <c r="O320" s="87"/>
      <c r="P320" s="87"/>
      <c r="Q320" s="87"/>
      <c r="R320" s="87"/>
      <c r="S320" s="87"/>
    </row>
    <row r="321">
      <c r="A321" s="87"/>
      <c r="B321" s="87"/>
      <c r="C321" s="87"/>
      <c r="F321" s="87"/>
      <c r="J321" s="87"/>
      <c r="K321" s="87"/>
      <c r="L321" s="87"/>
      <c r="O321" s="87"/>
      <c r="P321" s="87"/>
      <c r="Q321" s="87"/>
      <c r="R321" s="87"/>
      <c r="S321" s="87"/>
    </row>
    <row r="322">
      <c r="A322" s="87"/>
      <c r="B322" s="87"/>
      <c r="C322" s="87"/>
      <c r="F322" s="87"/>
      <c r="J322" s="87"/>
      <c r="K322" s="87"/>
      <c r="L322" s="87"/>
      <c r="O322" s="87"/>
      <c r="P322" s="87"/>
      <c r="Q322" s="87"/>
      <c r="R322" s="87"/>
      <c r="S322" s="87"/>
    </row>
    <row r="323">
      <c r="A323" s="87"/>
      <c r="B323" s="87"/>
      <c r="C323" s="87"/>
      <c r="F323" s="87"/>
      <c r="J323" s="87"/>
      <c r="K323" s="87"/>
      <c r="L323" s="87"/>
      <c r="O323" s="87"/>
      <c r="P323" s="87"/>
      <c r="Q323" s="87"/>
      <c r="R323" s="87"/>
      <c r="S323" s="87"/>
    </row>
    <row r="324">
      <c r="A324" s="87"/>
      <c r="B324" s="87"/>
      <c r="C324" s="87"/>
      <c r="F324" s="87"/>
      <c r="J324" s="87"/>
      <c r="K324" s="87"/>
      <c r="L324" s="87"/>
      <c r="O324" s="87"/>
      <c r="P324" s="87"/>
      <c r="Q324" s="87"/>
      <c r="R324" s="87"/>
      <c r="S324" s="87"/>
    </row>
    <row r="325">
      <c r="A325" s="87"/>
      <c r="B325" s="87"/>
      <c r="C325" s="87"/>
      <c r="F325" s="87"/>
      <c r="J325" s="87"/>
      <c r="K325" s="87"/>
      <c r="L325" s="87"/>
      <c r="O325" s="87"/>
      <c r="P325" s="87"/>
      <c r="Q325" s="87"/>
      <c r="R325" s="87"/>
      <c r="S325" s="87"/>
    </row>
    <row r="326">
      <c r="A326" s="87"/>
      <c r="B326" s="87"/>
      <c r="C326" s="87"/>
      <c r="F326" s="87"/>
      <c r="J326" s="87"/>
      <c r="K326" s="87"/>
      <c r="L326" s="87"/>
      <c r="O326" s="87"/>
      <c r="P326" s="87"/>
      <c r="Q326" s="87"/>
      <c r="R326" s="87"/>
      <c r="S326" s="87"/>
    </row>
    <row r="327">
      <c r="A327" s="87"/>
      <c r="B327" s="87"/>
      <c r="C327" s="87"/>
      <c r="F327" s="87"/>
      <c r="J327" s="87"/>
      <c r="K327" s="87"/>
      <c r="L327" s="87"/>
      <c r="O327" s="87"/>
      <c r="P327" s="87"/>
      <c r="Q327" s="87"/>
      <c r="R327" s="87"/>
      <c r="S327" s="87"/>
    </row>
    <row r="328">
      <c r="A328" s="87"/>
      <c r="B328" s="87"/>
      <c r="C328" s="87"/>
      <c r="F328" s="87"/>
      <c r="J328" s="87"/>
      <c r="K328" s="87"/>
      <c r="L328" s="87"/>
      <c r="O328" s="87"/>
      <c r="P328" s="87"/>
      <c r="Q328" s="87"/>
      <c r="R328" s="87"/>
      <c r="S328" s="87"/>
    </row>
    <row r="329">
      <c r="A329" s="87"/>
      <c r="B329" s="87"/>
      <c r="C329" s="87"/>
      <c r="F329" s="87"/>
      <c r="J329" s="87"/>
      <c r="K329" s="87"/>
      <c r="L329" s="87"/>
      <c r="O329" s="87"/>
      <c r="P329" s="87"/>
      <c r="Q329" s="87"/>
      <c r="R329" s="87"/>
      <c r="S329" s="87"/>
    </row>
    <row r="330">
      <c r="A330" s="87"/>
      <c r="B330" s="87"/>
      <c r="C330" s="87"/>
      <c r="F330" s="87"/>
      <c r="J330" s="87"/>
      <c r="K330" s="87"/>
      <c r="L330" s="87"/>
      <c r="O330" s="87"/>
      <c r="P330" s="87"/>
      <c r="Q330" s="87"/>
      <c r="R330" s="87"/>
      <c r="S330" s="87"/>
    </row>
    <row r="331">
      <c r="A331" s="87"/>
      <c r="B331" s="87"/>
      <c r="C331" s="87"/>
      <c r="F331" s="87"/>
      <c r="J331" s="87"/>
      <c r="K331" s="87"/>
      <c r="L331" s="87"/>
      <c r="O331" s="87"/>
      <c r="P331" s="87"/>
      <c r="Q331" s="87"/>
      <c r="R331" s="87"/>
      <c r="S331" s="87"/>
    </row>
    <row r="332">
      <c r="A332" s="87"/>
      <c r="B332" s="87"/>
      <c r="C332" s="87"/>
      <c r="F332" s="87"/>
      <c r="J332" s="87"/>
      <c r="K332" s="87"/>
      <c r="L332" s="87"/>
      <c r="O332" s="87"/>
      <c r="P332" s="87"/>
      <c r="Q332" s="87"/>
      <c r="R332" s="87"/>
      <c r="S332" s="87"/>
    </row>
    <row r="333">
      <c r="A333" s="87"/>
      <c r="B333" s="87"/>
      <c r="C333" s="87"/>
      <c r="F333" s="87"/>
      <c r="J333" s="87"/>
      <c r="K333" s="87"/>
      <c r="L333" s="87"/>
      <c r="O333" s="87"/>
      <c r="P333" s="87"/>
      <c r="Q333" s="87"/>
      <c r="R333" s="87"/>
      <c r="S333" s="87"/>
    </row>
    <row r="334">
      <c r="A334" s="87"/>
      <c r="B334" s="87"/>
      <c r="C334" s="87"/>
      <c r="F334" s="87"/>
      <c r="J334" s="87"/>
      <c r="K334" s="87"/>
      <c r="L334" s="87"/>
      <c r="O334" s="87"/>
      <c r="P334" s="87"/>
      <c r="Q334" s="87"/>
      <c r="R334" s="87"/>
      <c r="S334" s="87"/>
    </row>
    <row r="335">
      <c r="A335" s="87"/>
      <c r="B335" s="87"/>
      <c r="C335" s="87"/>
      <c r="F335" s="87"/>
      <c r="J335" s="87"/>
      <c r="K335" s="87"/>
      <c r="L335" s="87"/>
      <c r="O335" s="87"/>
      <c r="P335" s="87"/>
      <c r="Q335" s="87"/>
      <c r="R335" s="87"/>
      <c r="S335" s="87"/>
    </row>
    <row r="336">
      <c r="A336" s="87"/>
      <c r="B336" s="87"/>
      <c r="C336" s="87"/>
      <c r="F336" s="87"/>
      <c r="J336" s="87"/>
      <c r="K336" s="87"/>
      <c r="L336" s="87"/>
      <c r="O336" s="87"/>
      <c r="P336" s="87"/>
      <c r="Q336" s="87"/>
      <c r="R336" s="87"/>
      <c r="S336" s="87"/>
    </row>
    <row r="337">
      <c r="A337" s="87"/>
      <c r="B337" s="87"/>
      <c r="C337" s="87"/>
      <c r="F337" s="87"/>
      <c r="J337" s="87"/>
      <c r="K337" s="87"/>
      <c r="L337" s="87"/>
      <c r="O337" s="87"/>
      <c r="P337" s="87"/>
      <c r="Q337" s="87"/>
      <c r="R337" s="87"/>
      <c r="S337" s="87"/>
    </row>
    <row r="338">
      <c r="A338" s="87"/>
      <c r="B338" s="87"/>
      <c r="C338" s="87"/>
      <c r="F338" s="87"/>
      <c r="J338" s="87"/>
      <c r="K338" s="87"/>
      <c r="L338" s="87"/>
      <c r="O338" s="87"/>
      <c r="P338" s="87"/>
      <c r="Q338" s="87"/>
      <c r="R338" s="87"/>
      <c r="S338" s="87"/>
    </row>
    <row r="339">
      <c r="A339" s="87"/>
      <c r="B339" s="87"/>
      <c r="C339" s="87"/>
      <c r="F339" s="87"/>
      <c r="J339" s="87"/>
      <c r="K339" s="87"/>
      <c r="L339" s="87"/>
      <c r="O339" s="87"/>
      <c r="P339" s="87"/>
      <c r="Q339" s="87"/>
      <c r="R339" s="87"/>
      <c r="S339" s="87"/>
    </row>
    <row r="340">
      <c r="A340" s="87"/>
      <c r="B340" s="87"/>
      <c r="C340" s="87"/>
      <c r="F340" s="87"/>
      <c r="J340" s="87"/>
      <c r="K340" s="87"/>
      <c r="L340" s="87"/>
      <c r="O340" s="87"/>
      <c r="P340" s="87"/>
      <c r="Q340" s="87"/>
      <c r="R340" s="87"/>
      <c r="S340" s="87"/>
    </row>
    <row r="341">
      <c r="A341" s="87"/>
      <c r="B341" s="87"/>
      <c r="C341" s="87"/>
      <c r="F341" s="87"/>
      <c r="J341" s="87"/>
      <c r="K341" s="87"/>
      <c r="L341" s="87"/>
      <c r="O341" s="87"/>
      <c r="P341" s="87"/>
      <c r="Q341" s="87"/>
      <c r="R341" s="87"/>
      <c r="S341" s="87"/>
    </row>
    <row r="342">
      <c r="A342" s="87"/>
      <c r="B342" s="87"/>
      <c r="C342" s="87"/>
      <c r="F342" s="87"/>
      <c r="J342" s="87"/>
      <c r="K342" s="87"/>
      <c r="L342" s="87"/>
      <c r="O342" s="87"/>
      <c r="P342" s="87"/>
      <c r="Q342" s="87"/>
      <c r="R342" s="87"/>
      <c r="S342" s="87"/>
    </row>
    <row r="343">
      <c r="A343" s="87"/>
      <c r="B343" s="87"/>
      <c r="C343" s="87"/>
      <c r="F343" s="87"/>
      <c r="J343" s="87"/>
      <c r="K343" s="87"/>
      <c r="L343" s="87"/>
      <c r="O343" s="87"/>
      <c r="P343" s="87"/>
      <c r="Q343" s="87"/>
      <c r="R343" s="87"/>
      <c r="S343" s="87"/>
    </row>
    <row r="344">
      <c r="A344" s="87"/>
      <c r="B344" s="87"/>
      <c r="C344" s="87"/>
      <c r="F344" s="87"/>
      <c r="J344" s="87"/>
      <c r="K344" s="87"/>
      <c r="L344" s="87"/>
      <c r="O344" s="87"/>
      <c r="P344" s="87"/>
      <c r="Q344" s="87"/>
      <c r="R344" s="87"/>
      <c r="S344" s="87"/>
    </row>
    <row r="345">
      <c r="A345" s="87"/>
      <c r="B345" s="87"/>
      <c r="C345" s="87"/>
      <c r="F345" s="87"/>
      <c r="J345" s="87"/>
      <c r="K345" s="87"/>
      <c r="L345" s="87"/>
      <c r="O345" s="87"/>
      <c r="P345" s="87"/>
      <c r="Q345" s="87"/>
      <c r="R345" s="87"/>
      <c r="S345" s="87"/>
    </row>
    <row r="346">
      <c r="A346" s="87"/>
      <c r="B346" s="87"/>
      <c r="C346" s="87"/>
      <c r="F346" s="87"/>
      <c r="J346" s="87"/>
      <c r="K346" s="87"/>
      <c r="L346" s="87"/>
      <c r="O346" s="87"/>
      <c r="P346" s="87"/>
      <c r="Q346" s="87"/>
      <c r="R346" s="87"/>
      <c r="S346" s="87"/>
    </row>
    <row r="347">
      <c r="A347" s="87"/>
      <c r="B347" s="87"/>
      <c r="C347" s="87"/>
      <c r="F347" s="87"/>
      <c r="J347" s="87"/>
      <c r="K347" s="87"/>
      <c r="L347" s="87"/>
      <c r="O347" s="87"/>
      <c r="P347" s="87"/>
      <c r="Q347" s="87"/>
      <c r="R347" s="87"/>
      <c r="S347" s="87"/>
    </row>
    <row r="348">
      <c r="A348" s="87"/>
      <c r="B348" s="87"/>
      <c r="C348" s="87"/>
      <c r="F348" s="87"/>
      <c r="J348" s="87"/>
      <c r="K348" s="87"/>
      <c r="L348" s="87"/>
      <c r="O348" s="87"/>
      <c r="P348" s="87"/>
      <c r="Q348" s="87"/>
      <c r="R348" s="87"/>
      <c r="S348" s="87"/>
    </row>
    <row r="349">
      <c r="A349" s="87"/>
      <c r="B349" s="87"/>
      <c r="C349" s="87"/>
      <c r="F349" s="87"/>
      <c r="J349" s="87"/>
      <c r="K349" s="87"/>
      <c r="L349" s="87"/>
      <c r="O349" s="87"/>
      <c r="P349" s="87"/>
      <c r="Q349" s="87"/>
      <c r="R349" s="87"/>
      <c r="S349" s="87"/>
    </row>
    <row r="350">
      <c r="A350" s="87"/>
      <c r="B350" s="87"/>
      <c r="C350" s="87"/>
      <c r="F350" s="87"/>
      <c r="J350" s="87"/>
      <c r="K350" s="87"/>
      <c r="L350" s="87"/>
      <c r="O350" s="87"/>
      <c r="P350" s="87"/>
      <c r="Q350" s="87"/>
      <c r="R350" s="87"/>
      <c r="S350" s="87"/>
    </row>
    <row r="351">
      <c r="A351" s="87"/>
      <c r="B351" s="87"/>
      <c r="C351" s="87"/>
      <c r="F351" s="87"/>
      <c r="J351" s="87"/>
      <c r="K351" s="87"/>
      <c r="L351" s="87"/>
      <c r="O351" s="87"/>
      <c r="P351" s="87"/>
      <c r="Q351" s="87"/>
      <c r="R351" s="87"/>
      <c r="S351" s="87"/>
    </row>
    <row r="352">
      <c r="A352" s="87"/>
      <c r="B352" s="87"/>
      <c r="C352" s="87"/>
      <c r="F352" s="87"/>
      <c r="J352" s="87"/>
      <c r="K352" s="87"/>
      <c r="L352" s="87"/>
      <c r="O352" s="87"/>
      <c r="P352" s="87"/>
      <c r="Q352" s="87"/>
      <c r="R352" s="87"/>
      <c r="S352" s="87"/>
    </row>
    <row r="353">
      <c r="A353" s="87"/>
      <c r="B353" s="87"/>
      <c r="C353" s="87"/>
      <c r="F353" s="87"/>
      <c r="J353" s="87"/>
      <c r="K353" s="87"/>
      <c r="L353" s="87"/>
      <c r="O353" s="87"/>
      <c r="P353" s="87"/>
      <c r="Q353" s="87"/>
      <c r="R353" s="87"/>
      <c r="S353" s="87"/>
    </row>
    <row r="354">
      <c r="A354" s="87"/>
      <c r="B354" s="87"/>
      <c r="C354" s="87"/>
      <c r="F354" s="87"/>
      <c r="J354" s="87"/>
      <c r="K354" s="87"/>
      <c r="L354" s="87"/>
      <c r="O354" s="87"/>
      <c r="P354" s="87"/>
      <c r="Q354" s="87"/>
      <c r="R354" s="87"/>
      <c r="S354" s="87"/>
    </row>
    <row r="355">
      <c r="A355" s="87"/>
      <c r="B355" s="87"/>
      <c r="C355" s="87"/>
      <c r="F355" s="87"/>
      <c r="J355" s="87"/>
      <c r="K355" s="87"/>
      <c r="L355" s="87"/>
      <c r="O355" s="87"/>
      <c r="P355" s="87"/>
      <c r="Q355" s="87"/>
      <c r="R355" s="87"/>
      <c r="S355" s="87"/>
    </row>
    <row r="356">
      <c r="A356" s="87"/>
      <c r="B356" s="87"/>
      <c r="C356" s="87"/>
      <c r="F356" s="87"/>
      <c r="J356" s="87"/>
      <c r="K356" s="87"/>
      <c r="L356" s="87"/>
      <c r="O356" s="87"/>
      <c r="P356" s="87"/>
      <c r="Q356" s="87"/>
      <c r="R356" s="87"/>
      <c r="S356" s="87"/>
    </row>
    <row r="357">
      <c r="A357" s="87"/>
      <c r="B357" s="87"/>
      <c r="C357" s="87"/>
      <c r="F357" s="87"/>
      <c r="J357" s="87"/>
      <c r="K357" s="87"/>
      <c r="L357" s="87"/>
      <c r="O357" s="87"/>
      <c r="P357" s="87"/>
      <c r="Q357" s="87"/>
      <c r="R357" s="87"/>
      <c r="S357" s="87"/>
    </row>
    <row r="358">
      <c r="A358" s="87"/>
      <c r="B358" s="87"/>
      <c r="C358" s="87"/>
      <c r="F358" s="87"/>
      <c r="J358" s="87"/>
      <c r="K358" s="87"/>
      <c r="L358" s="87"/>
      <c r="O358" s="87"/>
      <c r="P358" s="87"/>
      <c r="Q358" s="87"/>
      <c r="R358" s="87"/>
      <c r="S358" s="87"/>
    </row>
    <row r="359">
      <c r="A359" s="87"/>
      <c r="B359" s="87"/>
      <c r="C359" s="87"/>
      <c r="F359" s="87"/>
      <c r="J359" s="87"/>
      <c r="K359" s="87"/>
      <c r="L359" s="87"/>
      <c r="O359" s="87"/>
      <c r="P359" s="87"/>
      <c r="Q359" s="87"/>
      <c r="R359" s="87"/>
      <c r="S359" s="87"/>
    </row>
    <row r="360">
      <c r="A360" s="87"/>
      <c r="B360" s="87"/>
      <c r="C360" s="87"/>
      <c r="F360" s="87"/>
      <c r="J360" s="87"/>
      <c r="K360" s="87"/>
      <c r="L360" s="87"/>
      <c r="O360" s="87"/>
      <c r="P360" s="87"/>
      <c r="Q360" s="87"/>
      <c r="R360" s="87"/>
      <c r="S360" s="87"/>
    </row>
    <row r="361">
      <c r="A361" s="87"/>
      <c r="B361" s="87"/>
      <c r="C361" s="87"/>
      <c r="F361" s="87"/>
      <c r="J361" s="87"/>
      <c r="K361" s="87"/>
      <c r="L361" s="87"/>
      <c r="O361" s="87"/>
      <c r="P361" s="87"/>
      <c r="Q361" s="87"/>
      <c r="R361" s="87"/>
      <c r="S361" s="87"/>
    </row>
    <row r="362">
      <c r="A362" s="87"/>
      <c r="B362" s="87"/>
      <c r="C362" s="87"/>
      <c r="F362" s="87"/>
      <c r="J362" s="87"/>
      <c r="K362" s="87"/>
      <c r="L362" s="87"/>
      <c r="O362" s="87"/>
      <c r="P362" s="87"/>
      <c r="Q362" s="87"/>
      <c r="R362" s="87"/>
      <c r="S362" s="87"/>
    </row>
    <row r="363">
      <c r="A363" s="87"/>
      <c r="B363" s="87"/>
      <c r="C363" s="87"/>
      <c r="F363" s="87"/>
      <c r="J363" s="87"/>
      <c r="K363" s="87"/>
      <c r="L363" s="87"/>
      <c r="O363" s="87"/>
      <c r="P363" s="87"/>
      <c r="Q363" s="87"/>
      <c r="R363" s="87"/>
      <c r="S363" s="87"/>
    </row>
    <row r="364">
      <c r="A364" s="87"/>
      <c r="B364" s="87"/>
      <c r="C364" s="87"/>
      <c r="F364" s="87"/>
      <c r="J364" s="87"/>
      <c r="K364" s="87"/>
      <c r="L364" s="87"/>
      <c r="O364" s="87"/>
      <c r="P364" s="87"/>
      <c r="Q364" s="87"/>
      <c r="R364" s="87"/>
      <c r="S364" s="87"/>
    </row>
    <row r="365">
      <c r="A365" s="87"/>
      <c r="B365" s="87"/>
      <c r="C365" s="87"/>
      <c r="F365" s="87"/>
      <c r="J365" s="87"/>
      <c r="K365" s="87"/>
      <c r="L365" s="87"/>
      <c r="O365" s="87"/>
      <c r="P365" s="87"/>
      <c r="Q365" s="87"/>
      <c r="R365" s="87"/>
      <c r="S365" s="87"/>
    </row>
    <row r="366">
      <c r="A366" s="87"/>
      <c r="B366" s="87"/>
      <c r="C366" s="87"/>
      <c r="F366" s="87"/>
      <c r="J366" s="87"/>
      <c r="K366" s="87"/>
      <c r="L366" s="87"/>
      <c r="O366" s="87"/>
      <c r="P366" s="87"/>
      <c r="Q366" s="87"/>
      <c r="R366" s="87"/>
      <c r="S366" s="87"/>
    </row>
    <row r="367">
      <c r="A367" s="87"/>
      <c r="B367" s="87"/>
      <c r="C367" s="87"/>
      <c r="F367" s="87"/>
      <c r="J367" s="87"/>
      <c r="K367" s="87"/>
      <c r="L367" s="87"/>
      <c r="O367" s="87"/>
      <c r="P367" s="87"/>
      <c r="Q367" s="87"/>
      <c r="R367" s="87"/>
      <c r="S367" s="87"/>
    </row>
    <row r="368">
      <c r="A368" s="87"/>
      <c r="B368" s="87"/>
      <c r="C368" s="87"/>
      <c r="F368" s="87"/>
      <c r="J368" s="87"/>
      <c r="K368" s="87"/>
      <c r="L368" s="87"/>
      <c r="O368" s="87"/>
      <c r="P368" s="87"/>
      <c r="Q368" s="87"/>
      <c r="R368" s="87"/>
      <c r="S368" s="87"/>
    </row>
    <row r="369">
      <c r="A369" s="87"/>
      <c r="B369" s="87"/>
      <c r="C369" s="87"/>
      <c r="F369" s="87"/>
      <c r="J369" s="87"/>
      <c r="K369" s="87"/>
      <c r="L369" s="87"/>
      <c r="O369" s="87"/>
      <c r="P369" s="87"/>
      <c r="Q369" s="87"/>
      <c r="R369" s="87"/>
      <c r="S369" s="87"/>
    </row>
    <row r="370">
      <c r="A370" s="87"/>
      <c r="B370" s="87"/>
      <c r="C370" s="87"/>
      <c r="F370" s="87"/>
      <c r="J370" s="87"/>
      <c r="K370" s="87"/>
      <c r="L370" s="87"/>
      <c r="O370" s="87"/>
      <c r="P370" s="87"/>
      <c r="Q370" s="87"/>
      <c r="R370" s="87"/>
      <c r="S370" s="87"/>
    </row>
    <row r="371">
      <c r="A371" s="87"/>
      <c r="B371" s="87"/>
      <c r="C371" s="87"/>
      <c r="F371" s="87"/>
      <c r="J371" s="87"/>
      <c r="K371" s="87"/>
      <c r="L371" s="87"/>
      <c r="O371" s="87"/>
      <c r="P371" s="87"/>
      <c r="Q371" s="87"/>
      <c r="R371" s="87"/>
      <c r="S371" s="87"/>
    </row>
    <row r="372">
      <c r="A372" s="87"/>
      <c r="B372" s="87"/>
      <c r="C372" s="87"/>
      <c r="F372" s="87"/>
      <c r="J372" s="87"/>
      <c r="K372" s="87"/>
      <c r="L372" s="87"/>
      <c r="O372" s="87"/>
      <c r="P372" s="87"/>
      <c r="Q372" s="87"/>
      <c r="R372" s="87"/>
      <c r="S372" s="87"/>
    </row>
    <row r="373">
      <c r="A373" s="87"/>
      <c r="B373" s="87"/>
      <c r="C373" s="87"/>
      <c r="F373" s="87"/>
      <c r="J373" s="87"/>
      <c r="K373" s="87"/>
      <c r="L373" s="87"/>
      <c r="O373" s="87"/>
      <c r="P373" s="87"/>
      <c r="Q373" s="87"/>
      <c r="R373" s="87"/>
      <c r="S373" s="87"/>
    </row>
    <row r="374">
      <c r="A374" s="87"/>
      <c r="B374" s="87"/>
      <c r="C374" s="87"/>
      <c r="F374" s="87"/>
      <c r="J374" s="87"/>
      <c r="K374" s="87"/>
      <c r="L374" s="87"/>
      <c r="O374" s="87"/>
      <c r="P374" s="87"/>
      <c r="Q374" s="87"/>
      <c r="R374" s="87"/>
      <c r="S374" s="87"/>
    </row>
    <row r="375">
      <c r="A375" s="87"/>
      <c r="B375" s="87"/>
      <c r="C375" s="87"/>
      <c r="F375" s="87"/>
      <c r="J375" s="87"/>
      <c r="K375" s="87"/>
      <c r="L375" s="87"/>
      <c r="O375" s="87"/>
      <c r="P375" s="87"/>
      <c r="Q375" s="87"/>
      <c r="R375" s="87"/>
      <c r="S375" s="87"/>
    </row>
    <row r="376">
      <c r="A376" s="87"/>
      <c r="B376" s="87"/>
      <c r="C376" s="87"/>
      <c r="F376" s="87"/>
      <c r="J376" s="87"/>
      <c r="K376" s="87"/>
      <c r="L376" s="87"/>
      <c r="O376" s="87"/>
      <c r="P376" s="87"/>
      <c r="Q376" s="87"/>
      <c r="R376" s="87"/>
      <c r="S376" s="87"/>
    </row>
    <row r="377">
      <c r="A377" s="87"/>
      <c r="B377" s="87"/>
      <c r="C377" s="87"/>
      <c r="F377" s="87"/>
      <c r="J377" s="87"/>
      <c r="K377" s="87"/>
      <c r="L377" s="87"/>
      <c r="O377" s="87"/>
      <c r="P377" s="87"/>
      <c r="Q377" s="87"/>
      <c r="R377" s="87"/>
      <c r="S377" s="87"/>
    </row>
    <row r="378">
      <c r="A378" s="87"/>
      <c r="B378" s="87"/>
      <c r="C378" s="87"/>
      <c r="F378" s="87"/>
      <c r="J378" s="87"/>
      <c r="K378" s="87"/>
      <c r="L378" s="87"/>
      <c r="O378" s="87"/>
      <c r="P378" s="87"/>
      <c r="Q378" s="87"/>
      <c r="R378" s="87"/>
      <c r="S378" s="87"/>
    </row>
    <row r="379">
      <c r="A379" s="87"/>
      <c r="B379" s="87"/>
      <c r="C379" s="87"/>
      <c r="F379" s="87"/>
      <c r="J379" s="87"/>
      <c r="K379" s="87"/>
      <c r="L379" s="87"/>
      <c r="O379" s="87"/>
      <c r="P379" s="87"/>
      <c r="Q379" s="87"/>
      <c r="R379" s="87"/>
      <c r="S379" s="87"/>
    </row>
    <row r="380">
      <c r="A380" s="87"/>
      <c r="B380" s="87"/>
      <c r="C380" s="87"/>
      <c r="F380" s="87"/>
      <c r="J380" s="87"/>
      <c r="K380" s="87"/>
      <c r="L380" s="87"/>
      <c r="O380" s="87"/>
      <c r="P380" s="87"/>
      <c r="Q380" s="87"/>
      <c r="R380" s="87"/>
      <c r="S380" s="87"/>
    </row>
    <row r="381">
      <c r="A381" s="87"/>
      <c r="B381" s="87"/>
      <c r="C381" s="87"/>
      <c r="F381" s="87"/>
      <c r="J381" s="87"/>
      <c r="K381" s="87"/>
      <c r="L381" s="87"/>
      <c r="O381" s="87"/>
      <c r="P381" s="87"/>
      <c r="Q381" s="87"/>
      <c r="R381" s="87"/>
      <c r="S381" s="87"/>
    </row>
    <row r="382">
      <c r="A382" s="87"/>
      <c r="B382" s="87"/>
      <c r="C382" s="87"/>
      <c r="F382" s="87"/>
      <c r="J382" s="87"/>
      <c r="K382" s="87"/>
      <c r="L382" s="87"/>
      <c r="O382" s="87"/>
      <c r="P382" s="87"/>
      <c r="Q382" s="87"/>
      <c r="R382" s="87"/>
      <c r="S382" s="87"/>
    </row>
    <row r="383">
      <c r="A383" s="87"/>
      <c r="B383" s="87"/>
      <c r="C383" s="87"/>
      <c r="F383" s="87"/>
      <c r="J383" s="87"/>
      <c r="K383" s="87"/>
      <c r="L383" s="87"/>
      <c r="O383" s="87"/>
      <c r="P383" s="87"/>
      <c r="Q383" s="87"/>
      <c r="R383" s="87"/>
      <c r="S383" s="87"/>
    </row>
    <row r="384">
      <c r="A384" s="87"/>
      <c r="B384" s="87"/>
      <c r="C384" s="87"/>
      <c r="F384" s="87"/>
      <c r="J384" s="87"/>
      <c r="K384" s="87"/>
      <c r="L384" s="87"/>
      <c r="O384" s="87"/>
      <c r="P384" s="87"/>
      <c r="Q384" s="87"/>
      <c r="R384" s="87"/>
      <c r="S384" s="87"/>
    </row>
    <row r="385">
      <c r="A385" s="87"/>
      <c r="B385" s="87"/>
      <c r="C385" s="87"/>
      <c r="F385" s="87"/>
      <c r="J385" s="87"/>
      <c r="K385" s="87"/>
      <c r="L385" s="87"/>
      <c r="O385" s="87"/>
      <c r="P385" s="87"/>
      <c r="Q385" s="87"/>
      <c r="R385" s="87"/>
      <c r="S385" s="87"/>
    </row>
    <row r="386">
      <c r="A386" s="87"/>
      <c r="B386" s="87"/>
      <c r="C386" s="87"/>
      <c r="F386" s="87"/>
      <c r="J386" s="87"/>
      <c r="K386" s="87"/>
      <c r="L386" s="87"/>
      <c r="O386" s="87"/>
      <c r="P386" s="87"/>
      <c r="Q386" s="87"/>
      <c r="R386" s="87"/>
      <c r="S386" s="87"/>
    </row>
    <row r="387">
      <c r="A387" s="87"/>
      <c r="B387" s="87"/>
      <c r="C387" s="87"/>
      <c r="F387" s="87"/>
      <c r="J387" s="87"/>
      <c r="K387" s="87"/>
      <c r="L387" s="87"/>
      <c r="O387" s="87"/>
      <c r="P387" s="87"/>
      <c r="Q387" s="87"/>
      <c r="R387" s="87"/>
      <c r="S387" s="87"/>
    </row>
    <row r="388">
      <c r="A388" s="87"/>
      <c r="B388" s="87"/>
      <c r="C388" s="87"/>
      <c r="F388" s="87"/>
      <c r="J388" s="87"/>
      <c r="K388" s="87"/>
      <c r="L388" s="87"/>
      <c r="O388" s="87"/>
      <c r="P388" s="87"/>
      <c r="Q388" s="87"/>
      <c r="R388" s="87"/>
      <c r="S388" s="87"/>
    </row>
    <row r="389">
      <c r="A389" s="87"/>
      <c r="B389" s="87"/>
      <c r="C389" s="87"/>
      <c r="F389" s="87"/>
      <c r="J389" s="87"/>
      <c r="K389" s="87"/>
      <c r="L389" s="87"/>
      <c r="O389" s="87"/>
      <c r="P389" s="87"/>
      <c r="Q389" s="87"/>
      <c r="R389" s="87"/>
      <c r="S389" s="87"/>
    </row>
    <row r="390">
      <c r="A390" s="87"/>
      <c r="B390" s="87"/>
      <c r="C390" s="87"/>
      <c r="F390" s="87"/>
      <c r="J390" s="87"/>
      <c r="K390" s="87"/>
      <c r="L390" s="87"/>
      <c r="O390" s="87"/>
      <c r="P390" s="87"/>
      <c r="Q390" s="87"/>
      <c r="R390" s="87"/>
      <c r="S390" s="87"/>
    </row>
    <row r="391">
      <c r="A391" s="87"/>
      <c r="B391" s="87"/>
      <c r="C391" s="87"/>
      <c r="F391" s="87"/>
      <c r="J391" s="87"/>
      <c r="K391" s="87"/>
      <c r="L391" s="87"/>
      <c r="O391" s="87"/>
      <c r="P391" s="87"/>
      <c r="Q391" s="87"/>
      <c r="R391" s="87"/>
      <c r="S391" s="87"/>
    </row>
    <row r="392">
      <c r="A392" s="87"/>
      <c r="B392" s="87"/>
      <c r="C392" s="87"/>
      <c r="F392" s="87"/>
      <c r="J392" s="87"/>
      <c r="K392" s="87"/>
      <c r="L392" s="87"/>
      <c r="O392" s="87"/>
      <c r="P392" s="87"/>
      <c r="Q392" s="87"/>
      <c r="R392" s="87"/>
      <c r="S392" s="87"/>
    </row>
    <row r="393">
      <c r="A393" s="87"/>
      <c r="B393" s="87"/>
      <c r="C393" s="87"/>
      <c r="F393" s="87"/>
      <c r="J393" s="87"/>
      <c r="K393" s="87"/>
      <c r="L393" s="87"/>
      <c r="O393" s="87"/>
      <c r="P393" s="87"/>
      <c r="Q393" s="87"/>
      <c r="R393" s="87"/>
      <c r="S393" s="87"/>
    </row>
    <row r="394">
      <c r="A394" s="87"/>
      <c r="B394" s="87"/>
      <c r="C394" s="87"/>
      <c r="F394" s="87"/>
      <c r="J394" s="87"/>
      <c r="K394" s="87"/>
      <c r="L394" s="87"/>
      <c r="O394" s="87"/>
      <c r="P394" s="87"/>
      <c r="Q394" s="87"/>
      <c r="R394" s="87"/>
      <c r="S394" s="87"/>
    </row>
    <row r="395">
      <c r="A395" s="87"/>
      <c r="B395" s="87"/>
      <c r="C395" s="87"/>
      <c r="F395" s="87"/>
      <c r="J395" s="87"/>
      <c r="K395" s="87"/>
      <c r="L395" s="87"/>
      <c r="O395" s="87"/>
      <c r="P395" s="87"/>
      <c r="Q395" s="87"/>
      <c r="R395" s="87"/>
      <c r="S395" s="87"/>
    </row>
    <row r="396">
      <c r="A396" s="87"/>
      <c r="B396" s="87"/>
      <c r="C396" s="87"/>
      <c r="F396" s="87"/>
      <c r="J396" s="87"/>
      <c r="K396" s="87"/>
      <c r="L396" s="87"/>
      <c r="O396" s="87"/>
      <c r="P396" s="87"/>
      <c r="Q396" s="87"/>
      <c r="R396" s="87"/>
      <c r="S396" s="87"/>
    </row>
    <row r="397">
      <c r="A397" s="87"/>
      <c r="B397" s="87"/>
      <c r="C397" s="87"/>
      <c r="F397" s="87"/>
      <c r="J397" s="87"/>
      <c r="K397" s="87"/>
      <c r="L397" s="87"/>
      <c r="O397" s="87"/>
      <c r="P397" s="87"/>
      <c r="Q397" s="87"/>
      <c r="R397" s="87"/>
      <c r="S397" s="87"/>
    </row>
    <row r="398">
      <c r="A398" s="87"/>
      <c r="B398" s="87"/>
      <c r="C398" s="87"/>
      <c r="F398" s="87"/>
      <c r="J398" s="87"/>
      <c r="K398" s="87"/>
      <c r="L398" s="87"/>
      <c r="O398" s="87"/>
      <c r="P398" s="87"/>
      <c r="Q398" s="87"/>
      <c r="R398" s="87"/>
      <c r="S398" s="87"/>
    </row>
    <row r="399">
      <c r="A399" s="87"/>
      <c r="B399" s="87"/>
      <c r="C399" s="87"/>
      <c r="F399" s="87"/>
      <c r="J399" s="87"/>
      <c r="K399" s="87"/>
      <c r="L399" s="87"/>
      <c r="O399" s="87"/>
      <c r="P399" s="87"/>
      <c r="Q399" s="87"/>
      <c r="R399" s="87"/>
      <c r="S399" s="87"/>
    </row>
    <row r="400">
      <c r="A400" s="87"/>
      <c r="B400" s="87"/>
      <c r="C400" s="87"/>
      <c r="F400" s="87"/>
      <c r="J400" s="87"/>
      <c r="K400" s="87"/>
      <c r="L400" s="87"/>
      <c r="O400" s="87"/>
      <c r="P400" s="87"/>
      <c r="Q400" s="87"/>
      <c r="R400" s="87"/>
      <c r="S400" s="87"/>
    </row>
    <row r="401">
      <c r="A401" s="87"/>
      <c r="B401" s="87"/>
      <c r="C401" s="87"/>
      <c r="F401" s="87"/>
      <c r="J401" s="87"/>
      <c r="K401" s="87"/>
      <c r="L401" s="87"/>
      <c r="O401" s="87"/>
      <c r="P401" s="87"/>
      <c r="Q401" s="87"/>
      <c r="R401" s="87"/>
      <c r="S401" s="87"/>
    </row>
    <row r="402">
      <c r="A402" s="87"/>
      <c r="B402" s="87"/>
      <c r="C402" s="87"/>
      <c r="F402" s="87"/>
      <c r="J402" s="87"/>
      <c r="K402" s="87"/>
      <c r="L402" s="87"/>
      <c r="O402" s="87"/>
      <c r="P402" s="87"/>
      <c r="Q402" s="87"/>
      <c r="R402" s="87"/>
      <c r="S402" s="87"/>
    </row>
    <row r="403">
      <c r="A403" s="87"/>
      <c r="B403" s="87"/>
      <c r="C403" s="87"/>
      <c r="F403" s="87"/>
      <c r="J403" s="87"/>
      <c r="K403" s="87"/>
      <c r="L403" s="87"/>
      <c r="O403" s="87"/>
      <c r="P403" s="87"/>
      <c r="Q403" s="87"/>
      <c r="R403" s="87"/>
      <c r="S403" s="87"/>
    </row>
    <row r="404">
      <c r="A404" s="87"/>
      <c r="B404" s="87"/>
      <c r="C404" s="87"/>
      <c r="F404" s="87"/>
      <c r="J404" s="87"/>
      <c r="K404" s="87"/>
      <c r="L404" s="87"/>
      <c r="O404" s="87"/>
      <c r="P404" s="87"/>
      <c r="Q404" s="87"/>
      <c r="R404" s="87"/>
      <c r="S404" s="87"/>
    </row>
    <row r="405">
      <c r="A405" s="87"/>
      <c r="B405" s="87"/>
      <c r="C405" s="87"/>
      <c r="F405" s="87"/>
      <c r="J405" s="87"/>
      <c r="K405" s="87"/>
      <c r="L405" s="87"/>
      <c r="O405" s="87"/>
      <c r="P405" s="87"/>
      <c r="Q405" s="87"/>
      <c r="R405" s="87"/>
      <c r="S405" s="87"/>
    </row>
    <row r="406">
      <c r="A406" s="87"/>
      <c r="B406" s="87"/>
      <c r="C406" s="87"/>
      <c r="F406" s="87"/>
      <c r="J406" s="87"/>
      <c r="K406" s="87"/>
      <c r="L406" s="87"/>
      <c r="O406" s="87"/>
      <c r="P406" s="87"/>
      <c r="Q406" s="87"/>
      <c r="R406" s="87"/>
      <c r="S406" s="87"/>
    </row>
    <row r="407">
      <c r="A407" s="87"/>
      <c r="B407" s="87"/>
      <c r="C407" s="87"/>
      <c r="F407" s="87"/>
      <c r="J407" s="87"/>
      <c r="K407" s="87"/>
      <c r="L407" s="87"/>
      <c r="O407" s="87"/>
      <c r="P407" s="87"/>
      <c r="Q407" s="87"/>
      <c r="R407" s="87"/>
      <c r="S407" s="87"/>
    </row>
    <row r="408">
      <c r="A408" s="87"/>
      <c r="B408" s="87"/>
      <c r="C408" s="87"/>
      <c r="F408" s="87"/>
      <c r="J408" s="87"/>
      <c r="K408" s="87"/>
      <c r="L408" s="87"/>
      <c r="O408" s="87"/>
      <c r="P408" s="87"/>
      <c r="Q408" s="87"/>
      <c r="R408" s="87"/>
      <c r="S408" s="87"/>
    </row>
    <row r="409">
      <c r="A409" s="87"/>
      <c r="B409" s="87"/>
      <c r="C409" s="87"/>
      <c r="F409" s="87"/>
      <c r="J409" s="87"/>
      <c r="K409" s="87"/>
      <c r="L409" s="87"/>
      <c r="O409" s="87"/>
      <c r="P409" s="87"/>
      <c r="Q409" s="87"/>
      <c r="R409" s="87"/>
      <c r="S409" s="87"/>
    </row>
    <row r="410">
      <c r="A410" s="87"/>
      <c r="B410" s="87"/>
      <c r="C410" s="87"/>
      <c r="F410" s="87"/>
      <c r="J410" s="87"/>
      <c r="K410" s="87"/>
      <c r="L410" s="87"/>
      <c r="O410" s="87"/>
      <c r="P410" s="87"/>
      <c r="Q410" s="87"/>
      <c r="R410" s="87"/>
      <c r="S410" s="87"/>
    </row>
    <row r="411">
      <c r="A411" s="87"/>
      <c r="B411" s="87"/>
      <c r="C411" s="87"/>
      <c r="F411" s="87"/>
      <c r="J411" s="87"/>
      <c r="K411" s="87"/>
      <c r="L411" s="87"/>
      <c r="O411" s="87"/>
      <c r="P411" s="87"/>
      <c r="Q411" s="87"/>
      <c r="R411" s="87"/>
      <c r="S411" s="87"/>
    </row>
    <row r="412">
      <c r="A412" s="87"/>
      <c r="B412" s="87"/>
      <c r="C412" s="87"/>
      <c r="F412" s="87"/>
      <c r="J412" s="87"/>
      <c r="K412" s="87"/>
      <c r="L412" s="87"/>
      <c r="O412" s="87"/>
      <c r="P412" s="87"/>
      <c r="Q412" s="87"/>
      <c r="R412" s="87"/>
      <c r="S412" s="87"/>
    </row>
    <row r="413">
      <c r="A413" s="87"/>
      <c r="B413" s="87"/>
      <c r="C413" s="87"/>
      <c r="F413" s="87"/>
      <c r="J413" s="87"/>
      <c r="K413" s="87"/>
      <c r="L413" s="87"/>
      <c r="O413" s="87"/>
      <c r="P413" s="87"/>
      <c r="Q413" s="87"/>
      <c r="R413" s="87"/>
      <c r="S413" s="87"/>
    </row>
    <row r="414">
      <c r="A414" s="87"/>
      <c r="B414" s="87"/>
      <c r="C414" s="87"/>
      <c r="F414" s="87"/>
      <c r="J414" s="87"/>
      <c r="K414" s="87"/>
      <c r="L414" s="87"/>
      <c r="O414" s="87"/>
      <c r="P414" s="87"/>
      <c r="Q414" s="87"/>
      <c r="R414" s="87"/>
      <c r="S414" s="87"/>
    </row>
    <row r="415">
      <c r="A415" s="87"/>
      <c r="B415" s="87"/>
      <c r="C415" s="87"/>
      <c r="F415" s="87"/>
      <c r="J415" s="87"/>
      <c r="K415" s="87"/>
      <c r="L415" s="87"/>
      <c r="O415" s="87"/>
      <c r="P415" s="87"/>
      <c r="Q415" s="87"/>
      <c r="R415" s="87"/>
      <c r="S415" s="87"/>
    </row>
    <row r="416">
      <c r="A416" s="87"/>
      <c r="B416" s="87"/>
      <c r="C416" s="87"/>
      <c r="F416" s="87"/>
      <c r="J416" s="87"/>
      <c r="K416" s="87"/>
      <c r="L416" s="87"/>
      <c r="O416" s="87"/>
      <c r="P416" s="87"/>
      <c r="Q416" s="87"/>
      <c r="R416" s="87"/>
      <c r="S416" s="87"/>
    </row>
    <row r="417">
      <c r="A417" s="87"/>
      <c r="B417" s="87"/>
      <c r="C417" s="87"/>
      <c r="F417" s="87"/>
      <c r="J417" s="87"/>
      <c r="K417" s="87"/>
      <c r="L417" s="87"/>
      <c r="O417" s="87"/>
      <c r="P417" s="87"/>
      <c r="Q417" s="87"/>
      <c r="R417" s="87"/>
      <c r="S417" s="87"/>
    </row>
    <row r="418">
      <c r="A418" s="87"/>
      <c r="B418" s="87"/>
      <c r="C418" s="87"/>
      <c r="F418" s="87"/>
      <c r="J418" s="87"/>
      <c r="K418" s="87"/>
      <c r="L418" s="87"/>
      <c r="O418" s="87"/>
      <c r="P418" s="87"/>
      <c r="Q418" s="87"/>
      <c r="R418" s="87"/>
      <c r="S418" s="87"/>
    </row>
    <row r="419">
      <c r="A419" s="87"/>
      <c r="B419" s="87"/>
      <c r="C419" s="87"/>
      <c r="F419" s="87"/>
      <c r="J419" s="87"/>
      <c r="K419" s="87"/>
      <c r="L419" s="87"/>
      <c r="O419" s="87"/>
      <c r="P419" s="87"/>
      <c r="Q419" s="87"/>
      <c r="R419" s="87"/>
      <c r="S419" s="87"/>
    </row>
    <row r="420">
      <c r="A420" s="87"/>
      <c r="B420" s="87"/>
      <c r="C420" s="87"/>
      <c r="F420" s="87"/>
      <c r="J420" s="87"/>
      <c r="K420" s="87"/>
      <c r="L420" s="87"/>
      <c r="O420" s="87"/>
      <c r="P420" s="87"/>
      <c r="Q420" s="87"/>
      <c r="R420" s="87"/>
      <c r="S420" s="87"/>
    </row>
    <row r="421">
      <c r="A421" s="87"/>
      <c r="B421" s="87"/>
      <c r="C421" s="87"/>
      <c r="F421" s="87"/>
      <c r="J421" s="87"/>
      <c r="K421" s="87"/>
      <c r="L421" s="87"/>
      <c r="O421" s="87"/>
      <c r="P421" s="87"/>
      <c r="Q421" s="87"/>
      <c r="R421" s="87"/>
      <c r="S421" s="87"/>
    </row>
    <row r="422">
      <c r="A422" s="87"/>
      <c r="B422" s="87"/>
      <c r="C422" s="87"/>
      <c r="F422" s="87"/>
      <c r="J422" s="87"/>
      <c r="K422" s="87"/>
      <c r="L422" s="87"/>
      <c r="O422" s="87"/>
      <c r="P422" s="87"/>
      <c r="Q422" s="87"/>
      <c r="R422" s="87"/>
      <c r="S422" s="87"/>
    </row>
    <row r="423">
      <c r="A423" s="87"/>
      <c r="B423" s="87"/>
      <c r="C423" s="87"/>
      <c r="F423" s="87"/>
      <c r="J423" s="87"/>
      <c r="K423" s="87"/>
      <c r="L423" s="87"/>
      <c r="O423" s="87"/>
      <c r="P423" s="87"/>
      <c r="Q423" s="87"/>
      <c r="R423" s="87"/>
      <c r="S423" s="87"/>
    </row>
    <row r="424">
      <c r="A424" s="87"/>
      <c r="B424" s="87"/>
      <c r="C424" s="87"/>
      <c r="F424" s="87"/>
      <c r="J424" s="87"/>
      <c r="K424" s="87"/>
      <c r="L424" s="87"/>
      <c r="O424" s="87"/>
      <c r="P424" s="87"/>
      <c r="Q424" s="87"/>
      <c r="R424" s="87"/>
      <c r="S424" s="87"/>
    </row>
    <row r="425">
      <c r="A425" s="87"/>
      <c r="B425" s="87"/>
      <c r="C425" s="87"/>
      <c r="F425" s="87"/>
      <c r="J425" s="87"/>
      <c r="K425" s="87"/>
      <c r="L425" s="87"/>
      <c r="O425" s="87"/>
      <c r="P425" s="87"/>
      <c r="Q425" s="87"/>
      <c r="R425" s="87"/>
      <c r="S425" s="87"/>
    </row>
    <row r="426">
      <c r="A426" s="87"/>
      <c r="B426" s="87"/>
      <c r="C426" s="87"/>
      <c r="F426" s="87"/>
      <c r="J426" s="87"/>
      <c r="K426" s="87"/>
      <c r="L426" s="87"/>
      <c r="O426" s="87"/>
      <c r="P426" s="87"/>
      <c r="Q426" s="87"/>
      <c r="R426" s="87"/>
      <c r="S426" s="87"/>
    </row>
    <row r="427">
      <c r="A427" s="87"/>
      <c r="B427" s="87"/>
      <c r="C427" s="87"/>
      <c r="F427" s="87"/>
      <c r="J427" s="87"/>
      <c r="K427" s="87"/>
      <c r="L427" s="87"/>
      <c r="O427" s="87"/>
      <c r="P427" s="87"/>
      <c r="Q427" s="87"/>
      <c r="R427" s="87"/>
      <c r="S427" s="87"/>
    </row>
    <row r="428">
      <c r="A428" s="87"/>
      <c r="B428" s="87"/>
      <c r="C428" s="87"/>
      <c r="F428" s="87"/>
      <c r="J428" s="87"/>
      <c r="K428" s="87"/>
      <c r="L428" s="87"/>
      <c r="O428" s="87"/>
      <c r="P428" s="87"/>
      <c r="Q428" s="87"/>
      <c r="R428" s="87"/>
      <c r="S428" s="87"/>
    </row>
    <row r="429">
      <c r="A429" s="87"/>
      <c r="B429" s="87"/>
      <c r="C429" s="87"/>
      <c r="F429" s="87"/>
      <c r="J429" s="87"/>
      <c r="K429" s="87"/>
      <c r="L429" s="87"/>
      <c r="O429" s="87"/>
      <c r="P429" s="87"/>
      <c r="Q429" s="87"/>
      <c r="R429" s="87"/>
      <c r="S429" s="87"/>
    </row>
    <row r="430">
      <c r="A430" s="87"/>
      <c r="B430" s="87"/>
      <c r="C430" s="87"/>
      <c r="F430" s="87"/>
      <c r="J430" s="87"/>
      <c r="K430" s="87"/>
      <c r="L430" s="87"/>
      <c r="O430" s="87"/>
      <c r="P430" s="87"/>
      <c r="Q430" s="87"/>
      <c r="R430" s="87"/>
      <c r="S430" s="87"/>
    </row>
    <row r="431">
      <c r="A431" s="87"/>
      <c r="B431" s="87"/>
      <c r="C431" s="87"/>
      <c r="F431" s="87"/>
      <c r="J431" s="87"/>
      <c r="K431" s="87"/>
      <c r="L431" s="87"/>
      <c r="O431" s="87"/>
      <c r="P431" s="87"/>
      <c r="Q431" s="87"/>
      <c r="R431" s="87"/>
      <c r="S431" s="87"/>
    </row>
    <row r="432">
      <c r="A432" s="87"/>
      <c r="B432" s="87"/>
      <c r="C432" s="87"/>
      <c r="F432" s="87"/>
      <c r="J432" s="87"/>
      <c r="K432" s="87"/>
      <c r="L432" s="87"/>
      <c r="O432" s="87"/>
      <c r="P432" s="87"/>
      <c r="Q432" s="87"/>
      <c r="R432" s="87"/>
      <c r="S432" s="87"/>
    </row>
    <row r="433">
      <c r="A433" s="87"/>
      <c r="B433" s="87"/>
      <c r="C433" s="87"/>
      <c r="F433" s="87"/>
      <c r="J433" s="87"/>
      <c r="K433" s="87"/>
      <c r="L433" s="87"/>
      <c r="O433" s="87"/>
      <c r="P433" s="87"/>
      <c r="Q433" s="87"/>
      <c r="R433" s="87"/>
      <c r="S433" s="87"/>
    </row>
    <row r="434">
      <c r="A434" s="87"/>
      <c r="B434" s="87"/>
      <c r="C434" s="87"/>
      <c r="F434" s="87"/>
      <c r="J434" s="87"/>
      <c r="K434" s="87"/>
      <c r="L434" s="87"/>
      <c r="O434" s="87"/>
      <c r="P434" s="87"/>
      <c r="Q434" s="87"/>
      <c r="R434" s="87"/>
      <c r="S434" s="87"/>
    </row>
    <row r="435">
      <c r="A435" s="87"/>
      <c r="B435" s="87"/>
      <c r="C435" s="87"/>
      <c r="F435" s="87"/>
      <c r="J435" s="87"/>
      <c r="K435" s="87"/>
      <c r="L435" s="87"/>
      <c r="O435" s="87"/>
      <c r="P435" s="87"/>
      <c r="Q435" s="87"/>
      <c r="R435" s="87"/>
      <c r="S435" s="87"/>
    </row>
    <row r="436">
      <c r="A436" s="87"/>
      <c r="B436" s="87"/>
      <c r="C436" s="87"/>
      <c r="F436" s="87"/>
      <c r="J436" s="87"/>
      <c r="K436" s="87"/>
      <c r="L436" s="87"/>
      <c r="O436" s="87"/>
      <c r="P436" s="87"/>
      <c r="Q436" s="87"/>
      <c r="R436" s="87"/>
      <c r="S436" s="87"/>
    </row>
    <row r="437">
      <c r="A437" s="87"/>
      <c r="B437" s="87"/>
      <c r="C437" s="87"/>
      <c r="F437" s="87"/>
      <c r="J437" s="87"/>
      <c r="K437" s="87"/>
      <c r="L437" s="87"/>
      <c r="O437" s="87"/>
      <c r="P437" s="87"/>
      <c r="Q437" s="87"/>
      <c r="R437" s="87"/>
      <c r="S437" s="87"/>
    </row>
    <row r="438">
      <c r="A438" s="87"/>
      <c r="B438" s="87"/>
      <c r="C438" s="87"/>
      <c r="F438" s="87"/>
      <c r="J438" s="87"/>
      <c r="K438" s="87"/>
      <c r="L438" s="87"/>
      <c r="O438" s="87"/>
      <c r="P438" s="87"/>
      <c r="Q438" s="87"/>
      <c r="R438" s="87"/>
      <c r="S438" s="87"/>
    </row>
    <row r="439">
      <c r="A439" s="87"/>
      <c r="B439" s="87"/>
      <c r="C439" s="87"/>
      <c r="F439" s="87"/>
      <c r="J439" s="87"/>
      <c r="K439" s="87"/>
      <c r="L439" s="87"/>
      <c r="O439" s="87"/>
      <c r="P439" s="87"/>
      <c r="Q439" s="87"/>
      <c r="R439" s="87"/>
      <c r="S439" s="87"/>
    </row>
    <row r="440">
      <c r="A440" s="87"/>
      <c r="B440" s="87"/>
      <c r="C440" s="87"/>
      <c r="F440" s="87"/>
      <c r="J440" s="87"/>
      <c r="K440" s="87"/>
      <c r="L440" s="87"/>
      <c r="O440" s="87"/>
      <c r="P440" s="87"/>
      <c r="Q440" s="87"/>
      <c r="R440" s="87"/>
      <c r="S440" s="87"/>
    </row>
    <row r="441">
      <c r="A441" s="87"/>
      <c r="B441" s="87"/>
      <c r="C441" s="87"/>
      <c r="F441" s="87"/>
      <c r="J441" s="87"/>
      <c r="K441" s="87"/>
      <c r="L441" s="87"/>
      <c r="O441" s="87"/>
      <c r="P441" s="87"/>
      <c r="Q441" s="87"/>
      <c r="R441" s="87"/>
      <c r="S441" s="87"/>
    </row>
    <row r="442">
      <c r="A442" s="87"/>
      <c r="B442" s="87"/>
      <c r="C442" s="87"/>
      <c r="F442" s="87"/>
      <c r="J442" s="87"/>
      <c r="K442" s="87"/>
      <c r="L442" s="87"/>
      <c r="O442" s="87"/>
      <c r="P442" s="87"/>
      <c r="Q442" s="87"/>
      <c r="R442" s="87"/>
      <c r="S442" s="87"/>
    </row>
    <row r="443">
      <c r="A443" s="87"/>
      <c r="B443" s="87"/>
      <c r="C443" s="87"/>
      <c r="F443" s="87"/>
      <c r="J443" s="87"/>
      <c r="K443" s="87"/>
      <c r="L443" s="87"/>
      <c r="O443" s="87"/>
      <c r="P443" s="87"/>
      <c r="Q443" s="87"/>
      <c r="R443" s="87"/>
      <c r="S443" s="87"/>
    </row>
    <row r="444">
      <c r="A444" s="87"/>
      <c r="B444" s="87"/>
      <c r="C444" s="87"/>
      <c r="F444" s="87"/>
      <c r="J444" s="87"/>
      <c r="K444" s="87"/>
      <c r="L444" s="87"/>
      <c r="O444" s="87"/>
      <c r="P444" s="87"/>
      <c r="Q444" s="87"/>
      <c r="R444" s="87"/>
      <c r="S444" s="87"/>
    </row>
    <row r="445">
      <c r="A445" s="87"/>
      <c r="B445" s="87"/>
      <c r="C445" s="87"/>
      <c r="F445" s="87"/>
      <c r="J445" s="87"/>
      <c r="K445" s="87"/>
      <c r="L445" s="87"/>
      <c r="O445" s="87"/>
      <c r="P445" s="87"/>
      <c r="Q445" s="87"/>
      <c r="R445" s="87"/>
      <c r="S445" s="87"/>
    </row>
    <row r="446">
      <c r="A446" s="87"/>
      <c r="B446" s="87"/>
      <c r="C446" s="87"/>
      <c r="F446" s="87"/>
      <c r="J446" s="87"/>
      <c r="K446" s="87"/>
      <c r="L446" s="87"/>
      <c r="O446" s="87"/>
      <c r="P446" s="87"/>
      <c r="Q446" s="87"/>
      <c r="R446" s="87"/>
      <c r="S446" s="87"/>
    </row>
    <row r="447">
      <c r="A447" s="87"/>
      <c r="B447" s="87"/>
      <c r="C447" s="87"/>
      <c r="F447" s="87"/>
      <c r="J447" s="87"/>
      <c r="K447" s="87"/>
      <c r="L447" s="87"/>
      <c r="O447" s="87"/>
      <c r="P447" s="87"/>
      <c r="Q447" s="87"/>
      <c r="R447" s="87"/>
      <c r="S447" s="87"/>
    </row>
    <row r="448">
      <c r="A448" s="87"/>
      <c r="B448" s="87"/>
      <c r="C448" s="87"/>
      <c r="F448" s="87"/>
      <c r="J448" s="87"/>
      <c r="K448" s="87"/>
      <c r="L448" s="87"/>
      <c r="O448" s="87"/>
      <c r="P448" s="87"/>
      <c r="Q448" s="87"/>
      <c r="R448" s="87"/>
      <c r="S448" s="87"/>
    </row>
    <row r="449">
      <c r="A449" s="87"/>
      <c r="B449" s="87"/>
      <c r="C449" s="87"/>
      <c r="F449" s="87"/>
      <c r="J449" s="87"/>
      <c r="K449" s="87"/>
      <c r="L449" s="87"/>
      <c r="O449" s="87"/>
      <c r="P449" s="87"/>
      <c r="Q449" s="87"/>
      <c r="R449" s="87"/>
      <c r="S449" s="87"/>
    </row>
    <row r="450">
      <c r="A450" s="87"/>
      <c r="B450" s="87"/>
      <c r="C450" s="87"/>
      <c r="F450" s="87"/>
      <c r="J450" s="87"/>
      <c r="K450" s="87"/>
      <c r="L450" s="87"/>
      <c r="O450" s="87"/>
      <c r="P450" s="87"/>
      <c r="Q450" s="87"/>
      <c r="R450" s="87"/>
      <c r="S450" s="87"/>
    </row>
    <row r="451">
      <c r="A451" s="87"/>
      <c r="B451" s="87"/>
      <c r="C451" s="87"/>
      <c r="F451" s="87"/>
      <c r="J451" s="87"/>
      <c r="K451" s="87"/>
      <c r="L451" s="87"/>
      <c r="O451" s="87"/>
      <c r="P451" s="87"/>
      <c r="Q451" s="87"/>
      <c r="R451" s="87"/>
      <c r="S451" s="87"/>
    </row>
    <row r="452">
      <c r="A452" s="87"/>
      <c r="B452" s="87"/>
      <c r="C452" s="87"/>
      <c r="F452" s="87"/>
      <c r="J452" s="87"/>
      <c r="K452" s="87"/>
      <c r="L452" s="87"/>
      <c r="O452" s="87"/>
      <c r="P452" s="87"/>
      <c r="Q452" s="87"/>
      <c r="R452" s="87"/>
      <c r="S452" s="87"/>
    </row>
    <row r="453">
      <c r="A453" s="87"/>
      <c r="B453" s="87"/>
      <c r="C453" s="87"/>
      <c r="F453" s="87"/>
      <c r="J453" s="87"/>
      <c r="K453" s="87"/>
      <c r="L453" s="87"/>
      <c r="O453" s="87"/>
      <c r="P453" s="87"/>
      <c r="Q453" s="87"/>
      <c r="R453" s="87"/>
      <c r="S453" s="87"/>
    </row>
    <row r="454">
      <c r="A454" s="87"/>
      <c r="B454" s="87"/>
      <c r="C454" s="87"/>
      <c r="F454" s="87"/>
      <c r="J454" s="87"/>
      <c r="K454" s="87"/>
      <c r="L454" s="87"/>
      <c r="O454" s="87"/>
      <c r="P454" s="87"/>
      <c r="Q454" s="87"/>
      <c r="R454" s="87"/>
      <c r="S454" s="87"/>
    </row>
    <row r="455">
      <c r="A455" s="87"/>
      <c r="B455" s="87"/>
      <c r="C455" s="87"/>
      <c r="F455" s="87"/>
      <c r="J455" s="87"/>
      <c r="K455" s="87"/>
      <c r="L455" s="87"/>
      <c r="O455" s="87"/>
      <c r="P455" s="87"/>
      <c r="Q455" s="87"/>
      <c r="R455" s="87"/>
      <c r="S455" s="87"/>
    </row>
    <row r="456">
      <c r="A456" s="87"/>
      <c r="B456" s="87"/>
      <c r="C456" s="87"/>
      <c r="F456" s="87"/>
      <c r="J456" s="87"/>
      <c r="K456" s="87"/>
      <c r="L456" s="87"/>
      <c r="O456" s="87"/>
      <c r="P456" s="87"/>
      <c r="Q456" s="87"/>
      <c r="R456" s="87"/>
      <c r="S456" s="87"/>
    </row>
    <row r="457">
      <c r="A457" s="87"/>
      <c r="B457" s="87"/>
      <c r="C457" s="87"/>
      <c r="F457" s="87"/>
      <c r="J457" s="87"/>
      <c r="K457" s="87"/>
      <c r="L457" s="87"/>
      <c r="O457" s="87"/>
      <c r="P457" s="87"/>
      <c r="Q457" s="87"/>
      <c r="R457" s="87"/>
      <c r="S457" s="87"/>
    </row>
    <row r="458">
      <c r="A458" s="87"/>
      <c r="B458" s="87"/>
      <c r="C458" s="87"/>
      <c r="F458" s="87"/>
      <c r="J458" s="87"/>
      <c r="K458" s="87"/>
      <c r="L458" s="87"/>
      <c r="O458" s="87"/>
      <c r="P458" s="87"/>
      <c r="Q458" s="87"/>
      <c r="R458" s="87"/>
      <c r="S458" s="87"/>
    </row>
    <row r="459">
      <c r="A459" s="87"/>
      <c r="B459" s="87"/>
      <c r="C459" s="87"/>
      <c r="F459" s="87"/>
      <c r="J459" s="87"/>
      <c r="K459" s="87"/>
      <c r="L459" s="87"/>
      <c r="O459" s="87"/>
      <c r="P459" s="87"/>
      <c r="Q459" s="87"/>
      <c r="R459" s="87"/>
      <c r="S459" s="87"/>
    </row>
    <row r="460">
      <c r="A460" s="87"/>
      <c r="B460" s="87"/>
      <c r="C460" s="87"/>
      <c r="F460" s="87"/>
      <c r="J460" s="87"/>
      <c r="K460" s="87"/>
      <c r="L460" s="87"/>
      <c r="O460" s="87"/>
      <c r="P460" s="87"/>
      <c r="Q460" s="87"/>
      <c r="R460" s="87"/>
      <c r="S460" s="87"/>
    </row>
    <row r="461">
      <c r="A461" s="87"/>
      <c r="B461" s="87"/>
      <c r="C461" s="87"/>
      <c r="F461" s="87"/>
      <c r="J461" s="87"/>
      <c r="K461" s="87"/>
      <c r="L461" s="87"/>
      <c r="O461" s="87"/>
      <c r="P461" s="87"/>
      <c r="Q461" s="87"/>
      <c r="R461" s="87"/>
      <c r="S461" s="87"/>
    </row>
    <row r="462">
      <c r="A462" s="87"/>
      <c r="B462" s="87"/>
      <c r="C462" s="87"/>
      <c r="F462" s="87"/>
      <c r="J462" s="87"/>
      <c r="K462" s="87"/>
      <c r="L462" s="87"/>
      <c r="O462" s="87"/>
      <c r="P462" s="87"/>
      <c r="Q462" s="87"/>
      <c r="R462" s="87"/>
      <c r="S462" s="87"/>
    </row>
    <row r="463">
      <c r="A463" s="87"/>
      <c r="B463" s="87"/>
      <c r="C463" s="87"/>
      <c r="F463" s="87"/>
      <c r="J463" s="87"/>
      <c r="K463" s="87"/>
      <c r="L463" s="87"/>
      <c r="O463" s="87"/>
      <c r="P463" s="87"/>
      <c r="Q463" s="87"/>
      <c r="R463" s="87"/>
      <c r="S463" s="87"/>
    </row>
    <row r="464">
      <c r="A464" s="87"/>
      <c r="B464" s="87"/>
      <c r="C464" s="87"/>
      <c r="F464" s="87"/>
      <c r="J464" s="87"/>
      <c r="K464" s="87"/>
      <c r="L464" s="87"/>
      <c r="O464" s="87"/>
      <c r="P464" s="87"/>
      <c r="Q464" s="87"/>
      <c r="R464" s="87"/>
      <c r="S464" s="87"/>
    </row>
    <row r="465">
      <c r="A465" s="87"/>
      <c r="B465" s="87"/>
      <c r="C465" s="87"/>
      <c r="F465" s="87"/>
      <c r="J465" s="87"/>
      <c r="K465" s="87"/>
      <c r="L465" s="87"/>
      <c r="O465" s="87"/>
      <c r="P465" s="87"/>
      <c r="Q465" s="87"/>
      <c r="R465" s="87"/>
      <c r="S465" s="87"/>
    </row>
    <row r="466">
      <c r="A466" s="87"/>
      <c r="B466" s="87"/>
      <c r="C466" s="87"/>
      <c r="F466" s="87"/>
      <c r="J466" s="87"/>
      <c r="K466" s="87"/>
      <c r="L466" s="87"/>
      <c r="O466" s="87"/>
      <c r="P466" s="87"/>
      <c r="Q466" s="87"/>
      <c r="R466" s="87"/>
      <c r="S466" s="87"/>
    </row>
    <row r="467">
      <c r="A467" s="87"/>
      <c r="B467" s="87"/>
      <c r="C467" s="87"/>
      <c r="F467" s="87"/>
      <c r="J467" s="87"/>
      <c r="K467" s="87"/>
      <c r="L467" s="87"/>
      <c r="O467" s="87"/>
      <c r="P467" s="87"/>
      <c r="Q467" s="87"/>
      <c r="R467" s="87"/>
      <c r="S467" s="87"/>
    </row>
    <row r="468">
      <c r="A468" s="87"/>
      <c r="B468" s="87"/>
      <c r="C468" s="87"/>
      <c r="F468" s="87"/>
      <c r="J468" s="87"/>
      <c r="K468" s="87"/>
      <c r="L468" s="87"/>
      <c r="O468" s="87"/>
      <c r="P468" s="87"/>
      <c r="Q468" s="87"/>
      <c r="R468" s="87"/>
      <c r="S468" s="87"/>
    </row>
    <row r="469">
      <c r="A469" s="87"/>
      <c r="B469" s="87"/>
      <c r="C469" s="87"/>
      <c r="F469" s="87"/>
      <c r="J469" s="87"/>
      <c r="K469" s="87"/>
      <c r="L469" s="87"/>
      <c r="O469" s="87"/>
      <c r="P469" s="87"/>
      <c r="Q469" s="87"/>
      <c r="R469" s="87"/>
      <c r="S469" s="87"/>
    </row>
    <row r="470">
      <c r="A470" s="87"/>
      <c r="B470" s="87"/>
      <c r="C470" s="87"/>
      <c r="F470" s="87"/>
      <c r="J470" s="87"/>
      <c r="K470" s="87"/>
      <c r="L470" s="87"/>
      <c r="O470" s="87"/>
      <c r="P470" s="87"/>
      <c r="Q470" s="87"/>
      <c r="R470" s="87"/>
      <c r="S470" s="87"/>
    </row>
    <row r="471">
      <c r="A471" s="87"/>
      <c r="B471" s="87"/>
      <c r="C471" s="87"/>
      <c r="F471" s="87"/>
      <c r="J471" s="87"/>
      <c r="K471" s="87"/>
      <c r="L471" s="87"/>
      <c r="O471" s="87"/>
      <c r="P471" s="87"/>
      <c r="Q471" s="87"/>
      <c r="R471" s="87"/>
      <c r="S471" s="87"/>
    </row>
    <row r="472">
      <c r="A472" s="87"/>
      <c r="B472" s="87"/>
      <c r="C472" s="87"/>
      <c r="F472" s="87"/>
      <c r="J472" s="87"/>
      <c r="K472" s="87"/>
      <c r="L472" s="87"/>
      <c r="O472" s="87"/>
      <c r="P472" s="87"/>
      <c r="Q472" s="87"/>
      <c r="R472" s="87"/>
      <c r="S472" s="87"/>
    </row>
    <row r="473">
      <c r="A473" s="87"/>
      <c r="B473" s="87"/>
      <c r="C473" s="87"/>
      <c r="F473" s="87"/>
      <c r="J473" s="87"/>
      <c r="K473" s="87"/>
      <c r="L473" s="87"/>
      <c r="O473" s="87"/>
      <c r="P473" s="87"/>
      <c r="Q473" s="87"/>
      <c r="R473" s="87"/>
      <c r="S473" s="87"/>
    </row>
    <row r="474">
      <c r="A474" s="87"/>
      <c r="B474" s="87"/>
      <c r="C474" s="87"/>
      <c r="F474" s="87"/>
      <c r="J474" s="87"/>
      <c r="K474" s="87"/>
      <c r="L474" s="87"/>
      <c r="O474" s="87"/>
      <c r="P474" s="87"/>
      <c r="Q474" s="87"/>
      <c r="R474" s="87"/>
      <c r="S474" s="87"/>
    </row>
    <row r="475">
      <c r="A475" s="87"/>
      <c r="B475" s="87"/>
      <c r="C475" s="87"/>
      <c r="F475" s="87"/>
      <c r="J475" s="87"/>
      <c r="K475" s="87"/>
      <c r="L475" s="87"/>
      <c r="O475" s="87"/>
      <c r="P475" s="87"/>
      <c r="Q475" s="87"/>
      <c r="R475" s="87"/>
      <c r="S475" s="87"/>
    </row>
    <row r="476">
      <c r="A476" s="87"/>
      <c r="B476" s="87"/>
      <c r="C476" s="87"/>
      <c r="F476" s="87"/>
      <c r="J476" s="87"/>
      <c r="K476" s="87"/>
      <c r="L476" s="87"/>
      <c r="O476" s="87"/>
      <c r="P476" s="87"/>
      <c r="Q476" s="87"/>
      <c r="R476" s="87"/>
      <c r="S476" s="87"/>
    </row>
    <row r="477">
      <c r="A477" s="87"/>
      <c r="B477" s="87"/>
      <c r="C477" s="87"/>
      <c r="F477" s="87"/>
      <c r="J477" s="87"/>
      <c r="K477" s="87"/>
      <c r="L477" s="87"/>
      <c r="O477" s="87"/>
      <c r="P477" s="87"/>
      <c r="Q477" s="87"/>
      <c r="R477" s="87"/>
      <c r="S477" s="87"/>
    </row>
    <row r="478">
      <c r="A478" s="87"/>
      <c r="B478" s="87"/>
      <c r="C478" s="87"/>
      <c r="F478" s="87"/>
      <c r="J478" s="87"/>
      <c r="K478" s="87"/>
      <c r="L478" s="87"/>
      <c r="O478" s="87"/>
      <c r="P478" s="87"/>
      <c r="Q478" s="87"/>
      <c r="R478" s="87"/>
      <c r="S478" s="87"/>
    </row>
    <row r="479">
      <c r="A479" s="87"/>
      <c r="B479" s="87"/>
      <c r="C479" s="87"/>
      <c r="F479" s="87"/>
      <c r="J479" s="87"/>
      <c r="K479" s="87"/>
      <c r="L479" s="87"/>
      <c r="O479" s="87"/>
      <c r="P479" s="87"/>
      <c r="Q479" s="87"/>
      <c r="R479" s="87"/>
      <c r="S479" s="87"/>
    </row>
    <row r="480">
      <c r="A480" s="87"/>
      <c r="B480" s="87"/>
      <c r="C480" s="87"/>
      <c r="F480" s="87"/>
      <c r="J480" s="87"/>
      <c r="K480" s="87"/>
      <c r="L480" s="87"/>
      <c r="O480" s="87"/>
      <c r="P480" s="87"/>
      <c r="Q480" s="87"/>
      <c r="R480" s="87"/>
      <c r="S480" s="87"/>
    </row>
    <row r="481">
      <c r="A481" s="87"/>
      <c r="B481" s="87"/>
      <c r="C481" s="87"/>
      <c r="F481" s="87"/>
      <c r="J481" s="87"/>
      <c r="K481" s="87"/>
      <c r="L481" s="87"/>
      <c r="O481" s="87"/>
      <c r="P481" s="87"/>
      <c r="Q481" s="87"/>
      <c r="R481" s="87"/>
      <c r="S481" s="87"/>
    </row>
    <row r="482">
      <c r="A482" s="87"/>
      <c r="B482" s="87"/>
      <c r="C482" s="87"/>
      <c r="F482" s="87"/>
      <c r="J482" s="87"/>
      <c r="K482" s="87"/>
      <c r="L482" s="87"/>
      <c r="O482" s="87"/>
      <c r="P482" s="87"/>
      <c r="Q482" s="87"/>
      <c r="R482" s="87"/>
      <c r="S482" s="87"/>
    </row>
    <row r="483">
      <c r="A483" s="87"/>
      <c r="B483" s="87"/>
      <c r="C483" s="87"/>
      <c r="F483" s="87"/>
      <c r="J483" s="87"/>
      <c r="K483" s="87"/>
      <c r="L483" s="87"/>
      <c r="O483" s="87"/>
      <c r="P483" s="87"/>
      <c r="Q483" s="87"/>
      <c r="R483" s="87"/>
      <c r="S483" s="87"/>
    </row>
    <row r="484">
      <c r="A484" s="87"/>
      <c r="B484" s="87"/>
      <c r="C484" s="87"/>
      <c r="F484" s="87"/>
      <c r="J484" s="87"/>
      <c r="K484" s="87"/>
      <c r="L484" s="87"/>
      <c r="O484" s="87"/>
      <c r="P484" s="87"/>
      <c r="Q484" s="87"/>
      <c r="R484" s="87"/>
      <c r="S484" s="87"/>
    </row>
    <row r="485">
      <c r="A485" s="87"/>
      <c r="B485" s="87"/>
      <c r="C485" s="87"/>
      <c r="F485" s="87"/>
      <c r="J485" s="87"/>
      <c r="K485" s="87"/>
      <c r="L485" s="87"/>
      <c r="O485" s="87"/>
      <c r="P485" s="87"/>
      <c r="Q485" s="87"/>
      <c r="R485" s="87"/>
      <c r="S485" s="87"/>
    </row>
    <row r="486">
      <c r="A486" s="87"/>
      <c r="B486" s="87"/>
      <c r="C486" s="87"/>
      <c r="F486" s="87"/>
      <c r="J486" s="87"/>
      <c r="K486" s="87"/>
      <c r="L486" s="87"/>
      <c r="O486" s="87"/>
      <c r="P486" s="87"/>
      <c r="Q486" s="87"/>
      <c r="R486" s="87"/>
      <c r="S486" s="87"/>
    </row>
    <row r="487">
      <c r="A487" s="87"/>
      <c r="B487" s="87"/>
      <c r="C487" s="87"/>
      <c r="F487" s="87"/>
      <c r="J487" s="87"/>
      <c r="K487" s="87"/>
      <c r="L487" s="87"/>
      <c r="O487" s="87"/>
      <c r="P487" s="87"/>
      <c r="Q487" s="87"/>
      <c r="R487" s="87"/>
      <c r="S487" s="87"/>
    </row>
    <row r="488">
      <c r="A488" s="87"/>
      <c r="B488" s="87"/>
      <c r="C488" s="87"/>
      <c r="F488" s="87"/>
      <c r="J488" s="87"/>
      <c r="K488" s="87"/>
      <c r="L488" s="87"/>
      <c r="O488" s="87"/>
      <c r="P488" s="87"/>
      <c r="Q488" s="87"/>
      <c r="R488" s="87"/>
      <c r="S488" s="87"/>
    </row>
    <row r="489">
      <c r="A489" s="87"/>
      <c r="B489" s="87"/>
      <c r="C489" s="87"/>
      <c r="F489" s="87"/>
      <c r="J489" s="87"/>
      <c r="K489" s="87"/>
      <c r="L489" s="87"/>
      <c r="O489" s="87"/>
      <c r="P489" s="87"/>
      <c r="Q489" s="87"/>
      <c r="R489" s="87"/>
      <c r="S489" s="87"/>
    </row>
    <row r="490">
      <c r="A490" s="87"/>
      <c r="B490" s="87"/>
      <c r="C490" s="87"/>
      <c r="F490" s="87"/>
      <c r="J490" s="87"/>
      <c r="K490" s="87"/>
      <c r="L490" s="87"/>
      <c r="O490" s="87"/>
      <c r="P490" s="87"/>
      <c r="Q490" s="87"/>
      <c r="R490" s="87"/>
      <c r="S490" s="87"/>
    </row>
    <row r="491">
      <c r="A491" s="87"/>
      <c r="B491" s="87"/>
      <c r="C491" s="87"/>
      <c r="F491" s="87"/>
      <c r="J491" s="87"/>
      <c r="K491" s="87"/>
      <c r="L491" s="87"/>
      <c r="O491" s="87"/>
      <c r="P491" s="87"/>
      <c r="Q491" s="87"/>
      <c r="R491" s="87"/>
      <c r="S491" s="87"/>
    </row>
    <row r="492">
      <c r="A492" s="87"/>
      <c r="B492" s="87"/>
      <c r="C492" s="87"/>
      <c r="F492" s="87"/>
      <c r="J492" s="87"/>
      <c r="K492" s="87"/>
      <c r="L492" s="87"/>
      <c r="O492" s="87"/>
      <c r="P492" s="87"/>
      <c r="Q492" s="87"/>
      <c r="R492" s="87"/>
      <c r="S492" s="87"/>
    </row>
    <row r="493">
      <c r="A493" s="87"/>
      <c r="B493" s="87"/>
      <c r="C493" s="87"/>
      <c r="F493" s="87"/>
      <c r="J493" s="87"/>
      <c r="K493" s="87"/>
      <c r="L493" s="87"/>
      <c r="O493" s="87"/>
      <c r="P493" s="87"/>
      <c r="Q493" s="87"/>
      <c r="R493" s="87"/>
      <c r="S493" s="87"/>
    </row>
    <row r="494">
      <c r="A494" s="87"/>
      <c r="B494" s="87"/>
      <c r="C494" s="87"/>
      <c r="F494" s="87"/>
      <c r="J494" s="87"/>
      <c r="K494" s="87"/>
      <c r="L494" s="87"/>
      <c r="O494" s="87"/>
      <c r="P494" s="87"/>
      <c r="Q494" s="87"/>
      <c r="R494" s="87"/>
      <c r="S494" s="87"/>
    </row>
    <row r="495">
      <c r="A495" s="87"/>
      <c r="B495" s="87"/>
      <c r="C495" s="87"/>
      <c r="F495" s="87"/>
      <c r="J495" s="87"/>
      <c r="K495" s="87"/>
      <c r="L495" s="87"/>
      <c r="O495" s="87"/>
      <c r="P495" s="87"/>
      <c r="Q495" s="87"/>
      <c r="R495" s="87"/>
      <c r="S495" s="87"/>
    </row>
    <row r="496">
      <c r="A496" s="87"/>
      <c r="B496" s="87"/>
      <c r="C496" s="87"/>
      <c r="F496" s="87"/>
      <c r="J496" s="87"/>
      <c r="K496" s="87"/>
      <c r="L496" s="87"/>
      <c r="O496" s="87"/>
      <c r="P496" s="87"/>
      <c r="Q496" s="87"/>
      <c r="R496" s="87"/>
      <c r="S496" s="87"/>
    </row>
    <row r="497">
      <c r="A497" s="87"/>
      <c r="B497" s="87"/>
      <c r="C497" s="87"/>
      <c r="F497" s="87"/>
      <c r="J497" s="87"/>
      <c r="K497" s="87"/>
      <c r="L497" s="87"/>
      <c r="O497" s="87"/>
      <c r="P497" s="87"/>
      <c r="Q497" s="87"/>
      <c r="R497" s="87"/>
      <c r="S497" s="87"/>
    </row>
    <row r="498">
      <c r="A498" s="87"/>
      <c r="B498" s="87"/>
      <c r="C498" s="87"/>
      <c r="F498" s="87"/>
      <c r="J498" s="87"/>
      <c r="K498" s="87"/>
      <c r="L498" s="87"/>
      <c r="O498" s="87"/>
      <c r="P498" s="87"/>
      <c r="Q498" s="87"/>
      <c r="R498" s="87"/>
      <c r="S498" s="87"/>
    </row>
    <row r="499">
      <c r="A499" s="87"/>
      <c r="B499" s="87"/>
      <c r="C499" s="87"/>
      <c r="F499" s="87"/>
      <c r="J499" s="87"/>
      <c r="K499" s="87"/>
      <c r="L499" s="87"/>
      <c r="O499" s="87"/>
      <c r="P499" s="87"/>
      <c r="Q499" s="87"/>
      <c r="R499" s="87"/>
      <c r="S499" s="87"/>
    </row>
    <row r="500">
      <c r="A500" s="87"/>
      <c r="B500" s="87"/>
      <c r="C500" s="87"/>
      <c r="F500" s="87"/>
      <c r="J500" s="87"/>
      <c r="K500" s="87"/>
      <c r="L500" s="87"/>
      <c r="O500" s="87"/>
      <c r="P500" s="87"/>
      <c r="Q500" s="87"/>
      <c r="R500" s="87"/>
      <c r="S500" s="87"/>
    </row>
    <row r="501">
      <c r="A501" s="87"/>
      <c r="B501" s="87"/>
      <c r="C501" s="87"/>
      <c r="F501" s="87"/>
      <c r="J501" s="87"/>
      <c r="K501" s="87"/>
      <c r="L501" s="87"/>
      <c r="O501" s="87"/>
      <c r="P501" s="87"/>
      <c r="Q501" s="87"/>
      <c r="R501" s="87"/>
      <c r="S501" s="87"/>
    </row>
    <row r="502">
      <c r="A502" s="87"/>
      <c r="B502" s="87"/>
      <c r="C502" s="87"/>
      <c r="F502" s="87"/>
      <c r="J502" s="87"/>
      <c r="K502" s="87"/>
      <c r="L502" s="87"/>
      <c r="O502" s="87"/>
      <c r="P502" s="87"/>
      <c r="Q502" s="87"/>
      <c r="R502" s="87"/>
      <c r="S502" s="87"/>
    </row>
    <row r="503">
      <c r="A503" s="87"/>
      <c r="B503" s="87"/>
      <c r="C503" s="87"/>
      <c r="F503" s="87"/>
      <c r="J503" s="87"/>
      <c r="K503" s="87"/>
      <c r="L503" s="87"/>
      <c r="O503" s="87"/>
      <c r="P503" s="87"/>
      <c r="Q503" s="87"/>
      <c r="R503" s="87"/>
      <c r="S503" s="87"/>
    </row>
    <row r="504">
      <c r="A504" s="87"/>
      <c r="B504" s="87"/>
      <c r="C504" s="87"/>
      <c r="F504" s="87"/>
      <c r="J504" s="87"/>
      <c r="K504" s="87"/>
      <c r="L504" s="87"/>
      <c r="O504" s="87"/>
      <c r="P504" s="87"/>
      <c r="Q504" s="87"/>
      <c r="R504" s="87"/>
      <c r="S504" s="87"/>
    </row>
    <row r="505">
      <c r="A505" s="87"/>
      <c r="B505" s="87"/>
      <c r="C505" s="87"/>
      <c r="F505" s="87"/>
      <c r="J505" s="87"/>
      <c r="K505" s="87"/>
      <c r="L505" s="87"/>
      <c r="O505" s="87"/>
      <c r="P505" s="87"/>
      <c r="Q505" s="87"/>
      <c r="R505" s="87"/>
      <c r="S505" s="87"/>
    </row>
    <row r="506">
      <c r="A506" s="87"/>
      <c r="B506" s="87"/>
      <c r="C506" s="87"/>
      <c r="F506" s="87"/>
      <c r="J506" s="87"/>
      <c r="K506" s="87"/>
      <c r="L506" s="87"/>
      <c r="O506" s="87"/>
      <c r="P506" s="87"/>
      <c r="Q506" s="87"/>
      <c r="R506" s="87"/>
      <c r="S506" s="87"/>
    </row>
    <row r="507">
      <c r="A507" s="87"/>
      <c r="B507" s="87"/>
      <c r="C507" s="87"/>
      <c r="F507" s="87"/>
      <c r="J507" s="87"/>
      <c r="K507" s="87"/>
      <c r="L507" s="87"/>
      <c r="O507" s="87"/>
      <c r="P507" s="87"/>
      <c r="Q507" s="87"/>
      <c r="R507" s="87"/>
      <c r="S507" s="87"/>
    </row>
    <row r="508">
      <c r="A508" s="87"/>
      <c r="B508" s="87"/>
      <c r="C508" s="87"/>
      <c r="F508" s="87"/>
      <c r="J508" s="87"/>
      <c r="K508" s="87"/>
      <c r="L508" s="87"/>
      <c r="O508" s="87"/>
      <c r="P508" s="87"/>
      <c r="Q508" s="87"/>
      <c r="R508" s="87"/>
      <c r="S508" s="87"/>
    </row>
    <row r="509">
      <c r="A509" s="87"/>
      <c r="B509" s="87"/>
      <c r="C509" s="87"/>
      <c r="F509" s="87"/>
      <c r="J509" s="87"/>
      <c r="K509" s="87"/>
      <c r="L509" s="87"/>
      <c r="O509" s="87"/>
      <c r="P509" s="87"/>
      <c r="Q509" s="87"/>
      <c r="R509" s="87"/>
      <c r="S509" s="87"/>
    </row>
    <row r="510">
      <c r="A510" s="87"/>
      <c r="B510" s="87"/>
      <c r="C510" s="87"/>
      <c r="F510" s="87"/>
      <c r="J510" s="87"/>
      <c r="K510" s="87"/>
      <c r="L510" s="87"/>
      <c r="O510" s="87"/>
      <c r="P510" s="87"/>
      <c r="Q510" s="87"/>
      <c r="R510" s="87"/>
      <c r="S510" s="87"/>
    </row>
    <row r="511">
      <c r="A511" s="87"/>
      <c r="B511" s="87"/>
      <c r="C511" s="87"/>
      <c r="F511" s="87"/>
      <c r="J511" s="87"/>
      <c r="K511" s="87"/>
      <c r="L511" s="87"/>
      <c r="O511" s="87"/>
      <c r="P511" s="87"/>
      <c r="Q511" s="87"/>
      <c r="R511" s="87"/>
      <c r="S511" s="87"/>
    </row>
    <row r="512">
      <c r="A512" s="87"/>
      <c r="B512" s="87"/>
      <c r="C512" s="87"/>
      <c r="F512" s="87"/>
      <c r="J512" s="87"/>
      <c r="K512" s="87"/>
      <c r="L512" s="87"/>
      <c r="O512" s="87"/>
      <c r="P512" s="87"/>
      <c r="Q512" s="87"/>
      <c r="R512" s="87"/>
      <c r="S512" s="87"/>
    </row>
    <row r="513">
      <c r="A513" s="87"/>
      <c r="B513" s="87"/>
      <c r="C513" s="87"/>
      <c r="F513" s="87"/>
      <c r="J513" s="87"/>
      <c r="K513" s="87"/>
      <c r="L513" s="87"/>
      <c r="O513" s="87"/>
      <c r="P513" s="87"/>
      <c r="Q513" s="87"/>
      <c r="R513" s="87"/>
      <c r="S513" s="87"/>
    </row>
    <row r="514">
      <c r="A514" s="87"/>
      <c r="B514" s="87"/>
      <c r="C514" s="87"/>
      <c r="F514" s="87"/>
      <c r="J514" s="87"/>
      <c r="K514" s="87"/>
      <c r="L514" s="87"/>
      <c r="O514" s="87"/>
      <c r="P514" s="87"/>
      <c r="Q514" s="87"/>
      <c r="R514" s="87"/>
      <c r="S514" s="87"/>
    </row>
    <row r="515">
      <c r="A515" s="87"/>
      <c r="B515" s="87"/>
      <c r="C515" s="87"/>
      <c r="F515" s="87"/>
      <c r="J515" s="87"/>
      <c r="K515" s="87"/>
      <c r="L515" s="87"/>
      <c r="O515" s="87"/>
      <c r="P515" s="87"/>
      <c r="Q515" s="87"/>
      <c r="R515" s="87"/>
      <c r="S515" s="87"/>
    </row>
    <row r="516">
      <c r="A516" s="87"/>
      <c r="B516" s="87"/>
      <c r="C516" s="87"/>
      <c r="F516" s="87"/>
      <c r="J516" s="87"/>
      <c r="K516" s="87"/>
      <c r="L516" s="87"/>
      <c r="O516" s="87"/>
      <c r="P516" s="87"/>
      <c r="Q516" s="87"/>
      <c r="R516" s="87"/>
      <c r="S516" s="87"/>
    </row>
    <row r="517">
      <c r="A517" s="87"/>
      <c r="B517" s="87"/>
      <c r="C517" s="87"/>
      <c r="F517" s="87"/>
      <c r="J517" s="87"/>
      <c r="K517" s="87"/>
      <c r="L517" s="87"/>
      <c r="O517" s="87"/>
      <c r="P517" s="87"/>
      <c r="Q517" s="87"/>
      <c r="R517" s="87"/>
      <c r="S517" s="87"/>
    </row>
    <row r="518">
      <c r="A518" s="87"/>
      <c r="B518" s="87"/>
      <c r="C518" s="87"/>
      <c r="F518" s="87"/>
      <c r="J518" s="87"/>
      <c r="K518" s="87"/>
      <c r="L518" s="87"/>
      <c r="O518" s="87"/>
      <c r="P518" s="87"/>
      <c r="Q518" s="87"/>
      <c r="R518" s="87"/>
      <c r="S518" s="87"/>
    </row>
    <row r="519">
      <c r="A519" s="87"/>
      <c r="B519" s="87"/>
      <c r="C519" s="87"/>
      <c r="F519" s="87"/>
      <c r="J519" s="87"/>
      <c r="K519" s="87"/>
      <c r="L519" s="87"/>
      <c r="O519" s="87"/>
      <c r="P519" s="87"/>
      <c r="Q519" s="87"/>
      <c r="R519" s="87"/>
      <c r="S519" s="87"/>
    </row>
    <row r="520">
      <c r="A520" s="87"/>
      <c r="B520" s="87"/>
      <c r="C520" s="87"/>
      <c r="F520" s="87"/>
      <c r="J520" s="87"/>
      <c r="K520" s="87"/>
      <c r="L520" s="87"/>
      <c r="O520" s="87"/>
      <c r="P520" s="87"/>
      <c r="Q520" s="87"/>
      <c r="R520" s="87"/>
      <c r="S520" s="87"/>
    </row>
    <row r="521">
      <c r="A521" s="87"/>
      <c r="B521" s="87"/>
      <c r="C521" s="87"/>
      <c r="F521" s="87"/>
      <c r="J521" s="87"/>
      <c r="K521" s="87"/>
      <c r="L521" s="87"/>
      <c r="O521" s="87"/>
      <c r="P521" s="87"/>
      <c r="Q521" s="87"/>
      <c r="R521" s="87"/>
      <c r="S521" s="87"/>
    </row>
    <row r="522">
      <c r="A522" s="87"/>
      <c r="B522" s="87"/>
      <c r="C522" s="87"/>
      <c r="F522" s="87"/>
      <c r="J522" s="87"/>
      <c r="K522" s="87"/>
      <c r="L522" s="87"/>
      <c r="O522" s="87"/>
      <c r="P522" s="87"/>
      <c r="Q522" s="87"/>
      <c r="R522" s="87"/>
      <c r="S522" s="87"/>
    </row>
    <row r="523">
      <c r="A523" s="87"/>
      <c r="B523" s="87"/>
      <c r="C523" s="87"/>
      <c r="F523" s="87"/>
      <c r="J523" s="87"/>
      <c r="K523" s="87"/>
      <c r="L523" s="87"/>
      <c r="O523" s="87"/>
      <c r="P523" s="87"/>
      <c r="Q523" s="87"/>
      <c r="R523" s="87"/>
      <c r="S523" s="87"/>
    </row>
    <row r="524">
      <c r="A524" s="87"/>
      <c r="B524" s="87"/>
      <c r="C524" s="87"/>
      <c r="F524" s="87"/>
      <c r="J524" s="87"/>
      <c r="K524" s="87"/>
      <c r="L524" s="87"/>
      <c r="O524" s="87"/>
      <c r="P524" s="87"/>
      <c r="Q524" s="87"/>
      <c r="R524" s="87"/>
      <c r="S524" s="87"/>
    </row>
    <row r="525">
      <c r="A525" s="87"/>
      <c r="B525" s="87"/>
      <c r="C525" s="87"/>
      <c r="F525" s="87"/>
      <c r="J525" s="87"/>
      <c r="K525" s="87"/>
      <c r="L525" s="87"/>
      <c r="O525" s="87"/>
      <c r="P525" s="87"/>
      <c r="Q525" s="87"/>
      <c r="R525" s="87"/>
      <c r="S525" s="87"/>
    </row>
    <row r="526">
      <c r="A526" s="87"/>
      <c r="B526" s="87"/>
      <c r="C526" s="87"/>
      <c r="F526" s="87"/>
      <c r="J526" s="87"/>
      <c r="K526" s="87"/>
      <c r="L526" s="87"/>
      <c r="O526" s="87"/>
      <c r="P526" s="87"/>
      <c r="Q526" s="87"/>
      <c r="R526" s="87"/>
      <c r="S526" s="87"/>
    </row>
    <row r="527">
      <c r="A527" s="87"/>
      <c r="B527" s="87"/>
      <c r="C527" s="87"/>
      <c r="F527" s="87"/>
      <c r="J527" s="87"/>
      <c r="K527" s="87"/>
      <c r="L527" s="87"/>
      <c r="O527" s="87"/>
      <c r="P527" s="87"/>
      <c r="Q527" s="87"/>
      <c r="R527" s="87"/>
      <c r="S527" s="87"/>
    </row>
    <row r="528">
      <c r="A528" s="87"/>
      <c r="B528" s="87"/>
      <c r="C528" s="87"/>
      <c r="F528" s="87"/>
      <c r="J528" s="87"/>
      <c r="K528" s="87"/>
      <c r="L528" s="87"/>
      <c r="O528" s="87"/>
      <c r="P528" s="87"/>
      <c r="Q528" s="87"/>
      <c r="R528" s="87"/>
      <c r="S528" s="87"/>
    </row>
    <row r="529">
      <c r="A529" s="87"/>
      <c r="B529" s="87"/>
      <c r="C529" s="87"/>
      <c r="F529" s="87"/>
      <c r="J529" s="87"/>
      <c r="K529" s="87"/>
      <c r="L529" s="87"/>
      <c r="O529" s="87"/>
      <c r="P529" s="87"/>
      <c r="Q529" s="87"/>
      <c r="R529" s="87"/>
      <c r="S529" s="87"/>
    </row>
    <row r="530">
      <c r="A530" s="87"/>
      <c r="B530" s="87"/>
      <c r="C530" s="87"/>
      <c r="F530" s="87"/>
      <c r="J530" s="87"/>
      <c r="K530" s="87"/>
      <c r="L530" s="87"/>
      <c r="O530" s="87"/>
      <c r="P530" s="87"/>
      <c r="Q530" s="87"/>
      <c r="R530" s="87"/>
      <c r="S530" s="87"/>
    </row>
    <row r="531">
      <c r="A531" s="87"/>
      <c r="B531" s="87"/>
      <c r="C531" s="87"/>
      <c r="F531" s="87"/>
      <c r="J531" s="87"/>
      <c r="K531" s="87"/>
      <c r="L531" s="87"/>
      <c r="O531" s="87"/>
      <c r="P531" s="87"/>
      <c r="Q531" s="87"/>
      <c r="R531" s="87"/>
      <c r="S531" s="87"/>
    </row>
    <row r="532">
      <c r="A532" s="87"/>
      <c r="B532" s="87"/>
      <c r="C532" s="87"/>
      <c r="F532" s="87"/>
      <c r="J532" s="87"/>
      <c r="K532" s="87"/>
      <c r="L532" s="87"/>
      <c r="O532" s="87"/>
      <c r="P532" s="87"/>
      <c r="Q532" s="87"/>
      <c r="R532" s="87"/>
      <c r="S532" s="87"/>
    </row>
    <row r="533">
      <c r="A533" s="87"/>
      <c r="B533" s="87"/>
      <c r="C533" s="87"/>
      <c r="F533" s="87"/>
      <c r="J533" s="87"/>
      <c r="K533" s="87"/>
      <c r="L533" s="87"/>
      <c r="O533" s="87"/>
      <c r="P533" s="87"/>
      <c r="Q533" s="87"/>
      <c r="R533" s="87"/>
      <c r="S533" s="87"/>
    </row>
    <row r="534">
      <c r="A534" s="87"/>
      <c r="B534" s="87"/>
      <c r="C534" s="87"/>
      <c r="F534" s="87"/>
      <c r="J534" s="87"/>
      <c r="K534" s="87"/>
      <c r="L534" s="87"/>
      <c r="O534" s="87"/>
      <c r="P534" s="87"/>
      <c r="Q534" s="87"/>
      <c r="R534" s="87"/>
      <c r="S534" s="87"/>
    </row>
    <row r="535">
      <c r="A535" s="87"/>
      <c r="B535" s="87"/>
      <c r="C535" s="87"/>
      <c r="F535" s="87"/>
      <c r="J535" s="87"/>
      <c r="K535" s="87"/>
      <c r="L535" s="87"/>
      <c r="O535" s="87"/>
      <c r="P535" s="87"/>
      <c r="Q535" s="87"/>
      <c r="R535" s="87"/>
      <c r="S535" s="87"/>
    </row>
    <row r="536">
      <c r="A536" s="87"/>
      <c r="B536" s="87"/>
      <c r="C536" s="87"/>
      <c r="F536" s="87"/>
      <c r="J536" s="87"/>
      <c r="K536" s="87"/>
      <c r="L536" s="87"/>
      <c r="O536" s="87"/>
      <c r="P536" s="87"/>
      <c r="Q536" s="87"/>
      <c r="R536" s="87"/>
      <c r="S536" s="87"/>
    </row>
    <row r="537">
      <c r="A537" s="87"/>
      <c r="B537" s="87"/>
      <c r="C537" s="87"/>
      <c r="F537" s="87"/>
      <c r="J537" s="87"/>
      <c r="K537" s="87"/>
      <c r="L537" s="87"/>
      <c r="O537" s="87"/>
      <c r="P537" s="87"/>
      <c r="Q537" s="87"/>
      <c r="R537" s="87"/>
      <c r="S537" s="87"/>
    </row>
    <row r="538">
      <c r="A538" s="87"/>
      <c r="B538" s="87"/>
      <c r="C538" s="87"/>
      <c r="F538" s="87"/>
      <c r="J538" s="87"/>
      <c r="K538" s="87"/>
      <c r="L538" s="87"/>
      <c r="O538" s="87"/>
      <c r="P538" s="87"/>
      <c r="Q538" s="87"/>
      <c r="R538" s="87"/>
      <c r="S538" s="87"/>
    </row>
    <row r="539">
      <c r="A539" s="87"/>
      <c r="B539" s="87"/>
      <c r="C539" s="87"/>
      <c r="F539" s="87"/>
      <c r="J539" s="87"/>
      <c r="K539" s="87"/>
      <c r="L539" s="87"/>
      <c r="O539" s="87"/>
      <c r="P539" s="87"/>
      <c r="Q539" s="87"/>
      <c r="R539" s="87"/>
      <c r="S539" s="87"/>
    </row>
    <row r="540">
      <c r="A540" s="87"/>
      <c r="B540" s="87"/>
      <c r="C540" s="87"/>
      <c r="F540" s="87"/>
      <c r="J540" s="87"/>
      <c r="K540" s="87"/>
      <c r="L540" s="87"/>
      <c r="O540" s="87"/>
      <c r="P540" s="87"/>
      <c r="Q540" s="87"/>
      <c r="R540" s="87"/>
      <c r="S540" s="87"/>
    </row>
    <row r="541">
      <c r="A541" s="87"/>
      <c r="B541" s="87"/>
      <c r="C541" s="87"/>
      <c r="F541" s="87"/>
      <c r="J541" s="87"/>
      <c r="K541" s="87"/>
      <c r="L541" s="87"/>
      <c r="O541" s="87"/>
      <c r="P541" s="87"/>
      <c r="Q541" s="87"/>
      <c r="R541" s="87"/>
      <c r="S541" s="87"/>
    </row>
    <row r="542">
      <c r="A542" s="87"/>
      <c r="B542" s="87"/>
      <c r="C542" s="87"/>
      <c r="F542" s="87"/>
      <c r="J542" s="87"/>
      <c r="K542" s="87"/>
      <c r="L542" s="87"/>
      <c r="O542" s="87"/>
      <c r="P542" s="87"/>
      <c r="Q542" s="87"/>
      <c r="R542" s="87"/>
      <c r="S542" s="87"/>
    </row>
    <row r="543">
      <c r="A543" s="87"/>
      <c r="B543" s="87"/>
      <c r="C543" s="87"/>
      <c r="F543" s="87"/>
      <c r="J543" s="87"/>
      <c r="K543" s="87"/>
      <c r="L543" s="87"/>
      <c r="O543" s="87"/>
      <c r="P543" s="87"/>
      <c r="Q543" s="87"/>
      <c r="R543" s="87"/>
      <c r="S543" s="87"/>
    </row>
    <row r="544">
      <c r="A544" s="87"/>
      <c r="B544" s="87"/>
      <c r="C544" s="87"/>
      <c r="F544" s="87"/>
      <c r="J544" s="87"/>
      <c r="K544" s="87"/>
      <c r="L544" s="87"/>
      <c r="O544" s="87"/>
      <c r="P544" s="87"/>
      <c r="Q544" s="87"/>
      <c r="R544" s="87"/>
      <c r="S544" s="87"/>
    </row>
    <row r="545">
      <c r="A545" s="87"/>
      <c r="B545" s="87"/>
      <c r="C545" s="87"/>
      <c r="F545" s="87"/>
      <c r="J545" s="87"/>
      <c r="K545" s="87"/>
      <c r="L545" s="87"/>
      <c r="O545" s="87"/>
      <c r="P545" s="87"/>
      <c r="Q545" s="87"/>
      <c r="R545" s="87"/>
      <c r="S545" s="87"/>
    </row>
    <row r="546">
      <c r="A546" s="87"/>
      <c r="B546" s="87"/>
      <c r="C546" s="87"/>
      <c r="F546" s="87"/>
      <c r="J546" s="87"/>
      <c r="K546" s="87"/>
      <c r="L546" s="87"/>
      <c r="O546" s="87"/>
      <c r="P546" s="87"/>
      <c r="Q546" s="87"/>
      <c r="R546" s="87"/>
      <c r="S546" s="87"/>
    </row>
    <row r="547">
      <c r="A547" s="87"/>
      <c r="B547" s="87"/>
      <c r="C547" s="87"/>
      <c r="F547" s="87"/>
      <c r="J547" s="87"/>
      <c r="K547" s="87"/>
      <c r="L547" s="87"/>
      <c r="O547" s="87"/>
      <c r="P547" s="87"/>
      <c r="Q547" s="87"/>
      <c r="R547" s="87"/>
      <c r="S547" s="87"/>
    </row>
    <row r="548">
      <c r="A548" s="87"/>
      <c r="B548" s="87"/>
      <c r="C548" s="87"/>
      <c r="F548" s="87"/>
      <c r="J548" s="87"/>
      <c r="K548" s="87"/>
      <c r="L548" s="87"/>
      <c r="O548" s="87"/>
      <c r="P548" s="87"/>
      <c r="Q548" s="87"/>
      <c r="R548" s="87"/>
      <c r="S548" s="87"/>
    </row>
    <row r="549">
      <c r="A549" s="87"/>
      <c r="B549" s="87"/>
      <c r="C549" s="87"/>
      <c r="F549" s="87"/>
      <c r="J549" s="87"/>
      <c r="K549" s="87"/>
      <c r="L549" s="87"/>
      <c r="O549" s="87"/>
      <c r="P549" s="87"/>
      <c r="Q549" s="87"/>
      <c r="R549" s="87"/>
      <c r="S549" s="87"/>
    </row>
    <row r="550">
      <c r="A550" s="87"/>
      <c r="B550" s="87"/>
      <c r="C550" s="87"/>
      <c r="F550" s="87"/>
      <c r="J550" s="87"/>
      <c r="K550" s="87"/>
      <c r="L550" s="87"/>
      <c r="O550" s="87"/>
      <c r="P550" s="87"/>
      <c r="Q550" s="87"/>
      <c r="R550" s="87"/>
      <c r="S550" s="87"/>
    </row>
    <row r="551">
      <c r="A551" s="87"/>
      <c r="B551" s="87"/>
      <c r="C551" s="87"/>
      <c r="F551" s="87"/>
      <c r="J551" s="87"/>
      <c r="K551" s="87"/>
      <c r="L551" s="87"/>
      <c r="O551" s="87"/>
      <c r="P551" s="87"/>
      <c r="Q551" s="87"/>
      <c r="R551" s="87"/>
      <c r="S551" s="87"/>
    </row>
    <row r="552">
      <c r="A552" s="87"/>
      <c r="B552" s="87"/>
      <c r="C552" s="87"/>
      <c r="F552" s="87"/>
      <c r="J552" s="87"/>
      <c r="K552" s="87"/>
      <c r="L552" s="87"/>
      <c r="O552" s="87"/>
      <c r="P552" s="87"/>
      <c r="Q552" s="87"/>
      <c r="R552" s="87"/>
      <c r="S552" s="87"/>
    </row>
    <row r="553">
      <c r="A553" s="87"/>
      <c r="B553" s="87"/>
      <c r="C553" s="87"/>
      <c r="F553" s="87"/>
      <c r="J553" s="87"/>
      <c r="K553" s="87"/>
      <c r="L553" s="87"/>
      <c r="O553" s="87"/>
      <c r="P553" s="87"/>
      <c r="Q553" s="87"/>
      <c r="R553" s="87"/>
      <c r="S553" s="87"/>
    </row>
    <row r="554">
      <c r="A554" s="87"/>
      <c r="B554" s="87"/>
      <c r="C554" s="87"/>
      <c r="F554" s="87"/>
      <c r="J554" s="87"/>
      <c r="K554" s="87"/>
      <c r="L554" s="87"/>
      <c r="O554" s="87"/>
      <c r="P554" s="87"/>
      <c r="Q554" s="87"/>
      <c r="R554" s="87"/>
      <c r="S554" s="87"/>
    </row>
    <row r="555">
      <c r="A555" s="87"/>
      <c r="B555" s="87"/>
      <c r="C555" s="87"/>
      <c r="F555" s="87"/>
      <c r="J555" s="87"/>
      <c r="K555" s="87"/>
      <c r="L555" s="87"/>
      <c r="O555" s="87"/>
      <c r="P555" s="87"/>
      <c r="Q555" s="87"/>
      <c r="R555" s="87"/>
      <c r="S555" s="87"/>
    </row>
    <row r="556">
      <c r="A556" s="87"/>
      <c r="B556" s="87"/>
      <c r="C556" s="87"/>
      <c r="F556" s="87"/>
      <c r="J556" s="87"/>
      <c r="K556" s="87"/>
      <c r="L556" s="87"/>
      <c r="O556" s="87"/>
      <c r="P556" s="87"/>
      <c r="Q556" s="87"/>
      <c r="R556" s="87"/>
      <c r="S556" s="87"/>
    </row>
    <row r="557">
      <c r="A557" s="87"/>
      <c r="B557" s="87"/>
      <c r="C557" s="87"/>
      <c r="F557" s="87"/>
      <c r="J557" s="87"/>
      <c r="K557" s="87"/>
      <c r="L557" s="87"/>
      <c r="O557" s="87"/>
      <c r="P557" s="87"/>
      <c r="Q557" s="87"/>
      <c r="R557" s="87"/>
      <c r="S557" s="87"/>
    </row>
    <row r="558">
      <c r="A558" s="87"/>
      <c r="B558" s="87"/>
      <c r="C558" s="87"/>
      <c r="F558" s="87"/>
      <c r="J558" s="87"/>
      <c r="K558" s="87"/>
      <c r="L558" s="87"/>
      <c r="O558" s="87"/>
      <c r="P558" s="87"/>
      <c r="Q558" s="87"/>
      <c r="R558" s="87"/>
      <c r="S558" s="87"/>
    </row>
    <row r="559">
      <c r="A559" s="87"/>
      <c r="B559" s="87"/>
      <c r="C559" s="87"/>
      <c r="F559" s="87"/>
      <c r="J559" s="87"/>
      <c r="K559" s="87"/>
      <c r="L559" s="87"/>
      <c r="O559" s="87"/>
      <c r="P559" s="87"/>
      <c r="Q559" s="87"/>
      <c r="R559" s="87"/>
      <c r="S559" s="87"/>
    </row>
    <row r="560">
      <c r="A560" s="87"/>
      <c r="B560" s="87"/>
      <c r="C560" s="87"/>
      <c r="F560" s="87"/>
      <c r="J560" s="87"/>
      <c r="K560" s="87"/>
      <c r="L560" s="87"/>
      <c r="O560" s="87"/>
      <c r="P560" s="87"/>
      <c r="Q560" s="87"/>
      <c r="R560" s="87"/>
      <c r="S560" s="87"/>
    </row>
    <row r="561">
      <c r="A561" s="87"/>
      <c r="B561" s="87"/>
      <c r="C561" s="87"/>
      <c r="F561" s="87"/>
      <c r="J561" s="87"/>
      <c r="K561" s="87"/>
      <c r="L561" s="87"/>
      <c r="O561" s="87"/>
      <c r="P561" s="87"/>
      <c r="Q561" s="87"/>
      <c r="R561" s="87"/>
      <c r="S561" s="87"/>
    </row>
    <row r="562">
      <c r="A562" s="87"/>
      <c r="B562" s="87"/>
      <c r="C562" s="87"/>
      <c r="F562" s="87"/>
      <c r="J562" s="87"/>
      <c r="K562" s="87"/>
      <c r="L562" s="87"/>
      <c r="O562" s="87"/>
      <c r="P562" s="87"/>
      <c r="Q562" s="87"/>
      <c r="R562" s="87"/>
      <c r="S562" s="87"/>
    </row>
    <row r="563">
      <c r="A563" s="87"/>
      <c r="B563" s="87"/>
      <c r="C563" s="87"/>
      <c r="F563" s="87"/>
      <c r="J563" s="87"/>
      <c r="K563" s="87"/>
      <c r="L563" s="87"/>
      <c r="O563" s="87"/>
      <c r="P563" s="87"/>
      <c r="Q563" s="87"/>
      <c r="R563" s="87"/>
      <c r="S563" s="87"/>
    </row>
    <row r="564">
      <c r="A564" s="87"/>
      <c r="B564" s="87"/>
      <c r="C564" s="87"/>
      <c r="F564" s="87"/>
      <c r="J564" s="87"/>
      <c r="K564" s="87"/>
      <c r="L564" s="87"/>
      <c r="O564" s="87"/>
      <c r="P564" s="87"/>
      <c r="Q564" s="87"/>
      <c r="R564" s="87"/>
      <c r="S564" s="87"/>
    </row>
    <row r="565">
      <c r="A565" s="87"/>
      <c r="B565" s="87"/>
      <c r="C565" s="87"/>
      <c r="F565" s="87"/>
      <c r="J565" s="87"/>
      <c r="K565" s="87"/>
      <c r="L565" s="87"/>
      <c r="O565" s="87"/>
      <c r="P565" s="87"/>
      <c r="Q565" s="87"/>
      <c r="R565" s="87"/>
      <c r="S565" s="87"/>
    </row>
    <row r="566">
      <c r="A566" s="87"/>
      <c r="B566" s="87"/>
      <c r="C566" s="87"/>
      <c r="F566" s="87"/>
      <c r="J566" s="87"/>
      <c r="K566" s="87"/>
      <c r="L566" s="87"/>
      <c r="O566" s="87"/>
      <c r="P566" s="87"/>
      <c r="Q566" s="87"/>
      <c r="R566" s="87"/>
      <c r="S566" s="87"/>
    </row>
    <row r="567">
      <c r="A567" s="87"/>
      <c r="B567" s="87"/>
      <c r="C567" s="87"/>
      <c r="F567" s="87"/>
      <c r="J567" s="87"/>
      <c r="K567" s="87"/>
      <c r="L567" s="87"/>
      <c r="O567" s="87"/>
      <c r="P567" s="87"/>
      <c r="Q567" s="87"/>
      <c r="R567" s="87"/>
      <c r="S567" s="87"/>
    </row>
    <row r="568">
      <c r="A568" s="87"/>
      <c r="B568" s="87"/>
      <c r="C568" s="87"/>
      <c r="F568" s="87"/>
      <c r="J568" s="87"/>
      <c r="K568" s="87"/>
      <c r="L568" s="87"/>
      <c r="O568" s="87"/>
      <c r="P568" s="87"/>
      <c r="Q568" s="87"/>
      <c r="R568" s="87"/>
      <c r="S568" s="87"/>
    </row>
    <row r="569">
      <c r="A569" s="87"/>
      <c r="B569" s="87"/>
      <c r="C569" s="87"/>
      <c r="F569" s="87"/>
      <c r="J569" s="87"/>
      <c r="K569" s="87"/>
      <c r="L569" s="87"/>
      <c r="O569" s="87"/>
      <c r="P569" s="87"/>
      <c r="Q569" s="87"/>
      <c r="R569" s="87"/>
      <c r="S569" s="87"/>
    </row>
    <row r="570">
      <c r="A570" s="87"/>
      <c r="B570" s="87"/>
      <c r="C570" s="87"/>
      <c r="F570" s="87"/>
      <c r="J570" s="87"/>
      <c r="K570" s="87"/>
      <c r="L570" s="87"/>
      <c r="O570" s="87"/>
      <c r="P570" s="87"/>
      <c r="Q570" s="87"/>
      <c r="R570" s="87"/>
      <c r="S570" s="87"/>
    </row>
    <row r="571">
      <c r="A571" s="87"/>
      <c r="B571" s="87"/>
      <c r="C571" s="87"/>
      <c r="F571" s="87"/>
      <c r="J571" s="87"/>
      <c r="K571" s="87"/>
      <c r="L571" s="87"/>
      <c r="O571" s="87"/>
      <c r="P571" s="87"/>
      <c r="Q571" s="87"/>
      <c r="R571" s="87"/>
      <c r="S571" s="87"/>
    </row>
    <row r="572">
      <c r="A572" s="87"/>
      <c r="B572" s="87"/>
      <c r="C572" s="87"/>
      <c r="F572" s="87"/>
      <c r="J572" s="87"/>
      <c r="K572" s="87"/>
      <c r="L572" s="87"/>
      <c r="O572" s="87"/>
      <c r="P572" s="87"/>
      <c r="Q572" s="87"/>
      <c r="R572" s="87"/>
      <c r="S572" s="87"/>
    </row>
    <row r="573">
      <c r="A573" s="87"/>
      <c r="B573" s="87"/>
      <c r="C573" s="87"/>
      <c r="F573" s="87"/>
      <c r="J573" s="87"/>
      <c r="K573" s="87"/>
      <c r="L573" s="87"/>
      <c r="O573" s="87"/>
      <c r="P573" s="87"/>
      <c r="Q573" s="87"/>
      <c r="R573" s="87"/>
      <c r="S573" s="87"/>
    </row>
    <row r="574">
      <c r="A574" s="87"/>
      <c r="B574" s="87"/>
      <c r="C574" s="87"/>
      <c r="F574" s="87"/>
      <c r="J574" s="87"/>
      <c r="K574" s="87"/>
      <c r="L574" s="87"/>
      <c r="O574" s="87"/>
      <c r="P574" s="87"/>
      <c r="Q574" s="87"/>
      <c r="R574" s="87"/>
      <c r="S574" s="87"/>
    </row>
    <row r="575">
      <c r="A575" s="87"/>
      <c r="B575" s="87"/>
      <c r="C575" s="87"/>
      <c r="F575" s="87"/>
      <c r="J575" s="87"/>
      <c r="K575" s="87"/>
      <c r="L575" s="87"/>
      <c r="O575" s="87"/>
      <c r="P575" s="87"/>
      <c r="Q575" s="87"/>
      <c r="R575" s="87"/>
      <c r="S575" s="87"/>
    </row>
    <row r="576">
      <c r="A576" s="87"/>
      <c r="B576" s="87"/>
      <c r="C576" s="87"/>
      <c r="F576" s="87"/>
      <c r="J576" s="87"/>
      <c r="K576" s="87"/>
      <c r="L576" s="87"/>
      <c r="O576" s="87"/>
      <c r="P576" s="87"/>
      <c r="Q576" s="87"/>
      <c r="R576" s="87"/>
      <c r="S576" s="87"/>
    </row>
    <row r="577">
      <c r="A577" s="87"/>
      <c r="B577" s="87"/>
      <c r="C577" s="87"/>
      <c r="F577" s="87"/>
      <c r="J577" s="87"/>
      <c r="K577" s="87"/>
      <c r="L577" s="87"/>
      <c r="O577" s="87"/>
      <c r="P577" s="87"/>
      <c r="Q577" s="87"/>
      <c r="R577" s="87"/>
      <c r="S577" s="87"/>
    </row>
    <row r="578">
      <c r="A578" s="87"/>
      <c r="B578" s="87"/>
      <c r="C578" s="87"/>
      <c r="F578" s="87"/>
      <c r="J578" s="87"/>
      <c r="K578" s="87"/>
      <c r="L578" s="87"/>
      <c r="O578" s="87"/>
      <c r="P578" s="87"/>
      <c r="Q578" s="87"/>
      <c r="R578" s="87"/>
      <c r="S578" s="87"/>
    </row>
    <row r="579">
      <c r="A579" s="87"/>
      <c r="B579" s="87"/>
      <c r="C579" s="87"/>
      <c r="F579" s="87"/>
      <c r="J579" s="87"/>
      <c r="K579" s="87"/>
      <c r="L579" s="87"/>
      <c r="O579" s="87"/>
      <c r="P579" s="87"/>
      <c r="Q579" s="87"/>
      <c r="R579" s="87"/>
      <c r="S579" s="87"/>
    </row>
    <row r="580">
      <c r="A580" s="87"/>
      <c r="B580" s="87"/>
      <c r="C580" s="87"/>
      <c r="F580" s="87"/>
      <c r="J580" s="87"/>
      <c r="K580" s="87"/>
      <c r="L580" s="87"/>
      <c r="O580" s="87"/>
      <c r="P580" s="87"/>
      <c r="Q580" s="87"/>
      <c r="R580" s="87"/>
      <c r="S580" s="87"/>
    </row>
    <row r="581">
      <c r="A581" s="87"/>
      <c r="B581" s="87"/>
      <c r="C581" s="87"/>
      <c r="F581" s="87"/>
      <c r="J581" s="87"/>
      <c r="K581" s="87"/>
      <c r="L581" s="87"/>
      <c r="O581" s="87"/>
      <c r="P581" s="87"/>
      <c r="Q581" s="87"/>
      <c r="R581" s="87"/>
      <c r="S581" s="87"/>
    </row>
    <row r="582">
      <c r="A582" s="87"/>
      <c r="B582" s="87"/>
      <c r="C582" s="87"/>
      <c r="F582" s="87"/>
      <c r="J582" s="87"/>
      <c r="K582" s="87"/>
      <c r="L582" s="87"/>
      <c r="O582" s="87"/>
      <c r="P582" s="87"/>
      <c r="Q582" s="87"/>
      <c r="R582" s="87"/>
      <c r="S582" s="87"/>
    </row>
    <row r="583">
      <c r="A583" s="87"/>
      <c r="B583" s="87"/>
      <c r="C583" s="87"/>
      <c r="F583" s="87"/>
      <c r="J583" s="87"/>
      <c r="K583" s="87"/>
      <c r="L583" s="87"/>
      <c r="O583" s="87"/>
      <c r="P583" s="87"/>
      <c r="Q583" s="87"/>
      <c r="R583" s="87"/>
      <c r="S583" s="87"/>
    </row>
    <row r="584">
      <c r="A584" s="87"/>
      <c r="B584" s="87"/>
      <c r="C584" s="87"/>
      <c r="F584" s="87"/>
      <c r="J584" s="87"/>
      <c r="K584" s="87"/>
      <c r="L584" s="87"/>
      <c r="O584" s="87"/>
      <c r="P584" s="87"/>
      <c r="Q584" s="87"/>
      <c r="R584" s="87"/>
      <c r="S584" s="87"/>
    </row>
    <row r="585">
      <c r="A585" s="87"/>
      <c r="B585" s="87"/>
      <c r="C585" s="87"/>
      <c r="F585" s="87"/>
      <c r="J585" s="87"/>
      <c r="K585" s="87"/>
      <c r="L585" s="87"/>
      <c r="O585" s="87"/>
      <c r="P585" s="87"/>
      <c r="Q585" s="87"/>
      <c r="R585" s="87"/>
      <c r="S585" s="87"/>
    </row>
    <row r="586">
      <c r="A586" s="87"/>
      <c r="B586" s="87"/>
      <c r="C586" s="87"/>
      <c r="F586" s="87"/>
      <c r="J586" s="87"/>
      <c r="K586" s="87"/>
      <c r="L586" s="87"/>
      <c r="O586" s="87"/>
      <c r="P586" s="87"/>
      <c r="Q586" s="87"/>
      <c r="R586" s="87"/>
      <c r="S586" s="87"/>
    </row>
    <row r="587">
      <c r="A587" s="87"/>
      <c r="B587" s="87"/>
      <c r="C587" s="87"/>
      <c r="F587" s="87"/>
      <c r="J587" s="87"/>
      <c r="K587" s="87"/>
      <c r="L587" s="87"/>
      <c r="O587" s="87"/>
      <c r="P587" s="87"/>
      <c r="Q587" s="87"/>
      <c r="R587" s="87"/>
      <c r="S587" s="87"/>
    </row>
    <row r="588">
      <c r="A588" s="87"/>
      <c r="B588" s="87"/>
      <c r="C588" s="87"/>
      <c r="F588" s="87"/>
      <c r="J588" s="87"/>
      <c r="K588" s="87"/>
      <c r="L588" s="87"/>
      <c r="O588" s="87"/>
      <c r="P588" s="87"/>
      <c r="Q588" s="87"/>
      <c r="R588" s="87"/>
      <c r="S588" s="87"/>
    </row>
    <row r="589">
      <c r="A589" s="87"/>
      <c r="B589" s="87"/>
      <c r="C589" s="87"/>
      <c r="F589" s="87"/>
      <c r="J589" s="87"/>
      <c r="K589" s="87"/>
      <c r="L589" s="87"/>
      <c r="O589" s="87"/>
      <c r="P589" s="87"/>
      <c r="Q589" s="87"/>
      <c r="R589" s="87"/>
      <c r="S589" s="87"/>
    </row>
    <row r="590">
      <c r="A590" s="87"/>
      <c r="B590" s="87"/>
      <c r="C590" s="87"/>
      <c r="F590" s="87"/>
      <c r="J590" s="87"/>
      <c r="K590" s="87"/>
      <c r="L590" s="87"/>
      <c r="O590" s="87"/>
      <c r="P590" s="87"/>
      <c r="Q590" s="87"/>
      <c r="R590" s="87"/>
      <c r="S590" s="87"/>
    </row>
    <row r="591">
      <c r="A591" s="87"/>
      <c r="B591" s="87"/>
      <c r="C591" s="87"/>
      <c r="F591" s="87"/>
      <c r="J591" s="87"/>
      <c r="K591" s="87"/>
      <c r="L591" s="87"/>
      <c r="O591" s="87"/>
      <c r="P591" s="87"/>
      <c r="Q591" s="87"/>
      <c r="R591" s="87"/>
      <c r="S591" s="87"/>
    </row>
    <row r="592">
      <c r="A592" s="87"/>
      <c r="B592" s="87"/>
      <c r="C592" s="87"/>
      <c r="F592" s="87"/>
      <c r="J592" s="87"/>
      <c r="K592" s="87"/>
      <c r="L592" s="87"/>
      <c r="O592" s="87"/>
      <c r="P592" s="87"/>
      <c r="Q592" s="87"/>
      <c r="R592" s="87"/>
      <c r="S592" s="87"/>
    </row>
    <row r="593">
      <c r="A593" s="87"/>
      <c r="B593" s="87"/>
      <c r="C593" s="87"/>
      <c r="F593" s="87"/>
      <c r="J593" s="87"/>
      <c r="K593" s="87"/>
      <c r="L593" s="87"/>
      <c r="O593" s="87"/>
      <c r="P593" s="87"/>
      <c r="Q593" s="87"/>
      <c r="R593" s="87"/>
      <c r="S593" s="87"/>
    </row>
    <row r="594">
      <c r="A594" s="87"/>
      <c r="B594" s="87"/>
      <c r="C594" s="87"/>
      <c r="F594" s="87"/>
      <c r="J594" s="87"/>
      <c r="K594" s="87"/>
      <c r="L594" s="87"/>
      <c r="O594" s="87"/>
      <c r="P594" s="87"/>
      <c r="Q594" s="87"/>
      <c r="R594" s="87"/>
      <c r="S594" s="87"/>
    </row>
    <row r="595">
      <c r="A595" s="87"/>
      <c r="B595" s="87"/>
      <c r="C595" s="87"/>
      <c r="F595" s="87"/>
      <c r="J595" s="87"/>
      <c r="K595" s="87"/>
      <c r="L595" s="87"/>
      <c r="O595" s="87"/>
      <c r="P595" s="87"/>
      <c r="Q595" s="87"/>
      <c r="R595" s="87"/>
      <c r="S595" s="87"/>
    </row>
    <row r="596">
      <c r="A596" s="87"/>
      <c r="B596" s="87"/>
      <c r="C596" s="87"/>
      <c r="F596" s="87"/>
      <c r="J596" s="87"/>
      <c r="K596" s="87"/>
      <c r="L596" s="87"/>
      <c r="O596" s="87"/>
      <c r="P596" s="87"/>
      <c r="Q596" s="87"/>
      <c r="R596" s="87"/>
      <c r="S596" s="87"/>
    </row>
    <row r="597">
      <c r="A597" s="87"/>
      <c r="B597" s="87"/>
      <c r="C597" s="87"/>
      <c r="F597" s="87"/>
      <c r="J597" s="87"/>
      <c r="K597" s="87"/>
      <c r="L597" s="87"/>
      <c r="O597" s="87"/>
      <c r="P597" s="87"/>
      <c r="Q597" s="87"/>
      <c r="R597" s="87"/>
      <c r="S597" s="87"/>
    </row>
    <row r="598">
      <c r="A598" s="87"/>
      <c r="B598" s="87"/>
      <c r="C598" s="87"/>
      <c r="F598" s="87"/>
      <c r="J598" s="87"/>
      <c r="K598" s="87"/>
      <c r="L598" s="87"/>
      <c r="O598" s="87"/>
      <c r="P598" s="87"/>
      <c r="Q598" s="87"/>
      <c r="R598" s="87"/>
      <c r="S598" s="87"/>
    </row>
    <row r="599">
      <c r="A599" s="87"/>
      <c r="B599" s="87"/>
      <c r="C599" s="87"/>
      <c r="F599" s="87"/>
      <c r="J599" s="87"/>
      <c r="K599" s="87"/>
      <c r="L599" s="87"/>
      <c r="O599" s="87"/>
      <c r="P599" s="87"/>
      <c r="Q599" s="87"/>
      <c r="R599" s="87"/>
      <c r="S599" s="87"/>
    </row>
    <row r="600">
      <c r="A600" s="87"/>
      <c r="B600" s="87"/>
      <c r="C600" s="87"/>
      <c r="F600" s="87"/>
      <c r="J600" s="87"/>
      <c r="K600" s="87"/>
      <c r="L600" s="87"/>
      <c r="O600" s="87"/>
      <c r="P600" s="87"/>
      <c r="Q600" s="87"/>
      <c r="R600" s="87"/>
      <c r="S600" s="87"/>
    </row>
    <row r="601">
      <c r="A601" s="87"/>
      <c r="B601" s="87"/>
      <c r="C601" s="87"/>
      <c r="F601" s="87"/>
      <c r="J601" s="87"/>
      <c r="K601" s="87"/>
      <c r="L601" s="87"/>
      <c r="O601" s="87"/>
      <c r="P601" s="87"/>
      <c r="Q601" s="87"/>
      <c r="R601" s="87"/>
      <c r="S601" s="87"/>
    </row>
    <row r="602">
      <c r="A602" s="87"/>
      <c r="B602" s="87"/>
      <c r="C602" s="87"/>
      <c r="F602" s="87"/>
      <c r="J602" s="87"/>
      <c r="K602" s="87"/>
      <c r="L602" s="87"/>
      <c r="O602" s="87"/>
      <c r="P602" s="87"/>
      <c r="Q602" s="87"/>
      <c r="R602" s="87"/>
      <c r="S602" s="87"/>
    </row>
    <row r="603">
      <c r="A603" s="87"/>
      <c r="B603" s="87"/>
      <c r="C603" s="87"/>
      <c r="F603" s="87"/>
      <c r="J603" s="87"/>
      <c r="K603" s="87"/>
      <c r="L603" s="87"/>
      <c r="O603" s="87"/>
      <c r="P603" s="87"/>
      <c r="Q603" s="87"/>
      <c r="R603" s="87"/>
      <c r="S603" s="87"/>
    </row>
    <row r="604">
      <c r="A604" s="87"/>
      <c r="B604" s="87"/>
      <c r="C604" s="87"/>
      <c r="F604" s="87"/>
      <c r="J604" s="87"/>
      <c r="K604" s="87"/>
      <c r="L604" s="87"/>
      <c r="O604" s="87"/>
      <c r="P604" s="87"/>
      <c r="Q604" s="87"/>
      <c r="R604" s="87"/>
      <c r="S604" s="87"/>
    </row>
    <row r="605">
      <c r="A605" s="87"/>
      <c r="B605" s="87"/>
      <c r="C605" s="87"/>
      <c r="F605" s="87"/>
      <c r="J605" s="87"/>
      <c r="K605" s="87"/>
      <c r="L605" s="87"/>
      <c r="O605" s="87"/>
      <c r="P605" s="87"/>
      <c r="Q605" s="87"/>
      <c r="R605" s="87"/>
      <c r="S605" s="87"/>
    </row>
    <row r="606">
      <c r="A606" s="87"/>
      <c r="B606" s="87"/>
      <c r="C606" s="87"/>
      <c r="F606" s="87"/>
      <c r="J606" s="87"/>
      <c r="K606" s="87"/>
      <c r="L606" s="87"/>
      <c r="O606" s="87"/>
      <c r="P606" s="87"/>
      <c r="Q606" s="87"/>
      <c r="R606" s="87"/>
      <c r="S606" s="87"/>
    </row>
    <row r="607">
      <c r="A607" s="87"/>
      <c r="B607" s="87"/>
      <c r="C607" s="87"/>
      <c r="F607" s="87"/>
      <c r="J607" s="87"/>
      <c r="K607" s="87"/>
      <c r="L607" s="87"/>
      <c r="O607" s="87"/>
      <c r="P607" s="87"/>
      <c r="Q607" s="87"/>
      <c r="R607" s="87"/>
      <c r="S607" s="87"/>
    </row>
    <row r="608">
      <c r="A608" s="87"/>
      <c r="B608" s="87"/>
      <c r="C608" s="87"/>
      <c r="F608" s="87"/>
      <c r="J608" s="87"/>
      <c r="K608" s="87"/>
      <c r="L608" s="87"/>
      <c r="O608" s="87"/>
      <c r="P608" s="87"/>
      <c r="Q608" s="87"/>
      <c r="R608" s="87"/>
      <c r="S608" s="87"/>
    </row>
    <row r="609">
      <c r="A609" s="87"/>
      <c r="B609" s="87"/>
      <c r="C609" s="87"/>
      <c r="F609" s="87"/>
      <c r="J609" s="87"/>
      <c r="K609" s="87"/>
      <c r="L609" s="87"/>
      <c r="O609" s="87"/>
      <c r="P609" s="87"/>
      <c r="Q609" s="87"/>
      <c r="R609" s="87"/>
      <c r="S609" s="87"/>
    </row>
    <row r="610">
      <c r="A610" s="87"/>
      <c r="B610" s="87"/>
      <c r="C610" s="87"/>
      <c r="F610" s="87"/>
      <c r="J610" s="87"/>
      <c r="K610" s="87"/>
      <c r="L610" s="87"/>
      <c r="O610" s="87"/>
      <c r="P610" s="87"/>
      <c r="Q610" s="87"/>
      <c r="R610" s="87"/>
      <c r="S610" s="87"/>
    </row>
    <row r="611">
      <c r="A611" s="87"/>
      <c r="B611" s="87"/>
      <c r="C611" s="87"/>
      <c r="F611" s="87"/>
      <c r="J611" s="87"/>
      <c r="K611" s="87"/>
      <c r="L611" s="87"/>
      <c r="O611" s="87"/>
      <c r="P611" s="87"/>
      <c r="Q611" s="87"/>
      <c r="R611" s="87"/>
      <c r="S611" s="87"/>
    </row>
    <row r="612">
      <c r="A612" s="87"/>
      <c r="B612" s="87"/>
      <c r="C612" s="87"/>
      <c r="F612" s="87"/>
      <c r="J612" s="87"/>
      <c r="K612" s="87"/>
      <c r="L612" s="87"/>
      <c r="O612" s="87"/>
      <c r="P612" s="87"/>
      <c r="Q612" s="87"/>
      <c r="R612" s="87"/>
      <c r="S612" s="87"/>
    </row>
    <row r="613">
      <c r="A613" s="87"/>
      <c r="B613" s="87"/>
      <c r="C613" s="87"/>
      <c r="F613" s="87"/>
      <c r="J613" s="87"/>
      <c r="K613" s="87"/>
      <c r="L613" s="87"/>
      <c r="O613" s="87"/>
      <c r="P613" s="87"/>
      <c r="Q613" s="87"/>
      <c r="R613" s="87"/>
      <c r="S613" s="87"/>
    </row>
    <row r="614">
      <c r="A614" s="87"/>
      <c r="B614" s="87"/>
      <c r="C614" s="87"/>
      <c r="F614" s="87"/>
      <c r="J614" s="87"/>
      <c r="K614" s="87"/>
      <c r="L614" s="87"/>
      <c r="O614" s="87"/>
      <c r="P614" s="87"/>
      <c r="Q614" s="87"/>
      <c r="R614" s="87"/>
      <c r="S614" s="87"/>
    </row>
    <row r="615">
      <c r="A615" s="87"/>
      <c r="B615" s="87"/>
      <c r="C615" s="87"/>
      <c r="F615" s="87"/>
      <c r="J615" s="87"/>
      <c r="K615" s="87"/>
      <c r="L615" s="87"/>
      <c r="O615" s="87"/>
      <c r="P615" s="87"/>
      <c r="Q615" s="87"/>
      <c r="R615" s="87"/>
      <c r="S615" s="87"/>
    </row>
    <row r="616">
      <c r="A616" s="87"/>
      <c r="B616" s="87"/>
      <c r="C616" s="87"/>
      <c r="F616" s="87"/>
      <c r="J616" s="87"/>
      <c r="K616" s="87"/>
      <c r="L616" s="87"/>
      <c r="O616" s="87"/>
      <c r="P616" s="87"/>
      <c r="Q616" s="87"/>
      <c r="R616" s="87"/>
      <c r="S616" s="87"/>
    </row>
    <row r="617">
      <c r="A617" s="87"/>
      <c r="B617" s="87"/>
      <c r="C617" s="87"/>
      <c r="F617" s="87"/>
      <c r="J617" s="87"/>
      <c r="K617" s="87"/>
      <c r="L617" s="87"/>
      <c r="O617" s="87"/>
      <c r="P617" s="87"/>
      <c r="Q617" s="87"/>
      <c r="R617" s="87"/>
      <c r="S617" s="87"/>
    </row>
    <row r="618">
      <c r="A618" s="87"/>
      <c r="B618" s="87"/>
      <c r="C618" s="87"/>
      <c r="F618" s="87"/>
      <c r="J618" s="87"/>
      <c r="K618" s="87"/>
      <c r="L618" s="87"/>
      <c r="O618" s="87"/>
      <c r="P618" s="87"/>
      <c r="Q618" s="87"/>
      <c r="R618" s="87"/>
      <c r="S618" s="87"/>
    </row>
    <row r="619">
      <c r="A619" s="87"/>
      <c r="B619" s="87"/>
      <c r="C619" s="87"/>
      <c r="F619" s="87"/>
      <c r="J619" s="87"/>
      <c r="K619" s="87"/>
      <c r="L619" s="87"/>
      <c r="O619" s="87"/>
      <c r="P619" s="87"/>
      <c r="Q619" s="87"/>
      <c r="R619" s="87"/>
      <c r="S619" s="87"/>
    </row>
    <row r="620">
      <c r="A620" s="87"/>
      <c r="B620" s="87"/>
      <c r="C620" s="87"/>
      <c r="F620" s="87"/>
      <c r="J620" s="87"/>
      <c r="K620" s="87"/>
      <c r="L620" s="87"/>
      <c r="O620" s="87"/>
      <c r="P620" s="87"/>
      <c r="Q620" s="87"/>
      <c r="R620" s="87"/>
      <c r="S620" s="87"/>
    </row>
    <row r="621">
      <c r="A621" s="87"/>
      <c r="B621" s="87"/>
      <c r="C621" s="87"/>
      <c r="F621" s="87"/>
      <c r="J621" s="87"/>
      <c r="K621" s="87"/>
      <c r="L621" s="87"/>
      <c r="O621" s="87"/>
      <c r="P621" s="87"/>
      <c r="Q621" s="87"/>
      <c r="R621" s="87"/>
      <c r="S621" s="87"/>
    </row>
    <row r="622">
      <c r="A622" s="87"/>
      <c r="B622" s="87"/>
      <c r="C622" s="87"/>
      <c r="F622" s="87"/>
      <c r="J622" s="87"/>
      <c r="K622" s="87"/>
      <c r="L622" s="87"/>
      <c r="O622" s="87"/>
      <c r="P622" s="87"/>
      <c r="Q622" s="87"/>
      <c r="R622" s="87"/>
      <c r="S622" s="87"/>
    </row>
    <row r="623">
      <c r="A623" s="87"/>
      <c r="B623" s="87"/>
      <c r="C623" s="87"/>
      <c r="F623" s="87"/>
      <c r="J623" s="87"/>
      <c r="K623" s="87"/>
      <c r="L623" s="87"/>
      <c r="O623" s="87"/>
      <c r="P623" s="87"/>
      <c r="Q623" s="87"/>
      <c r="R623" s="87"/>
      <c r="S623" s="87"/>
    </row>
    <row r="624">
      <c r="A624" s="87"/>
      <c r="B624" s="87"/>
      <c r="C624" s="87"/>
      <c r="F624" s="87"/>
      <c r="J624" s="87"/>
      <c r="K624" s="87"/>
      <c r="L624" s="87"/>
      <c r="O624" s="87"/>
      <c r="P624" s="87"/>
      <c r="Q624" s="87"/>
      <c r="R624" s="87"/>
      <c r="S624" s="87"/>
    </row>
    <row r="625">
      <c r="A625" s="87"/>
      <c r="B625" s="87"/>
      <c r="C625" s="87"/>
      <c r="F625" s="87"/>
      <c r="J625" s="87"/>
      <c r="K625" s="87"/>
      <c r="L625" s="87"/>
      <c r="O625" s="87"/>
      <c r="P625" s="87"/>
      <c r="Q625" s="87"/>
      <c r="R625" s="87"/>
      <c r="S625" s="87"/>
    </row>
    <row r="626">
      <c r="A626" s="87"/>
      <c r="B626" s="87"/>
      <c r="C626" s="87"/>
      <c r="F626" s="87"/>
      <c r="J626" s="87"/>
      <c r="K626" s="87"/>
      <c r="L626" s="87"/>
      <c r="O626" s="87"/>
      <c r="P626" s="87"/>
      <c r="Q626" s="87"/>
      <c r="R626" s="87"/>
      <c r="S626" s="87"/>
    </row>
    <row r="627">
      <c r="A627" s="87"/>
      <c r="B627" s="87"/>
      <c r="C627" s="87"/>
      <c r="F627" s="87"/>
      <c r="J627" s="87"/>
      <c r="K627" s="87"/>
      <c r="L627" s="87"/>
      <c r="O627" s="87"/>
      <c r="P627" s="87"/>
      <c r="Q627" s="87"/>
      <c r="R627" s="87"/>
      <c r="S627" s="87"/>
    </row>
    <row r="628">
      <c r="A628" s="87"/>
      <c r="B628" s="87"/>
      <c r="C628" s="87"/>
      <c r="F628" s="87"/>
      <c r="J628" s="87"/>
      <c r="K628" s="87"/>
      <c r="L628" s="87"/>
      <c r="O628" s="87"/>
      <c r="P628" s="87"/>
      <c r="Q628" s="87"/>
      <c r="R628" s="87"/>
      <c r="S628" s="87"/>
    </row>
    <row r="629">
      <c r="A629" s="87"/>
      <c r="B629" s="87"/>
      <c r="C629" s="87"/>
      <c r="F629" s="87"/>
      <c r="J629" s="87"/>
      <c r="K629" s="87"/>
      <c r="L629" s="87"/>
      <c r="O629" s="87"/>
      <c r="P629" s="87"/>
      <c r="Q629" s="87"/>
      <c r="R629" s="87"/>
      <c r="S629" s="87"/>
    </row>
    <row r="630">
      <c r="A630" s="87"/>
      <c r="B630" s="87"/>
      <c r="C630" s="87"/>
      <c r="F630" s="87"/>
      <c r="J630" s="87"/>
      <c r="K630" s="87"/>
      <c r="L630" s="87"/>
      <c r="O630" s="87"/>
      <c r="P630" s="87"/>
      <c r="Q630" s="87"/>
      <c r="R630" s="87"/>
      <c r="S630" s="87"/>
    </row>
    <row r="631">
      <c r="A631" s="87"/>
      <c r="B631" s="87"/>
      <c r="C631" s="87"/>
      <c r="F631" s="87"/>
      <c r="J631" s="87"/>
      <c r="K631" s="87"/>
      <c r="L631" s="87"/>
      <c r="O631" s="87"/>
      <c r="P631" s="87"/>
      <c r="Q631" s="87"/>
      <c r="R631" s="87"/>
      <c r="S631" s="87"/>
    </row>
    <row r="632">
      <c r="A632" s="87"/>
      <c r="B632" s="87"/>
      <c r="C632" s="87"/>
      <c r="F632" s="87"/>
      <c r="J632" s="87"/>
      <c r="K632" s="87"/>
      <c r="L632" s="87"/>
      <c r="O632" s="87"/>
      <c r="P632" s="87"/>
      <c r="Q632" s="87"/>
      <c r="R632" s="87"/>
      <c r="S632" s="87"/>
    </row>
    <row r="633">
      <c r="A633" s="87"/>
      <c r="B633" s="87"/>
      <c r="C633" s="87"/>
      <c r="F633" s="87"/>
      <c r="J633" s="87"/>
      <c r="K633" s="87"/>
      <c r="L633" s="87"/>
      <c r="O633" s="87"/>
      <c r="P633" s="87"/>
      <c r="Q633" s="87"/>
      <c r="R633" s="87"/>
      <c r="S633" s="87"/>
    </row>
    <row r="634">
      <c r="A634" s="87"/>
      <c r="B634" s="87"/>
      <c r="C634" s="87"/>
      <c r="F634" s="87"/>
      <c r="J634" s="87"/>
      <c r="K634" s="87"/>
      <c r="L634" s="87"/>
      <c r="O634" s="87"/>
      <c r="P634" s="87"/>
      <c r="Q634" s="87"/>
      <c r="R634" s="87"/>
      <c r="S634" s="87"/>
    </row>
    <row r="635">
      <c r="A635" s="87"/>
      <c r="B635" s="87"/>
      <c r="C635" s="87"/>
      <c r="F635" s="87"/>
      <c r="J635" s="87"/>
      <c r="K635" s="87"/>
      <c r="L635" s="87"/>
      <c r="O635" s="87"/>
      <c r="P635" s="87"/>
      <c r="Q635" s="87"/>
      <c r="R635" s="87"/>
      <c r="S635" s="87"/>
    </row>
    <row r="636">
      <c r="A636" s="87"/>
      <c r="B636" s="87"/>
      <c r="C636" s="87"/>
      <c r="F636" s="87"/>
      <c r="J636" s="87"/>
      <c r="K636" s="87"/>
      <c r="L636" s="87"/>
      <c r="O636" s="87"/>
      <c r="P636" s="87"/>
      <c r="Q636" s="87"/>
      <c r="R636" s="87"/>
      <c r="S636" s="87"/>
    </row>
    <row r="637">
      <c r="A637" s="87"/>
      <c r="B637" s="87"/>
      <c r="C637" s="87"/>
      <c r="F637" s="87"/>
      <c r="J637" s="87"/>
      <c r="K637" s="87"/>
      <c r="L637" s="87"/>
      <c r="O637" s="87"/>
      <c r="P637" s="87"/>
      <c r="Q637" s="87"/>
      <c r="R637" s="87"/>
      <c r="S637" s="87"/>
    </row>
    <row r="638">
      <c r="A638" s="87"/>
      <c r="B638" s="87"/>
      <c r="C638" s="87"/>
      <c r="F638" s="87"/>
      <c r="J638" s="87"/>
      <c r="K638" s="87"/>
      <c r="L638" s="87"/>
      <c r="O638" s="87"/>
      <c r="P638" s="87"/>
      <c r="Q638" s="87"/>
      <c r="R638" s="87"/>
      <c r="S638" s="87"/>
    </row>
    <row r="639">
      <c r="A639" s="87"/>
      <c r="B639" s="87"/>
      <c r="C639" s="87"/>
      <c r="F639" s="87"/>
      <c r="J639" s="87"/>
      <c r="K639" s="87"/>
      <c r="L639" s="87"/>
      <c r="O639" s="87"/>
      <c r="P639" s="87"/>
      <c r="Q639" s="87"/>
      <c r="R639" s="87"/>
      <c r="S639" s="87"/>
    </row>
    <row r="640">
      <c r="A640" s="87"/>
      <c r="B640" s="87"/>
      <c r="C640" s="87"/>
      <c r="F640" s="87"/>
      <c r="J640" s="87"/>
      <c r="K640" s="87"/>
      <c r="L640" s="87"/>
      <c r="O640" s="87"/>
      <c r="P640" s="87"/>
      <c r="Q640" s="87"/>
      <c r="R640" s="87"/>
      <c r="S640" s="87"/>
    </row>
    <row r="641">
      <c r="A641" s="87"/>
      <c r="B641" s="87"/>
      <c r="C641" s="87"/>
      <c r="F641" s="87"/>
      <c r="J641" s="87"/>
      <c r="K641" s="87"/>
      <c r="L641" s="87"/>
      <c r="O641" s="87"/>
      <c r="P641" s="87"/>
      <c r="Q641" s="87"/>
      <c r="R641" s="87"/>
      <c r="S641" s="87"/>
    </row>
    <row r="642">
      <c r="A642" s="87"/>
      <c r="B642" s="87"/>
      <c r="C642" s="87"/>
      <c r="F642" s="87"/>
      <c r="J642" s="87"/>
      <c r="K642" s="87"/>
      <c r="L642" s="87"/>
      <c r="O642" s="87"/>
      <c r="P642" s="87"/>
      <c r="Q642" s="87"/>
      <c r="R642" s="87"/>
      <c r="S642" s="87"/>
    </row>
    <row r="643">
      <c r="A643" s="87"/>
      <c r="B643" s="87"/>
      <c r="C643" s="87"/>
      <c r="F643" s="87"/>
      <c r="J643" s="87"/>
      <c r="K643" s="87"/>
      <c r="L643" s="87"/>
      <c r="O643" s="87"/>
      <c r="P643" s="87"/>
      <c r="Q643" s="87"/>
      <c r="R643" s="87"/>
      <c r="S643" s="87"/>
    </row>
    <row r="644">
      <c r="A644" s="87"/>
      <c r="B644" s="87"/>
      <c r="C644" s="87"/>
      <c r="F644" s="87"/>
      <c r="J644" s="87"/>
      <c r="K644" s="87"/>
      <c r="L644" s="87"/>
      <c r="O644" s="87"/>
      <c r="P644" s="87"/>
      <c r="Q644" s="87"/>
      <c r="R644" s="87"/>
      <c r="S644" s="87"/>
    </row>
    <row r="645">
      <c r="A645" s="87"/>
      <c r="B645" s="87"/>
      <c r="C645" s="87"/>
      <c r="F645" s="87"/>
      <c r="J645" s="87"/>
      <c r="K645" s="87"/>
      <c r="L645" s="87"/>
      <c r="O645" s="87"/>
      <c r="P645" s="87"/>
      <c r="Q645" s="87"/>
      <c r="R645" s="87"/>
      <c r="S645" s="87"/>
    </row>
    <row r="646">
      <c r="A646" s="87"/>
      <c r="B646" s="87"/>
      <c r="C646" s="87"/>
      <c r="F646" s="87"/>
      <c r="J646" s="87"/>
      <c r="K646" s="87"/>
      <c r="L646" s="87"/>
      <c r="O646" s="87"/>
      <c r="P646" s="87"/>
      <c r="Q646" s="87"/>
      <c r="R646" s="87"/>
      <c r="S646" s="87"/>
    </row>
    <row r="647">
      <c r="A647" s="87"/>
      <c r="B647" s="87"/>
      <c r="C647" s="87"/>
      <c r="F647" s="87"/>
      <c r="J647" s="87"/>
      <c r="K647" s="87"/>
      <c r="L647" s="87"/>
      <c r="O647" s="87"/>
      <c r="P647" s="87"/>
      <c r="Q647" s="87"/>
      <c r="R647" s="87"/>
      <c r="S647" s="87"/>
    </row>
    <row r="648">
      <c r="A648" s="87"/>
      <c r="B648" s="87"/>
      <c r="C648" s="87"/>
      <c r="F648" s="87"/>
      <c r="J648" s="87"/>
      <c r="K648" s="87"/>
      <c r="L648" s="87"/>
      <c r="O648" s="87"/>
      <c r="P648" s="87"/>
      <c r="Q648" s="87"/>
      <c r="R648" s="87"/>
      <c r="S648" s="87"/>
    </row>
    <row r="649">
      <c r="A649" s="87"/>
      <c r="B649" s="87"/>
      <c r="C649" s="87"/>
      <c r="F649" s="87"/>
      <c r="J649" s="87"/>
      <c r="K649" s="87"/>
      <c r="L649" s="87"/>
      <c r="O649" s="87"/>
      <c r="P649" s="87"/>
      <c r="Q649" s="87"/>
      <c r="R649" s="87"/>
      <c r="S649" s="87"/>
    </row>
    <row r="650">
      <c r="A650" s="87"/>
      <c r="B650" s="87"/>
      <c r="C650" s="87"/>
      <c r="F650" s="87"/>
      <c r="J650" s="87"/>
      <c r="K650" s="87"/>
      <c r="L650" s="87"/>
      <c r="O650" s="87"/>
      <c r="P650" s="87"/>
      <c r="Q650" s="87"/>
      <c r="R650" s="87"/>
      <c r="S650" s="87"/>
    </row>
    <row r="651">
      <c r="A651" s="87"/>
      <c r="B651" s="87"/>
      <c r="C651" s="87"/>
      <c r="F651" s="87"/>
      <c r="J651" s="87"/>
      <c r="K651" s="87"/>
      <c r="L651" s="87"/>
      <c r="O651" s="87"/>
      <c r="P651" s="87"/>
      <c r="Q651" s="87"/>
      <c r="R651" s="87"/>
      <c r="S651" s="87"/>
    </row>
    <row r="652">
      <c r="A652" s="87"/>
      <c r="B652" s="87"/>
      <c r="C652" s="87"/>
      <c r="F652" s="87"/>
      <c r="J652" s="87"/>
      <c r="K652" s="87"/>
      <c r="L652" s="87"/>
      <c r="O652" s="87"/>
      <c r="P652" s="87"/>
      <c r="Q652" s="87"/>
      <c r="R652" s="87"/>
      <c r="S652" s="87"/>
    </row>
    <row r="653">
      <c r="A653" s="87"/>
      <c r="B653" s="87"/>
      <c r="C653" s="87"/>
      <c r="F653" s="87"/>
      <c r="J653" s="87"/>
      <c r="K653" s="87"/>
      <c r="L653" s="87"/>
      <c r="O653" s="87"/>
      <c r="P653" s="87"/>
      <c r="Q653" s="87"/>
      <c r="R653" s="87"/>
      <c r="S653" s="87"/>
    </row>
    <row r="654">
      <c r="A654" s="87"/>
      <c r="B654" s="87"/>
      <c r="C654" s="87"/>
      <c r="F654" s="87"/>
      <c r="J654" s="87"/>
      <c r="K654" s="87"/>
      <c r="L654" s="87"/>
      <c r="O654" s="87"/>
      <c r="P654" s="87"/>
      <c r="Q654" s="87"/>
      <c r="R654" s="87"/>
      <c r="S654" s="87"/>
    </row>
    <row r="655">
      <c r="A655" s="87"/>
      <c r="B655" s="87"/>
      <c r="C655" s="87"/>
      <c r="F655" s="87"/>
      <c r="J655" s="87"/>
      <c r="K655" s="87"/>
      <c r="L655" s="87"/>
      <c r="O655" s="87"/>
      <c r="P655" s="87"/>
      <c r="Q655" s="87"/>
      <c r="R655" s="87"/>
      <c r="S655" s="87"/>
    </row>
    <row r="656">
      <c r="A656" s="87"/>
      <c r="B656" s="87"/>
      <c r="C656" s="87"/>
      <c r="F656" s="87"/>
      <c r="J656" s="87"/>
      <c r="K656" s="87"/>
      <c r="L656" s="87"/>
      <c r="O656" s="87"/>
      <c r="P656" s="87"/>
      <c r="Q656" s="87"/>
      <c r="R656" s="87"/>
      <c r="S656" s="87"/>
    </row>
    <row r="657">
      <c r="A657" s="87"/>
      <c r="B657" s="87"/>
      <c r="C657" s="87"/>
      <c r="F657" s="87"/>
      <c r="J657" s="87"/>
      <c r="K657" s="87"/>
      <c r="L657" s="87"/>
      <c r="O657" s="87"/>
      <c r="P657" s="87"/>
      <c r="Q657" s="87"/>
      <c r="R657" s="87"/>
      <c r="S657" s="87"/>
    </row>
    <row r="658">
      <c r="A658" s="87"/>
      <c r="B658" s="87"/>
      <c r="C658" s="87"/>
      <c r="F658" s="87"/>
      <c r="J658" s="87"/>
      <c r="K658" s="87"/>
      <c r="L658" s="87"/>
      <c r="O658" s="87"/>
      <c r="P658" s="87"/>
      <c r="Q658" s="87"/>
      <c r="R658" s="87"/>
      <c r="S658" s="87"/>
    </row>
    <row r="659">
      <c r="A659" s="87"/>
      <c r="B659" s="87"/>
      <c r="C659" s="87"/>
      <c r="F659" s="87"/>
      <c r="J659" s="87"/>
      <c r="K659" s="87"/>
      <c r="L659" s="87"/>
      <c r="O659" s="87"/>
      <c r="P659" s="87"/>
      <c r="Q659" s="87"/>
      <c r="R659" s="87"/>
      <c r="S659" s="87"/>
    </row>
    <row r="660">
      <c r="A660" s="87"/>
      <c r="B660" s="87"/>
      <c r="C660" s="87"/>
      <c r="F660" s="87"/>
      <c r="J660" s="87"/>
      <c r="K660" s="87"/>
      <c r="L660" s="87"/>
      <c r="O660" s="87"/>
      <c r="P660" s="87"/>
      <c r="Q660" s="87"/>
      <c r="R660" s="87"/>
      <c r="S660" s="87"/>
    </row>
    <row r="661">
      <c r="A661" s="87"/>
      <c r="B661" s="87"/>
      <c r="C661" s="87"/>
      <c r="F661" s="87"/>
      <c r="J661" s="87"/>
      <c r="K661" s="87"/>
      <c r="L661" s="87"/>
      <c r="O661" s="87"/>
      <c r="P661" s="87"/>
      <c r="Q661" s="87"/>
      <c r="R661" s="87"/>
      <c r="S661" s="87"/>
    </row>
    <row r="662">
      <c r="A662" s="87"/>
      <c r="B662" s="87"/>
      <c r="C662" s="87"/>
      <c r="F662" s="87"/>
      <c r="J662" s="87"/>
      <c r="K662" s="87"/>
      <c r="L662" s="87"/>
      <c r="O662" s="87"/>
      <c r="P662" s="87"/>
      <c r="Q662" s="87"/>
      <c r="R662" s="87"/>
      <c r="S662" s="87"/>
    </row>
    <row r="663">
      <c r="A663" s="87"/>
      <c r="B663" s="87"/>
      <c r="C663" s="87"/>
      <c r="F663" s="87"/>
      <c r="J663" s="87"/>
      <c r="K663" s="87"/>
      <c r="L663" s="87"/>
      <c r="O663" s="87"/>
      <c r="P663" s="87"/>
      <c r="Q663" s="87"/>
      <c r="R663" s="87"/>
      <c r="S663" s="87"/>
    </row>
    <row r="664">
      <c r="A664" s="87"/>
      <c r="B664" s="87"/>
      <c r="C664" s="87"/>
      <c r="F664" s="87"/>
      <c r="J664" s="87"/>
      <c r="K664" s="87"/>
      <c r="L664" s="87"/>
      <c r="O664" s="87"/>
      <c r="P664" s="87"/>
      <c r="Q664" s="87"/>
      <c r="R664" s="87"/>
      <c r="S664" s="87"/>
    </row>
    <row r="665">
      <c r="A665" s="87"/>
      <c r="B665" s="87"/>
      <c r="C665" s="87"/>
      <c r="F665" s="87"/>
      <c r="J665" s="87"/>
      <c r="K665" s="87"/>
      <c r="L665" s="87"/>
      <c r="O665" s="87"/>
      <c r="P665" s="87"/>
      <c r="Q665" s="87"/>
      <c r="R665" s="87"/>
      <c r="S665" s="87"/>
    </row>
    <row r="666">
      <c r="A666" s="87"/>
      <c r="B666" s="87"/>
      <c r="C666" s="87"/>
      <c r="F666" s="87"/>
      <c r="J666" s="87"/>
      <c r="K666" s="87"/>
      <c r="L666" s="87"/>
      <c r="O666" s="87"/>
      <c r="P666" s="87"/>
      <c r="Q666" s="87"/>
      <c r="R666" s="87"/>
      <c r="S666" s="87"/>
    </row>
    <row r="667">
      <c r="A667" s="87"/>
      <c r="B667" s="87"/>
      <c r="C667" s="87"/>
      <c r="F667" s="87"/>
      <c r="J667" s="87"/>
      <c r="K667" s="87"/>
      <c r="L667" s="87"/>
      <c r="O667" s="87"/>
      <c r="P667" s="87"/>
      <c r="Q667" s="87"/>
      <c r="R667" s="87"/>
      <c r="S667" s="87"/>
    </row>
    <row r="668">
      <c r="A668" s="87"/>
      <c r="B668" s="87"/>
      <c r="C668" s="87"/>
      <c r="F668" s="87"/>
      <c r="J668" s="87"/>
      <c r="K668" s="87"/>
      <c r="L668" s="87"/>
      <c r="O668" s="87"/>
      <c r="P668" s="87"/>
      <c r="Q668" s="87"/>
      <c r="R668" s="87"/>
      <c r="S668" s="87"/>
    </row>
    <row r="669">
      <c r="A669" s="87"/>
      <c r="B669" s="87"/>
      <c r="C669" s="87"/>
      <c r="F669" s="87"/>
      <c r="J669" s="87"/>
      <c r="K669" s="87"/>
      <c r="L669" s="87"/>
      <c r="O669" s="87"/>
      <c r="P669" s="87"/>
      <c r="Q669" s="87"/>
      <c r="R669" s="87"/>
      <c r="S669" s="87"/>
    </row>
    <row r="670">
      <c r="A670" s="87"/>
      <c r="B670" s="87"/>
      <c r="C670" s="87"/>
      <c r="F670" s="87"/>
      <c r="J670" s="87"/>
      <c r="K670" s="87"/>
      <c r="L670" s="87"/>
      <c r="O670" s="87"/>
      <c r="P670" s="87"/>
      <c r="Q670" s="87"/>
      <c r="R670" s="87"/>
      <c r="S670" s="87"/>
    </row>
    <row r="671">
      <c r="A671" s="87"/>
      <c r="B671" s="87"/>
      <c r="C671" s="87"/>
      <c r="F671" s="87"/>
      <c r="J671" s="87"/>
      <c r="K671" s="87"/>
      <c r="L671" s="87"/>
      <c r="O671" s="87"/>
      <c r="P671" s="87"/>
      <c r="Q671" s="87"/>
      <c r="R671" s="87"/>
      <c r="S671" s="87"/>
    </row>
    <row r="672">
      <c r="A672" s="87"/>
      <c r="B672" s="87"/>
      <c r="C672" s="87"/>
      <c r="F672" s="87"/>
      <c r="J672" s="87"/>
      <c r="K672" s="87"/>
      <c r="L672" s="87"/>
      <c r="O672" s="87"/>
      <c r="P672" s="87"/>
      <c r="Q672" s="87"/>
      <c r="R672" s="87"/>
      <c r="S672" s="87"/>
    </row>
    <row r="673">
      <c r="A673" s="87"/>
      <c r="B673" s="87"/>
      <c r="C673" s="87"/>
      <c r="F673" s="87"/>
      <c r="J673" s="87"/>
      <c r="K673" s="87"/>
      <c r="L673" s="87"/>
      <c r="O673" s="87"/>
      <c r="P673" s="87"/>
      <c r="Q673" s="87"/>
      <c r="R673" s="87"/>
      <c r="S673" s="87"/>
    </row>
    <row r="674">
      <c r="A674" s="87"/>
      <c r="B674" s="87"/>
      <c r="C674" s="87"/>
      <c r="F674" s="87"/>
      <c r="J674" s="87"/>
      <c r="K674" s="87"/>
      <c r="L674" s="87"/>
      <c r="O674" s="87"/>
      <c r="P674" s="87"/>
      <c r="Q674" s="87"/>
      <c r="R674" s="87"/>
      <c r="S674" s="87"/>
    </row>
    <row r="675">
      <c r="A675" s="87"/>
      <c r="B675" s="87"/>
      <c r="C675" s="87"/>
      <c r="F675" s="87"/>
      <c r="J675" s="87"/>
      <c r="K675" s="87"/>
      <c r="L675" s="87"/>
      <c r="O675" s="87"/>
      <c r="P675" s="87"/>
      <c r="Q675" s="87"/>
      <c r="R675" s="87"/>
      <c r="S675" s="87"/>
    </row>
    <row r="676">
      <c r="A676" s="87"/>
      <c r="B676" s="87"/>
      <c r="C676" s="87"/>
      <c r="F676" s="87"/>
      <c r="J676" s="87"/>
      <c r="K676" s="87"/>
      <c r="L676" s="87"/>
      <c r="O676" s="87"/>
      <c r="P676" s="87"/>
      <c r="Q676" s="87"/>
      <c r="R676" s="87"/>
      <c r="S676" s="87"/>
    </row>
    <row r="677">
      <c r="A677" s="87"/>
      <c r="B677" s="87"/>
      <c r="C677" s="87"/>
      <c r="F677" s="87"/>
      <c r="J677" s="87"/>
      <c r="K677" s="87"/>
      <c r="L677" s="87"/>
      <c r="O677" s="87"/>
      <c r="P677" s="87"/>
      <c r="Q677" s="87"/>
      <c r="R677" s="87"/>
      <c r="S677" s="87"/>
    </row>
    <row r="678">
      <c r="A678" s="87"/>
      <c r="B678" s="87"/>
      <c r="C678" s="87"/>
      <c r="F678" s="87"/>
      <c r="J678" s="87"/>
      <c r="K678" s="87"/>
      <c r="L678" s="87"/>
      <c r="O678" s="87"/>
      <c r="P678" s="87"/>
      <c r="Q678" s="87"/>
      <c r="R678" s="87"/>
      <c r="S678" s="87"/>
    </row>
    <row r="679">
      <c r="A679" s="87"/>
      <c r="B679" s="87"/>
      <c r="C679" s="87"/>
      <c r="F679" s="87"/>
      <c r="J679" s="87"/>
      <c r="K679" s="87"/>
      <c r="L679" s="87"/>
      <c r="O679" s="87"/>
      <c r="P679" s="87"/>
      <c r="Q679" s="87"/>
      <c r="R679" s="87"/>
      <c r="S679" s="87"/>
    </row>
    <row r="680">
      <c r="A680" s="87"/>
      <c r="B680" s="87"/>
      <c r="C680" s="87"/>
      <c r="F680" s="87"/>
      <c r="J680" s="87"/>
      <c r="K680" s="87"/>
      <c r="L680" s="87"/>
      <c r="O680" s="87"/>
      <c r="P680" s="87"/>
      <c r="Q680" s="87"/>
      <c r="R680" s="87"/>
      <c r="S680" s="87"/>
    </row>
    <row r="681">
      <c r="A681" s="87"/>
      <c r="B681" s="87"/>
      <c r="C681" s="87"/>
      <c r="F681" s="87"/>
      <c r="J681" s="87"/>
      <c r="K681" s="87"/>
      <c r="L681" s="87"/>
      <c r="O681" s="87"/>
      <c r="P681" s="87"/>
      <c r="Q681" s="87"/>
      <c r="R681" s="87"/>
      <c r="S681" s="87"/>
    </row>
    <row r="682">
      <c r="A682" s="87"/>
      <c r="B682" s="87"/>
      <c r="C682" s="87"/>
      <c r="F682" s="87"/>
      <c r="J682" s="87"/>
      <c r="K682" s="87"/>
      <c r="L682" s="87"/>
      <c r="O682" s="87"/>
      <c r="P682" s="87"/>
      <c r="Q682" s="87"/>
      <c r="R682" s="87"/>
      <c r="S682" s="87"/>
    </row>
    <row r="683">
      <c r="A683" s="87"/>
      <c r="B683" s="87"/>
      <c r="C683" s="87"/>
      <c r="F683" s="87"/>
      <c r="J683" s="87"/>
      <c r="K683" s="87"/>
      <c r="L683" s="87"/>
      <c r="O683" s="87"/>
      <c r="P683" s="87"/>
      <c r="Q683" s="87"/>
      <c r="R683" s="87"/>
      <c r="S683" s="87"/>
    </row>
    <row r="684">
      <c r="A684" s="87"/>
      <c r="B684" s="87"/>
      <c r="C684" s="87"/>
      <c r="F684" s="87"/>
      <c r="J684" s="87"/>
      <c r="K684" s="87"/>
      <c r="L684" s="87"/>
      <c r="O684" s="87"/>
      <c r="P684" s="87"/>
      <c r="Q684" s="87"/>
      <c r="R684" s="87"/>
      <c r="S684" s="87"/>
    </row>
    <row r="685">
      <c r="A685" s="87"/>
      <c r="B685" s="87"/>
      <c r="C685" s="87"/>
      <c r="F685" s="87"/>
      <c r="J685" s="87"/>
      <c r="K685" s="87"/>
      <c r="L685" s="87"/>
      <c r="O685" s="87"/>
      <c r="P685" s="87"/>
      <c r="Q685" s="87"/>
      <c r="R685" s="87"/>
      <c r="S685" s="87"/>
    </row>
    <row r="686">
      <c r="A686" s="87"/>
      <c r="B686" s="87"/>
      <c r="C686" s="87"/>
      <c r="F686" s="87"/>
      <c r="J686" s="87"/>
      <c r="K686" s="87"/>
      <c r="L686" s="87"/>
      <c r="O686" s="87"/>
      <c r="P686" s="87"/>
      <c r="Q686" s="87"/>
      <c r="R686" s="87"/>
      <c r="S686" s="87"/>
    </row>
    <row r="687">
      <c r="A687" s="87"/>
      <c r="B687" s="87"/>
      <c r="C687" s="87"/>
      <c r="F687" s="87"/>
      <c r="J687" s="87"/>
      <c r="K687" s="87"/>
      <c r="L687" s="87"/>
      <c r="O687" s="87"/>
      <c r="P687" s="87"/>
      <c r="Q687" s="87"/>
      <c r="R687" s="87"/>
      <c r="S687" s="87"/>
    </row>
    <row r="688">
      <c r="A688" s="87"/>
      <c r="B688" s="87"/>
      <c r="C688" s="87"/>
      <c r="F688" s="87"/>
      <c r="J688" s="87"/>
      <c r="K688" s="87"/>
      <c r="L688" s="87"/>
      <c r="O688" s="87"/>
      <c r="P688" s="87"/>
      <c r="Q688" s="87"/>
      <c r="R688" s="87"/>
      <c r="S688" s="87"/>
    </row>
    <row r="689">
      <c r="A689" s="87"/>
      <c r="B689" s="87"/>
      <c r="C689" s="87"/>
      <c r="F689" s="87"/>
      <c r="J689" s="87"/>
      <c r="K689" s="87"/>
      <c r="L689" s="87"/>
      <c r="O689" s="87"/>
      <c r="P689" s="87"/>
      <c r="Q689" s="87"/>
      <c r="R689" s="87"/>
      <c r="S689" s="87"/>
    </row>
    <row r="690">
      <c r="A690" s="87"/>
      <c r="B690" s="87"/>
      <c r="C690" s="87"/>
      <c r="F690" s="87"/>
      <c r="J690" s="87"/>
      <c r="K690" s="87"/>
      <c r="L690" s="87"/>
      <c r="O690" s="87"/>
      <c r="P690" s="87"/>
      <c r="Q690" s="87"/>
      <c r="R690" s="87"/>
      <c r="S690" s="87"/>
    </row>
    <row r="691">
      <c r="A691" s="87"/>
      <c r="B691" s="87"/>
      <c r="C691" s="87"/>
      <c r="F691" s="87"/>
      <c r="J691" s="87"/>
      <c r="K691" s="87"/>
      <c r="L691" s="87"/>
      <c r="O691" s="87"/>
      <c r="P691" s="87"/>
      <c r="Q691" s="87"/>
      <c r="R691" s="87"/>
      <c r="S691" s="87"/>
    </row>
    <row r="692">
      <c r="A692" s="87"/>
      <c r="B692" s="87"/>
      <c r="C692" s="87"/>
      <c r="F692" s="87"/>
      <c r="J692" s="87"/>
      <c r="K692" s="87"/>
      <c r="L692" s="87"/>
      <c r="O692" s="87"/>
      <c r="P692" s="87"/>
      <c r="Q692" s="87"/>
      <c r="R692" s="87"/>
      <c r="S692" s="87"/>
    </row>
    <row r="693">
      <c r="A693" s="87"/>
      <c r="B693" s="87"/>
      <c r="C693" s="87"/>
      <c r="F693" s="87"/>
      <c r="J693" s="87"/>
      <c r="K693" s="87"/>
      <c r="L693" s="87"/>
      <c r="O693" s="87"/>
      <c r="P693" s="87"/>
      <c r="Q693" s="87"/>
      <c r="R693" s="87"/>
      <c r="S693" s="87"/>
    </row>
    <row r="694">
      <c r="A694" s="87"/>
      <c r="B694" s="87"/>
      <c r="C694" s="87"/>
      <c r="F694" s="87"/>
      <c r="J694" s="87"/>
      <c r="K694" s="87"/>
      <c r="L694" s="87"/>
      <c r="O694" s="87"/>
      <c r="P694" s="87"/>
      <c r="Q694" s="87"/>
      <c r="R694" s="87"/>
      <c r="S694" s="87"/>
    </row>
    <row r="695">
      <c r="A695" s="87"/>
      <c r="B695" s="87"/>
      <c r="C695" s="87"/>
      <c r="F695" s="87"/>
      <c r="J695" s="87"/>
      <c r="K695" s="87"/>
      <c r="L695" s="87"/>
      <c r="O695" s="87"/>
      <c r="P695" s="87"/>
      <c r="Q695" s="87"/>
      <c r="R695" s="87"/>
      <c r="S695" s="87"/>
    </row>
    <row r="696">
      <c r="A696" s="87"/>
      <c r="B696" s="87"/>
      <c r="C696" s="87"/>
      <c r="F696" s="87"/>
      <c r="J696" s="87"/>
      <c r="K696" s="87"/>
      <c r="L696" s="87"/>
      <c r="O696" s="87"/>
      <c r="P696" s="87"/>
      <c r="Q696" s="87"/>
      <c r="R696" s="87"/>
      <c r="S696" s="87"/>
    </row>
    <row r="697">
      <c r="A697" s="87"/>
      <c r="B697" s="87"/>
      <c r="C697" s="87"/>
      <c r="F697" s="87"/>
      <c r="J697" s="87"/>
      <c r="K697" s="87"/>
      <c r="L697" s="87"/>
      <c r="O697" s="87"/>
      <c r="P697" s="87"/>
      <c r="Q697" s="87"/>
      <c r="R697" s="87"/>
      <c r="S697" s="87"/>
    </row>
    <row r="698">
      <c r="A698" s="87"/>
      <c r="B698" s="87"/>
      <c r="C698" s="87"/>
      <c r="F698" s="87"/>
      <c r="J698" s="87"/>
      <c r="K698" s="87"/>
      <c r="L698" s="87"/>
      <c r="O698" s="87"/>
      <c r="P698" s="87"/>
      <c r="Q698" s="87"/>
      <c r="R698" s="87"/>
      <c r="S698" s="87"/>
    </row>
    <row r="699">
      <c r="A699" s="87"/>
      <c r="B699" s="87"/>
      <c r="C699" s="87"/>
      <c r="F699" s="87"/>
      <c r="J699" s="87"/>
      <c r="K699" s="87"/>
      <c r="L699" s="87"/>
      <c r="O699" s="87"/>
      <c r="P699" s="87"/>
      <c r="Q699" s="87"/>
      <c r="R699" s="87"/>
      <c r="S699" s="87"/>
    </row>
    <row r="700">
      <c r="A700" s="87"/>
      <c r="B700" s="87"/>
      <c r="C700" s="87"/>
      <c r="F700" s="87"/>
      <c r="J700" s="87"/>
      <c r="K700" s="87"/>
      <c r="L700" s="87"/>
      <c r="O700" s="87"/>
      <c r="P700" s="87"/>
      <c r="Q700" s="87"/>
      <c r="R700" s="87"/>
      <c r="S700" s="87"/>
    </row>
    <row r="701">
      <c r="A701" s="87"/>
      <c r="B701" s="87"/>
      <c r="C701" s="87"/>
      <c r="F701" s="87"/>
      <c r="J701" s="87"/>
      <c r="K701" s="87"/>
      <c r="L701" s="87"/>
      <c r="O701" s="87"/>
      <c r="P701" s="87"/>
      <c r="Q701" s="87"/>
      <c r="R701" s="87"/>
      <c r="S701" s="87"/>
    </row>
    <row r="702">
      <c r="A702" s="87"/>
      <c r="B702" s="87"/>
      <c r="C702" s="87"/>
      <c r="F702" s="87"/>
      <c r="J702" s="87"/>
      <c r="K702" s="87"/>
      <c r="L702" s="87"/>
      <c r="O702" s="87"/>
      <c r="P702" s="87"/>
      <c r="Q702" s="87"/>
      <c r="R702" s="87"/>
      <c r="S702" s="87"/>
    </row>
    <row r="703">
      <c r="A703" s="87"/>
      <c r="B703" s="87"/>
      <c r="C703" s="87"/>
      <c r="F703" s="87"/>
      <c r="J703" s="87"/>
      <c r="K703" s="87"/>
      <c r="L703" s="87"/>
      <c r="O703" s="87"/>
      <c r="P703" s="87"/>
      <c r="Q703" s="87"/>
      <c r="R703" s="87"/>
      <c r="S703" s="87"/>
    </row>
    <row r="704">
      <c r="A704" s="87"/>
      <c r="B704" s="87"/>
      <c r="C704" s="87"/>
      <c r="F704" s="87"/>
      <c r="J704" s="87"/>
      <c r="K704" s="87"/>
      <c r="L704" s="87"/>
      <c r="O704" s="87"/>
      <c r="P704" s="87"/>
      <c r="Q704" s="87"/>
      <c r="R704" s="87"/>
      <c r="S704" s="87"/>
    </row>
    <row r="705">
      <c r="A705" s="87"/>
      <c r="B705" s="87"/>
      <c r="C705" s="87"/>
      <c r="F705" s="87"/>
      <c r="J705" s="87"/>
      <c r="K705" s="87"/>
      <c r="L705" s="87"/>
      <c r="O705" s="87"/>
      <c r="P705" s="87"/>
      <c r="Q705" s="87"/>
      <c r="R705" s="87"/>
      <c r="S705" s="87"/>
    </row>
    <row r="706">
      <c r="A706" s="87"/>
      <c r="B706" s="87"/>
      <c r="C706" s="87"/>
      <c r="F706" s="87"/>
      <c r="J706" s="87"/>
      <c r="K706" s="87"/>
      <c r="L706" s="87"/>
      <c r="O706" s="87"/>
      <c r="P706" s="87"/>
      <c r="Q706" s="87"/>
      <c r="R706" s="87"/>
      <c r="S706" s="87"/>
    </row>
    <row r="707">
      <c r="A707" s="87"/>
      <c r="B707" s="87"/>
      <c r="C707" s="87"/>
      <c r="F707" s="87"/>
      <c r="J707" s="87"/>
      <c r="K707" s="87"/>
      <c r="L707" s="87"/>
      <c r="O707" s="87"/>
      <c r="P707" s="87"/>
      <c r="Q707" s="87"/>
      <c r="R707" s="87"/>
      <c r="S707" s="87"/>
    </row>
    <row r="708">
      <c r="A708" s="87"/>
      <c r="B708" s="87"/>
      <c r="C708" s="87"/>
      <c r="F708" s="87"/>
      <c r="J708" s="87"/>
      <c r="K708" s="87"/>
      <c r="L708" s="87"/>
      <c r="O708" s="87"/>
      <c r="P708" s="87"/>
      <c r="Q708" s="87"/>
      <c r="R708" s="87"/>
      <c r="S708" s="87"/>
    </row>
    <row r="709">
      <c r="A709" s="87"/>
      <c r="B709" s="87"/>
      <c r="C709" s="87"/>
      <c r="F709" s="87"/>
      <c r="J709" s="87"/>
      <c r="K709" s="87"/>
      <c r="L709" s="87"/>
      <c r="O709" s="87"/>
      <c r="P709" s="87"/>
      <c r="Q709" s="87"/>
      <c r="R709" s="87"/>
      <c r="S709" s="87"/>
    </row>
    <row r="710">
      <c r="A710" s="87"/>
      <c r="B710" s="87"/>
      <c r="C710" s="87"/>
      <c r="F710" s="87"/>
      <c r="J710" s="87"/>
      <c r="K710" s="87"/>
      <c r="L710" s="87"/>
      <c r="O710" s="87"/>
      <c r="P710" s="87"/>
      <c r="Q710" s="87"/>
      <c r="R710" s="87"/>
      <c r="S710" s="87"/>
    </row>
    <row r="711">
      <c r="A711" s="87"/>
      <c r="B711" s="87"/>
      <c r="C711" s="87"/>
      <c r="F711" s="87"/>
      <c r="J711" s="87"/>
      <c r="K711" s="87"/>
      <c r="L711" s="87"/>
      <c r="O711" s="87"/>
      <c r="P711" s="87"/>
      <c r="Q711" s="87"/>
      <c r="R711" s="87"/>
      <c r="S711" s="87"/>
    </row>
    <row r="712">
      <c r="A712" s="87"/>
      <c r="B712" s="87"/>
      <c r="C712" s="87"/>
      <c r="F712" s="87"/>
      <c r="J712" s="87"/>
      <c r="K712" s="87"/>
      <c r="L712" s="87"/>
      <c r="O712" s="87"/>
      <c r="P712" s="87"/>
      <c r="Q712" s="87"/>
      <c r="R712" s="87"/>
      <c r="S712" s="87"/>
    </row>
    <row r="713">
      <c r="A713" s="87"/>
      <c r="B713" s="87"/>
      <c r="C713" s="87"/>
      <c r="F713" s="87"/>
      <c r="J713" s="87"/>
      <c r="K713" s="87"/>
      <c r="L713" s="87"/>
      <c r="O713" s="87"/>
      <c r="P713" s="87"/>
      <c r="Q713" s="87"/>
      <c r="R713" s="87"/>
      <c r="S713" s="87"/>
    </row>
    <row r="714">
      <c r="A714" s="87"/>
      <c r="B714" s="87"/>
      <c r="C714" s="87"/>
      <c r="F714" s="87"/>
      <c r="J714" s="87"/>
      <c r="K714" s="87"/>
      <c r="L714" s="87"/>
      <c r="O714" s="87"/>
      <c r="P714" s="87"/>
      <c r="Q714" s="87"/>
      <c r="R714" s="87"/>
      <c r="S714" s="87"/>
    </row>
    <row r="715">
      <c r="A715" s="87"/>
      <c r="B715" s="87"/>
      <c r="C715" s="87"/>
      <c r="F715" s="87"/>
      <c r="J715" s="87"/>
      <c r="K715" s="87"/>
      <c r="L715" s="87"/>
      <c r="O715" s="87"/>
      <c r="P715" s="87"/>
      <c r="Q715" s="87"/>
      <c r="R715" s="87"/>
      <c r="S715" s="87"/>
    </row>
    <row r="716">
      <c r="A716" s="87"/>
      <c r="B716" s="87"/>
      <c r="C716" s="87"/>
      <c r="F716" s="87"/>
      <c r="J716" s="87"/>
      <c r="K716" s="87"/>
      <c r="L716" s="87"/>
      <c r="O716" s="87"/>
      <c r="P716" s="87"/>
      <c r="Q716" s="87"/>
      <c r="R716" s="87"/>
      <c r="S716" s="87"/>
    </row>
    <row r="717">
      <c r="A717" s="87"/>
      <c r="B717" s="87"/>
      <c r="C717" s="87"/>
      <c r="F717" s="87"/>
      <c r="J717" s="87"/>
      <c r="K717" s="87"/>
      <c r="L717" s="87"/>
      <c r="O717" s="87"/>
      <c r="P717" s="87"/>
      <c r="Q717" s="87"/>
      <c r="R717" s="87"/>
      <c r="S717" s="87"/>
    </row>
    <row r="718">
      <c r="A718" s="87"/>
      <c r="B718" s="87"/>
      <c r="C718" s="87"/>
      <c r="F718" s="87"/>
      <c r="J718" s="87"/>
      <c r="K718" s="87"/>
      <c r="L718" s="87"/>
      <c r="O718" s="87"/>
      <c r="P718" s="87"/>
      <c r="Q718" s="87"/>
      <c r="R718" s="87"/>
      <c r="S718" s="87"/>
    </row>
    <row r="719">
      <c r="A719" s="87"/>
      <c r="B719" s="87"/>
      <c r="C719" s="87"/>
      <c r="F719" s="87"/>
      <c r="J719" s="87"/>
      <c r="K719" s="87"/>
      <c r="L719" s="87"/>
      <c r="O719" s="87"/>
      <c r="P719" s="87"/>
      <c r="Q719" s="87"/>
      <c r="R719" s="87"/>
      <c r="S719" s="87"/>
    </row>
    <row r="720">
      <c r="A720" s="87"/>
      <c r="B720" s="87"/>
      <c r="C720" s="87"/>
      <c r="F720" s="87"/>
      <c r="J720" s="87"/>
      <c r="K720" s="87"/>
      <c r="L720" s="87"/>
      <c r="O720" s="87"/>
      <c r="P720" s="87"/>
      <c r="Q720" s="87"/>
      <c r="R720" s="87"/>
      <c r="S720" s="87"/>
    </row>
    <row r="721">
      <c r="A721" s="87"/>
      <c r="B721" s="87"/>
      <c r="C721" s="87"/>
      <c r="F721" s="87"/>
      <c r="J721" s="87"/>
      <c r="K721" s="87"/>
      <c r="L721" s="87"/>
      <c r="O721" s="87"/>
      <c r="P721" s="87"/>
      <c r="Q721" s="87"/>
      <c r="R721" s="87"/>
      <c r="S721" s="87"/>
    </row>
    <row r="722">
      <c r="A722" s="87"/>
      <c r="B722" s="87"/>
      <c r="C722" s="87"/>
      <c r="F722" s="87"/>
      <c r="J722" s="87"/>
      <c r="K722" s="87"/>
      <c r="L722" s="87"/>
      <c r="O722" s="87"/>
      <c r="P722" s="87"/>
      <c r="Q722" s="87"/>
      <c r="R722" s="87"/>
      <c r="S722" s="87"/>
    </row>
    <row r="723">
      <c r="A723" s="87"/>
      <c r="B723" s="87"/>
      <c r="C723" s="87"/>
      <c r="F723" s="87"/>
      <c r="J723" s="87"/>
      <c r="K723" s="87"/>
      <c r="L723" s="87"/>
      <c r="O723" s="87"/>
      <c r="P723" s="87"/>
      <c r="Q723" s="87"/>
      <c r="R723" s="87"/>
      <c r="S723" s="87"/>
    </row>
    <row r="724">
      <c r="A724" s="87"/>
      <c r="B724" s="87"/>
      <c r="C724" s="87"/>
      <c r="F724" s="87"/>
      <c r="J724" s="87"/>
      <c r="K724" s="87"/>
      <c r="L724" s="87"/>
      <c r="O724" s="87"/>
      <c r="P724" s="87"/>
      <c r="Q724" s="87"/>
      <c r="R724" s="87"/>
      <c r="S724" s="87"/>
    </row>
    <row r="725">
      <c r="A725" s="87"/>
      <c r="B725" s="87"/>
      <c r="C725" s="87"/>
      <c r="F725" s="87"/>
      <c r="J725" s="87"/>
      <c r="K725" s="87"/>
      <c r="L725" s="87"/>
      <c r="O725" s="87"/>
      <c r="P725" s="87"/>
      <c r="Q725" s="87"/>
      <c r="R725" s="87"/>
      <c r="S725" s="87"/>
    </row>
    <row r="726">
      <c r="A726" s="87"/>
      <c r="B726" s="87"/>
      <c r="C726" s="87"/>
      <c r="F726" s="87"/>
      <c r="J726" s="87"/>
      <c r="K726" s="87"/>
      <c r="L726" s="87"/>
      <c r="O726" s="87"/>
      <c r="P726" s="87"/>
      <c r="Q726" s="87"/>
      <c r="R726" s="87"/>
      <c r="S726" s="87"/>
    </row>
    <row r="727">
      <c r="A727" s="87"/>
      <c r="B727" s="87"/>
      <c r="C727" s="87"/>
      <c r="F727" s="87"/>
      <c r="J727" s="87"/>
      <c r="K727" s="87"/>
      <c r="L727" s="87"/>
      <c r="O727" s="87"/>
      <c r="P727" s="87"/>
      <c r="Q727" s="87"/>
      <c r="R727" s="87"/>
      <c r="S727" s="87"/>
    </row>
    <row r="728">
      <c r="A728" s="87"/>
      <c r="B728" s="87"/>
      <c r="C728" s="87"/>
      <c r="F728" s="87"/>
      <c r="J728" s="87"/>
      <c r="K728" s="87"/>
      <c r="L728" s="87"/>
      <c r="O728" s="87"/>
      <c r="P728" s="87"/>
      <c r="Q728" s="87"/>
      <c r="R728" s="87"/>
      <c r="S728" s="87"/>
    </row>
    <row r="729">
      <c r="A729" s="87"/>
      <c r="B729" s="87"/>
      <c r="C729" s="87"/>
      <c r="F729" s="87"/>
      <c r="J729" s="87"/>
      <c r="K729" s="87"/>
      <c r="L729" s="87"/>
      <c r="O729" s="87"/>
      <c r="P729" s="87"/>
      <c r="Q729" s="87"/>
      <c r="R729" s="87"/>
      <c r="S729" s="87"/>
    </row>
    <row r="730">
      <c r="A730" s="87"/>
      <c r="B730" s="87"/>
      <c r="C730" s="87"/>
      <c r="F730" s="87"/>
      <c r="J730" s="87"/>
      <c r="K730" s="87"/>
      <c r="L730" s="87"/>
      <c r="O730" s="87"/>
      <c r="P730" s="87"/>
      <c r="Q730" s="87"/>
      <c r="R730" s="87"/>
      <c r="S730" s="87"/>
    </row>
    <row r="731">
      <c r="A731" s="87"/>
      <c r="B731" s="87"/>
      <c r="C731" s="87"/>
      <c r="F731" s="87"/>
      <c r="J731" s="87"/>
      <c r="K731" s="87"/>
      <c r="L731" s="87"/>
      <c r="O731" s="87"/>
      <c r="P731" s="87"/>
      <c r="Q731" s="87"/>
      <c r="R731" s="87"/>
      <c r="S731" s="87"/>
    </row>
    <row r="732">
      <c r="A732" s="87"/>
      <c r="B732" s="87"/>
      <c r="C732" s="87"/>
      <c r="F732" s="87"/>
      <c r="J732" s="87"/>
      <c r="K732" s="87"/>
      <c r="L732" s="87"/>
      <c r="O732" s="87"/>
      <c r="P732" s="87"/>
      <c r="Q732" s="87"/>
      <c r="R732" s="87"/>
      <c r="S732" s="87"/>
    </row>
    <row r="733">
      <c r="A733" s="87"/>
      <c r="B733" s="87"/>
      <c r="C733" s="87"/>
      <c r="F733" s="87"/>
      <c r="J733" s="87"/>
      <c r="K733" s="87"/>
      <c r="L733" s="87"/>
      <c r="O733" s="87"/>
      <c r="P733" s="87"/>
      <c r="Q733" s="87"/>
      <c r="R733" s="87"/>
      <c r="S733" s="87"/>
    </row>
    <row r="734">
      <c r="A734" s="87"/>
      <c r="B734" s="87"/>
      <c r="C734" s="87"/>
      <c r="F734" s="87"/>
      <c r="J734" s="87"/>
      <c r="K734" s="87"/>
      <c r="L734" s="87"/>
      <c r="O734" s="87"/>
      <c r="P734" s="87"/>
      <c r="Q734" s="87"/>
      <c r="R734" s="87"/>
      <c r="S734" s="87"/>
    </row>
    <row r="735">
      <c r="A735" s="87"/>
      <c r="B735" s="87"/>
      <c r="C735" s="87"/>
      <c r="F735" s="87"/>
      <c r="J735" s="87"/>
      <c r="K735" s="87"/>
      <c r="L735" s="87"/>
      <c r="O735" s="87"/>
      <c r="P735" s="87"/>
      <c r="Q735" s="87"/>
      <c r="R735" s="87"/>
      <c r="S735" s="87"/>
    </row>
    <row r="736">
      <c r="A736" s="87"/>
      <c r="B736" s="87"/>
      <c r="C736" s="87"/>
      <c r="F736" s="87"/>
      <c r="J736" s="87"/>
      <c r="K736" s="87"/>
      <c r="L736" s="87"/>
      <c r="O736" s="87"/>
      <c r="P736" s="87"/>
      <c r="Q736" s="87"/>
      <c r="R736" s="87"/>
      <c r="S736" s="87"/>
    </row>
    <row r="737">
      <c r="A737" s="87"/>
      <c r="B737" s="87"/>
      <c r="C737" s="87"/>
      <c r="F737" s="87"/>
      <c r="J737" s="87"/>
      <c r="K737" s="87"/>
      <c r="L737" s="87"/>
      <c r="O737" s="87"/>
      <c r="P737" s="87"/>
      <c r="Q737" s="87"/>
      <c r="R737" s="87"/>
      <c r="S737" s="87"/>
    </row>
    <row r="738">
      <c r="A738" s="87"/>
      <c r="B738" s="87"/>
      <c r="C738" s="87"/>
      <c r="F738" s="87"/>
      <c r="J738" s="87"/>
      <c r="K738" s="87"/>
      <c r="L738" s="87"/>
      <c r="O738" s="87"/>
      <c r="P738" s="87"/>
      <c r="Q738" s="87"/>
      <c r="R738" s="87"/>
      <c r="S738" s="87"/>
    </row>
    <row r="739">
      <c r="A739" s="87"/>
      <c r="B739" s="87"/>
      <c r="C739" s="87"/>
      <c r="F739" s="87"/>
      <c r="J739" s="87"/>
      <c r="K739" s="87"/>
      <c r="L739" s="87"/>
      <c r="O739" s="87"/>
      <c r="P739" s="87"/>
      <c r="Q739" s="87"/>
      <c r="R739" s="87"/>
      <c r="S739" s="87"/>
    </row>
    <row r="740">
      <c r="A740" s="87"/>
      <c r="B740" s="87"/>
      <c r="C740" s="87"/>
      <c r="F740" s="87"/>
      <c r="J740" s="87"/>
      <c r="K740" s="87"/>
      <c r="L740" s="87"/>
      <c r="O740" s="87"/>
      <c r="P740" s="87"/>
      <c r="Q740" s="87"/>
      <c r="R740" s="87"/>
      <c r="S740" s="87"/>
    </row>
    <row r="741">
      <c r="A741" s="87"/>
      <c r="B741" s="87"/>
      <c r="C741" s="87"/>
      <c r="F741" s="87"/>
      <c r="J741" s="87"/>
      <c r="K741" s="87"/>
      <c r="L741" s="87"/>
      <c r="O741" s="87"/>
      <c r="P741" s="87"/>
      <c r="Q741" s="87"/>
      <c r="R741" s="87"/>
      <c r="S741" s="87"/>
    </row>
    <row r="742">
      <c r="A742" s="87"/>
      <c r="B742" s="87"/>
      <c r="C742" s="87"/>
      <c r="F742" s="87"/>
      <c r="J742" s="87"/>
      <c r="K742" s="87"/>
      <c r="L742" s="87"/>
      <c r="O742" s="87"/>
      <c r="P742" s="87"/>
      <c r="Q742" s="87"/>
      <c r="R742" s="87"/>
      <c r="S742" s="87"/>
    </row>
    <row r="743">
      <c r="A743" s="87"/>
      <c r="B743" s="87"/>
      <c r="C743" s="87"/>
      <c r="F743" s="87"/>
      <c r="J743" s="87"/>
      <c r="K743" s="87"/>
      <c r="L743" s="87"/>
      <c r="O743" s="87"/>
      <c r="P743" s="87"/>
      <c r="Q743" s="87"/>
      <c r="R743" s="87"/>
      <c r="S743" s="87"/>
    </row>
    <row r="744">
      <c r="A744" s="87"/>
      <c r="B744" s="87"/>
      <c r="C744" s="87"/>
      <c r="F744" s="87"/>
      <c r="J744" s="87"/>
      <c r="K744" s="87"/>
      <c r="L744" s="87"/>
      <c r="O744" s="87"/>
      <c r="P744" s="87"/>
      <c r="Q744" s="87"/>
      <c r="R744" s="87"/>
      <c r="S744" s="87"/>
    </row>
    <row r="745">
      <c r="A745" s="87"/>
      <c r="B745" s="87"/>
      <c r="C745" s="87"/>
      <c r="F745" s="87"/>
      <c r="J745" s="87"/>
      <c r="K745" s="87"/>
      <c r="L745" s="87"/>
      <c r="O745" s="87"/>
      <c r="P745" s="87"/>
      <c r="Q745" s="87"/>
      <c r="R745" s="87"/>
      <c r="S745" s="87"/>
    </row>
    <row r="746">
      <c r="A746" s="87"/>
      <c r="B746" s="87"/>
      <c r="C746" s="87"/>
      <c r="F746" s="87"/>
      <c r="J746" s="87"/>
      <c r="K746" s="87"/>
      <c r="L746" s="87"/>
      <c r="O746" s="87"/>
      <c r="P746" s="87"/>
      <c r="Q746" s="87"/>
      <c r="R746" s="87"/>
      <c r="S746" s="87"/>
    </row>
    <row r="747">
      <c r="A747" s="87"/>
      <c r="B747" s="87"/>
      <c r="C747" s="87"/>
      <c r="F747" s="87"/>
      <c r="J747" s="87"/>
      <c r="K747" s="87"/>
      <c r="L747" s="87"/>
      <c r="O747" s="87"/>
      <c r="P747" s="87"/>
      <c r="Q747" s="87"/>
      <c r="R747" s="87"/>
      <c r="S747" s="87"/>
    </row>
    <row r="748">
      <c r="A748" s="87"/>
      <c r="B748" s="87"/>
      <c r="C748" s="87"/>
      <c r="F748" s="87"/>
      <c r="J748" s="87"/>
      <c r="K748" s="87"/>
      <c r="L748" s="87"/>
      <c r="O748" s="87"/>
      <c r="P748" s="87"/>
      <c r="Q748" s="87"/>
      <c r="R748" s="87"/>
      <c r="S748" s="87"/>
    </row>
    <row r="749">
      <c r="A749" s="87"/>
      <c r="B749" s="87"/>
      <c r="C749" s="87"/>
      <c r="F749" s="87"/>
      <c r="J749" s="87"/>
      <c r="K749" s="87"/>
      <c r="L749" s="87"/>
      <c r="O749" s="87"/>
      <c r="P749" s="87"/>
      <c r="Q749" s="87"/>
      <c r="R749" s="87"/>
      <c r="S749" s="87"/>
    </row>
    <row r="750">
      <c r="A750" s="87"/>
      <c r="B750" s="87"/>
      <c r="C750" s="87"/>
      <c r="F750" s="87"/>
      <c r="J750" s="87"/>
      <c r="K750" s="87"/>
      <c r="L750" s="87"/>
      <c r="O750" s="87"/>
      <c r="P750" s="87"/>
      <c r="Q750" s="87"/>
      <c r="R750" s="87"/>
      <c r="S750" s="87"/>
    </row>
    <row r="751">
      <c r="A751" s="87"/>
      <c r="B751" s="87"/>
      <c r="C751" s="87"/>
      <c r="F751" s="87"/>
      <c r="J751" s="87"/>
      <c r="K751" s="87"/>
      <c r="L751" s="87"/>
      <c r="O751" s="87"/>
      <c r="P751" s="87"/>
      <c r="Q751" s="87"/>
      <c r="R751" s="87"/>
      <c r="S751" s="87"/>
    </row>
    <row r="752">
      <c r="A752" s="87"/>
      <c r="B752" s="87"/>
      <c r="C752" s="87"/>
      <c r="F752" s="87"/>
      <c r="J752" s="87"/>
      <c r="K752" s="87"/>
      <c r="L752" s="87"/>
      <c r="O752" s="87"/>
      <c r="P752" s="87"/>
      <c r="Q752" s="87"/>
      <c r="R752" s="87"/>
      <c r="S752" s="87"/>
    </row>
    <row r="753">
      <c r="A753" s="87"/>
      <c r="B753" s="87"/>
      <c r="C753" s="87"/>
      <c r="F753" s="87"/>
      <c r="J753" s="87"/>
      <c r="K753" s="87"/>
      <c r="L753" s="87"/>
      <c r="O753" s="87"/>
      <c r="P753" s="87"/>
      <c r="Q753" s="87"/>
      <c r="R753" s="87"/>
      <c r="S753" s="87"/>
    </row>
    <row r="754">
      <c r="A754" s="87"/>
      <c r="B754" s="87"/>
      <c r="C754" s="87"/>
      <c r="F754" s="87"/>
      <c r="J754" s="87"/>
      <c r="K754" s="87"/>
      <c r="L754" s="87"/>
      <c r="O754" s="87"/>
      <c r="P754" s="87"/>
      <c r="Q754" s="87"/>
      <c r="R754" s="87"/>
      <c r="S754" s="87"/>
    </row>
    <row r="755">
      <c r="A755" s="87"/>
      <c r="B755" s="87"/>
      <c r="C755" s="87"/>
      <c r="F755" s="87"/>
      <c r="J755" s="87"/>
      <c r="K755" s="87"/>
      <c r="L755" s="87"/>
      <c r="O755" s="87"/>
      <c r="P755" s="87"/>
      <c r="Q755" s="87"/>
      <c r="R755" s="87"/>
      <c r="S755" s="87"/>
    </row>
    <row r="756">
      <c r="A756" s="87"/>
      <c r="B756" s="87"/>
      <c r="C756" s="87"/>
      <c r="F756" s="87"/>
      <c r="J756" s="87"/>
      <c r="K756" s="87"/>
      <c r="L756" s="87"/>
      <c r="O756" s="87"/>
      <c r="P756" s="87"/>
      <c r="Q756" s="87"/>
      <c r="R756" s="87"/>
      <c r="S756" s="87"/>
    </row>
    <row r="757">
      <c r="A757" s="87"/>
      <c r="B757" s="87"/>
      <c r="C757" s="87"/>
      <c r="F757" s="87"/>
      <c r="J757" s="87"/>
      <c r="K757" s="87"/>
      <c r="L757" s="87"/>
      <c r="O757" s="87"/>
      <c r="P757" s="87"/>
      <c r="Q757" s="87"/>
      <c r="R757" s="87"/>
      <c r="S757" s="87"/>
    </row>
    <row r="758">
      <c r="A758" s="87"/>
      <c r="B758" s="87"/>
      <c r="C758" s="87"/>
      <c r="F758" s="87"/>
      <c r="J758" s="87"/>
      <c r="K758" s="87"/>
      <c r="L758" s="87"/>
      <c r="O758" s="87"/>
      <c r="P758" s="87"/>
      <c r="Q758" s="87"/>
      <c r="R758" s="87"/>
      <c r="S758" s="87"/>
    </row>
    <row r="759">
      <c r="A759" s="87"/>
      <c r="B759" s="87"/>
      <c r="C759" s="87"/>
      <c r="F759" s="87"/>
      <c r="J759" s="87"/>
      <c r="K759" s="87"/>
      <c r="L759" s="87"/>
      <c r="O759" s="87"/>
      <c r="P759" s="87"/>
      <c r="Q759" s="87"/>
      <c r="R759" s="87"/>
      <c r="S759" s="87"/>
    </row>
    <row r="760">
      <c r="A760" s="87"/>
      <c r="B760" s="87"/>
      <c r="C760" s="87"/>
      <c r="F760" s="87"/>
      <c r="J760" s="87"/>
      <c r="K760" s="87"/>
      <c r="L760" s="87"/>
      <c r="O760" s="87"/>
      <c r="P760" s="87"/>
      <c r="Q760" s="87"/>
      <c r="R760" s="87"/>
      <c r="S760" s="87"/>
    </row>
    <row r="761">
      <c r="A761" s="87"/>
      <c r="B761" s="87"/>
      <c r="C761" s="87"/>
      <c r="F761" s="87"/>
      <c r="J761" s="87"/>
      <c r="K761" s="87"/>
      <c r="L761" s="87"/>
      <c r="O761" s="87"/>
      <c r="P761" s="87"/>
      <c r="Q761" s="87"/>
      <c r="R761" s="87"/>
      <c r="S761" s="87"/>
    </row>
    <row r="762">
      <c r="A762" s="87"/>
      <c r="B762" s="87"/>
      <c r="C762" s="87"/>
      <c r="F762" s="87"/>
      <c r="J762" s="87"/>
      <c r="K762" s="87"/>
      <c r="L762" s="87"/>
      <c r="O762" s="87"/>
      <c r="P762" s="87"/>
      <c r="Q762" s="87"/>
      <c r="R762" s="87"/>
      <c r="S762" s="87"/>
    </row>
    <row r="763">
      <c r="A763" s="87"/>
      <c r="B763" s="87"/>
      <c r="C763" s="87"/>
      <c r="F763" s="87"/>
      <c r="J763" s="87"/>
      <c r="K763" s="87"/>
      <c r="L763" s="87"/>
      <c r="O763" s="87"/>
      <c r="P763" s="87"/>
      <c r="Q763" s="87"/>
      <c r="R763" s="87"/>
      <c r="S763" s="87"/>
    </row>
    <row r="764">
      <c r="A764" s="87"/>
      <c r="B764" s="87"/>
      <c r="C764" s="87"/>
      <c r="F764" s="87"/>
      <c r="J764" s="87"/>
      <c r="K764" s="87"/>
      <c r="L764" s="87"/>
      <c r="O764" s="87"/>
      <c r="P764" s="87"/>
      <c r="Q764" s="87"/>
      <c r="R764" s="87"/>
      <c r="S764" s="87"/>
    </row>
    <row r="765">
      <c r="A765" s="87"/>
      <c r="B765" s="87"/>
      <c r="C765" s="87"/>
      <c r="F765" s="87"/>
      <c r="J765" s="87"/>
      <c r="K765" s="87"/>
      <c r="L765" s="87"/>
      <c r="O765" s="87"/>
      <c r="P765" s="87"/>
      <c r="Q765" s="87"/>
      <c r="R765" s="87"/>
      <c r="S765" s="87"/>
    </row>
    <row r="766">
      <c r="A766" s="87"/>
      <c r="B766" s="87"/>
      <c r="C766" s="87"/>
      <c r="F766" s="87"/>
      <c r="J766" s="87"/>
      <c r="K766" s="87"/>
      <c r="L766" s="87"/>
      <c r="O766" s="87"/>
      <c r="P766" s="87"/>
      <c r="Q766" s="87"/>
      <c r="R766" s="87"/>
      <c r="S766" s="87"/>
    </row>
    <row r="767">
      <c r="A767" s="87"/>
      <c r="B767" s="87"/>
      <c r="C767" s="87"/>
      <c r="F767" s="87"/>
      <c r="J767" s="87"/>
      <c r="K767" s="87"/>
      <c r="L767" s="87"/>
      <c r="O767" s="87"/>
      <c r="P767" s="87"/>
      <c r="Q767" s="87"/>
      <c r="R767" s="87"/>
      <c r="S767" s="87"/>
    </row>
    <row r="768">
      <c r="A768" s="87"/>
      <c r="B768" s="87"/>
      <c r="C768" s="87"/>
      <c r="F768" s="87"/>
      <c r="J768" s="87"/>
      <c r="K768" s="87"/>
      <c r="L768" s="87"/>
      <c r="O768" s="87"/>
      <c r="P768" s="87"/>
      <c r="Q768" s="87"/>
      <c r="R768" s="87"/>
      <c r="S768" s="87"/>
    </row>
    <row r="769">
      <c r="A769" s="87"/>
      <c r="B769" s="87"/>
      <c r="C769" s="87"/>
      <c r="F769" s="87"/>
      <c r="J769" s="87"/>
      <c r="K769" s="87"/>
      <c r="L769" s="87"/>
      <c r="O769" s="87"/>
      <c r="P769" s="87"/>
      <c r="Q769" s="87"/>
      <c r="R769" s="87"/>
      <c r="S769" s="87"/>
    </row>
    <row r="770">
      <c r="A770" s="87"/>
      <c r="B770" s="87"/>
      <c r="C770" s="87"/>
      <c r="F770" s="87"/>
      <c r="J770" s="87"/>
      <c r="K770" s="87"/>
      <c r="L770" s="87"/>
      <c r="O770" s="87"/>
      <c r="P770" s="87"/>
      <c r="Q770" s="87"/>
      <c r="R770" s="87"/>
      <c r="S770" s="87"/>
    </row>
    <row r="771">
      <c r="A771" s="87"/>
      <c r="B771" s="87"/>
      <c r="C771" s="87"/>
      <c r="F771" s="87"/>
      <c r="J771" s="87"/>
      <c r="K771" s="87"/>
      <c r="L771" s="87"/>
      <c r="O771" s="87"/>
      <c r="P771" s="87"/>
      <c r="Q771" s="87"/>
      <c r="R771" s="87"/>
      <c r="S771" s="87"/>
    </row>
    <row r="772">
      <c r="A772" s="87"/>
      <c r="B772" s="87"/>
      <c r="C772" s="87"/>
      <c r="F772" s="87"/>
      <c r="J772" s="87"/>
      <c r="K772" s="87"/>
      <c r="L772" s="87"/>
      <c r="O772" s="87"/>
      <c r="P772" s="87"/>
      <c r="Q772" s="87"/>
      <c r="R772" s="87"/>
      <c r="S772" s="87"/>
    </row>
    <row r="773">
      <c r="A773" s="87"/>
      <c r="B773" s="87"/>
      <c r="C773" s="87"/>
      <c r="F773" s="87"/>
      <c r="J773" s="87"/>
      <c r="K773" s="87"/>
      <c r="L773" s="87"/>
      <c r="O773" s="87"/>
      <c r="P773" s="87"/>
      <c r="Q773" s="87"/>
      <c r="R773" s="87"/>
      <c r="S773" s="87"/>
    </row>
    <row r="774">
      <c r="A774" s="87"/>
      <c r="B774" s="87"/>
      <c r="C774" s="87"/>
      <c r="F774" s="87"/>
      <c r="J774" s="87"/>
      <c r="K774" s="87"/>
      <c r="L774" s="87"/>
      <c r="O774" s="87"/>
      <c r="P774" s="87"/>
      <c r="Q774" s="87"/>
      <c r="R774" s="87"/>
      <c r="S774" s="87"/>
    </row>
    <row r="775">
      <c r="A775" s="87"/>
      <c r="B775" s="87"/>
      <c r="C775" s="87"/>
      <c r="F775" s="87"/>
      <c r="J775" s="87"/>
      <c r="K775" s="87"/>
      <c r="L775" s="87"/>
      <c r="O775" s="87"/>
      <c r="P775" s="87"/>
      <c r="Q775" s="87"/>
      <c r="R775" s="87"/>
      <c r="S775" s="87"/>
    </row>
    <row r="776">
      <c r="A776" s="87"/>
      <c r="B776" s="87"/>
      <c r="C776" s="87"/>
      <c r="F776" s="87"/>
      <c r="J776" s="87"/>
      <c r="K776" s="87"/>
      <c r="L776" s="87"/>
      <c r="O776" s="87"/>
      <c r="P776" s="87"/>
      <c r="Q776" s="87"/>
      <c r="R776" s="87"/>
      <c r="S776" s="87"/>
    </row>
    <row r="777">
      <c r="A777" s="87"/>
      <c r="B777" s="87"/>
      <c r="C777" s="87"/>
      <c r="F777" s="87"/>
      <c r="J777" s="87"/>
      <c r="K777" s="87"/>
      <c r="L777" s="87"/>
      <c r="O777" s="87"/>
      <c r="P777" s="87"/>
      <c r="Q777" s="87"/>
      <c r="R777" s="87"/>
      <c r="S777" s="87"/>
    </row>
    <row r="778">
      <c r="A778" s="87"/>
      <c r="B778" s="87"/>
      <c r="C778" s="87"/>
      <c r="F778" s="87"/>
      <c r="J778" s="87"/>
      <c r="K778" s="87"/>
      <c r="L778" s="87"/>
      <c r="O778" s="87"/>
      <c r="P778" s="87"/>
      <c r="Q778" s="87"/>
      <c r="R778" s="87"/>
      <c r="S778" s="87"/>
    </row>
    <row r="779">
      <c r="A779" s="87"/>
      <c r="B779" s="87"/>
      <c r="C779" s="87"/>
      <c r="F779" s="87"/>
      <c r="J779" s="87"/>
      <c r="K779" s="87"/>
      <c r="L779" s="87"/>
      <c r="O779" s="87"/>
      <c r="P779" s="87"/>
      <c r="Q779" s="87"/>
      <c r="R779" s="87"/>
      <c r="S779" s="87"/>
    </row>
    <row r="780">
      <c r="A780" s="87"/>
      <c r="B780" s="87"/>
      <c r="C780" s="87"/>
      <c r="F780" s="87"/>
      <c r="J780" s="87"/>
      <c r="K780" s="87"/>
      <c r="L780" s="87"/>
      <c r="O780" s="87"/>
      <c r="P780" s="87"/>
      <c r="Q780" s="87"/>
      <c r="R780" s="87"/>
      <c r="S780" s="87"/>
    </row>
    <row r="781">
      <c r="A781" s="87"/>
      <c r="B781" s="87"/>
      <c r="C781" s="87"/>
      <c r="F781" s="87"/>
      <c r="J781" s="87"/>
      <c r="K781" s="87"/>
      <c r="L781" s="87"/>
      <c r="O781" s="87"/>
      <c r="P781" s="87"/>
      <c r="Q781" s="87"/>
      <c r="R781" s="87"/>
      <c r="S781" s="87"/>
    </row>
    <row r="782">
      <c r="A782" s="87"/>
      <c r="B782" s="87"/>
      <c r="C782" s="87"/>
      <c r="F782" s="87"/>
      <c r="J782" s="87"/>
      <c r="K782" s="87"/>
      <c r="L782" s="87"/>
      <c r="O782" s="87"/>
      <c r="P782" s="87"/>
      <c r="Q782" s="87"/>
      <c r="R782" s="87"/>
      <c r="S782" s="87"/>
    </row>
    <row r="783">
      <c r="A783" s="87"/>
      <c r="B783" s="87"/>
      <c r="C783" s="87"/>
      <c r="F783" s="87"/>
      <c r="J783" s="87"/>
      <c r="K783" s="87"/>
      <c r="L783" s="87"/>
      <c r="O783" s="87"/>
      <c r="P783" s="87"/>
      <c r="Q783" s="87"/>
      <c r="R783" s="87"/>
      <c r="S783" s="87"/>
    </row>
    <row r="784">
      <c r="A784" s="87"/>
      <c r="B784" s="87"/>
      <c r="C784" s="87"/>
      <c r="F784" s="87"/>
      <c r="J784" s="87"/>
      <c r="K784" s="87"/>
      <c r="L784" s="87"/>
      <c r="O784" s="87"/>
      <c r="P784" s="87"/>
      <c r="Q784" s="87"/>
      <c r="R784" s="87"/>
      <c r="S784" s="87"/>
    </row>
    <row r="785">
      <c r="A785" s="87"/>
      <c r="B785" s="87"/>
      <c r="C785" s="87"/>
      <c r="F785" s="87"/>
      <c r="J785" s="87"/>
      <c r="K785" s="87"/>
      <c r="L785" s="87"/>
      <c r="O785" s="87"/>
      <c r="P785" s="87"/>
      <c r="Q785" s="87"/>
      <c r="R785" s="87"/>
      <c r="S785" s="87"/>
    </row>
    <row r="786">
      <c r="A786" s="87"/>
      <c r="B786" s="87"/>
      <c r="C786" s="87"/>
      <c r="F786" s="87"/>
      <c r="J786" s="87"/>
      <c r="K786" s="87"/>
      <c r="L786" s="87"/>
      <c r="O786" s="87"/>
      <c r="P786" s="87"/>
      <c r="Q786" s="87"/>
      <c r="R786" s="87"/>
      <c r="S786" s="87"/>
    </row>
    <row r="787">
      <c r="A787" s="87"/>
      <c r="B787" s="87"/>
      <c r="C787" s="87"/>
      <c r="F787" s="87"/>
      <c r="J787" s="87"/>
      <c r="K787" s="87"/>
      <c r="L787" s="87"/>
      <c r="O787" s="87"/>
      <c r="P787" s="87"/>
      <c r="Q787" s="87"/>
      <c r="R787" s="87"/>
      <c r="S787" s="87"/>
    </row>
    <row r="788">
      <c r="A788" s="87"/>
      <c r="B788" s="87"/>
      <c r="C788" s="87"/>
      <c r="F788" s="87"/>
      <c r="J788" s="87"/>
      <c r="K788" s="87"/>
      <c r="L788" s="87"/>
      <c r="O788" s="87"/>
      <c r="P788" s="87"/>
      <c r="Q788" s="87"/>
      <c r="R788" s="87"/>
      <c r="S788" s="87"/>
    </row>
    <row r="789">
      <c r="A789" s="87"/>
      <c r="B789" s="87"/>
      <c r="C789" s="87"/>
      <c r="F789" s="87"/>
      <c r="J789" s="87"/>
      <c r="K789" s="87"/>
      <c r="L789" s="87"/>
      <c r="O789" s="87"/>
      <c r="P789" s="87"/>
      <c r="Q789" s="87"/>
      <c r="R789" s="87"/>
      <c r="S789" s="87"/>
    </row>
    <row r="790">
      <c r="A790" s="87"/>
      <c r="B790" s="87"/>
      <c r="C790" s="87"/>
      <c r="F790" s="87"/>
      <c r="J790" s="87"/>
      <c r="K790" s="87"/>
      <c r="L790" s="87"/>
      <c r="O790" s="87"/>
      <c r="P790" s="87"/>
      <c r="Q790" s="87"/>
      <c r="R790" s="87"/>
      <c r="S790" s="87"/>
    </row>
    <row r="791">
      <c r="A791" s="87"/>
      <c r="B791" s="87"/>
      <c r="C791" s="87"/>
      <c r="F791" s="87"/>
      <c r="J791" s="87"/>
      <c r="K791" s="87"/>
      <c r="L791" s="87"/>
      <c r="O791" s="87"/>
      <c r="P791" s="87"/>
      <c r="Q791" s="87"/>
      <c r="R791" s="87"/>
      <c r="S791" s="87"/>
    </row>
    <row r="792">
      <c r="A792" s="87"/>
      <c r="B792" s="87"/>
      <c r="C792" s="87"/>
      <c r="F792" s="87"/>
      <c r="J792" s="87"/>
      <c r="K792" s="87"/>
      <c r="L792" s="87"/>
      <c r="O792" s="87"/>
      <c r="P792" s="87"/>
      <c r="Q792" s="87"/>
      <c r="R792" s="87"/>
      <c r="S792" s="87"/>
    </row>
    <row r="793">
      <c r="A793" s="87"/>
      <c r="B793" s="87"/>
      <c r="C793" s="87"/>
      <c r="F793" s="87"/>
      <c r="J793" s="87"/>
      <c r="K793" s="87"/>
      <c r="L793" s="87"/>
      <c r="O793" s="87"/>
      <c r="P793" s="87"/>
      <c r="Q793" s="87"/>
      <c r="R793" s="87"/>
      <c r="S793" s="87"/>
    </row>
    <row r="794">
      <c r="A794" s="87"/>
      <c r="B794" s="87"/>
      <c r="C794" s="87"/>
      <c r="F794" s="87"/>
      <c r="J794" s="87"/>
      <c r="K794" s="87"/>
      <c r="L794" s="87"/>
      <c r="O794" s="87"/>
      <c r="P794" s="87"/>
      <c r="Q794" s="87"/>
      <c r="R794" s="87"/>
      <c r="S794" s="87"/>
    </row>
    <row r="795">
      <c r="A795" s="87"/>
      <c r="B795" s="87"/>
      <c r="C795" s="87"/>
      <c r="F795" s="87"/>
      <c r="J795" s="87"/>
      <c r="K795" s="87"/>
      <c r="L795" s="87"/>
      <c r="O795" s="87"/>
      <c r="P795" s="87"/>
      <c r="Q795" s="87"/>
      <c r="R795" s="87"/>
      <c r="S795" s="87"/>
    </row>
    <row r="796">
      <c r="A796" s="87"/>
      <c r="B796" s="87"/>
      <c r="C796" s="87"/>
      <c r="F796" s="87"/>
      <c r="J796" s="87"/>
      <c r="K796" s="87"/>
      <c r="L796" s="87"/>
      <c r="O796" s="87"/>
      <c r="P796" s="87"/>
      <c r="Q796" s="87"/>
      <c r="R796" s="87"/>
      <c r="S796" s="87"/>
    </row>
    <row r="797">
      <c r="A797" s="87"/>
      <c r="B797" s="87"/>
      <c r="C797" s="87"/>
      <c r="F797" s="87"/>
      <c r="J797" s="87"/>
      <c r="K797" s="87"/>
      <c r="L797" s="87"/>
      <c r="O797" s="87"/>
      <c r="P797" s="87"/>
      <c r="Q797" s="87"/>
      <c r="R797" s="87"/>
      <c r="S797" s="87"/>
    </row>
    <row r="798">
      <c r="A798" s="87"/>
      <c r="B798" s="87"/>
      <c r="C798" s="87"/>
      <c r="F798" s="87"/>
      <c r="J798" s="87"/>
      <c r="K798" s="87"/>
      <c r="L798" s="87"/>
      <c r="O798" s="87"/>
      <c r="P798" s="87"/>
      <c r="Q798" s="87"/>
      <c r="R798" s="87"/>
      <c r="S798" s="87"/>
    </row>
    <row r="799">
      <c r="A799" s="87"/>
      <c r="B799" s="87"/>
      <c r="C799" s="87"/>
      <c r="F799" s="87"/>
      <c r="J799" s="87"/>
      <c r="K799" s="87"/>
      <c r="L799" s="87"/>
      <c r="O799" s="87"/>
      <c r="P799" s="87"/>
      <c r="Q799" s="87"/>
      <c r="R799" s="87"/>
      <c r="S799" s="87"/>
    </row>
    <row r="800">
      <c r="A800" s="87"/>
      <c r="B800" s="87"/>
      <c r="C800" s="87"/>
      <c r="F800" s="87"/>
      <c r="J800" s="87"/>
      <c r="K800" s="87"/>
      <c r="L800" s="87"/>
      <c r="O800" s="87"/>
      <c r="P800" s="87"/>
      <c r="Q800" s="87"/>
      <c r="R800" s="87"/>
      <c r="S800" s="87"/>
    </row>
    <row r="801">
      <c r="A801" s="87"/>
      <c r="B801" s="87"/>
      <c r="C801" s="87"/>
      <c r="F801" s="87"/>
      <c r="J801" s="87"/>
      <c r="K801" s="87"/>
      <c r="L801" s="87"/>
      <c r="O801" s="87"/>
      <c r="P801" s="87"/>
      <c r="Q801" s="87"/>
      <c r="R801" s="87"/>
      <c r="S801" s="87"/>
    </row>
    <row r="802">
      <c r="A802" s="87"/>
      <c r="B802" s="87"/>
      <c r="C802" s="87"/>
      <c r="F802" s="87"/>
      <c r="J802" s="87"/>
      <c r="K802" s="87"/>
      <c r="L802" s="87"/>
      <c r="O802" s="87"/>
      <c r="P802" s="87"/>
      <c r="Q802" s="87"/>
      <c r="R802" s="87"/>
      <c r="S802" s="87"/>
    </row>
    <row r="803">
      <c r="A803" s="87"/>
      <c r="B803" s="87"/>
      <c r="C803" s="87"/>
      <c r="F803" s="87"/>
      <c r="J803" s="87"/>
      <c r="K803" s="87"/>
      <c r="L803" s="87"/>
      <c r="O803" s="87"/>
      <c r="P803" s="87"/>
      <c r="Q803" s="87"/>
      <c r="R803" s="87"/>
      <c r="S803" s="87"/>
    </row>
    <row r="804">
      <c r="A804" s="87"/>
      <c r="B804" s="87"/>
      <c r="C804" s="87"/>
      <c r="F804" s="87"/>
      <c r="J804" s="87"/>
      <c r="K804" s="87"/>
      <c r="L804" s="87"/>
      <c r="O804" s="87"/>
      <c r="P804" s="87"/>
      <c r="Q804" s="87"/>
      <c r="R804" s="87"/>
      <c r="S804" s="87"/>
    </row>
    <row r="805">
      <c r="A805" s="87"/>
      <c r="B805" s="87"/>
      <c r="C805" s="87"/>
      <c r="F805" s="87"/>
      <c r="J805" s="87"/>
      <c r="K805" s="87"/>
      <c r="L805" s="87"/>
      <c r="O805" s="87"/>
      <c r="P805" s="87"/>
      <c r="Q805" s="87"/>
      <c r="R805" s="87"/>
      <c r="S805" s="87"/>
    </row>
    <row r="806">
      <c r="A806" s="87"/>
      <c r="B806" s="87"/>
      <c r="C806" s="87"/>
      <c r="F806" s="87"/>
      <c r="J806" s="87"/>
      <c r="K806" s="87"/>
      <c r="L806" s="87"/>
      <c r="O806" s="87"/>
      <c r="P806" s="87"/>
      <c r="Q806" s="87"/>
      <c r="R806" s="87"/>
      <c r="S806" s="87"/>
    </row>
    <row r="807">
      <c r="A807" s="87"/>
      <c r="B807" s="87"/>
      <c r="C807" s="87"/>
      <c r="F807" s="87"/>
      <c r="J807" s="87"/>
      <c r="K807" s="87"/>
      <c r="L807" s="87"/>
      <c r="O807" s="87"/>
      <c r="P807" s="87"/>
      <c r="Q807" s="87"/>
      <c r="R807" s="87"/>
      <c r="S807" s="87"/>
    </row>
    <row r="808">
      <c r="A808" s="87"/>
      <c r="B808" s="87"/>
      <c r="C808" s="87"/>
      <c r="F808" s="87"/>
      <c r="J808" s="87"/>
      <c r="K808" s="87"/>
      <c r="L808" s="87"/>
      <c r="O808" s="87"/>
      <c r="P808" s="87"/>
      <c r="Q808" s="87"/>
      <c r="R808" s="87"/>
      <c r="S808" s="87"/>
    </row>
    <row r="809">
      <c r="A809" s="87"/>
      <c r="B809" s="87"/>
      <c r="C809" s="87"/>
      <c r="F809" s="87"/>
      <c r="J809" s="87"/>
      <c r="K809" s="87"/>
      <c r="L809" s="87"/>
      <c r="O809" s="87"/>
      <c r="P809" s="87"/>
      <c r="Q809" s="87"/>
      <c r="R809" s="87"/>
      <c r="S809" s="87"/>
    </row>
    <row r="810">
      <c r="A810" s="87"/>
      <c r="B810" s="87"/>
      <c r="C810" s="87"/>
      <c r="F810" s="87"/>
      <c r="J810" s="87"/>
      <c r="K810" s="87"/>
      <c r="L810" s="87"/>
      <c r="O810" s="87"/>
      <c r="P810" s="87"/>
      <c r="Q810" s="87"/>
      <c r="R810" s="87"/>
      <c r="S810" s="87"/>
    </row>
    <row r="811">
      <c r="A811" s="87"/>
      <c r="B811" s="87"/>
      <c r="C811" s="87"/>
      <c r="F811" s="87"/>
      <c r="J811" s="87"/>
      <c r="K811" s="87"/>
      <c r="L811" s="87"/>
      <c r="O811" s="87"/>
      <c r="P811" s="87"/>
      <c r="Q811" s="87"/>
      <c r="R811" s="87"/>
      <c r="S811" s="87"/>
    </row>
    <row r="812">
      <c r="A812" s="87"/>
      <c r="B812" s="87"/>
      <c r="C812" s="87"/>
      <c r="F812" s="87"/>
      <c r="J812" s="87"/>
      <c r="K812" s="87"/>
      <c r="L812" s="87"/>
      <c r="O812" s="87"/>
      <c r="P812" s="87"/>
      <c r="Q812" s="87"/>
      <c r="R812" s="87"/>
      <c r="S812" s="87"/>
    </row>
    <row r="813">
      <c r="A813" s="87"/>
      <c r="B813" s="87"/>
      <c r="C813" s="87"/>
      <c r="F813" s="87"/>
      <c r="J813" s="87"/>
      <c r="K813" s="87"/>
      <c r="L813" s="87"/>
      <c r="O813" s="87"/>
      <c r="P813" s="87"/>
      <c r="Q813" s="87"/>
      <c r="R813" s="87"/>
      <c r="S813" s="87"/>
    </row>
    <row r="814">
      <c r="A814" s="87"/>
      <c r="B814" s="87"/>
      <c r="C814" s="87"/>
      <c r="F814" s="87"/>
      <c r="J814" s="87"/>
      <c r="K814" s="87"/>
      <c r="L814" s="87"/>
      <c r="O814" s="87"/>
      <c r="P814" s="87"/>
      <c r="Q814" s="87"/>
      <c r="R814" s="87"/>
      <c r="S814" s="87"/>
    </row>
    <row r="815">
      <c r="A815" s="87"/>
      <c r="B815" s="87"/>
      <c r="C815" s="87"/>
      <c r="F815" s="87"/>
      <c r="J815" s="87"/>
      <c r="K815" s="87"/>
      <c r="L815" s="87"/>
      <c r="O815" s="87"/>
      <c r="P815" s="87"/>
      <c r="Q815" s="87"/>
      <c r="R815" s="87"/>
      <c r="S815" s="87"/>
    </row>
    <row r="816">
      <c r="A816" s="87"/>
      <c r="B816" s="87"/>
      <c r="C816" s="87"/>
      <c r="F816" s="87"/>
      <c r="J816" s="87"/>
      <c r="K816" s="87"/>
      <c r="L816" s="87"/>
      <c r="O816" s="87"/>
      <c r="P816" s="87"/>
      <c r="Q816" s="87"/>
      <c r="R816" s="87"/>
      <c r="S816" s="87"/>
    </row>
    <row r="817">
      <c r="A817" s="87"/>
      <c r="B817" s="87"/>
      <c r="C817" s="87"/>
      <c r="F817" s="87"/>
      <c r="J817" s="87"/>
      <c r="K817" s="87"/>
      <c r="L817" s="87"/>
      <c r="O817" s="87"/>
      <c r="P817" s="87"/>
      <c r="Q817" s="87"/>
      <c r="R817" s="87"/>
      <c r="S817" s="87"/>
    </row>
    <row r="818">
      <c r="A818" s="87"/>
      <c r="B818" s="87"/>
      <c r="C818" s="87"/>
      <c r="F818" s="87"/>
      <c r="J818" s="87"/>
      <c r="K818" s="87"/>
      <c r="L818" s="87"/>
      <c r="O818" s="87"/>
      <c r="P818" s="87"/>
      <c r="Q818" s="87"/>
      <c r="R818" s="87"/>
      <c r="S818" s="87"/>
    </row>
    <row r="819">
      <c r="A819" s="87"/>
      <c r="B819" s="87"/>
      <c r="C819" s="87"/>
      <c r="F819" s="87"/>
      <c r="J819" s="87"/>
      <c r="K819" s="87"/>
      <c r="L819" s="87"/>
      <c r="O819" s="87"/>
      <c r="P819" s="87"/>
      <c r="Q819" s="87"/>
      <c r="R819" s="87"/>
      <c r="S819" s="87"/>
    </row>
    <row r="820">
      <c r="A820" s="87"/>
      <c r="B820" s="87"/>
      <c r="C820" s="87"/>
      <c r="F820" s="87"/>
      <c r="J820" s="87"/>
      <c r="K820" s="87"/>
      <c r="L820" s="87"/>
      <c r="O820" s="87"/>
      <c r="P820" s="87"/>
      <c r="Q820" s="87"/>
      <c r="R820" s="87"/>
      <c r="S820" s="87"/>
    </row>
    <row r="821">
      <c r="A821" s="87"/>
      <c r="B821" s="87"/>
      <c r="C821" s="87"/>
      <c r="F821" s="87"/>
      <c r="J821" s="87"/>
      <c r="K821" s="87"/>
      <c r="L821" s="87"/>
      <c r="O821" s="87"/>
      <c r="P821" s="87"/>
      <c r="Q821" s="87"/>
      <c r="R821" s="87"/>
      <c r="S821" s="87"/>
    </row>
    <row r="822">
      <c r="A822" s="87"/>
      <c r="B822" s="87"/>
      <c r="C822" s="87"/>
      <c r="F822" s="87"/>
      <c r="J822" s="87"/>
      <c r="K822" s="87"/>
      <c r="L822" s="87"/>
      <c r="O822" s="87"/>
      <c r="P822" s="87"/>
      <c r="Q822" s="87"/>
      <c r="R822" s="87"/>
      <c r="S822" s="87"/>
    </row>
    <row r="823">
      <c r="A823" s="87"/>
      <c r="B823" s="87"/>
      <c r="C823" s="87"/>
      <c r="F823" s="87"/>
      <c r="J823" s="87"/>
      <c r="K823" s="87"/>
      <c r="L823" s="87"/>
      <c r="O823" s="87"/>
      <c r="P823" s="87"/>
      <c r="Q823" s="87"/>
      <c r="R823" s="87"/>
      <c r="S823" s="87"/>
    </row>
    <row r="824">
      <c r="A824" s="87"/>
      <c r="B824" s="87"/>
      <c r="C824" s="87"/>
      <c r="F824" s="87"/>
      <c r="J824" s="87"/>
      <c r="K824" s="87"/>
      <c r="L824" s="87"/>
      <c r="O824" s="87"/>
      <c r="P824" s="87"/>
      <c r="Q824" s="87"/>
      <c r="R824" s="87"/>
      <c r="S824" s="87"/>
    </row>
    <row r="825">
      <c r="A825" s="87"/>
      <c r="B825" s="87"/>
      <c r="C825" s="87"/>
      <c r="F825" s="87"/>
      <c r="J825" s="87"/>
      <c r="K825" s="87"/>
      <c r="L825" s="87"/>
      <c r="O825" s="87"/>
      <c r="P825" s="87"/>
      <c r="Q825" s="87"/>
      <c r="R825" s="87"/>
      <c r="S825" s="87"/>
    </row>
    <row r="826">
      <c r="A826" s="87"/>
      <c r="B826" s="87"/>
      <c r="C826" s="87"/>
      <c r="F826" s="87"/>
      <c r="J826" s="87"/>
      <c r="K826" s="87"/>
      <c r="L826" s="87"/>
      <c r="O826" s="87"/>
      <c r="P826" s="87"/>
      <c r="Q826" s="87"/>
      <c r="R826" s="87"/>
      <c r="S826" s="87"/>
    </row>
    <row r="827">
      <c r="A827" s="87"/>
      <c r="B827" s="87"/>
      <c r="C827" s="87"/>
      <c r="F827" s="87"/>
      <c r="J827" s="87"/>
      <c r="K827" s="87"/>
      <c r="L827" s="87"/>
      <c r="O827" s="87"/>
      <c r="P827" s="87"/>
      <c r="Q827" s="87"/>
      <c r="R827" s="87"/>
      <c r="S827" s="87"/>
    </row>
    <row r="828">
      <c r="A828" s="87"/>
      <c r="B828" s="87"/>
      <c r="C828" s="87"/>
      <c r="F828" s="87"/>
      <c r="J828" s="87"/>
      <c r="K828" s="87"/>
      <c r="L828" s="87"/>
      <c r="O828" s="87"/>
      <c r="P828" s="87"/>
      <c r="Q828" s="87"/>
      <c r="R828" s="87"/>
      <c r="S828" s="87"/>
    </row>
    <row r="829">
      <c r="A829" s="87"/>
      <c r="B829" s="87"/>
      <c r="C829" s="87"/>
      <c r="F829" s="87"/>
      <c r="J829" s="87"/>
      <c r="K829" s="87"/>
      <c r="L829" s="87"/>
      <c r="O829" s="87"/>
      <c r="P829" s="87"/>
      <c r="Q829" s="87"/>
      <c r="R829" s="87"/>
      <c r="S829" s="87"/>
    </row>
    <row r="830">
      <c r="A830" s="87"/>
      <c r="B830" s="87"/>
      <c r="C830" s="87"/>
      <c r="F830" s="87"/>
      <c r="J830" s="87"/>
      <c r="K830" s="87"/>
      <c r="L830" s="87"/>
      <c r="O830" s="87"/>
      <c r="P830" s="87"/>
      <c r="Q830" s="87"/>
      <c r="R830" s="87"/>
      <c r="S830" s="87"/>
    </row>
    <row r="831">
      <c r="A831" s="87"/>
      <c r="B831" s="87"/>
      <c r="C831" s="87"/>
      <c r="F831" s="87"/>
      <c r="J831" s="87"/>
      <c r="K831" s="87"/>
      <c r="L831" s="87"/>
      <c r="O831" s="87"/>
      <c r="P831" s="87"/>
      <c r="Q831" s="87"/>
      <c r="R831" s="87"/>
      <c r="S831" s="87"/>
    </row>
    <row r="832">
      <c r="A832" s="87"/>
      <c r="B832" s="87"/>
      <c r="C832" s="87"/>
      <c r="F832" s="87"/>
      <c r="J832" s="87"/>
      <c r="K832" s="87"/>
      <c r="L832" s="87"/>
      <c r="O832" s="87"/>
      <c r="P832" s="87"/>
      <c r="Q832" s="87"/>
      <c r="R832" s="87"/>
      <c r="S832" s="87"/>
    </row>
    <row r="833">
      <c r="A833" s="87"/>
      <c r="B833" s="87"/>
      <c r="C833" s="87"/>
      <c r="F833" s="87"/>
      <c r="J833" s="87"/>
      <c r="K833" s="87"/>
      <c r="L833" s="87"/>
      <c r="O833" s="87"/>
      <c r="P833" s="87"/>
      <c r="Q833" s="87"/>
      <c r="R833" s="87"/>
      <c r="S833" s="87"/>
    </row>
    <row r="834">
      <c r="A834" s="87"/>
      <c r="B834" s="87"/>
      <c r="C834" s="87"/>
      <c r="F834" s="87"/>
      <c r="J834" s="87"/>
      <c r="K834" s="87"/>
      <c r="L834" s="87"/>
      <c r="O834" s="87"/>
      <c r="P834" s="87"/>
      <c r="Q834" s="87"/>
      <c r="R834" s="87"/>
      <c r="S834" s="87"/>
    </row>
    <row r="835">
      <c r="A835" s="87"/>
      <c r="B835" s="87"/>
      <c r="C835" s="87"/>
      <c r="F835" s="87"/>
      <c r="J835" s="87"/>
      <c r="K835" s="87"/>
      <c r="L835" s="87"/>
      <c r="O835" s="87"/>
      <c r="P835" s="87"/>
      <c r="Q835" s="87"/>
      <c r="R835" s="87"/>
      <c r="S835" s="87"/>
    </row>
    <row r="836">
      <c r="A836" s="87"/>
      <c r="B836" s="87"/>
      <c r="C836" s="87"/>
      <c r="F836" s="87"/>
      <c r="J836" s="87"/>
      <c r="K836" s="87"/>
      <c r="L836" s="87"/>
      <c r="O836" s="87"/>
      <c r="P836" s="87"/>
      <c r="Q836" s="87"/>
      <c r="R836" s="87"/>
      <c r="S836" s="87"/>
    </row>
    <row r="837">
      <c r="A837" s="87"/>
      <c r="B837" s="87"/>
      <c r="C837" s="87"/>
      <c r="F837" s="87"/>
      <c r="J837" s="87"/>
      <c r="K837" s="87"/>
      <c r="L837" s="87"/>
      <c r="O837" s="87"/>
      <c r="P837" s="87"/>
      <c r="Q837" s="87"/>
      <c r="R837" s="87"/>
      <c r="S837" s="87"/>
    </row>
    <row r="838">
      <c r="A838" s="87"/>
      <c r="B838" s="87"/>
      <c r="C838" s="87"/>
      <c r="F838" s="87"/>
      <c r="J838" s="87"/>
      <c r="K838" s="87"/>
      <c r="L838" s="87"/>
      <c r="O838" s="87"/>
      <c r="P838" s="87"/>
      <c r="Q838" s="87"/>
      <c r="R838" s="87"/>
      <c r="S838" s="87"/>
    </row>
    <row r="839">
      <c r="A839" s="87"/>
      <c r="B839" s="87"/>
      <c r="C839" s="87"/>
      <c r="F839" s="87"/>
      <c r="J839" s="87"/>
      <c r="K839" s="87"/>
      <c r="L839" s="87"/>
      <c r="O839" s="87"/>
      <c r="P839" s="87"/>
      <c r="Q839" s="87"/>
      <c r="R839" s="87"/>
      <c r="S839" s="87"/>
    </row>
    <row r="840">
      <c r="A840" s="87"/>
      <c r="B840" s="87"/>
      <c r="C840" s="87"/>
      <c r="F840" s="87"/>
      <c r="J840" s="87"/>
      <c r="K840" s="87"/>
      <c r="L840" s="87"/>
      <c r="O840" s="87"/>
      <c r="P840" s="87"/>
      <c r="Q840" s="87"/>
      <c r="R840" s="87"/>
      <c r="S840" s="87"/>
    </row>
    <row r="841">
      <c r="A841" s="87"/>
      <c r="B841" s="87"/>
      <c r="C841" s="87"/>
      <c r="F841" s="87"/>
      <c r="J841" s="87"/>
      <c r="K841" s="87"/>
      <c r="L841" s="87"/>
      <c r="O841" s="87"/>
      <c r="P841" s="87"/>
      <c r="Q841" s="87"/>
      <c r="R841" s="87"/>
      <c r="S841" s="87"/>
    </row>
    <row r="842">
      <c r="A842" s="87"/>
      <c r="B842" s="87"/>
      <c r="C842" s="87"/>
      <c r="F842" s="87"/>
      <c r="J842" s="87"/>
      <c r="K842" s="87"/>
      <c r="L842" s="87"/>
      <c r="O842" s="87"/>
      <c r="P842" s="87"/>
      <c r="Q842" s="87"/>
      <c r="R842" s="87"/>
      <c r="S842" s="87"/>
    </row>
    <row r="843">
      <c r="A843" s="87"/>
      <c r="B843" s="87"/>
      <c r="C843" s="87"/>
      <c r="F843" s="87"/>
      <c r="J843" s="87"/>
      <c r="K843" s="87"/>
      <c r="L843" s="87"/>
      <c r="O843" s="87"/>
      <c r="P843" s="87"/>
      <c r="Q843" s="87"/>
      <c r="R843" s="87"/>
      <c r="S843" s="87"/>
    </row>
    <row r="844">
      <c r="A844" s="87"/>
      <c r="B844" s="87"/>
      <c r="C844" s="87"/>
      <c r="F844" s="87"/>
      <c r="J844" s="87"/>
      <c r="K844" s="87"/>
      <c r="L844" s="87"/>
      <c r="O844" s="87"/>
      <c r="P844" s="87"/>
      <c r="Q844" s="87"/>
      <c r="R844" s="87"/>
      <c r="S844" s="87"/>
    </row>
    <row r="845">
      <c r="A845" s="87"/>
      <c r="B845" s="87"/>
      <c r="C845" s="87"/>
      <c r="F845" s="87"/>
      <c r="J845" s="87"/>
      <c r="K845" s="87"/>
      <c r="L845" s="87"/>
      <c r="O845" s="87"/>
      <c r="P845" s="87"/>
      <c r="Q845" s="87"/>
      <c r="R845" s="87"/>
      <c r="S845" s="87"/>
    </row>
    <row r="846">
      <c r="A846" s="87"/>
      <c r="B846" s="87"/>
      <c r="C846" s="87"/>
      <c r="F846" s="87"/>
      <c r="J846" s="87"/>
      <c r="K846" s="87"/>
      <c r="L846" s="87"/>
      <c r="O846" s="87"/>
      <c r="P846" s="87"/>
      <c r="Q846" s="87"/>
      <c r="R846" s="87"/>
      <c r="S846" s="87"/>
    </row>
    <row r="847">
      <c r="A847" s="87"/>
      <c r="B847" s="87"/>
      <c r="C847" s="87"/>
      <c r="F847" s="87"/>
      <c r="J847" s="87"/>
      <c r="K847" s="87"/>
      <c r="L847" s="87"/>
      <c r="O847" s="87"/>
      <c r="P847" s="87"/>
      <c r="Q847" s="87"/>
      <c r="R847" s="87"/>
      <c r="S847" s="87"/>
    </row>
    <row r="848">
      <c r="A848" s="87"/>
      <c r="B848" s="87"/>
      <c r="C848" s="87"/>
      <c r="F848" s="87"/>
      <c r="J848" s="87"/>
      <c r="K848" s="87"/>
      <c r="L848" s="87"/>
      <c r="O848" s="87"/>
      <c r="P848" s="87"/>
      <c r="Q848" s="87"/>
      <c r="R848" s="87"/>
      <c r="S848" s="87"/>
    </row>
    <row r="849">
      <c r="A849" s="87"/>
      <c r="B849" s="87"/>
      <c r="C849" s="87"/>
      <c r="F849" s="87"/>
      <c r="J849" s="87"/>
      <c r="K849" s="87"/>
      <c r="L849" s="87"/>
      <c r="O849" s="87"/>
      <c r="P849" s="87"/>
      <c r="Q849" s="87"/>
      <c r="R849" s="87"/>
      <c r="S849" s="87"/>
    </row>
    <row r="850">
      <c r="A850" s="87"/>
      <c r="B850" s="87"/>
      <c r="C850" s="87"/>
      <c r="F850" s="87"/>
      <c r="J850" s="87"/>
      <c r="K850" s="87"/>
      <c r="L850" s="87"/>
      <c r="O850" s="87"/>
      <c r="P850" s="87"/>
      <c r="Q850" s="87"/>
      <c r="R850" s="87"/>
      <c r="S850" s="87"/>
    </row>
    <row r="851">
      <c r="A851" s="87"/>
      <c r="B851" s="87"/>
      <c r="C851" s="87"/>
      <c r="F851" s="87"/>
      <c r="J851" s="87"/>
      <c r="K851" s="87"/>
      <c r="L851" s="87"/>
      <c r="O851" s="87"/>
      <c r="P851" s="87"/>
      <c r="Q851" s="87"/>
      <c r="R851" s="87"/>
      <c r="S851" s="87"/>
    </row>
    <row r="852">
      <c r="A852" s="87"/>
      <c r="B852" s="87"/>
      <c r="C852" s="87"/>
      <c r="F852" s="87"/>
      <c r="J852" s="87"/>
      <c r="K852" s="87"/>
      <c r="L852" s="87"/>
      <c r="O852" s="87"/>
      <c r="P852" s="87"/>
      <c r="Q852" s="87"/>
      <c r="R852" s="87"/>
      <c r="S852" s="87"/>
    </row>
    <row r="853">
      <c r="A853" s="87"/>
      <c r="B853" s="87"/>
      <c r="C853" s="87"/>
      <c r="F853" s="87"/>
      <c r="J853" s="87"/>
      <c r="K853" s="87"/>
      <c r="L853" s="87"/>
      <c r="O853" s="87"/>
      <c r="P853" s="87"/>
      <c r="Q853" s="87"/>
      <c r="R853" s="87"/>
      <c r="S853" s="87"/>
    </row>
    <row r="854">
      <c r="A854" s="87"/>
      <c r="B854" s="87"/>
      <c r="C854" s="87"/>
      <c r="F854" s="87"/>
      <c r="J854" s="87"/>
      <c r="K854" s="87"/>
      <c r="L854" s="87"/>
      <c r="O854" s="87"/>
      <c r="P854" s="87"/>
      <c r="Q854" s="87"/>
      <c r="R854" s="87"/>
      <c r="S854" s="87"/>
    </row>
    <row r="855">
      <c r="A855" s="87"/>
      <c r="B855" s="87"/>
      <c r="C855" s="87"/>
      <c r="F855" s="87"/>
      <c r="J855" s="87"/>
      <c r="K855" s="87"/>
      <c r="L855" s="87"/>
      <c r="O855" s="87"/>
      <c r="P855" s="87"/>
      <c r="Q855" s="87"/>
      <c r="R855" s="87"/>
      <c r="S855" s="87"/>
    </row>
    <row r="856">
      <c r="A856" s="87"/>
      <c r="B856" s="87"/>
      <c r="C856" s="87"/>
      <c r="F856" s="87"/>
      <c r="J856" s="87"/>
      <c r="K856" s="87"/>
      <c r="L856" s="87"/>
      <c r="O856" s="87"/>
      <c r="P856" s="87"/>
      <c r="Q856" s="87"/>
      <c r="R856" s="87"/>
      <c r="S856" s="87"/>
    </row>
    <row r="857">
      <c r="A857" s="87"/>
      <c r="B857" s="87"/>
      <c r="C857" s="87"/>
      <c r="F857" s="87"/>
      <c r="J857" s="87"/>
      <c r="K857" s="87"/>
      <c r="L857" s="87"/>
      <c r="O857" s="87"/>
      <c r="P857" s="87"/>
      <c r="Q857" s="87"/>
      <c r="R857" s="87"/>
      <c r="S857" s="87"/>
    </row>
    <row r="858">
      <c r="A858" s="87"/>
      <c r="B858" s="87"/>
      <c r="C858" s="87"/>
      <c r="F858" s="87"/>
      <c r="J858" s="87"/>
      <c r="K858" s="87"/>
      <c r="L858" s="87"/>
      <c r="O858" s="87"/>
      <c r="P858" s="87"/>
      <c r="Q858" s="87"/>
      <c r="R858" s="87"/>
      <c r="S858" s="87"/>
    </row>
    <row r="859">
      <c r="A859" s="87"/>
      <c r="B859" s="87"/>
      <c r="C859" s="87"/>
      <c r="F859" s="87"/>
      <c r="J859" s="87"/>
      <c r="K859" s="87"/>
      <c r="L859" s="87"/>
      <c r="O859" s="87"/>
      <c r="P859" s="87"/>
      <c r="Q859" s="87"/>
      <c r="R859" s="87"/>
      <c r="S859" s="87"/>
    </row>
    <row r="860">
      <c r="A860" s="87"/>
      <c r="B860" s="87"/>
      <c r="C860" s="87"/>
      <c r="F860" s="87"/>
      <c r="J860" s="87"/>
      <c r="K860" s="87"/>
      <c r="L860" s="87"/>
      <c r="O860" s="87"/>
      <c r="P860" s="87"/>
      <c r="Q860" s="87"/>
      <c r="R860" s="87"/>
      <c r="S860" s="87"/>
    </row>
    <row r="861">
      <c r="A861" s="87"/>
      <c r="B861" s="87"/>
      <c r="C861" s="87"/>
      <c r="F861" s="87"/>
      <c r="J861" s="87"/>
      <c r="K861" s="87"/>
      <c r="L861" s="87"/>
      <c r="O861" s="87"/>
      <c r="P861" s="87"/>
      <c r="Q861" s="87"/>
      <c r="R861" s="87"/>
      <c r="S861" s="87"/>
    </row>
    <row r="862">
      <c r="A862" s="87"/>
      <c r="B862" s="87"/>
      <c r="C862" s="87"/>
      <c r="F862" s="87"/>
      <c r="J862" s="87"/>
      <c r="K862" s="87"/>
      <c r="L862" s="87"/>
      <c r="O862" s="87"/>
      <c r="P862" s="87"/>
      <c r="Q862" s="87"/>
      <c r="R862" s="87"/>
      <c r="S862" s="87"/>
    </row>
    <row r="863">
      <c r="A863" s="87"/>
      <c r="B863" s="87"/>
      <c r="C863" s="87"/>
      <c r="F863" s="87"/>
      <c r="J863" s="87"/>
      <c r="K863" s="87"/>
      <c r="L863" s="87"/>
      <c r="O863" s="87"/>
      <c r="P863" s="87"/>
      <c r="Q863" s="87"/>
      <c r="R863" s="87"/>
      <c r="S863" s="87"/>
    </row>
    <row r="864">
      <c r="A864" s="87"/>
      <c r="B864" s="87"/>
      <c r="C864" s="87"/>
      <c r="F864" s="87"/>
      <c r="J864" s="87"/>
      <c r="K864" s="87"/>
      <c r="L864" s="87"/>
      <c r="O864" s="87"/>
      <c r="P864" s="87"/>
      <c r="Q864" s="87"/>
      <c r="R864" s="87"/>
      <c r="S864" s="87"/>
    </row>
    <row r="865">
      <c r="A865" s="87"/>
      <c r="B865" s="87"/>
      <c r="C865" s="87"/>
      <c r="F865" s="87"/>
      <c r="J865" s="87"/>
      <c r="K865" s="87"/>
      <c r="L865" s="87"/>
      <c r="O865" s="87"/>
      <c r="P865" s="87"/>
      <c r="Q865" s="87"/>
      <c r="R865" s="87"/>
      <c r="S865" s="87"/>
    </row>
    <row r="866">
      <c r="A866" s="87"/>
      <c r="B866" s="87"/>
      <c r="C866" s="87"/>
      <c r="F866" s="87"/>
      <c r="J866" s="87"/>
      <c r="K866" s="87"/>
      <c r="L866" s="87"/>
      <c r="O866" s="87"/>
      <c r="P866" s="87"/>
      <c r="Q866" s="87"/>
      <c r="R866" s="87"/>
      <c r="S866" s="87"/>
    </row>
    <row r="867">
      <c r="A867" s="87"/>
      <c r="B867" s="87"/>
      <c r="C867" s="87"/>
      <c r="F867" s="87"/>
      <c r="J867" s="87"/>
      <c r="K867" s="87"/>
      <c r="L867" s="87"/>
      <c r="O867" s="87"/>
      <c r="P867" s="87"/>
      <c r="Q867" s="87"/>
      <c r="R867" s="87"/>
      <c r="S867" s="87"/>
    </row>
    <row r="868">
      <c r="A868" s="87"/>
      <c r="B868" s="87"/>
      <c r="C868" s="87"/>
      <c r="F868" s="87"/>
      <c r="J868" s="87"/>
      <c r="K868" s="87"/>
      <c r="L868" s="87"/>
      <c r="O868" s="87"/>
      <c r="P868" s="87"/>
      <c r="Q868" s="87"/>
      <c r="R868" s="87"/>
      <c r="S868" s="87"/>
    </row>
    <row r="869">
      <c r="A869" s="87"/>
      <c r="B869" s="87"/>
      <c r="C869" s="87"/>
      <c r="F869" s="87"/>
      <c r="J869" s="87"/>
      <c r="K869" s="87"/>
      <c r="L869" s="87"/>
      <c r="O869" s="87"/>
      <c r="P869" s="87"/>
      <c r="Q869" s="87"/>
      <c r="R869" s="87"/>
      <c r="S869" s="87"/>
    </row>
    <row r="870">
      <c r="A870" s="87"/>
      <c r="B870" s="87"/>
      <c r="C870" s="87"/>
      <c r="F870" s="87"/>
      <c r="J870" s="87"/>
      <c r="K870" s="87"/>
      <c r="L870" s="87"/>
      <c r="O870" s="87"/>
      <c r="P870" s="87"/>
      <c r="Q870" s="87"/>
      <c r="R870" s="87"/>
      <c r="S870" s="87"/>
    </row>
    <row r="871">
      <c r="A871" s="87"/>
      <c r="B871" s="87"/>
      <c r="C871" s="87"/>
      <c r="F871" s="87"/>
      <c r="J871" s="87"/>
      <c r="K871" s="87"/>
      <c r="L871" s="87"/>
      <c r="O871" s="87"/>
      <c r="P871" s="87"/>
      <c r="Q871" s="87"/>
      <c r="R871" s="87"/>
      <c r="S871" s="87"/>
    </row>
    <row r="872">
      <c r="A872" s="87"/>
      <c r="B872" s="87"/>
      <c r="C872" s="87"/>
      <c r="F872" s="87"/>
      <c r="J872" s="87"/>
      <c r="K872" s="87"/>
      <c r="L872" s="87"/>
      <c r="O872" s="87"/>
      <c r="P872" s="87"/>
      <c r="Q872" s="87"/>
      <c r="R872" s="87"/>
      <c r="S872" s="87"/>
    </row>
    <row r="873">
      <c r="A873" s="87"/>
      <c r="B873" s="87"/>
      <c r="C873" s="87"/>
      <c r="F873" s="87"/>
      <c r="J873" s="87"/>
      <c r="K873" s="87"/>
      <c r="L873" s="87"/>
      <c r="O873" s="87"/>
      <c r="P873" s="87"/>
      <c r="Q873" s="87"/>
      <c r="R873" s="87"/>
      <c r="S873" s="87"/>
    </row>
    <row r="874">
      <c r="A874" s="87"/>
      <c r="B874" s="87"/>
      <c r="C874" s="87"/>
      <c r="F874" s="87"/>
      <c r="J874" s="87"/>
      <c r="K874" s="87"/>
      <c r="L874" s="87"/>
      <c r="O874" s="87"/>
      <c r="P874" s="87"/>
      <c r="Q874" s="87"/>
      <c r="R874" s="87"/>
      <c r="S874" s="87"/>
    </row>
    <row r="875">
      <c r="A875" s="87"/>
      <c r="B875" s="87"/>
      <c r="C875" s="87"/>
      <c r="F875" s="87"/>
      <c r="J875" s="87"/>
      <c r="K875" s="87"/>
      <c r="L875" s="87"/>
      <c r="O875" s="87"/>
      <c r="P875" s="87"/>
      <c r="Q875" s="87"/>
      <c r="R875" s="87"/>
      <c r="S875" s="87"/>
    </row>
    <row r="876">
      <c r="A876" s="87"/>
      <c r="B876" s="87"/>
      <c r="C876" s="87"/>
      <c r="F876" s="87"/>
      <c r="J876" s="87"/>
      <c r="K876" s="87"/>
      <c r="L876" s="87"/>
      <c r="O876" s="87"/>
      <c r="P876" s="87"/>
      <c r="Q876" s="87"/>
      <c r="R876" s="87"/>
      <c r="S876" s="87"/>
    </row>
    <row r="877">
      <c r="A877" s="87"/>
      <c r="B877" s="87"/>
      <c r="C877" s="87"/>
      <c r="F877" s="87"/>
      <c r="J877" s="87"/>
      <c r="K877" s="87"/>
      <c r="L877" s="87"/>
      <c r="O877" s="87"/>
      <c r="P877" s="87"/>
      <c r="Q877" s="87"/>
      <c r="R877" s="87"/>
      <c r="S877" s="87"/>
    </row>
    <row r="878">
      <c r="A878" s="87"/>
      <c r="B878" s="87"/>
      <c r="C878" s="87"/>
      <c r="F878" s="87"/>
      <c r="J878" s="87"/>
      <c r="K878" s="87"/>
      <c r="L878" s="87"/>
      <c r="O878" s="87"/>
      <c r="P878" s="87"/>
      <c r="Q878" s="87"/>
      <c r="R878" s="87"/>
      <c r="S878" s="87"/>
    </row>
    <row r="879">
      <c r="A879" s="87"/>
      <c r="B879" s="87"/>
      <c r="C879" s="87"/>
      <c r="F879" s="87"/>
      <c r="J879" s="87"/>
      <c r="K879" s="87"/>
      <c r="L879" s="87"/>
      <c r="O879" s="87"/>
      <c r="P879" s="87"/>
      <c r="Q879" s="87"/>
      <c r="R879" s="87"/>
      <c r="S879" s="87"/>
    </row>
    <row r="880">
      <c r="A880" s="87"/>
      <c r="B880" s="87"/>
      <c r="C880" s="87"/>
      <c r="F880" s="87"/>
      <c r="J880" s="87"/>
      <c r="K880" s="87"/>
      <c r="L880" s="87"/>
      <c r="O880" s="87"/>
      <c r="P880" s="87"/>
      <c r="Q880" s="87"/>
      <c r="R880" s="87"/>
      <c r="S880" s="87"/>
    </row>
    <row r="881">
      <c r="A881" s="87"/>
      <c r="B881" s="87"/>
      <c r="C881" s="87"/>
      <c r="F881" s="87"/>
      <c r="J881" s="87"/>
      <c r="K881" s="87"/>
      <c r="L881" s="87"/>
      <c r="O881" s="87"/>
      <c r="P881" s="87"/>
      <c r="Q881" s="87"/>
      <c r="R881" s="87"/>
      <c r="S881" s="87"/>
    </row>
    <row r="882">
      <c r="A882" s="87"/>
      <c r="B882" s="87"/>
      <c r="C882" s="87"/>
      <c r="F882" s="87"/>
      <c r="J882" s="87"/>
      <c r="K882" s="87"/>
      <c r="L882" s="87"/>
      <c r="O882" s="87"/>
      <c r="P882" s="87"/>
      <c r="Q882" s="87"/>
      <c r="R882" s="87"/>
      <c r="S882" s="87"/>
    </row>
    <row r="883">
      <c r="A883" s="87"/>
      <c r="B883" s="87"/>
      <c r="C883" s="87"/>
      <c r="F883" s="87"/>
      <c r="J883" s="87"/>
      <c r="K883" s="87"/>
      <c r="L883" s="87"/>
      <c r="O883" s="87"/>
      <c r="P883" s="87"/>
      <c r="Q883" s="87"/>
      <c r="R883" s="87"/>
      <c r="S883" s="87"/>
    </row>
    <row r="884">
      <c r="A884" s="87"/>
      <c r="B884" s="87"/>
      <c r="C884" s="87"/>
      <c r="F884" s="87"/>
      <c r="J884" s="87"/>
      <c r="K884" s="87"/>
      <c r="L884" s="87"/>
      <c r="O884" s="87"/>
      <c r="P884" s="87"/>
      <c r="Q884" s="87"/>
      <c r="R884" s="87"/>
      <c r="S884" s="87"/>
    </row>
    <row r="885">
      <c r="A885" s="87"/>
      <c r="B885" s="87"/>
      <c r="C885" s="87"/>
      <c r="F885" s="87"/>
      <c r="J885" s="87"/>
      <c r="K885" s="87"/>
      <c r="L885" s="87"/>
      <c r="O885" s="87"/>
      <c r="P885" s="87"/>
      <c r="Q885" s="87"/>
      <c r="R885" s="87"/>
      <c r="S885" s="87"/>
    </row>
    <row r="886">
      <c r="A886" s="87"/>
      <c r="B886" s="87"/>
      <c r="C886" s="87"/>
      <c r="F886" s="87"/>
      <c r="J886" s="87"/>
      <c r="K886" s="87"/>
      <c r="L886" s="87"/>
      <c r="O886" s="87"/>
      <c r="P886" s="87"/>
      <c r="Q886" s="87"/>
      <c r="R886" s="87"/>
      <c r="S886" s="87"/>
    </row>
    <row r="887">
      <c r="A887" s="87"/>
      <c r="B887" s="87"/>
      <c r="C887" s="87"/>
      <c r="F887" s="87"/>
      <c r="J887" s="87"/>
      <c r="K887" s="87"/>
      <c r="L887" s="87"/>
      <c r="O887" s="87"/>
      <c r="P887" s="87"/>
      <c r="Q887" s="87"/>
      <c r="R887" s="87"/>
      <c r="S887" s="87"/>
    </row>
    <row r="888">
      <c r="A888" s="87"/>
      <c r="B888" s="87"/>
      <c r="C888" s="87"/>
      <c r="F888" s="87"/>
      <c r="J888" s="87"/>
      <c r="K888" s="87"/>
      <c r="L888" s="87"/>
      <c r="O888" s="87"/>
      <c r="P888" s="87"/>
      <c r="Q888" s="87"/>
      <c r="R888" s="87"/>
      <c r="S888" s="87"/>
    </row>
    <row r="889">
      <c r="A889" s="87"/>
      <c r="B889" s="87"/>
      <c r="C889" s="87"/>
      <c r="F889" s="87"/>
      <c r="J889" s="87"/>
      <c r="K889" s="87"/>
      <c r="L889" s="87"/>
      <c r="O889" s="87"/>
      <c r="P889" s="87"/>
      <c r="Q889" s="87"/>
      <c r="R889" s="87"/>
      <c r="S889" s="87"/>
    </row>
    <row r="890">
      <c r="A890" s="87"/>
      <c r="B890" s="87"/>
      <c r="C890" s="87"/>
      <c r="F890" s="87"/>
      <c r="J890" s="87"/>
      <c r="K890" s="87"/>
      <c r="L890" s="87"/>
      <c r="O890" s="87"/>
      <c r="P890" s="87"/>
      <c r="Q890" s="87"/>
      <c r="R890" s="87"/>
      <c r="S890" s="87"/>
    </row>
    <row r="891">
      <c r="A891" s="87"/>
      <c r="B891" s="87"/>
      <c r="C891" s="87"/>
      <c r="F891" s="87"/>
      <c r="J891" s="87"/>
      <c r="K891" s="87"/>
      <c r="L891" s="87"/>
      <c r="O891" s="87"/>
      <c r="P891" s="87"/>
      <c r="Q891" s="87"/>
      <c r="R891" s="87"/>
      <c r="S891" s="87"/>
    </row>
    <row r="892">
      <c r="A892" s="87"/>
      <c r="B892" s="87"/>
      <c r="C892" s="87"/>
      <c r="F892" s="87"/>
      <c r="J892" s="87"/>
      <c r="K892" s="87"/>
      <c r="L892" s="87"/>
      <c r="O892" s="87"/>
      <c r="P892" s="87"/>
      <c r="Q892" s="87"/>
      <c r="R892" s="87"/>
      <c r="S892" s="87"/>
    </row>
    <row r="893">
      <c r="A893" s="87"/>
      <c r="B893" s="87"/>
      <c r="C893" s="87"/>
      <c r="F893" s="87"/>
      <c r="J893" s="87"/>
      <c r="K893" s="87"/>
      <c r="L893" s="87"/>
      <c r="O893" s="87"/>
      <c r="P893" s="87"/>
      <c r="Q893" s="87"/>
      <c r="R893" s="87"/>
      <c r="S893" s="87"/>
    </row>
    <row r="894">
      <c r="A894" s="87"/>
      <c r="B894" s="87"/>
      <c r="C894" s="87"/>
      <c r="F894" s="87"/>
      <c r="J894" s="87"/>
      <c r="K894" s="87"/>
      <c r="L894" s="87"/>
      <c r="O894" s="87"/>
      <c r="P894" s="87"/>
      <c r="Q894" s="87"/>
      <c r="R894" s="87"/>
      <c r="S894" s="87"/>
    </row>
    <row r="895">
      <c r="A895" s="87"/>
      <c r="B895" s="87"/>
      <c r="C895" s="87"/>
      <c r="F895" s="87"/>
      <c r="J895" s="87"/>
      <c r="K895" s="87"/>
      <c r="L895" s="87"/>
      <c r="O895" s="87"/>
      <c r="P895" s="87"/>
      <c r="Q895" s="87"/>
      <c r="R895" s="87"/>
      <c r="S895" s="87"/>
    </row>
    <row r="896">
      <c r="A896" s="87"/>
      <c r="B896" s="87"/>
      <c r="C896" s="87"/>
      <c r="F896" s="87"/>
      <c r="J896" s="87"/>
      <c r="K896" s="87"/>
      <c r="L896" s="87"/>
      <c r="O896" s="87"/>
      <c r="P896" s="87"/>
      <c r="Q896" s="87"/>
      <c r="R896" s="87"/>
      <c r="S896" s="87"/>
    </row>
    <row r="897">
      <c r="A897" s="87"/>
      <c r="B897" s="87"/>
      <c r="C897" s="87"/>
      <c r="F897" s="87"/>
      <c r="J897" s="87"/>
      <c r="K897" s="87"/>
      <c r="L897" s="87"/>
      <c r="O897" s="87"/>
      <c r="P897" s="87"/>
      <c r="Q897" s="87"/>
      <c r="R897" s="87"/>
      <c r="S897" s="87"/>
    </row>
    <row r="898">
      <c r="A898" s="87"/>
      <c r="B898" s="87"/>
      <c r="C898" s="87"/>
      <c r="F898" s="87"/>
      <c r="J898" s="87"/>
      <c r="K898" s="87"/>
      <c r="L898" s="87"/>
      <c r="O898" s="87"/>
      <c r="P898" s="87"/>
      <c r="Q898" s="87"/>
      <c r="R898" s="87"/>
      <c r="S898" s="87"/>
    </row>
    <row r="899">
      <c r="A899" s="87"/>
      <c r="B899" s="87"/>
      <c r="C899" s="87"/>
      <c r="F899" s="87"/>
      <c r="J899" s="87"/>
      <c r="K899" s="87"/>
      <c r="L899" s="87"/>
      <c r="O899" s="87"/>
      <c r="P899" s="87"/>
      <c r="Q899" s="87"/>
      <c r="R899" s="87"/>
      <c r="S899" s="87"/>
    </row>
    <row r="900">
      <c r="A900" s="87"/>
      <c r="B900" s="87"/>
      <c r="C900" s="87"/>
      <c r="F900" s="87"/>
      <c r="J900" s="87"/>
      <c r="K900" s="87"/>
      <c r="L900" s="87"/>
      <c r="O900" s="87"/>
      <c r="P900" s="87"/>
      <c r="Q900" s="87"/>
      <c r="R900" s="87"/>
      <c r="S900" s="87"/>
    </row>
    <row r="901">
      <c r="A901" s="87"/>
      <c r="B901" s="87"/>
      <c r="C901" s="87"/>
      <c r="F901" s="87"/>
      <c r="J901" s="87"/>
      <c r="K901" s="87"/>
      <c r="L901" s="87"/>
      <c r="O901" s="87"/>
      <c r="P901" s="87"/>
      <c r="Q901" s="87"/>
      <c r="R901" s="87"/>
      <c r="S901" s="87"/>
    </row>
    <row r="902">
      <c r="A902" s="87"/>
      <c r="B902" s="87"/>
      <c r="C902" s="87"/>
      <c r="F902" s="87"/>
      <c r="J902" s="87"/>
      <c r="K902" s="87"/>
      <c r="L902" s="87"/>
      <c r="O902" s="87"/>
      <c r="P902" s="87"/>
      <c r="Q902" s="87"/>
      <c r="R902" s="87"/>
      <c r="S902" s="87"/>
    </row>
    <row r="903">
      <c r="A903" s="87"/>
      <c r="B903" s="87"/>
      <c r="C903" s="87"/>
      <c r="F903" s="87"/>
      <c r="J903" s="87"/>
      <c r="K903" s="87"/>
      <c r="L903" s="87"/>
      <c r="O903" s="87"/>
      <c r="P903" s="87"/>
      <c r="Q903" s="87"/>
      <c r="R903" s="87"/>
      <c r="S903" s="87"/>
    </row>
    <row r="904">
      <c r="A904" s="87"/>
      <c r="B904" s="87"/>
      <c r="C904" s="87"/>
      <c r="F904" s="87"/>
      <c r="J904" s="87"/>
      <c r="K904" s="87"/>
      <c r="L904" s="87"/>
      <c r="O904" s="87"/>
      <c r="P904" s="87"/>
      <c r="Q904" s="87"/>
      <c r="R904" s="87"/>
      <c r="S904" s="87"/>
    </row>
    <row r="905">
      <c r="A905" s="87"/>
      <c r="B905" s="87"/>
      <c r="C905" s="87"/>
      <c r="F905" s="87"/>
      <c r="J905" s="87"/>
      <c r="K905" s="87"/>
      <c r="L905" s="87"/>
      <c r="O905" s="87"/>
      <c r="P905" s="87"/>
      <c r="Q905" s="87"/>
      <c r="R905" s="87"/>
      <c r="S905" s="87"/>
    </row>
    <row r="906">
      <c r="A906" s="87"/>
      <c r="B906" s="87"/>
      <c r="C906" s="87"/>
      <c r="F906" s="87"/>
      <c r="J906" s="87"/>
      <c r="K906" s="87"/>
      <c r="L906" s="87"/>
      <c r="O906" s="87"/>
      <c r="P906" s="87"/>
      <c r="Q906" s="87"/>
      <c r="R906" s="87"/>
      <c r="S906" s="87"/>
    </row>
    <row r="907">
      <c r="A907" s="87"/>
      <c r="B907" s="87"/>
      <c r="C907" s="87"/>
      <c r="F907" s="87"/>
      <c r="J907" s="87"/>
      <c r="K907" s="87"/>
      <c r="L907" s="87"/>
      <c r="O907" s="87"/>
      <c r="P907" s="87"/>
      <c r="Q907" s="87"/>
      <c r="R907" s="87"/>
      <c r="S907" s="87"/>
    </row>
    <row r="908">
      <c r="A908" s="87"/>
      <c r="B908" s="87"/>
      <c r="C908" s="87"/>
      <c r="F908" s="87"/>
      <c r="J908" s="87"/>
      <c r="K908" s="87"/>
      <c r="L908" s="87"/>
      <c r="O908" s="87"/>
      <c r="P908" s="87"/>
      <c r="Q908" s="87"/>
      <c r="R908" s="87"/>
      <c r="S908" s="87"/>
    </row>
    <row r="909">
      <c r="A909" s="87"/>
      <c r="B909" s="87"/>
      <c r="C909" s="87"/>
      <c r="F909" s="87"/>
      <c r="J909" s="87"/>
      <c r="K909" s="87"/>
      <c r="L909" s="87"/>
      <c r="O909" s="87"/>
      <c r="P909" s="87"/>
      <c r="Q909" s="87"/>
      <c r="R909" s="87"/>
      <c r="S909" s="87"/>
    </row>
    <row r="910">
      <c r="A910" s="87"/>
      <c r="B910" s="87"/>
      <c r="C910" s="87"/>
      <c r="F910" s="87"/>
      <c r="J910" s="87"/>
      <c r="K910" s="87"/>
      <c r="L910" s="87"/>
      <c r="O910" s="87"/>
      <c r="P910" s="87"/>
      <c r="Q910" s="87"/>
      <c r="R910" s="87"/>
      <c r="S910" s="87"/>
    </row>
    <row r="911">
      <c r="A911" s="87"/>
      <c r="B911" s="87"/>
      <c r="C911" s="87"/>
      <c r="F911" s="87"/>
      <c r="J911" s="87"/>
      <c r="K911" s="87"/>
      <c r="L911" s="87"/>
      <c r="O911" s="87"/>
      <c r="P911" s="87"/>
      <c r="Q911" s="87"/>
      <c r="R911" s="87"/>
      <c r="S911" s="87"/>
    </row>
    <row r="912">
      <c r="A912" s="87"/>
      <c r="B912" s="87"/>
      <c r="C912" s="87"/>
      <c r="F912" s="87"/>
      <c r="J912" s="87"/>
      <c r="K912" s="87"/>
      <c r="L912" s="87"/>
      <c r="O912" s="87"/>
      <c r="P912" s="87"/>
      <c r="Q912" s="87"/>
      <c r="R912" s="87"/>
      <c r="S912" s="87"/>
    </row>
    <row r="913">
      <c r="A913" s="87"/>
      <c r="B913" s="87"/>
      <c r="C913" s="87"/>
      <c r="F913" s="87"/>
      <c r="J913" s="87"/>
      <c r="K913" s="87"/>
      <c r="L913" s="87"/>
      <c r="O913" s="87"/>
      <c r="P913" s="87"/>
      <c r="Q913" s="87"/>
      <c r="R913" s="87"/>
      <c r="S913" s="87"/>
    </row>
    <row r="914">
      <c r="A914" s="87"/>
      <c r="B914" s="87"/>
      <c r="C914" s="87"/>
      <c r="F914" s="87"/>
      <c r="J914" s="87"/>
      <c r="K914" s="87"/>
      <c r="L914" s="87"/>
      <c r="O914" s="87"/>
      <c r="P914" s="87"/>
      <c r="Q914" s="87"/>
      <c r="R914" s="87"/>
      <c r="S914" s="87"/>
    </row>
    <row r="915">
      <c r="A915" s="87"/>
      <c r="B915" s="87"/>
      <c r="C915" s="87"/>
      <c r="F915" s="87"/>
      <c r="J915" s="87"/>
      <c r="K915" s="87"/>
      <c r="L915" s="87"/>
      <c r="O915" s="87"/>
      <c r="P915" s="87"/>
      <c r="Q915" s="87"/>
      <c r="R915" s="87"/>
      <c r="S915" s="87"/>
    </row>
    <row r="916">
      <c r="A916" s="87"/>
      <c r="B916" s="87"/>
      <c r="C916" s="87"/>
      <c r="F916" s="87"/>
      <c r="J916" s="87"/>
      <c r="K916" s="87"/>
      <c r="L916" s="87"/>
      <c r="O916" s="87"/>
      <c r="P916" s="87"/>
      <c r="Q916" s="87"/>
      <c r="R916" s="87"/>
      <c r="S916" s="87"/>
    </row>
    <row r="917">
      <c r="A917" s="87"/>
      <c r="B917" s="87"/>
      <c r="C917" s="87"/>
      <c r="F917" s="87"/>
      <c r="J917" s="87"/>
      <c r="K917" s="87"/>
      <c r="L917" s="87"/>
      <c r="O917" s="87"/>
      <c r="P917" s="87"/>
      <c r="Q917" s="87"/>
      <c r="R917" s="87"/>
      <c r="S917" s="87"/>
    </row>
    <row r="918">
      <c r="A918" s="87"/>
      <c r="B918" s="87"/>
      <c r="C918" s="87"/>
      <c r="F918" s="87"/>
      <c r="J918" s="87"/>
      <c r="K918" s="87"/>
      <c r="L918" s="87"/>
      <c r="O918" s="87"/>
      <c r="P918" s="87"/>
      <c r="Q918" s="87"/>
      <c r="R918" s="87"/>
      <c r="S918" s="87"/>
    </row>
    <row r="919">
      <c r="A919" s="87"/>
      <c r="B919" s="87"/>
      <c r="C919" s="87"/>
      <c r="F919" s="87"/>
      <c r="J919" s="87"/>
      <c r="K919" s="87"/>
      <c r="L919" s="87"/>
      <c r="O919" s="87"/>
      <c r="P919" s="87"/>
      <c r="Q919" s="87"/>
      <c r="R919" s="87"/>
      <c r="S919" s="87"/>
    </row>
    <row r="920">
      <c r="A920" s="87"/>
      <c r="B920" s="87"/>
      <c r="C920" s="87"/>
      <c r="F920" s="87"/>
      <c r="J920" s="87"/>
      <c r="K920" s="87"/>
      <c r="L920" s="87"/>
      <c r="O920" s="87"/>
      <c r="P920" s="87"/>
      <c r="Q920" s="87"/>
      <c r="R920" s="87"/>
      <c r="S920" s="87"/>
    </row>
    <row r="921">
      <c r="A921" s="87"/>
      <c r="B921" s="87"/>
      <c r="C921" s="87"/>
      <c r="F921" s="87"/>
      <c r="J921" s="87"/>
      <c r="K921" s="87"/>
      <c r="L921" s="87"/>
      <c r="O921" s="87"/>
      <c r="P921" s="87"/>
      <c r="Q921" s="87"/>
      <c r="R921" s="87"/>
      <c r="S921" s="87"/>
    </row>
    <row r="922">
      <c r="A922" s="87"/>
      <c r="B922" s="87"/>
      <c r="C922" s="87"/>
      <c r="F922" s="87"/>
      <c r="J922" s="87"/>
      <c r="K922" s="87"/>
      <c r="L922" s="87"/>
      <c r="O922" s="87"/>
      <c r="P922" s="87"/>
      <c r="Q922" s="87"/>
      <c r="R922" s="87"/>
      <c r="S922" s="87"/>
    </row>
    <row r="923">
      <c r="A923" s="87"/>
      <c r="B923" s="87"/>
      <c r="C923" s="87"/>
      <c r="F923" s="87"/>
      <c r="J923" s="87"/>
      <c r="K923" s="87"/>
      <c r="L923" s="87"/>
      <c r="O923" s="87"/>
      <c r="P923" s="87"/>
      <c r="Q923" s="87"/>
      <c r="R923" s="87"/>
      <c r="S923" s="87"/>
    </row>
    <row r="924">
      <c r="A924" s="87"/>
      <c r="B924" s="87"/>
      <c r="C924" s="87"/>
      <c r="F924" s="87"/>
      <c r="J924" s="87"/>
      <c r="K924" s="87"/>
      <c r="L924" s="87"/>
      <c r="O924" s="87"/>
      <c r="P924" s="87"/>
      <c r="Q924" s="87"/>
      <c r="R924" s="87"/>
      <c r="S924" s="87"/>
    </row>
    <row r="925">
      <c r="A925" s="87"/>
      <c r="B925" s="87"/>
      <c r="C925" s="87"/>
      <c r="F925" s="87"/>
      <c r="J925" s="87"/>
      <c r="K925" s="87"/>
      <c r="L925" s="87"/>
      <c r="O925" s="87"/>
      <c r="P925" s="87"/>
      <c r="Q925" s="87"/>
      <c r="R925" s="87"/>
      <c r="S925" s="87"/>
    </row>
    <row r="926">
      <c r="A926" s="87"/>
      <c r="B926" s="87"/>
      <c r="C926" s="87"/>
      <c r="F926" s="87"/>
      <c r="J926" s="87"/>
      <c r="K926" s="87"/>
      <c r="L926" s="87"/>
      <c r="O926" s="87"/>
      <c r="P926" s="87"/>
      <c r="Q926" s="87"/>
      <c r="R926" s="87"/>
      <c r="S926" s="87"/>
    </row>
    <row r="927">
      <c r="A927" s="87"/>
      <c r="B927" s="87"/>
      <c r="C927" s="87"/>
      <c r="F927" s="87"/>
      <c r="J927" s="87"/>
      <c r="K927" s="87"/>
      <c r="L927" s="87"/>
      <c r="O927" s="87"/>
      <c r="P927" s="87"/>
      <c r="Q927" s="87"/>
      <c r="R927" s="87"/>
      <c r="S927" s="87"/>
    </row>
    <row r="928">
      <c r="A928" s="87"/>
      <c r="B928" s="87"/>
      <c r="C928" s="87"/>
      <c r="F928" s="87"/>
      <c r="J928" s="87"/>
      <c r="K928" s="87"/>
      <c r="L928" s="87"/>
      <c r="O928" s="87"/>
      <c r="P928" s="87"/>
      <c r="Q928" s="87"/>
      <c r="R928" s="87"/>
      <c r="S928" s="87"/>
    </row>
    <row r="929">
      <c r="A929" s="87"/>
      <c r="B929" s="87"/>
      <c r="C929" s="87"/>
      <c r="F929" s="87"/>
      <c r="J929" s="87"/>
      <c r="K929" s="87"/>
      <c r="L929" s="87"/>
      <c r="O929" s="87"/>
      <c r="P929" s="87"/>
      <c r="Q929" s="87"/>
      <c r="R929" s="87"/>
      <c r="S929" s="87"/>
    </row>
    <row r="930">
      <c r="A930" s="87"/>
      <c r="B930" s="87"/>
      <c r="C930" s="87"/>
      <c r="F930" s="87"/>
      <c r="J930" s="87"/>
      <c r="K930" s="87"/>
      <c r="L930" s="87"/>
      <c r="O930" s="87"/>
      <c r="P930" s="87"/>
      <c r="Q930" s="87"/>
      <c r="R930" s="87"/>
      <c r="S930" s="87"/>
    </row>
    <row r="931">
      <c r="A931" s="87"/>
      <c r="B931" s="87"/>
      <c r="C931" s="87"/>
      <c r="F931" s="87"/>
      <c r="J931" s="87"/>
      <c r="K931" s="87"/>
      <c r="L931" s="87"/>
      <c r="O931" s="87"/>
      <c r="P931" s="87"/>
      <c r="Q931" s="87"/>
      <c r="R931" s="87"/>
      <c r="S931" s="87"/>
    </row>
    <row r="932">
      <c r="A932" s="87"/>
      <c r="B932" s="87"/>
      <c r="C932" s="87"/>
      <c r="F932" s="87"/>
      <c r="J932" s="87"/>
      <c r="K932" s="87"/>
      <c r="L932" s="87"/>
      <c r="O932" s="87"/>
      <c r="P932" s="87"/>
      <c r="Q932" s="87"/>
      <c r="R932" s="87"/>
      <c r="S932" s="87"/>
    </row>
    <row r="933">
      <c r="A933" s="87"/>
      <c r="B933" s="87"/>
      <c r="C933" s="87"/>
      <c r="F933" s="87"/>
      <c r="J933" s="87"/>
      <c r="K933" s="87"/>
      <c r="L933" s="87"/>
      <c r="O933" s="87"/>
      <c r="P933" s="87"/>
      <c r="Q933" s="87"/>
      <c r="R933" s="87"/>
      <c r="S933" s="87"/>
    </row>
    <row r="934">
      <c r="A934" s="87"/>
      <c r="B934" s="87"/>
      <c r="C934" s="87"/>
      <c r="F934" s="87"/>
      <c r="J934" s="87"/>
      <c r="K934" s="87"/>
      <c r="L934" s="87"/>
      <c r="O934" s="87"/>
      <c r="P934" s="87"/>
      <c r="Q934" s="87"/>
      <c r="R934" s="87"/>
      <c r="S934" s="87"/>
    </row>
    <row r="935">
      <c r="A935" s="87"/>
      <c r="B935" s="87"/>
      <c r="C935" s="87"/>
      <c r="F935" s="87"/>
      <c r="J935" s="87"/>
      <c r="K935" s="87"/>
      <c r="L935" s="87"/>
      <c r="O935" s="87"/>
      <c r="P935" s="87"/>
      <c r="Q935" s="87"/>
      <c r="R935" s="87"/>
      <c r="S935" s="87"/>
    </row>
    <row r="936">
      <c r="A936" s="87"/>
      <c r="B936" s="87"/>
      <c r="C936" s="87"/>
      <c r="F936" s="87"/>
      <c r="J936" s="87"/>
      <c r="K936" s="87"/>
      <c r="L936" s="87"/>
      <c r="O936" s="87"/>
      <c r="P936" s="87"/>
      <c r="Q936" s="87"/>
      <c r="R936" s="87"/>
      <c r="S936" s="87"/>
    </row>
    <row r="937">
      <c r="A937" s="87"/>
      <c r="B937" s="87"/>
      <c r="C937" s="87"/>
      <c r="F937" s="87"/>
      <c r="J937" s="87"/>
      <c r="K937" s="87"/>
      <c r="L937" s="87"/>
      <c r="O937" s="87"/>
      <c r="P937" s="87"/>
      <c r="Q937" s="87"/>
      <c r="R937" s="87"/>
      <c r="S937" s="87"/>
    </row>
    <row r="938">
      <c r="A938" s="87"/>
      <c r="B938" s="87"/>
      <c r="C938" s="87"/>
      <c r="F938" s="87"/>
      <c r="J938" s="87"/>
      <c r="K938" s="87"/>
      <c r="L938" s="87"/>
      <c r="O938" s="87"/>
      <c r="P938" s="87"/>
      <c r="Q938" s="87"/>
      <c r="R938" s="87"/>
      <c r="S938" s="87"/>
    </row>
    <row r="939">
      <c r="A939" s="87"/>
      <c r="B939" s="87"/>
      <c r="C939" s="87"/>
      <c r="F939" s="87"/>
      <c r="J939" s="87"/>
      <c r="K939" s="87"/>
      <c r="L939" s="87"/>
      <c r="O939" s="87"/>
      <c r="P939" s="87"/>
      <c r="Q939" s="87"/>
      <c r="R939" s="87"/>
      <c r="S939" s="87"/>
    </row>
    <row r="940">
      <c r="A940" s="87"/>
      <c r="B940" s="87"/>
      <c r="C940" s="87"/>
      <c r="F940" s="87"/>
      <c r="J940" s="87"/>
      <c r="K940" s="87"/>
      <c r="L940" s="87"/>
      <c r="O940" s="87"/>
      <c r="P940" s="87"/>
      <c r="Q940" s="87"/>
      <c r="R940" s="87"/>
      <c r="S940" s="87"/>
    </row>
    <row r="941">
      <c r="A941" s="87"/>
      <c r="B941" s="87"/>
      <c r="C941" s="87"/>
      <c r="F941" s="87"/>
      <c r="J941" s="87"/>
      <c r="K941" s="87"/>
      <c r="L941" s="87"/>
      <c r="O941" s="87"/>
      <c r="P941" s="87"/>
      <c r="Q941" s="87"/>
      <c r="R941" s="87"/>
      <c r="S941" s="87"/>
    </row>
    <row r="942">
      <c r="A942" s="87"/>
      <c r="B942" s="87"/>
      <c r="C942" s="87"/>
      <c r="F942" s="87"/>
      <c r="J942" s="87"/>
      <c r="K942" s="87"/>
      <c r="L942" s="87"/>
      <c r="O942" s="87"/>
      <c r="P942" s="87"/>
      <c r="Q942" s="87"/>
      <c r="R942" s="87"/>
      <c r="S942" s="87"/>
    </row>
    <row r="943">
      <c r="A943" s="87"/>
      <c r="B943" s="87"/>
      <c r="C943" s="87"/>
      <c r="F943" s="87"/>
      <c r="J943" s="87"/>
      <c r="K943" s="87"/>
      <c r="L943" s="87"/>
      <c r="O943" s="87"/>
      <c r="P943" s="87"/>
      <c r="Q943" s="87"/>
      <c r="R943" s="87"/>
      <c r="S943" s="87"/>
    </row>
    <row r="944">
      <c r="A944" s="87"/>
      <c r="B944" s="87"/>
      <c r="C944" s="87"/>
      <c r="F944" s="87"/>
      <c r="J944" s="87"/>
      <c r="K944" s="87"/>
      <c r="L944" s="87"/>
      <c r="O944" s="87"/>
      <c r="P944" s="87"/>
      <c r="Q944" s="87"/>
      <c r="R944" s="87"/>
      <c r="S944" s="87"/>
    </row>
    <row r="945">
      <c r="A945" s="87"/>
      <c r="B945" s="87"/>
      <c r="C945" s="87"/>
      <c r="F945" s="87"/>
      <c r="J945" s="87"/>
      <c r="K945" s="87"/>
      <c r="L945" s="87"/>
      <c r="O945" s="87"/>
      <c r="P945" s="87"/>
      <c r="Q945" s="87"/>
      <c r="R945" s="87"/>
      <c r="S945" s="87"/>
    </row>
    <row r="946">
      <c r="A946" s="87"/>
      <c r="B946" s="87"/>
      <c r="C946" s="87"/>
      <c r="F946" s="87"/>
      <c r="J946" s="87"/>
      <c r="K946" s="87"/>
      <c r="L946" s="87"/>
      <c r="O946" s="87"/>
      <c r="P946" s="87"/>
      <c r="Q946" s="87"/>
      <c r="R946" s="87"/>
      <c r="S946" s="87"/>
    </row>
    <row r="947">
      <c r="A947" s="87"/>
      <c r="B947" s="87"/>
      <c r="C947" s="87"/>
      <c r="F947" s="87"/>
      <c r="J947" s="87"/>
      <c r="K947" s="87"/>
      <c r="L947" s="87"/>
      <c r="O947" s="87"/>
      <c r="P947" s="87"/>
      <c r="Q947" s="87"/>
      <c r="R947" s="87"/>
      <c r="S947" s="87"/>
    </row>
    <row r="948">
      <c r="A948" s="87"/>
      <c r="B948" s="87"/>
      <c r="C948" s="87"/>
      <c r="F948" s="87"/>
      <c r="J948" s="87"/>
      <c r="K948" s="87"/>
      <c r="L948" s="87"/>
      <c r="O948" s="87"/>
      <c r="P948" s="87"/>
      <c r="Q948" s="87"/>
      <c r="R948" s="87"/>
      <c r="S948" s="87"/>
    </row>
    <row r="949">
      <c r="A949" s="87"/>
      <c r="B949" s="87"/>
      <c r="C949" s="87"/>
      <c r="F949" s="87"/>
      <c r="J949" s="87"/>
      <c r="K949" s="87"/>
      <c r="L949" s="87"/>
      <c r="O949" s="87"/>
      <c r="P949" s="87"/>
      <c r="Q949" s="87"/>
      <c r="R949" s="87"/>
      <c r="S949" s="87"/>
    </row>
    <row r="950">
      <c r="A950" s="87"/>
      <c r="B950" s="87"/>
      <c r="C950" s="87"/>
      <c r="F950" s="87"/>
      <c r="J950" s="87"/>
      <c r="K950" s="87"/>
      <c r="L950" s="87"/>
      <c r="O950" s="87"/>
      <c r="P950" s="87"/>
      <c r="Q950" s="87"/>
      <c r="R950" s="87"/>
      <c r="S950" s="87"/>
    </row>
    <row r="951">
      <c r="A951" s="87"/>
      <c r="B951" s="87"/>
      <c r="C951" s="87"/>
      <c r="F951" s="87"/>
      <c r="J951" s="87"/>
      <c r="K951" s="87"/>
      <c r="L951" s="87"/>
      <c r="O951" s="87"/>
      <c r="P951" s="87"/>
      <c r="Q951" s="87"/>
      <c r="R951" s="87"/>
      <c r="S951" s="87"/>
    </row>
    <row r="952">
      <c r="A952" s="87"/>
      <c r="B952" s="87"/>
      <c r="C952" s="87"/>
      <c r="F952" s="87"/>
      <c r="J952" s="87"/>
      <c r="K952" s="87"/>
      <c r="L952" s="87"/>
      <c r="O952" s="87"/>
      <c r="P952" s="87"/>
      <c r="Q952" s="87"/>
      <c r="R952" s="87"/>
      <c r="S952" s="87"/>
    </row>
    <row r="953">
      <c r="A953" s="87"/>
      <c r="B953" s="87"/>
      <c r="C953" s="87"/>
      <c r="F953" s="87"/>
      <c r="J953" s="87"/>
      <c r="K953" s="87"/>
      <c r="L953" s="87"/>
      <c r="O953" s="87"/>
      <c r="P953" s="87"/>
      <c r="Q953" s="87"/>
      <c r="R953" s="87"/>
      <c r="S953" s="87"/>
    </row>
    <row r="954">
      <c r="A954" s="87"/>
      <c r="B954" s="87"/>
      <c r="C954" s="87"/>
      <c r="F954" s="87"/>
      <c r="J954" s="87"/>
      <c r="K954" s="87"/>
      <c r="L954" s="87"/>
      <c r="O954" s="87"/>
      <c r="P954" s="87"/>
      <c r="Q954" s="87"/>
      <c r="R954" s="87"/>
      <c r="S954" s="87"/>
    </row>
    <row r="955">
      <c r="A955" s="87"/>
      <c r="B955" s="87"/>
      <c r="C955" s="87"/>
      <c r="F955" s="87"/>
      <c r="J955" s="87"/>
      <c r="K955" s="87"/>
      <c r="L955" s="87"/>
      <c r="O955" s="87"/>
      <c r="P955" s="87"/>
      <c r="Q955" s="87"/>
      <c r="R955" s="87"/>
      <c r="S955" s="87"/>
    </row>
    <row r="956">
      <c r="A956" s="87"/>
      <c r="B956" s="87"/>
      <c r="C956" s="87"/>
      <c r="F956" s="87"/>
      <c r="J956" s="87"/>
      <c r="K956" s="87"/>
      <c r="L956" s="87"/>
      <c r="O956" s="87"/>
      <c r="P956" s="87"/>
      <c r="Q956" s="87"/>
      <c r="R956" s="87"/>
      <c r="S956" s="87"/>
    </row>
    <row r="957">
      <c r="A957" s="87"/>
      <c r="B957" s="87"/>
      <c r="C957" s="87"/>
      <c r="F957" s="87"/>
      <c r="J957" s="87"/>
      <c r="K957" s="87"/>
      <c r="L957" s="87"/>
      <c r="O957" s="87"/>
      <c r="P957" s="87"/>
      <c r="Q957" s="87"/>
      <c r="R957" s="87"/>
      <c r="S957" s="87"/>
    </row>
    <row r="958">
      <c r="A958" s="87"/>
      <c r="B958" s="87"/>
      <c r="C958" s="87"/>
      <c r="F958" s="87"/>
      <c r="J958" s="87"/>
      <c r="K958" s="87"/>
      <c r="L958" s="87"/>
      <c r="O958" s="87"/>
      <c r="P958" s="87"/>
      <c r="Q958" s="87"/>
      <c r="R958" s="87"/>
      <c r="S958" s="87"/>
    </row>
    <row r="959">
      <c r="A959" s="87"/>
      <c r="B959" s="87"/>
      <c r="C959" s="87"/>
      <c r="F959" s="87"/>
      <c r="J959" s="87"/>
      <c r="K959" s="87"/>
      <c r="L959" s="87"/>
      <c r="O959" s="87"/>
      <c r="P959" s="87"/>
      <c r="Q959" s="87"/>
      <c r="R959" s="87"/>
      <c r="S959" s="87"/>
    </row>
    <row r="960">
      <c r="A960" s="87"/>
      <c r="B960" s="87"/>
      <c r="C960" s="87"/>
      <c r="F960" s="87"/>
      <c r="J960" s="87"/>
      <c r="K960" s="87"/>
      <c r="L960" s="87"/>
      <c r="O960" s="87"/>
      <c r="P960" s="87"/>
      <c r="Q960" s="87"/>
      <c r="R960" s="87"/>
      <c r="S960" s="87"/>
    </row>
    <row r="961">
      <c r="A961" s="87"/>
      <c r="B961" s="87"/>
      <c r="C961" s="87"/>
      <c r="F961" s="87"/>
      <c r="J961" s="87"/>
      <c r="K961" s="87"/>
      <c r="L961" s="87"/>
      <c r="O961" s="87"/>
      <c r="P961" s="87"/>
      <c r="Q961" s="87"/>
      <c r="R961" s="87"/>
      <c r="S961" s="87"/>
    </row>
    <row r="962">
      <c r="A962" s="87"/>
      <c r="B962" s="87"/>
      <c r="C962" s="87"/>
      <c r="F962" s="87"/>
      <c r="J962" s="87"/>
      <c r="K962" s="87"/>
      <c r="L962" s="87"/>
      <c r="O962" s="87"/>
      <c r="P962" s="87"/>
      <c r="Q962" s="87"/>
      <c r="R962" s="87"/>
      <c r="S962" s="87"/>
    </row>
    <row r="963">
      <c r="A963" s="87"/>
      <c r="B963" s="87"/>
      <c r="C963" s="87"/>
      <c r="F963" s="87"/>
      <c r="J963" s="87"/>
      <c r="K963" s="87"/>
      <c r="L963" s="87"/>
      <c r="O963" s="87"/>
      <c r="P963" s="87"/>
      <c r="Q963" s="87"/>
      <c r="R963" s="87"/>
      <c r="S963" s="87"/>
    </row>
    <row r="964">
      <c r="A964" s="87"/>
      <c r="B964" s="87"/>
      <c r="C964" s="87"/>
      <c r="F964" s="87"/>
      <c r="J964" s="87"/>
      <c r="K964" s="87"/>
      <c r="L964" s="87"/>
      <c r="O964" s="87"/>
      <c r="P964" s="87"/>
      <c r="Q964" s="87"/>
      <c r="R964" s="87"/>
      <c r="S964" s="87"/>
    </row>
    <row r="965">
      <c r="A965" s="87"/>
      <c r="B965" s="87"/>
      <c r="C965" s="87"/>
      <c r="F965" s="87"/>
      <c r="J965" s="87"/>
      <c r="K965" s="87"/>
      <c r="L965" s="87"/>
      <c r="O965" s="87"/>
      <c r="P965" s="87"/>
      <c r="Q965" s="87"/>
      <c r="R965" s="87"/>
      <c r="S965" s="87"/>
    </row>
    <row r="966">
      <c r="A966" s="87"/>
      <c r="B966" s="87"/>
      <c r="C966" s="87"/>
      <c r="F966" s="87"/>
      <c r="J966" s="87"/>
      <c r="K966" s="87"/>
      <c r="L966" s="87"/>
      <c r="O966" s="87"/>
      <c r="P966" s="87"/>
      <c r="Q966" s="87"/>
      <c r="R966" s="87"/>
      <c r="S966" s="87"/>
    </row>
    <row r="967">
      <c r="A967" s="87"/>
      <c r="B967" s="87"/>
      <c r="C967" s="87"/>
      <c r="F967" s="87"/>
      <c r="J967" s="87"/>
      <c r="K967" s="87"/>
      <c r="L967" s="87"/>
      <c r="O967" s="87"/>
      <c r="P967" s="87"/>
      <c r="Q967" s="87"/>
      <c r="R967" s="87"/>
      <c r="S967" s="87"/>
    </row>
    <row r="968">
      <c r="A968" s="87"/>
      <c r="B968" s="87"/>
      <c r="C968" s="87"/>
      <c r="F968" s="87"/>
      <c r="J968" s="87"/>
      <c r="K968" s="87"/>
      <c r="L968" s="87"/>
      <c r="O968" s="87"/>
      <c r="P968" s="87"/>
      <c r="Q968" s="87"/>
      <c r="R968" s="87"/>
      <c r="S968" s="87"/>
    </row>
    <row r="969">
      <c r="A969" s="87"/>
      <c r="B969" s="87"/>
      <c r="C969" s="87"/>
      <c r="F969" s="87"/>
      <c r="J969" s="87"/>
      <c r="K969" s="87"/>
      <c r="L969" s="87"/>
      <c r="O969" s="87"/>
      <c r="P969" s="87"/>
      <c r="Q969" s="87"/>
      <c r="R969" s="87"/>
      <c r="S969" s="87"/>
    </row>
    <row r="970">
      <c r="A970" s="87"/>
      <c r="B970" s="87"/>
      <c r="C970" s="87"/>
      <c r="F970" s="87"/>
      <c r="J970" s="87"/>
      <c r="K970" s="87"/>
      <c r="L970" s="87"/>
      <c r="O970" s="87"/>
      <c r="P970" s="87"/>
      <c r="Q970" s="87"/>
      <c r="R970" s="87"/>
      <c r="S970" s="87"/>
    </row>
    <row r="971">
      <c r="A971" s="87"/>
      <c r="B971" s="87"/>
      <c r="C971" s="87"/>
      <c r="F971" s="87"/>
      <c r="J971" s="87"/>
      <c r="K971" s="87"/>
      <c r="L971" s="87"/>
      <c r="O971" s="87"/>
      <c r="P971" s="87"/>
      <c r="Q971" s="87"/>
      <c r="R971" s="87"/>
      <c r="S971" s="87"/>
    </row>
    <row r="972">
      <c r="A972" s="87"/>
      <c r="B972" s="87"/>
      <c r="C972" s="87"/>
      <c r="F972" s="87"/>
      <c r="J972" s="87"/>
      <c r="K972" s="87"/>
      <c r="L972" s="87"/>
      <c r="O972" s="87"/>
      <c r="P972" s="87"/>
      <c r="Q972" s="87"/>
      <c r="R972" s="87"/>
      <c r="S972" s="87"/>
    </row>
    <row r="973">
      <c r="A973" s="87"/>
      <c r="B973" s="87"/>
      <c r="C973" s="87"/>
      <c r="F973" s="87"/>
      <c r="J973" s="87"/>
      <c r="K973" s="87"/>
      <c r="L973" s="87"/>
      <c r="O973" s="87"/>
      <c r="P973" s="87"/>
      <c r="Q973" s="87"/>
      <c r="R973" s="87"/>
      <c r="S973" s="87"/>
    </row>
    <row r="974">
      <c r="A974" s="87"/>
      <c r="B974" s="87"/>
      <c r="C974" s="87"/>
      <c r="F974" s="87"/>
      <c r="J974" s="87"/>
      <c r="K974" s="87"/>
      <c r="L974" s="87"/>
      <c r="O974" s="87"/>
      <c r="P974" s="87"/>
      <c r="Q974" s="87"/>
      <c r="R974" s="87"/>
      <c r="S974" s="87"/>
    </row>
    <row r="975">
      <c r="A975" s="87"/>
      <c r="B975" s="87"/>
      <c r="C975" s="87"/>
      <c r="F975" s="87"/>
      <c r="J975" s="87"/>
      <c r="K975" s="87"/>
      <c r="L975" s="87"/>
      <c r="O975" s="87"/>
      <c r="P975" s="87"/>
      <c r="Q975" s="87"/>
      <c r="R975" s="87"/>
      <c r="S975" s="87"/>
    </row>
    <row r="976">
      <c r="A976" s="87"/>
      <c r="B976" s="87"/>
      <c r="C976" s="87"/>
      <c r="F976" s="87"/>
      <c r="J976" s="87"/>
      <c r="K976" s="87"/>
      <c r="L976" s="87"/>
      <c r="O976" s="87"/>
      <c r="P976" s="87"/>
      <c r="Q976" s="87"/>
      <c r="R976" s="87"/>
      <c r="S976" s="87"/>
    </row>
    <row r="977">
      <c r="A977" s="87"/>
      <c r="B977" s="87"/>
      <c r="C977" s="87"/>
      <c r="F977" s="87"/>
      <c r="J977" s="87"/>
      <c r="K977" s="87"/>
      <c r="L977" s="87"/>
      <c r="O977" s="87"/>
      <c r="P977" s="87"/>
      <c r="Q977" s="87"/>
      <c r="R977" s="87"/>
      <c r="S977" s="87"/>
    </row>
    <row r="978">
      <c r="A978" s="87"/>
      <c r="B978" s="87"/>
      <c r="C978" s="87"/>
      <c r="F978" s="87"/>
      <c r="J978" s="87"/>
      <c r="K978" s="87"/>
      <c r="L978" s="87"/>
      <c r="O978" s="87"/>
      <c r="P978" s="87"/>
      <c r="Q978" s="87"/>
      <c r="R978" s="87"/>
      <c r="S978" s="87"/>
    </row>
  </sheetData>
  <mergeCells count="3">
    <mergeCell ref="A27:B27"/>
    <mergeCell ref="D27:F27"/>
    <mergeCell ref="A37:B37"/>
  </mergeCells>
  <conditionalFormatting sqref="E9">
    <cfRule type="notContainsBlanks" dxfId="6" priority="1">
      <formula>LEN(TRIM(E9))&gt;0</formula>
    </cfRule>
  </conditionalFormatting>
  <drawing r:id="rId1"/>
  <tableParts count="4">
    <tablePart r:id="rId6"/>
    <tablePart r:id="rId7"/>
    <tablePart r:id="rId8"/>
    <tablePart r:id="rId9"/>
  </tableParts>
</worksheet>
</file>