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GCV\Documents\pgc-genomebase\scripts\"/>
    </mc:Choice>
  </mc:AlternateContent>
  <bookViews>
    <workbookView xWindow="0" yWindow="0" windowWidth="19368" windowHeight="9384" activeTab="1"/>
  </bookViews>
  <sheets>
    <sheet name="inquiries" sheetId="1" r:id="rId1"/>
    <sheet name="clients" sheetId="2" r:id="rId2"/>
    <sheet name="projects" sheetId="3" r:id="rId3"/>
    <sheet name="quotations" sheetId="4" r:id="rId4"/>
    <sheet name="chargeSlips" sheetId="5" r:id="rId5"/>
  </sheets>
  <calcPr calcId="152511"/>
</workbook>
</file>

<file path=xl/calcChain.xml><?xml version="1.0" encoding="utf-8"?>
<calcChain xmlns="http://schemas.openxmlformats.org/spreadsheetml/2006/main">
  <c r="G3" i="2" l="1"/>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2" i="2"/>
  <c r="K418" i="1"/>
  <c r="K419" i="1"/>
  <c r="K420" i="1"/>
  <c r="K421" i="1"/>
  <c r="K422" i="1"/>
  <c r="K424" i="1"/>
  <c r="K425" i="1"/>
  <c r="K426" i="1"/>
  <c r="K427" i="1"/>
  <c r="K428" i="1"/>
  <c r="K429" i="1"/>
  <c r="K430" i="1"/>
  <c r="K431" i="1"/>
  <c r="J419" i="1"/>
  <c r="J420" i="1"/>
  <c r="J421" i="1"/>
  <c r="J422" i="1"/>
  <c r="J423" i="1"/>
  <c r="J424" i="1"/>
  <c r="J425" i="1"/>
  <c r="J426" i="1"/>
  <c r="J427" i="1"/>
  <c r="J428" i="1"/>
  <c r="J429" i="1"/>
  <c r="J430"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3" i="1"/>
  <c r="J4" i="1"/>
  <c r="J5" i="1"/>
  <c r="J2" i="1"/>
  <c r="K2" i="1" s="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156" i="1"/>
  <c r="D157" i="1"/>
  <c r="D158" i="1"/>
  <c r="D159" i="1"/>
  <c r="D160" i="1"/>
  <c r="D161" i="1"/>
  <c r="D162" i="1"/>
  <c r="D163" i="1"/>
  <c r="D164" i="1"/>
  <c r="D165" i="1"/>
  <c r="D166" i="1"/>
  <c r="D167" i="1"/>
  <c r="D168" i="1"/>
  <c r="D169" i="1"/>
  <c r="D170" i="1"/>
  <c r="D171" i="1"/>
  <c r="D172" i="1"/>
  <c r="D173" i="1"/>
  <c r="D174"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45" i="1"/>
  <c r="D46" i="1"/>
  <c r="D47" i="1"/>
  <c r="D48" i="1"/>
  <c r="D49" i="1"/>
  <c r="D50" i="1"/>
  <c r="D51" i="1"/>
  <c r="D52" i="1"/>
  <c r="D53" i="1"/>
  <c r="D54" i="1"/>
  <c r="D55" i="1"/>
  <c r="D56" i="1"/>
  <c r="D57" i="1"/>
  <c r="D58" i="1"/>
  <c r="D59" i="1"/>
  <c r="D60" i="1"/>
  <c r="D61" i="1"/>
  <c r="D62" i="1"/>
  <c r="D63" i="1"/>
  <c r="D64" i="1"/>
  <c r="D65" i="1"/>
  <c r="D66" i="1"/>
  <c r="D67" i="1"/>
  <c r="D68" i="1"/>
  <c r="D69"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3" i="1"/>
  <c r="D4" i="1"/>
  <c r="D5" i="1"/>
  <c r="D6" i="1"/>
  <c r="D7" i="1"/>
  <c r="D8" i="1"/>
  <c r="D9" i="1"/>
  <c r="D10" i="1"/>
  <c r="D11" i="1"/>
  <c r="D12" i="1"/>
  <c r="D13" i="1"/>
  <c r="D14" i="1"/>
  <c r="D2" i="1"/>
</calcChain>
</file>

<file path=xl/sharedStrings.xml><?xml version="1.0" encoding="utf-8"?>
<sst xmlns="http://schemas.openxmlformats.org/spreadsheetml/2006/main" count="12966" uniqueCount="4774">
  <si>
    <t>id</t>
  </si>
  <si>
    <t>affiliation</t>
  </si>
  <si>
    <t>createdAt</t>
  </si>
  <si>
    <t>designation</t>
  </si>
  <si>
    <t>email</t>
  </si>
  <si>
    <t>haveSubmitted</t>
  </si>
  <si>
    <t>isApproved</t>
  </si>
  <si>
    <t>name</t>
  </si>
  <si>
    <t>status</t>
  </si>
  <si>
    <t>updatedAt</t>
  </si>
  <si>
    <t>01zGeA4CnLF4BlAPgHnN</t>
  </si>
  <si>
    <t>UPV CFOS IA</t>
  </si>
  <si>
    <t>2025-04-15T00:00:00.000Z</t>
  </si>
  <si>
    <t>Researcher/Technical Assistant</t>
  </si>
  <si>
    <t>jdalcantara5@up.edu.ph</t>
  </si>
  <si>
    <t>Jezel D. Alcantara</t>
  </si>
  <si>
    <t>Quotation Only</t>
  </si>
  <si>
    <t>0aklN6pWTsDlXttp5Zd8</t>
  </si>
  <si>
    <t>CFOS-IA, University of the Philippines Visayas</t>
  </si>
  <si>
    <t>2025-07-29T00:00:00.000Z</t>
  </si>
  <si>
    <t>Faculty, Project Leader</t>
  </si>
  <si>
    <t>noemail@email.com</t>
  </si>
  <si>
    <t>Mary Grace Sedanza</t>
  </si>
  <si>
    <t>0lkVRMNb7mIHACInTC7l</t>
  </si>
  <si>
    <t>Molecular Laboratory, Corazon L. Montelibano Memorial Regional Hospital, Burgos-Lacson St., Bacolod City</t>
  </si>
  <si>
    <t>2021-01-20T00:00:00.000Z</t>
  </si>
  <si>
    <t>Staff</t>
  </si>
  <si>
    <t>alainjuayang@yahoo.com</t>
  </si>
  <si>
    <t>Alain C. Juayang</t>
  </si>
  <si>
    <t>Approved Client</t>
  </si>
  <si>
    <t>0tm6Ep6LhpsTkcYYeJpW</t>
  </si>
  <si>
    <t>Division of Biological Sciences, College of Arts and Sciences, UP Visayas Miagao Iloilo</t>
  </si>
  <si>
    <t>2024-09-19T00:00:00.000Z</t>
  </si>
  <si>
    <t>eddiaz@up.edu.ph</t>
  </si>
  <si>
    <t>Erica Victoria Diaz</t>
  </si>
  <si>
    <t>XXX</t>
  </si>
  <si>
    <t>carmjavier@gmail.com</t>
  </si>
  <si>
    <t>laboratory</t>
  </si>
  <si>
    <t>Ongoing Quotation</t>
  </si>
  <si>
    <t>[]</t>
  </si>
  <si>
    <t>1L60R0mqGFkmDtJ4rvAt</t>
  </si>
  <si>
    <t>Division of Biological Sciences, College of Arts and Sciences, Tomas Fonacier Hall, UP Visayas, Miagao, Iloilo 5023</t>
  </si>
  <si>
    <t>2022-11-04T00:00:00.000Z</t>
  </si>
  <si>
    <t>fbhechanova@up.edu.ph</t>
  </si>
  <si>
    <t>Frenche B. Hechanova</t>
  </si>
  <si>
    <t>1aIaVXoLXR1jBYk1Hpqc</t>
  </si>
  <si>
    <t>Medical Research Council, University of Glasgow</t>
  </si>
  <si>
    <t>2023-06-14T00:00:00.000Z</t>
  </si>
  <si>
    <t>N/A</t>
  </si>
  <si>
    <t>m.galarion.1@research.gla.ac.uk</t>
  </si>
  <si>
    <t>Ma Jowina Galarion</t>
  </si>
  <si>
    <t>1cctcgldq8c0UomgAnAL</t>
  </si>
  <si>
    <t>Visayas State University</t>
  </si>
  <si>
    <t>2025-08-16T13:27:30.961Z</t>
  </si>
  <si>
    <t>BS Biotechnology</t>
  </si>
  <si>
    <t>noemail@gmail.com</t>
  </si>
  <si>
    <t>MARIELLE BANDALAN</t>
  </si>
  <si>
    <t>1iu9FNaI6nnJ54k8qYTJ</t>
  </si>
  <si>
    <t>CTU-Argao Campus</t>
  </si>
  <si>
    <t>2026-01-29T06:37:15.396Z</t>
  </si>
  <si>
    <t>Faculty</t>
  </si>
  <si>
    <t>renejane.alesna@ctu.edu.ph</t>
  </si>
  <si>
    <t>Rene Jane Alesna-Saripada</t>
  </si>
  <si>
    <t>20hmj3FcBHjg6dvVG465</t>
  </si>
  <si>
    <t>University of San Agustin</t>
  </si>
  <si>
    <t>2026-01-29T07:22:30.919Z</t>
  </si>
  <si>
    <t>Student</t>
  </si>
  <si>
    <t>csantiana@usa.edu.ph</t>
  </si>
  <si>
    <t>Chris Armand Santiana</t>
  </si>
  <si>
    <t>22HjtalIJvUI3qnkRcMa</t>
  </si>
  <si>
    <t>Research and Development Extension, Mindoro State University</t>
  </si>
  <si>
    <t>2022-08-12T00:00:00.000Z</t>
  </si>
  <si>
    <t>nyctarinia@gmail.com</t>
  </si>
  <si>
    <t>Katherine P. Sanchez</t>
  </si>
  <si>
    <t>28wLilm6PhHMgBV0NvZU</t>
  </si>
  <si>
    <t>Central Philippine University</t>
  </si>
  <si>
    <t>2025-08-15T17:46:32.008Z</t>
  </si>
  <si>
    <t>Instructor</t>
  </si>
  <si>
    <t>Joy Raso</t>
  </si>
  <si>
    <t>2CBkFTEtzLHJgvehRPJn</t>
  </si>
  <si>
    <t>Division of Biological Sciences, College of Arts and Sciences, University of the Philippines Visayas, Miagao, Iloilo</t>
  </si>
  <si>
    <t>2022-05-24T00:00:00.000Z</t>
  </si>
  <si>
    <t>isabelagrasya@gmail.com</t>
  </si>
  <si>
    <t>Isabel Grace Gatpatan</t>
  </si>
  <si>
    <t>2D5tB9XLfyI8YiJpPDaV</t>
  </si>
  <si>
    <t>Institute of Aquaculutre, College of Fisheries and Ocean Science, University of the Philippines Visayas, Miagao, Iloilo</t>
  </si>
  <si>
    <t>2023-11-20T00:00:00.000Z</t>
  </si>
  <si>
    <t>lcgasit@up.edu.ph</t>
  </si>
  <si>
    <t>LC May C. Gasit</t>
  </si>
  <si>
    <t>2FVIaEApdunwOBSmgcP0</t>
  </si>
  <si>
    <t>University of Negros Occidental – Recoletos</t>
  </si>
  <si>
    <t>2025-08-21T15:35:09.393Z</t>
  </si>
  <si>
    <t>Aeo Christian Coo</t>
  </si>
  <si>
    <t>2IvXy5KzOIWVNF1KjOjl</t>
  </si>
  <si>
    <t>UP Tacloban College</t>
  </si>
  <si>
    <t>2025-08-21T15:55:25.126Z</t>
  </si>
  <si>
    <t xml:space="preserve">Project Technical Aide III </t>
  </si>
  <si>
    <t xml:space="preserve">Mary Rose V. Zabala </t>
  </si>
  <si>
    <t>2LoD1pI3d91gs8TUVOVK</t>
  </si>
  <si>
    <t>University of the Philippines Visayas</t>
  </si>
  <si>
    <t>2026-01-29T06:44:17.695Z</t>
  </si>
  <si>
    <t>Researcher</t>
  </si>
  <si>
    <t>jgcabalo1@up.edu.ph</t>
  </si>
  <si>
    <t>Josie Mar G. Cabalo</t>
  </si>
  <si>
    <t>2U64vA8bL8hUMLoeovgY</t>
  </si>
  <si>
    <t>Institute of Aquaculture, College of Fisheries and Ocean Sciences, University of the Philippines Visayas, Miagao, 5023, Iloilo</t>
  </si>
  <si>
    <t>2020-03-12T00:00:00.000Z</t>
  </si>
  <si>
    <t>rcsibonga@gmail.com</t>
  </si>
  <si>
    <t>Rema C. Sibonga</t>
  </si>
  <si>
    <t>2ek1naokHJMx29PGe6zB</t>
  </si>
  <si>
    <t>Passi National High School</t>
  </si>
  <si>
    <t>2024-07-25T00:00:00.000Z</t>
  </si>
  <si>
    <t>Undergrad Student</t>
  </si>
  <si>
    <t>erestingcoljhianaly@gmail.com</t>
  </si>
  <si>
    <t>Jhianaly Erestingcol</t>
  </si>
  <si>
    <t>2mMuWsnythWnXggfxoQ9</t>
  </si>
  <si>
    <t>Biological Sciences Department, West Visayas State University, Luna Street, Lapaz, Iloilo City 5001</t>
  </si>
  <si>
    <t>2024-05-22T00:00:00.000Z</t>
  </si>
  <si>
    <t>jeannemargenevive.figueras@wvsu.edu.ph</t>
  </si>
  <si>
    <t>Dr. Jeannemar Genevive Y. Figueras</t>
  </si>
  <si>
    <t>2spmpgcYoCoQ0aE3koVy</t>
  </si>
  <si>
    <t>2024-07-03T00:00:00.000Z</t>
  </si>
  <si>
    <t>MS Student</t>
  </si>
  <si>
    <t>jbhinautan@up.edu.ph</t>
  </si>
  <si>
    <t>Junelou B. Hinautan</t>
  </si>
  <si>
    <t>3AFMlGp7adOuYKyERy6Q</t>
  </si>
  <si>
    <t>West Visayas State University</t>
  </si>
  <si>
    <t>2025-08-18T18:43:09.777Z</t>
  </si>
  <si>
    <t>Professor</t>
  </si>
  <si>
    <t>Prency Yerro</t>
  </si>
  <si>
    <t>3HTehetVEPKIunJ6oKX5</t>
  </si>
  <si>
    <t>Division of Biological Sciences, CAS Bldg., UP Visayas, Miagao, Iloilo 5023</t>
  </si>
  <si>
    <t>2023-08-16T00:00:00.000Z</t>
  </si>
  <si>
    <t>asbugayong@up.edu.ph</t>
  </si>
  <si>
    <t>Adrienne Marrie S. Bugayon-Janagap</t>
  </si>
  <si>
    <t>3KPUUV7BTTFs5tXDuY57</t>
  </si>
  <si>
    <t>IA-Hatchery Complex, University of the Philippines Visayas, Miagao 5023, Iloilo</t>
  </si>
  <si>
    <t>2020-06-08T00:00:00.000Z</t>
  </si>
  <si>
    <t>kyleresmac@gmail.com</t>
  </si>
  <si>
    <t>Kyle R. Castañares</t>
  </si>
  <si>
    <t>41gTZjhfouG2DO2mO4n2</t>
  </si>
  <si>
    <t>PGC Visayas</t>
  </si>
  <si>
    <t>2025-01-14T00:00:00.000Z</t>
  </si>
  <si>
    <t>High School Students</t>
  </si>
  <si>
    <t>jcvelo@up.edu.ph</t>
  </si>
  <si>
    <t>Jasmine Velo</t>
  </si>
  <si>
    <t>4QMxaLPw0i6XPIziOaC3</t>
  </si>
  <si>
    <t>Biotechnology and Microbiology Laboratory, College of Medicine, West Visayas State University</t>
  </si>
  <si>
    <t>Others</t>
  </si>
  <si>
    <t>angelmae.malones@wvsu.edu.ph</t>
  </si>
  <si>
    <t>Angel Mae T. Malones</t>
  </si>
  <si>
    <t>4dz7TVv8881HPo8hElg6</t>
  </si>
  <si>
    <t>--</t>
  </si>
  <si>
    <t>2025-08-21T10:45:01.987Z</t>
  </si>
  <si>
    <t>4hi7MV3WBCiOme6EfZoF</t>
  </si>
  <si>
    <t>2023-04-20T00:00:00.000Z</t>
  </si>
  <si>
    <t>tesantos2@up.edu.ph</t>
  </si>
  <si>
    <t>Trisha Marie Santos</t>
  </si>
  <si>
    <t>4ikPU5npY9a4IBE9TKXf</t>
  </si>
  <si>
    <t>Institute of Marine Fisheries and Oceanology, College of Fisheries and Ocean Sciences, University of the Philippines Visayas</t>
  </si>
  <si>
    <t>2021-03-25T00:00:00.000Z</t>
  </si>
  <si>
    <t>racabebe@up.edu.ph</t>
  </si>
  <si>
    <t>Roxanne Cabebe</t>
  </si>
  <si>
    <t>4jx9E9xqbqPJktZNdGMV</t>
  </si>
  <si>
    <t>Ilocos Sur Polytechnic State College</t>
  </si>
  <si>
    <t>2024-12-11T00:00:00.000Z</t>
  </si>
  <si>
    <t>ajeedan2012@gmail.com</t>
  </si>
  <si>
    <t>Daniel Juan B. Ramirez</t>
  </si>
  <si>
    <t>4qXHt3GbuqAAK3p97B3W</t>
  </si>
  <si>
    <t>petpaul021814@gmail.com</t>
  </si>
  <si>
    <t>Peter Paul L. Lazo</t>
  </si>
  <si>
    <t>53aTOq5bBhIWo6FAkfU6</t>
  </si>
  <si>
    <t>2025-08-16T14:52:53.679Z</t>
  </si>
  <si>
    <t>Wilson Laranang</t>
  </si>
  <si>
    <t>54g9vunc7dbIuMrEiTNU</t>
  </si>
  <si>
    <t xml:space="preserve">University of St. La Salle – Bacolod  </t>
  </si>
  <si>
    <t>2026-01-15T02:34:50.448Z</t>
  </si>
  <si>
    <t>s2202444@usls.edu.ph</t>
  </si>
  <si>
    <t>Sophia Isabel Pediongco</t>
  </si>
  <si>
    <t>5Lw9mIRcMIbJnyySPXv1</t>
  </si>
  <si>
    <t>Philippine Science High School - MIMAROPA Region Campus</t>
  </si>
  <si>
    <t>2025-08-19T17:15:43.305Z</t>
  </si>
  <si>
    <t>Grade 12 Student</t>
  </si>
  <si>
    <t>nomeail@gmail.com</t>
  </si>
  <si>
    <t>Junel F. Fiestada</t>
  </si>
  <si>
    <t>5RZpQRsT9cnlV8UmXVCG</t>
  </si>
  <si>
    <t>Samar State University - Mercedes, Mercedes, Catbalogan City, Samar 6700</t>
  </si>
  <si>
    <t>2020-02-12T00:00:00.000Z</t>
  </si>
  <si>
    <t>sweetbrillantes@gmail.com</t>
  </si>
  <si>
    <t>Shirleen Grace Brillantes</t>
  </si>
  <si>
    <t>5Tk42AxDP8WOHSq8Oom9</t>
  </si>
  <si>
    <t>Brackishwater Fisheries Research and Development Center, Pacita, Lala, Lanao del Norte</t>
  </si>
  <si>
    <t>2025-08-17T18:16:55.799Z</t>
  </si>
  <si>
    <t>Joanna Mae Mong</t>
  </si>
  <si>
    <t>5aOZKnOLBW3UI9BGkpM5</t>
  </si>
  <si>
    <t>2023-11-10T00:00:00.000Z</t>
  </si>
  <si>
    <t>Carl Jester Caldito</t>
  </si>
  <si>
    <t>5b7RhNSMobmxU84SaIya</t>
  </si>
  <si>
    <t>danielle.elevado@wvsu.edu.ph</t>
  </si>
  <si>
    <t>Danielle L. Elevado</t>
  </si>
  <si>
    <t>5c3fDbUk1bbkLZ9qTVyx</t>
  </si>
  <si>
    <t>Don Mariano Marcos Memorial State University</t>
  </si>
  <si>
    <t>2025-08-18T18:47:49.178Z</t>
  </si>
  <si>
    <t>Project Staff</t>
  </si>
  <si>
    <t>DR. ANGELINA T. GONZALES</t>
  </si>
  <si>
    <t>5fhdCZhQzKJFTtyj290F</t>
  </si>
  <si>
    <t>2025-05-30T00:00:00.000Z</t>
  </si>
  <si>
    <t>Pee Jee Jareno</t>
  </si>
  <si>
    <t>5k6U8gdT2qXWIdW6TOJd</t>
  </si>
  <si>
    <t>Natural Sciences Department, University of St. La Salle
Adoracion St., Brgy. XIX, Victorias City, Negros Occidental</t>
  </si>
  <si>
    <t>2024-04-03T00:00:00.000Z</t>
  </si>
  <si>
    <t>lesthertadeña@gmail.com/ s2021049@usls.edu.ph</t>
  </si>
  <si>
    <t>Lesther G. Tadeña</t>
  </si>
  <si>
    <t>5vJWChYjrAku246LEy8r</t>
  </si>
  <si>
    <t xml:space="preserve">
Don Mariano Marcos Memorial State University</t>
  </si>
  <si>
    <t>2023-10-25T00:00:00.000Z</t>
  </si>
  <si>
    <t>Dianne Peralta</t>
  </si>
  <si>
    <t>5vKe54Y5c66FST9XiXHO</t>
  </si>
  <si>
    <t>Biology Department, Silliman University</t>
  </si>
  <si>
    <t>2025-08-15T19:10:02.372Z</t>
  </si>
  <si>
    <t>Chairperson</t>
  </si>
  <si>
    <t>DR. NADIA PALOMAR-ABESAMIS</t>
  </si>
  <si>
    <t>5yrQ9jm63oEG4PaxegVm</t>
  </si>
  <si>
    <t>Science Department, Mindanao State University - General Santos</t>
  </si>
  <si>
    <t>2026-03-02T10:44:21.542Z</t>
  </si>
  <si>
    <t>jasminejoy.panes@msugensan.edu.ph</t>
  </si>
  <si>
    <t>Jasmine Joy U. Panes</t>
  </si>
  <si>
    <t>Pending</t>
  </si>
  <si>
    <t>6YyNEPa0MSUklsPZsvvi</t>
  </si>
  <si>
    <t>2024-08-09T00:00:00.000Z</t>
  </si>
  <si>
    <t>Training Conforme only/ No CIS; Failed to assign Client ID earlier</t>
  </si>
  <si>
    <t>Mary Ann B. Madeja</t>
  </si>
  <si>
    <t>6b8mxAh9HOmI5TeAs38R</t>
  </si>
  <si>
    <t>UP Tacloban</t>
  </si>
  <si>
    <t>2025-08-16T16:17:42.565Z</t>
  </si>
  <si>
    <t>Project Technical Aide</t>
  </si>
  <si>
    <t>Ann Gelanie Tarrayo</t>
  </si>
  <si>
    <t>6cSPuudWWy76pWqEGpzl</t>
  </si>
  <si>
    <t>Western Institute of Technology</t>
  </si>
  <si>
    <t>2025-08-21T11:19:10.572Z</t>
  </si>
  <si>
    <t>Ritz Lloyd Ogatis</t>
  </si>
  <si>
    <t>6trQWj2bQWtk4eDJZgiY</t>
  </si>
  <si>
    <t>2025-08-21T09:57:56.202Z</t>
  </si>
  <si>
    <t>Nielvin Cansejo</t>
  </si>
  <si>
    <t>6uAmifefIKHNsIuNONO1</t>
  </si>
  <si>
    <t>CFAS, Visayas State University Tolosa</t>
  </si>
  <si>
    <t>2024-08-14T00:00:00.000Z</t>
  </si>
  <si>
    <t>fermina.genson@vsu.edu.ph</t>
  </si>
  <si>
    <t>Fermina Genson</t>
  </si>
  <si>
    <t>71AdcHfWPi66HSSygKxk</t>
  </si>
  <si>
    <t>Room 124, CAS Bldg., Division of Biological Sciences, College of Arts and Sciences, University of the Philippines Visayas, Miagao, Iloilo</t>
  </si>
  <si>
    <t>2020-03-13T00:00:00.000Z</t>
  </si>
  <si>
    <t>ksebreo@up.edu.ph</t>
  </si>
  <si>
    <t>Karen Claire S. Ebreo</t>
  </si>
  <si>
    <t>75zzGqsHnanrC5kzqQTt</t>
  </si>
  <si>
    <t>2025-08-16T14:20:42.636Z</t>
  </si>
  <si>
    <t xml:space="preserve">Romagne John Palmos </t>
  </si>
  <si>
    <t>7LnyoWUEHEj8B0doo57g</t>
  </si>
  <si>
    <t>DMMMSU Probiotics Research Project, Central Administration Building, Don Mariano Marcos Memorial State University, Sapilang, Bacnotan, La Union 2515</t>
  </si>
  <si>
    <t>2024-01-25T00:00:00.000Z</t>
  </si>
  <si>
    <t>dperalta@dmmmsu.edu.ph</t>
  </si>
  <si>
    <t>Dianne A. Peralta</t>
  </si>
  <si>
    <t>7VUuCfrplktOHrqTaFWF</t>
  </si>
  <si>
    <t>Regional Research Center Building, University of the Philippines Visayas Miagao, 5023, Iloilo</t>
  </si>
  <si>
    <t>2022-10-25T00:00:00.000Z</t>
  </si>
  <si>
    <t>jgpahila@up.edu.ph</t>
  </si>
  <si>
    <t>Jade G. Pahila</t>
  </si>
  <si>
    <t>7tEkzqpb6cYAfVn733je</t>
  </si>
  <si>
    <t>2024-03-13T00:00:00.000Z</t>
  </si>
  <si>
    <t>pzgabiota@up.edu.ph</t>
  </si>
  <si>
    <t>Princess Sarah Gabiota</t>
  </si>
  <si>
    <t>7tRLWjtI0IzDJCaNBE9D</t>
  </si>
  <si>
    <t>College of Fisheries and Ocean Science, University of the Philippines Visayas, Miagao, Iloilo</t>
  </si>
  <si>
    <t>2025-03-19T00:00:00.000Z</t>
  </si>
  <si>
    <t>annufuar@up.edu.ph</t>
  </si>
  <si>
    <t>Alexander N. Nufuar</t>
  </si>
  <si>
    <t>7vjCtkBpskZRHIKtVBuL</t>
  </si>
  <si>
    <t>UP Visayas</t>
  </si>
  <si>
    <t>2025-08-18T18:13:24.132Z</t>
  </si>
  <si>
    <t>Chief, SPSO</t>
  </si>
  <si>
    <t>EMILIZA C. LOZADA</t>
  </si>
  <si>
    <t>7xMooDqMWE211twj0bXa</t>
  </si>
  <si>
    <t>Others, Staff, Researcher/Technical Assistant</t>
  </si>
  <si>
    <t>clgolingay@up.edu.ph</t>
  </si>
  <si>
    <t>Cezarie L. Golingay</t>
  </si>
  <si>
    <t>86EuNjgFKsEk1B9O8haM</t>
  </si>
  <si>
    <t>Healthy Futures Global</t>
  </si>
  <si>
    <t>2024-08-29T00:00:00.000Z</t>
  </si>
  <si>
    <t>keyur.doolabh@healthyfutures.global</t>
  </si>
  <si>
    <t>Dr Keyur Doolabh</t>
  </si>
  <si>
    <t>8CXkJghTBR0p8JdbzRqF</t>
  </si>
  <si>
    <t>Caraga State University – Main Campus</t>
  </si>
  <si>
    <t>2026-02-05T07:38:26.365Z</t>
  </si>
  <si>
    <t>kevincainglesgonzalez@gmail.com</t>
  </si>
  <si>
    <t xml:space="preserve">Kevin C. Gonzales  </t>
  </si>
  <si>
    <t>8Ii5xor8OdHDfZ41e5xU</t>
  </si>
  <si>
    <t>UPV CFOS IFPT</t>
  </si>
  <si>
    <t>2025-05-28T00:00:00.000Z</t>
  </si>
  <si>
    <t>gslibunao@up.edu.ph</t>
  </si>
  <si>
    <t>Gardel Xyza Silvederio</t>
  </si>
  <si>
    <t>8OaoiG1KOPPV2e2G7yKB</t>
  </si>
  <si>
    <t>Samar State University</t>
  </si>
  <si>
    <t>2024-10-07T00:00:00.000Z</t>
  </si>
  <si>
    <t>Marietta B. Albina</t>
  </si>
  <si>
    <t>8TcUgwQTRHLAavsDMjci</t>
  </si>
  <si>
    <t>Institute of Fish Processing Technology, CFOS, UPV</t>
  </si>
  <si>
    <t>2026-02-23T02:51:41.688Z</t>
  </si>
  <si>
    <t>avorillaza@up.edu.ph</t>
  </si>
  <si>
    <t>Audrey Mae V. Orillaza</t>
  </si>
  <si>
    <t>bioinformatics</t>
  </si>
  <si>
    <t>8V9oQzVu3C4UhC7ujZ0r</t>
  </si>
  <si>
    <t>Institute of Fish Processing Technology UPV CFOS</t>
  </si>
  <si>
    <t>2026-02-25T05:39:33.144Z</t>
  </si>
  <si>
    <t>aaestrella1@up.edu.ph</t>
  </si>
  <si>
    <t>Arielle Estrella</t>
  </si>
  <si>
    <t>8gC3WBdBZHGzSFuoU32e</t>
  </si>
  <si>
    <t>SOTECH, UP Visayas</t>
  </si>
  <si>
    <t>2024-10-08T00:00:00.000Z</t>
  </si>
  <si>
    <t>jppabilona@up.edu.ph</t>
  </si>
  <si>
    <t>Jerna Mae Pabilona</t>
  </si>
  <si>
    <t>8o4bpEHU8rlTPqXHQeuo</t>
  </si>
  <si>
    <t>2024-02-13T00:00:00.000Z</t>
  </si>
  <si>
    <t>Ferlyn Legarde</t>
  </si>
  <si>
    <t>8rltwfawIwhYCcXVoL48</t>
  </si>
  <si>
    <t>University of St. La Salle Bacolod</t>
  </si>
  <si>
    <t>2026-01-13T12:58:54.452Z</t>
  </si>
  <si>
    <t>Sophia Isabel B. Pediongco</t>
  </si>
  <si>
    <t>8w5t1t2SsvupV3aPEzFZ</t>
  </si>
  <si>
    <t>2025-02-24T00:00:00.000Z</t>
  </si>
  <si>
    <t>kylesalinas61@gmail.com</t>
  </si>
  <si>
    <t>Kyle Anthony C. Salinas</t>
  </si>
  <si>
    <t>8zYXRa2bocLYp48Nxsna</t>
  </si>
  <si>
    <t>College of Agriculture - University of Southern Mindanao</t>
  </si>
  <si>
    <t>2025-08-18T17:21:41.811Z</t>
  </si>
  <si>
    <t>Stephen Dave Dupo</t>
  </si>
  <si>
    <t>90ULZiCQVUpkBsGzQzWf</t>
  </si>
  <si>
    <t>cecortes2@up.edu.ph</t>
  </si>
  <si>
    <t>Carlos Anthony Henry Cortes</t>
  </si>
  <si>
    <t>9DRtfjP7h8vuiy95lZQf</t>
  </si>
  <si>
    <t>School of Technology, UPV</t>
  </si>
  <si>
    <t>Jihan Santanina Alumbro</t>
  </si>
  <si>
    <t>9H5Cnk9wUUv95250aujo</t>
  </si>
  <si>
    <t>Colegio delas Hijas</t>
  </si>
  <si>
    <t>2025-01-07T00:00:00.000Z</t>
  </si>
  <si>
    <t>sabgatdula15@gmail.com</t>
  </si>
  <si>
    <t>Hannah Tajolosa</t>
  </si>
  <si>
    <t>9Hd0cmofAjTnGogFj6rg</t>
  </si>
  <si>
    <t>2024-11-12T00:00:00.000Z</t>
  </si>
  <si>
    <t>kgnombre@up.edu.ph</t>
  </si>
  <si>
    <t>Kenn G. Nombre</t>
  </si>
  <si>
    <t>9KWFlxnMdgvLOVQsTgI0</t>
  </si>
  <si>
    <t>2020-12-03T00:00:00.000Z</t>
  </si>
  <si>
    <t>dvmiranda@up.edu.ph</t>
  </si>
  <si>
    <t>Denise V. Miranda</t>
  </si>
  <si>
    <t>9S40Ed8UC9JWVJIJfbDg</t>
  </si>
  <si>
    <t>College of Arts and Sciences Division of Biological Sciences, University of the Philippines Visayas Miagao, 5023, Iloilo</t>
  </si>
  <si>
    <t>2023-04-19T00:00:00.000Z</t>
  </si>
  <si>
    <t>kptalaman@up.edu.ph</t>
  </si>
  <si>
    <t>Kyla Julienne P. Talaman</t>
  </si>
  <si>
    <t>9ySJ4vZOZFAwTi9DmF3R</t>
  </si>
  <si>
    <t>2026-01-08T07:29:27.435Z</t>
  </si>
  <si>
    <t>s2200437@usls.edu.ph</t>
  </si>
  <si>
    <t>Leazar James V. David</t>
  </si>
  <si>
    <t>A0Y1f8bSW5D6ttCh0mYf</t>
  </si>
  <si>
    <t xml:space="preserve">Passi National High School </t>
  </si>
  <si>
    <t>2025-08-18T17:59:36.061Z</t>
  </si>
  <si>
    <t>Gianna Victoria Catalan</t>
  </si>
  <si>
    <t>A4ZVKdyPy4mCdSc5RZpL</t>
  </si>
  <si>
    <t>DOST NRCP - Adamson University</t>
  </si>
  <si>
    <t>2025-08-16T15:26:31.995Z</t>
  </si>
  <si>
    <t>Science Research Assocaite</t>
  </si>
  <si>
    <t>Royce Arcigal</t>
  </si>
  <si>
    <t>AChXiQyJS1QWPM0QZ98J</t>
  </si>
  <si>
    <t>2023-05-16T00:00:00.000Z</t>
  </si>
  <si>
    <t>csgregorio@up.edu.ph</t>
  </si>
  <si>
    <t>Carlo S. Gregorio</t>
  </si>
  <si>
    <t>AGe14H0DhFeWeUFm3HKO</t>
  </si>
  <si>
    <t>2024-10-14T00:00:00.000Z</t>
  </si>
  <si>
    <t>kbnodque@up.edu.ph</t>
  </si>
  <si>
    <t>Kelee Ira B. Noque</t>
  </si>
  <si>
    <t>APRmUpZrmYKVhav5HM5s</t>
  </si>
  <si>
    <t>UPV-IFPT</t>
  </si>
  <si>
    <t>2024-11-13T00:00:00.000Z</t>
  </si>
  <si>
    <t>jsnoveda@up.edu.ph</t>
  </si>
  <si>
    <t>Jennifer S. Noveda</t>
  </si>
  <si>
    <t>AX65MoH6EmZu4HTWJxGk</t>
  </si>
  <si>
    <t>2025-08-20T16:18:26.481Z</t>
  </si>
  <si>
    <t>RA</t>
  </si>
  <si>
    <t>Jana Jalbuna</t>
  </si>
  <si>
    <t>Ahn2z0obfbg48Z5NAGLy</t>
  </si>
  <si>
    <t>2025-05-19T00:00:00.000Z</t>
  </si>
  <si>
    <t>ceazarlouie@gmail.com</t>
  </si>
  <si>
    <t>Louie Altamia</t>
  </si>
  <si>
    <t>B0i7VQlXlrIJQf38i6bL</t>
  </si>
  <si>
    <t>WVSU Biotechnology &amp; Biomedical Research Labroatory</t>
  </si>
  <si>
    <t>2023-06-06T00:00:00.000Z</t>
  </si>
  <si>
    <t>abigail.padua@wvsu.edu.ph</t>
  </si>
  <si>
    <t>Abigail F. Padua</t>
  </si>
  <si>
    <t>B3keiM6cZRtpNt7IhkxR</t>
  </si>
  <si>
    <t>Brandon Briggs Cobacha Silvano</t>
  </si>
  <si>
    <t>B80t0EXwHkcrwuf9nt1M</t>
  </si>
  <si>
    <t>2023-07-18T00:00:00.000Z</t>
  </si>
  <si>
    <t>Ivanne Guillermo</t>
  </si>
  <si>
    <t>BG8qMfJIiNDiGhQEoxIN</t>
  </si>
  <si>
    <t>2025-01-17T00:00:00.000Z</t>
  </si>
  <si>
    <t>trburiel@up.edu.ph</t>
  </si>
  <si>
    <t>Thony Steven Buriel</t>
  </si>
  <si>
    <t>BUJDYB879thrj7NtHSVn</t>
  </si>
  <si>
    <t>2025-01-06T00:00:00.000Z</t>
  </si>
  <si>
    <t>caberbegal@up.edu.ph</t>
  </si>
  <si>
    <t>Clarnic A. Berbegal</t>
  </si>
  <si>
    <t>Bisp1ShCQGeOt4q5ZwBk</t>
  </si>
  <si>
    <t>azdimaano@up.edu.ph</t>
  </si>
  <si>
    <t>Antoniette Lorain Z. Dimaano</t>
  </si>
  <si>
    <t>BkY00HvXNYtaVR0UMI8C</t>
  </si>
  <si>
    <t>Biological and Physical Sciences Department, College of Arts and Sciences, DMMMSU, Agoo, La Union 2504</t>
  </si>
  <si>
    <t>grualo@dmmmsu.edu.ph</t>
  </si>
  <si>
    <t>Glennadi R. Rualo</t>
  </si>
  <si>
    <t>Bmiuqoc8Cl3o64AfNAHF</t>
  </si>
  <si>
    <t>Leon High School</t>
  </si>
  <si>
    <t>2025-08-21T10:47:52.890Z</t>
  </si>
  <si>
    <t>Jam Zymon Tefrio</t>
  </si>
  <si>
    <t>BoQZLpEhdX535b7bjqgD</t>
  </si>
  <si>
    <t>NRCP Sediment Project, Biology Department University of San Carlos</t>
  </si>
  <si>
    <t>2025-04-01T00:00:00.000Z</t>
  </si>
  <si>
    <t>rmtssanchez@gmail.com</t>
  </si>
  <si>
    <t>Reyna Marie Therese S. Sanchez</t>
  </si>
  <si>
    <t>BtqreMQHpTBs1Aa5bRuG</t>
  </si>
  <si>
    <t>brianeseriosdelo24@gmail.com</t>
  </si>
  <si>
    <t>Briane S. Deo</t>
  </si>
  <si>
    <t>CIbCOAXf5Gt5kc8JpZIG</t>
  </si>
  <si>
    <t>Central Mindanao University</t>
  </si>
  <si>
    <t>2026-01-20T01:17:45.870Z</t>
  </si>
  <si>
    <t>khryssdaleryve.lumaday@gmail.com</t>
  </si>
  <si>
    <t xml:space="preserve"> Khryss Dale Ryve Lumaday</t>
  </si>
  <si>
    <t>COUdbB01mnejm5odkx9w</t>
  </si>
  <si>
    <t>College of Arts and Sciences, DMMMSU-NLUC, Sapilang, Bacnotan, La Union 2515</t>
  </si>
  <si>
    <t>rcastelo@dmmmsu.edu.ph</t>
  </si>
  <si>
    <t>Reiner Jan A. Castelo</t>
  </si>
  <si>
    <t>CVZz6HtLAwnmc2r9EEPo</t>
  </si>
  <si>
    <t>XXXX</t>
  </si>
  <si>
    <t>2026-02-27T07:28:32.139Z</t>
  </si>
  <si>
    <t>Carmel</t>
  </si>
  <si>
    <t>CelkhSBSUi3kkE8Er5df</t>
  </si>
  <si>
    <t xml:space="preserve">Central Mindanao University </t>
  </si>
  <si>
    <t>2026-01-15T08:27:39.267Z</t>
  </si>
  <si>
    <t>s.ricablanca.nataniakiden@cmu.edu.ph</t>
  </si>
  <si>
    <t>Natania Kiden P. Ricablanca</t>
  </si>
  <si>
    <t>ClP3tu6MpFPs8D1JV5Uu</t>
  </si>
  <si>
    <t>2025-01-20T00:00:00.000Z</t>
  </si>
  <si>
    <t>fcsara@up.edu.ph</t>
  </si>
  <si>
    <t>Fred Mc Sapa</t>
  </si>
  <si>
    <t>CqXFveZCmsao5ftkm5HH</t>
  </si>
  <si>
    <t>Iloilo Science and Technology University (ISAT U)</t>
  </si>
  <si>
    <t>2025-08-18T17:20:02.399Z</t>
  </si>
  <si>
    <t>University Student</t>
  </si>
  <si>
    <t>Jhona Shyll Adorio</t>
  </si>
  <si>
    <t>CvWpysCbYyEduaGqoSP6</t>
  </si>
  <si>
    <t>Stephanie Faith Apines</t>
  </si>
  <si>
    <t>CyUSdZ8F7wLOggqwLpo0</t>
  </si>
  <si>
    <t>2022-06-21T00:00:00.000Z</t>
  </si>
  <si>
    <t>Leogiver G. Mañosca</t>
  </si>
  <si>
    <t>DEzmf3psRWPsYjCvu7eQ</t>
  </si>
  <si>
    <t>College of Medical Technology, Velez College 41 F. Ramos St., Cebu City</t>
  </si>
  <si>
    <t>2025-03-03T00:00:00.000Z</t>
  </si>
  <si>
    <t>ryanquijote21@gmail.com</t>
  </si>
  <si>
    <t>John Ryan L. Quijote</t>
  </si>
  <si>
    <t>DNCWIWV9I2JJneDyrL8O</t>
  </si>
  <si>
    <t>vivaprincessbasa@icloud.com</t>
  </si>
  <si>
    <t>Viva Princess A. Basa</t>
  </si>
  <si>
    <t>DQIQMsaNSwqciI9Rt2Dh</t>
  </si>
  <si>
    <t>Forestry Department, College Of Forestry And Environmental Studies, Mindanao State University – Main Campus, Marawi City, Lanao Del Sur</t>
  </si>
  <si>
    <t>2026-01-14T01:55:54.061Z</t>
  </si>
  <si>
    <t>salvador.ol224@s.msumain.edu.ph</t>
  </si>
  <si>
    <t>Orland Philip Salvador</t>
  </si>
  <si>
    <t>DWX17yauyoWYwIpGhVdg</t>
  </si>
  <si>
    <t>2024-04-23T00:00:00.000Z</t>
  </si>
  <si>
    <t>Jann Alyanna Toledo</t>
  </si>
  <si>
    <t>DY62AMz9QxQ4wdrlyhcR</t>
  </si>
  <si>
    <t>2025-03-24T00:00:00.000Z</t>
  </si>
  <si>
    <t>consuegracarlraymond@gmail.com</t>
  </si>
  <si>
    <t>Carl Raymiond D. Consuegra</t>
  </si>
  <si>
    <t>DoUoICm3REFjznDJi3W2</t>
  </si>
  <si>
    <t>West Visayas State University, College of Arts and Sciences - Biology Department</t>
  </si>
  <si>
    <t>2023-08-02T00:00:00.000Z</t>
  </si>
  <si>
    <t>krshna.duenas@wvsu.edu.ph</t>
  </si>
  <si>
    <t>Krshna Mahakaola A. Dueñas</t>
  </si>
  <si>
    <t>Ds6werZsjx6DXulYWhE5</t>
  </si>
  <si>
    <t>Fishery Department, Capiz State University - Dayao Satellite College, Dayao, Roxas City, Capiz</t>
  </si>
  <si>
    <t>castromarissa99@gmail.com</t>
  </si>
  <si>
    <t>Marissa C. Naorbe</t>
  </si>
  <si>
    <t>DuP4sPqsid5x8k9LoTwg</t>
  </si>
  <si>
    <t>UP Los Baños Graduate School</t>
  </si>
  <si>
    <t>2025-08-16T13:31:41.398Z</t>
  </si>
  <si>
    <t>MS MBB</t>
  </si>
  <si>
    <t>MA. MICHELLE PEÑOL</t>
  </si>
  <si>
    <t>EDitRUhKboOAQuzXw0tC</t>
  </si>
  <si>
    <t>Mindanao State University – Iligan Institute of Technology Chungbuk National University, South Korea</t>
  </si>
  <si>
    <t>2025-08-21T16:11:55.308Z</t>
  </si>
  <si>
    <t>PhD Candidate/Visiting Researcher</t>
  </si>
  <si>
    <t>Albert Senit</t>
  </si>
  <si>
    <t>EY8AbeLS48EuGHxaJzgR</t>
  </si>
  <si>
    <t>2024-09-10T00:00:00.000Z</t>
  </si>
  <si>
    <t>Vince Fuertes</t>
  </si>
  <si>
    <t>Eg7pr1stMEkVy6dqINik</t>
  </si>
  <si>
    <t>Medical Biophysics Group, University of San Carlos Talamban Campus</t>
  </si>
  <si>
    <t>alexispoliquit1@gmail.com</t>
  </si>
  <si>
    <t>Alexis L. Poliquit</t>
  </si>
  <si>
    <t>Epo1WYFBLFKihCGLVo8L</t>
  </si>
  <si>
    <t>Southern Leyte State University</t>
  </si>
  <si>
    <t>2024-07-08T00:00:00.000Z</t>
  </si>
  <si>
    <t>Nico Adam L. Antipala</t>
  </si>
  <si>
    <t>Es0u4yTb6CSbYCNyrk3b</t>
  </si>
  <si>
    <t>2022-03-02T00:00:00.000Z</t>
  </si>
  <si>
    <t>Project Leader</t>
  </si>
  <si>
    <t>ecrizo@up.edu.ph</t>
  </si>
  <si>
    <t>Eric Zeus C. Rizo</t>
  </si>
  <si>
    <t>F4SkZCj4uMWYsxgdpJKt</t>
  </si>
  <si>
    <t>Department of Chemistry, University of the Philippines Visayas</t>
  </si>
  <si>
    <t>2026-02-19T06:47:59.193Z</t>
  </si>
  <si>
    <t>adpolinio@up.edu.ph</t>
  </si>
  <si>
    <t>Ashley Godwin Kennah Polinio</t>
  </si>
  <si>
    <t>F8ZKLO81I63gdFtWcIpr</t>
  </si>
  <si>
    <t>Bureau of Fisheries and Aquatic Resource - Regional Fisheries Office 6</t>
  </si>
  <si>
    <t>smyl2428@gmail.com
smesa@bfar.da.gov.ph</t>
  </si>
  <si>
    <t>Sheryll Mesa</t>
  </si>
  <si>
    <t>F9zK1VHQBwNbBd3F99f6</t>
  </si>
  <si>
    <t>2020-10-27T00:00:00.000Z</t>
  </si>
  <si>
    <t>ladelgado1@up.edu.ph</t>
  </si>
  <si>
    <t>Loina Henzel A. Delgado</t>
  </si>
  <si>
    <t>FPh5pqJjxS5LOHNoX4K0</t>
  </si>
  <si>
    <t>School of Marine Fisheries and Technology,
Mindanao State University at Naawan,
Pedro Pagalan St. Poblacion, Naawan Misamis Oriental 9023</t>
  </si>
  <si>
    <t>2025-04-24T00:00:00.000Z</t>
  </si>
  <si>
    <t>cheeny.honcada14@gmail.com</t>
  </si>
  <si>
    <t>Cheeny A. Honcada</t>
  </si>
  <si>
    <t>FTRiY4hBJ7ibn2Tefnz5</t>
  </si>
  <si>
    <t>kbmedina@up.edu.ph</t>
  </si>
  <si>
    <t>Kristine Ann Medina</t>
  </si>
  <si>
    <t>FfOeEtvM6N5AgRVorTpL</t>
  </si>
  <si>
    <t>arlzdominiclibanan@gmail.com</t>
  </si>
  <si>
    <t>Arlz Dominic E. Libanan</t>
  </si>
  <si>
    <t>FjdPTNnFdj51wCEoFut9</t>
  </si>
  <si>
    <t>rmgaudiel@up.edu.ph</t>
  </si>
  <si>
    <t>Rother M. Gaudiel</t>
  </si>
  <si>
    <t>FmQUxpcXdSwheGQKi8EV</t>
  </si>
  <si>
    <t>2025-06-19T00:00:00.000Z</t>
  </si>
  <si>
    <t>sguntalan@up.edu.ph</t>
  </si>
  <si>
    <t>Sheila G. Untalan</t>
  </si>
  <si>
    <t>GCilImcmJqFjJIoHBtXQ</t>
  </si>
  <si>
    <t>2026-01-29T07:25:47.018Z</t>
  </si>
  <si>
    <t>kiandavecaldito@gmail.com</t>
  </si>
  <si>
    <t>Kian Dave C. Caldito</t>
  </si>
  <si>
    <t>GQMChgvJhVzBCxcbvWhZ</t>
  </si>
  <si>
    <t>Merlito Dayon Jr 2</t>
  </si>
  <si>
    <t>2026-02-26T11:01:07.324Z</t>
  </si>
  <si>
    <t>merlito.dayon@gmail.com</t>
  </si>
  <si>
    <t>GbM7zpxyUd5uAuedtRat</t>
  </si>
  <si>
    <t>3cachero@dmmmsu.edu.ph</t>
  </si>
  <si>
    <t>Ma. Theresa P. Crispino-Cachero</t>
  </si>
  <si>
    <t>GenfUEHAdobiTxiuQ6GS</t>
  </si>
  <si>
    <t>Researcher/Technical Assistant, Undergrad Student</t>
  </si>
  <si>
    <t>adarteta@up.edu.ph</t>
  </si>
  <si>
    <t>Allena Esther D. Arteta</t>
  </si>
  <si>
    <t>Gn1og4jlLL048hma0jYS</t>
  </si>
  <si>
    <t>Dept. of Chemistry, CAS, UP Visayas</t>
  </si>
  <si>
    <t>2025-04-23T00:00:00.000Z</t>
  </si>
  <si>
    <t>mllayson@up.edu.ph</t>
  </si>
  <si>
    <t>Maria Isabel Layson</t>
  </si>
  <si>
    <t>HEZylyx9udg0AMqVE1xs</t>
  </si>
  <si>
    <t>2023-07-12T00:00:00.000Z</t>
  </si>
  <si>
    <t>jmnim@up.edu.ph</t>
  </si>
  <si>
    <t>James Nim</t>
  </si>
  <si>
    <t>HkRNYSDEuBjF8HW62K7z</t>
  </si>
  <si>
    <t>Oceanbio Laboratoy, CAS, UP Visayas, Miagao, Iloilo</t>
  </si>
  <si>
    <t>2024-09-05T00:00:00.000Z</t>
  </si>
  <si>
    <t>gstaclas@up.edu.ph</t>
  </si>
  <si>
    <t>Graziele Ann S. Taclas</t>
  </si>
  <si>
    <t>Id5bQBVB6Vxta2KYhNmB</t>
  </si>
  <si>
    <t>UPV Tacloban College</t>
  </si>
  <si>
    <t>jattorrefiel@gmail.com</t>
  </si>
  <si>
    <t>Jay T. Torrefiel</t>
  </si>
  <si>
    <t>J4fpZAexJOOMoFvaPf8i</t>
  </si>
  <si>
    <t>2025-02-19T00:00:00.000Z</t>
  </si>
  <si>
    <t>hmbalauro@up.edu.ph</t>
  </si>
  <si>
    <t>Honnie Joy Balauro</t>
  </si>
  <si>
    <t>JLWudWkgALWnTEtOtY7U</t>
  </si>
  <si>
    <t>School of Technology, University of the Philippines Visayas</t>
  </si>
  <si>
    <t>2024-02-07T00:00:00.000Z</t>
  </si>
  <si>
    <t>kkjalandoni@up.edu.ph</t>
  </si>
  <si>
    <t>Kaylen Yvon K. Jalandoni</t>
  </si>
  <si>
    <t>JS2VwGjYDyfdNXuojvON</t>
  </si>
  <si>
    <t>University of the Philippines High School in Iloilo, College of Arts and Science</t>
  </si>
  <si>
    <t>2024-03-27T00:00:00.000Z</t>
  </si>
  <si>
    <t>mbchu@up.edu.ph</t>
  </si>
  <si>
    <t>Marielle B. Chu</t>
  </si>
  <si>
    <t>JU96wF1jL2xRkMLgnG3F</t>
  </si>
  <si>
    <t>scberlin@up.edu.ph</t>
  </si>
  <si>
    <t>Philip Ian P. Padilla</t>
  </si>
  <si>
    <t>JbsmeEhKDIRJ68RhFq2u</t>
  </si>
  <si>
    <t>Iñaki Reforma</t>
  </si>
  <si>
    <t>Jk3GzQ21xg6AXj2Sqne3</t>
  </si>
  <si>
    <t>Western Visayas Medical Center</t>
  </si>
  <si>
    <t>2023-11-09T00:00:00.000Z</t>
  </si>
  <si>
    <t>bems_patho@yahoo.com</t>
  </si>
  <si>
    <t>Dr. Bemerly Sira</t>
  </si>
  <si>
    <t>Jozit5LueevPC8MRY4wj</t>
  </si>
  <si>
    <t>kvverayo@up.edu.ph</t>
  </si>
  <si>
    <t>Kane Janzseen Verayo</t>
  </si>
  <si>
    <t>Jr1KSTaDvf0Yhcz4KwOp</t>
  </si>
  <si>
    <t>K47e4AGZlbnO3wTA7Jf8</t>
  </si>
  <si>
    <t>CMU</t>
  </si>
  <si>
    <t>2025-08-17T18:46:55.612Z</t>
  </si>
  <si>
    <t>MS Biology</t>
  </si>
  <si>
    <t>Johndel Remon</t>
  </si>
  <si>
    <t>K5532K7Y4gIFDrjLdCUi</t>
  </si>
  <si>
    <t>Cebu Technological University Argao Campus</t>
  </si>
  <si>
    <t>2026-01-09T07:55:37.947Z</t>
  </si>
  <si>
    <t>Assistant Professor</t>
  </si>
  <si>
    <t>KFdFHgwFSFv9zFUCcbNh</t>
  </si>
  <si>
    <t>2024-04-19T00:00:00.000Z</t>
  </si>
  <si>
    <t>jsmejias@up.edu.ph</t>
  </si>
  <si>
    <t>Jewelle Marie S. Mejias</t>
  </si>
  <si>
    <t>KZrzN9yDldHB6GsFDLWd</t>
  </si>
  <si>
    <t>2026-01-29T07:32:08.276Z</t>
  </si>
  <si>
    <t>ellarjane.deysolong-23@cpu.edu.ph</t>
  </si>
  <si>
    <t>Ellar Jane A. Deysolong</t>
  </si>
  <si>
    <t>KfSDT1EmlI41WuypgoWR</t>
  </si>
  <si>
    <t>gasmenpatrick25@yahoo.com</t>
  </si>
  <si>
    <t>Patrick S. Gasmen</t>
  </si>
  <si>
    <t>KiykuCI4Qz7P6om9pFsb</t>
  </si>
  <si>
    <t>University of Antique</t>
  </si>
  <si>
    <t>2025-08-16T10:02:25.821Z</t>
  </si>
  <si>
    <t>Assistant Professor 1</t>
  </si>
  <si>
    <t>APRIL ROSE B. BARCENAL-MENDOZA</t>
  </si>
  <si>
    <t>KtolLqWgCGsR1hgqEs5i</t>
  </si>
  <si>
    <t>Marine Science Institute</t>
  </si>
  <si>
    <t>2025-08-16T14:09:10.830Z</t>
  </si>
  <si>
    <t>Francis Gideon P. Tagnong</t>
  </si>
  <si>
    <t>KymmVE9rzkSUu1HhxZcl</t>
  </si>
  <si>
    <t>2024-11-27T00:00:00.000Z</t>
  </si>
  <si>
    <t>sequencing.pgc.upvisayas@up.edu.ph</t>
  </si>
  <si>
    <t>Dr. Mary Jane S. Apines-Amar</t>
  </si>
  <si>
    <t>KzYlLBaHGY39ytj8sAOE</t>
  </si>
  <si>
    <t>2025-07-10T00:00:00.000Z</t>
  </si>
  <si>
    <t>jsiguales@up.edu.ph</t>
  </si>
  <si>
    <t>Jaypee Joy S. Iguales</t>
  </si>
  <si>
    <t>L2y2sHXWOQg0egAX6gkv</t>
  </si>
  <si>
    <t>2025-08-18T17:17:32.969Z</t>
  </si>
  <si>
    <t>Joshua E. Alimonsurin</t>
  </si>
  <si>
    <t>LDx0cDI1SaxablByNJgi</t>
  </si>
  <si>
    <t>CLSU</t>
  </si>
  <si>
    <t>Gene Seneris</t>
  </si>
  <si>
    <t>LG0NgybdlOBwJ5S6Aggg</t>
  </si>
  <si>
    <t>addequito@up.edu.ph</t>
  </si>
  <si>
    <t>Angel Queenee D. Dequito</t>
  </si>
  <si>
    <t>LKdg7p83F4UWM65Wy7u4</t>
  </si>
  <si>
    <t>2025-08-16T14:38:46.372Z</t>
  </si>
  <si>
    <t>Rochanne Aira Prietos</t>
  </si>
  <si>
    <t>LLeKJiAAnURLNsHymQOL</t>
  </si>
  <si>
    <t>Leganes Clinical Research</t>
  </si>
  <si>
    <t>2025-08-16T13:47:30.238Z</t>
  </si>
  <si>
    <t>DR. ANJULI MAY JAEN</t>
  </si>
  <si>
    <t>LMLoxpCv0zw0QSv5KgyV</t>
  </si>
  <si>
    <t>RA Lounge, CAS Basement, College of Arts and Sciences, UP Visayas</t>
  </si>
  <si>
    <t>2020-07-22T00:00:00.000Z</t>
  </si>
  <si>
    <t>wfmedrocillo@up.edu.ph</t>
  </si>
  <si>
    <t>Wilson F. Medrocillo</t>
  </si>
  <si>
    <t>MIYn1jo2Tm3pq1e7AE0V</t>
  </si>
  <si>
    <t>2025-01-27T00:00:00.000Z</t>
  </si>
  <si>
    <t>ecvaladon@up.edu.ph</t>
  </si>
  <si>
    <t>Eunice Valad-on</t>
  </si>
  <si>
    <t>MacBNgORSXZFQ0uBCspU</t>
  </si>
  <si>
    <t>2023-03-14T00:00:00.000Z</t>
  </si>
  <si>
    <t>Elsie Y. Guibone</t>
  </si>
  <si>
    <t>Mts6J4DHjpuiUsJngME4</t>
  </si>
  <si>
    <t>Jimmy E. Salamida</t>
  </si>
  <si>
    <t>N808kk5n5m1GYC6ozwZU</t>
  </si>
  <si>
    <t>Department of Agriculture-National Fisheries Research and Development Institute (DA-NFRDI)</t>
  </si>
  <si>
    <t>nia.santos@nfrdi.da.gov.ph</t>
  </si>
  <si>
    <t>Mary Nia M. Santos</t>
  </si>
  <si>
    <t>NFMGGjLW2Ij3L1MwEFrW</t>
  </si>
  <si>
    <t>Seaweed Research and Development Center, Mindanao State University in Tawi-Tawi Sanga-Sanga, Bongao, Tawi-Tawi, Philippines</t>
  </si>
  <si>
    <t>2023-02-07T00:00:00.000Z</t>
  </si>
  <si>
    <t>szhalun@msutawi-tawi.edu.ph</t>
  </si>
  <si>
    <t>Dr. Sitti Zayda Halun</t>
  </si>
  <si>
    <t>NHY5IwYO4OQac9y5zvgD</t>
  </si>
  <si>
    <t>joshua.ybz@gmail.com</t>
  </si>
  <si>
    <t>Joshua Y. Divinagracia</t>
  </si>
  <si>
    <t>NQFHusuDhNPKpSaqSyNb</t>
  </si>
  <si>
    <t>Angeles University Foundation</t>
  </si>
  <si>
    <t>2025-08-20T15:36:55.725Z</t>
  </si>
  <si>
    <t>MISHLE JOY SARDENG</t>
  </si>
  <si>
    <t>NRPoEZtI1fBhdxDmzDEE</t>
  </si>
  <si>
    <t>lozanomaryjean18@gmail.com</t>
  </si>
  <si>
    <t>Mary Jean R. Lozano</t>
  </si>
  <si>
    <t>NTKZtG9jHIxMv4fcGtoC</t>
  </si>
  <si>
    <t>leopoldo.bucquial@wvsu.edu.ph</t>
  </si>
  <si>
    <t>Leopoldo T. Bacquial II</t>
  </si>
  <si>
    <t>NWdDETWpcrCfhFH9jsx5</t>
  </si>
  <si>
    <t>WVSU-COM</t>
  </si>
  <si>
    <t>2025-08-17T18:08:33.968Z</t>
  </si>
  <si>
    <t>Patrick Bongco</t>
  </si>
  <si>
    <t>NYdp98yxlKRSdklHuhbA</t>
  </si>
  <si>
    <t>2025-08-16T15:08:59.568Z</t>
  </si>
  <si>
    <t>Dr. Marciana B. Galambao</t>
  </si>
  <si>
    <t>NiG52FycGROIuOulCxhX</t>
  </si>
  <si>
    <t>Institute of Biological Sciences, University of the Philippine Los Baños</t>
  </si>
  <si>
    <t>2022-06-13T00:00:00.000Z</t>
  </si>
  <si>
    <t>kgdatoon@up.edu.ph</t>
  </si>
  <si>
    <t>Kneessa Louie G. Dato-on</t>
  </si>
  <si>
    <t>NkCC4P3CkWLuxyeGPjhy</t>
  </si>
  <si>
    <t>UP HSI</t>
  </si>
  <si>
    <t>jdcastro@up.edu.ph</t>
  </si>
  <si>
    <t>Josh Emmanuel Castro</t>
  </si>
  <si>
    <t>NzsOyhkztElsAb6VT9YK</t>
  </si>
  <si>
    <t>PSHS Western Visayas Campus, Bitoon, Jaro, 5000 Iloilo City</t>
  </si>
  <si>
    <t>2023-06-26T00:00:00.000Z</t>
  </si>
  <si>
    <t>dptacuel@wvc.pshs.edu.ph</t>
  </si>
  <si>
    <t>Dorothy Jade P. Tacuel</t>
  </si>
  <si>
    <t>O3xnWVEcCPNDdjyUuLBU</t>
  </si>
  <si>
    <t>Central Philippine University - College of Pharmacy</t>
  </si>
  <si>
    <t>2026-03-02T12:37:45.925Z</t>
  </si>
  <si>
    <t>sorillatheacarmelie@gmail.com</t>
  </si>
  <si>
    <t>Thea Carmelie Sorilla</t>
  </si>
  <si>
    <t>equipment</t>
  </si>
  <si>
    <t>OVU0lStIVG1S1AXlpAe1</t>
  </si>
  <si>
    <t>nowena_solidum@yahoo.com</t>
  </si>
  <si>
    <t>Nowena S. Solidum</t>
  </si>
  <si>
    <t>OWn3dhRgKERUMKGFATKe</t>
  </si>
  <si>
    <t>2025-06-20T00:00:00.000Z</t>
  </si>
  <si>
    <t>Phd Student</t>
  </si>
  <si>
    <t>ivy.arizapa@bicol-u.edu.ph</t>
  </si>
  <si>
    <t>Ivy S. Arizapa</t>
  </si>
  <si>
    <t>OnsZ9xX7irVXlqScpqCr</t>
  </si>
  <si>
    <t>DOST Dried Microalgal Biomass Project (Food, Feeds, and Functional Nutrition Laboratory)</t>
  </si>
  <si>
    <t>2023-02-28T00:00:00.000Z</t>
  </si>
  <si>
    <t>Arnel Adrian Rara</t>
  </si>
  <si>
    <t>OpEDp48EbR8fZGahTbVB</t>
  </si>
  <si>
    <t>Tagum Doctors College, Inc.</t>
  </si>
  <si>
    <t>2026-01-13T12:37:35.564Z</t>
  </si>
  <si>
    <t>villarealhoneyjean@gmail.com</t>
  </si>
  <si>
    <t xml:space="preserve">BS Medical Laboratory Science Students </t>
  </si>
  <si>
    <t>OryArvyB82Mzp8TMMq0q</t>
  </si>
  <si>
    <t>DOH-EB and UP-PGC Network</t>
  </si>
  <si>
    <t>2026-02-25T06:36:12.846Z</t>
  </si>
  <si>
    <t>pgc.upvisayas@up.edu.ph</t>
  </si>
  <si>
    <t>DOH-PGC Genomic Biosurveillance efforts in Luzon, Visayas and Mindanao Project</t>
  </si>
  <si>
    <t>Otn9aMAxmQpwFrkY56mT</t>
  </si>
  <si>
    <t>jdkapawan@up.edu.ph</t>
  </si>
  <si>
    <t>Jinelyn D. Kapaw-an</t>
  </si>
  <si>
    <t>P1dZ093VeUN62kUdbYe5</t>
  </si>
  <si>
    <t>eevillaruz@up.edu.ph</t>
  </si>
  <si>
    <t>Ella Marie E. Villaruz</t>
  </si>
  <si>
    <t>PFgR1MVdUwLOhOveqdfH</t>
  </si>
  <si>
    <t>Siargao National High School, Barangay 6, Dapa, Surigao del Norte 8417</t>
  </si>
  <si>
    <t>2024-05-06T00:00:00.000Z</t>
  </si>
  <si>
    <t>gavinlouieamolo@gmail.com</t>
  </si>
  <si>
    <t>Gavin Louie M. Amolo</t>
  </si>
  <si>
    <t>PJVADGtgo8oqGpkdf3da</t>
  </si>
  <si>
    <t>Christy Anne Morales</t>
  </si>
  <si>
    <t>PTWl9Um7aLNNrAoPsPGR</t>
  </si>
  <si>
    <t>mscalabon@up.edu.ph</t>
  </si>
  <si>
    <t>Mark S. Calabon</t>
  </si>
  <si>
    <t>PWCBpqTpTKivGk3Tt9qs</t>
  </si>
  <si>
    <t>rudelegero@up.edu.ph</t>
  </si>
  <si>
    <t>Ram Nikko U. Delegero</t>
  </si>
  <si>
    <t>PWs7Kjw5x1doW9bFHlRw</t>
  </si>
  <si>
    <t>CFOS IA</t>
  </si>
  <si>
    <t>2024-11-22T00:00:00.000Z</t>
  </si>
  <si>
    <t>csdadibalos@up.edu.ph</t>
  </si>
  <si>
    <t>Cid Jeriko Dadibalos</t>
  </si>
  <si>
    <t>PlmtoRP4vjfI6YWHfsxB</t>
  </si>
  <si>
    <t>MSU Tawi Tawi</t>
  </si>
  <si>
    <t>2024-11-14T00:00:00.000Z</t>
  </si>
  <si>
    <t>albaristahiluddin@msutawi-tawi.edu.ph</t>
  </si>
  <si>
    <t>Albaris Tahiluddin</t>
  </si>
  <si>
    <t>Q3Yo3yxxqPGzsVG8T3zd</t>
  </si>
  <si>
    <t>Visayas State University - Alangalang</t>
  </si>
  <si>
    <t>2023-02-15T00:00:00.000Z</t>
  </si>
  <si>
    <t>Reynaldo P. Peja Jr.</t>
  </si>
  <si>
    <t>QBg3sFNHICJpcc7OKFSY</t>
  </si>
  <si>
    <t>School of Technology, University of the Philippines Visayas, Miagao, Iloilo</t>
  </si>
  <si>
    <t>2021-08-27T00:00:00.000Z</t>
  </si>
  <si>
    <t>ctmejares@up.edu.ph</t>
  </si>
  <si>
    <t>Carolyn T. Mejares</t>
  </si>
  <si>
    <t>QDHUG3FEn7G45n17MhJJ</t>
  </si>
  <si>
    <t>jvasquez2025@wvc.pshs.edu.ph</t>
  </si>
  <si>
    <t>Jemiah Ashelle Grace K. Vasquez</t>
  </si>
  <si>
    <t>QaC9KvoeiPqrPS6r8YCU</t>
  </si>
  <si>
    <t>University of San Carlos</t>
  </si>
  <si>
    <t>2025-08-16T14:40:17.943Z</t>
  </si>
  <si>
    <t>Arkady Tahil</t>
  </si>
  <si>
    <t>Qcwje45jQrLGbR7tkDV2</t>
  </si>
  <si>
    <t>2024-04-08T00:00:00.000Z</t>
  </si>
  <si>
    <t>tfjavellana@up.edu.ph</t>
  </si>
  <si>
    <t>Therese Javellana</t>
  </si>
  <si>
    <t>QlYVMgxQWIQzJ3FBQ1At</t>
  </si>
  <si>
    <t>Northern Iloilo State University (Estancia)</t>
  </si>
  <si>
    <t>2025-05-20T00:00:00.000Z</t>
  </si>
  <si>
    <t>jelly_layda@yahoo.com</t>
  </si>
  <si>
    <t>Jelly D. Layda</t>
  </si>
  <si>
    <t>Qm1VTqcbKnDGoYalWoCi</t>
  </si>
  <si>
    <t>2025-04-25T00:00:00.000Z</t>
  </si>
  <si>
    <t>kfparreno@up.edu.ph</t>
  </si>
  <si>
    <t>Kayla Marie F Parreño</t>
  </si>
  <si>
    <t>Qti7hU20Rvl6xGiyCOy8</t>
  </si>
  <si>
    <t>CFOS IA (DOST TGMPPEFET)</t>
  </si>
  <si>
    <t>atilanomaryantonette@gmail.com</t>
  </si>
  <si>
    <t>Mary Antonette F. Atilano</t>
  </si>
  <si>
    <t>QureQfEfyMVlJzS72c1L</t>
  </si>
  <si>
    <t>2020-07-03T00:00:00.000Z</t>
  </si>
  <si>
    <t>nadelenefaithcartago@yahoo.com</t>
  </si>
  <si>
    <t>Nadalene Faith N. Cartago</t>
  </si>
  <si>
    <t>R3fbEvFrC60q7UxBGmlP</t>
  </si>
  <si>
    <t>Regional Research Center, New Academic Complex, University of the Philippines Visayas, Miagao, Iloilo</t>
  </si>
  <si>
    <t>2022-03-08T00:00:00.000Z</t>
  </si>
  <si>
    <t>ldatencio@up.edu.ph</t>
  </si>
  <si>
    <t>Luke Dranoel D. Atencio</t>
  </si>
  <si>
    <t>R6BofmXhOLLFqwvpnfWQ</t>
  </si>
  <si>
    <t>MS Wildlife Science, UP Los Baños</t>
  </si>
  <si>
    <t>2026-02-13T05:43:26.420Z</t>
  </si>
  <si>
    <t>mrfabella1@up.edu.ph</t>
  </si>
  <si>
    <t>Marianne Lovella KZ Fabella</t>
  </si>
  <si>
    <t>RYpoQ1VlDbh4lHPwCAVG</t>
  </si>
  <si>
    <t>ODAA, G/F KOICA (New Administration) Building, Maharlika Highway, Tanghas,
Tolosa, Leyte</t>
  </si>
  <si>
    <t>shereen.merro@vsu.edu.ph</t>
  </si>
  <si>
    <t>Shereen A. Merro</t>
  </si>
  <si>
    <t>RbCliDd4JIy6eH5LvBEr</t>
  </si>
  <si>
    <t>hmediodia@wvc.pshs.edu.ph</t>
  </si>
  <si>
    <t>Harold P. Mediodia</t>
  </si>
  <si>
    <t>RkZzacMKMBWVXgPYnPDs</t>
  </si>
  <si>
    <t>Ant-Act Project University of the Philippines Tacloban College</t>
  </si>
  <si>
    <t>2025-08-21T10:22:08.944Z</t>
  </si>
  <si>
    <t>Project Technical Aide VI</t>
  </si>
  <si>
    <t>Rian Lorenzo V. Mascariñas</t>
  </si>
  <si>
    <t>RqqPPEIm0PuakOHgyxhC</t>
  </si>
  <si>
    <t>spguinto@up.edu.ph</t>
  </si>
  <si>
    <t>Shea Kathleen P. Guinto</t>
  </si>
  <si>
    <t>Rv5AcCuDJ83NJ3awZrwB</t>
  </si>
  <si>
    <t>zebjosejoshua.cabalfin@wvsu.edu.ph</t>
  </si>
  <si>
    <t>Zeb Jose Joshua C. Cabalfin</t>
  </si>
  <si>
    <t>Rwk6quzSet1nvk7DNnHo</t>
  </si>
  <si>
    <t>Ella Marie Villaruz</t>
  </si>
  <si>
    <t>SXZIjXGc5hOW9D7qgVsu</t>
  </si>
  <si>
    <t>Eastern Samar State University</t>
  </si>
  <si>
    <t>2025-08-21T11:08:04.055Z</t>
  </si>
  <si>
    <t xml:space="preserve">Jeanette Marie Dua </t>
  </si>
  <si>
    <t>SbS2HbnKwdC9npE0nCHS</t>
  </si>
  <si>
    <t>2026-01-28T03:12:31.621Z</t>
  </si>
  <si>
    <t>s.simbajon.lynessasamel@cmu.edu.ph</t>
  </si>
  <si>
    <t>Lynessa Samel Simbajon</t>
  </si>
  <si>
    <t>ScPKAbteJ5tVkboavmp4</t>
  </si>
  <si>
    <t>Institute of Fish Processing Technology, College of Fisheries and Ocean Sciences, University of the Philippines Visayas</t>
  </si>
  <si>
    <t>2023-04-04T00:00:00.000Z</t>
  </si>
  <si>
    <t>kmmonaya@up.edu.ph</t>
  </si>
  <si>
    <t>Karmelie Jane Monaya</t>
  </si>
  <si>
    <t>SjFHVa02U7WWu40Jj0MI</t>
  </si>
  <si>
    <t>Our Lady of Fatima University- Pampanga Campus</t>
  </si>
  <si>
    <t>2025-08-19T17:58:30.092Z</t>
  </si>
  <si>
    <t>Elijah Gabrielle Estrada Silverio</t>
  </si>
  <si>
    <t>SjRkYNzZUibfm2T1Q6Pg</t>
  </si>
  <si>
    <t>Feedmix Specialist Inc. II</t>
  </si>
  <si>
    <t>2023-06-08T00:00:00.000Z</t>
  </si>
  <si>
    <t>Ella Marie Kristine Baldove</t>
  </si>
  <si>
    <t>SkcmxABK1pnI2itKAATr</t>
  </si>
  <si>
    <t>wiiinklewg@gmail.com</t>
  </si>
  <si>
    <t>Hazel M. Joyohoy</t>
  </si>
  <si>
    <t>Sy5lnmZmqZEvRIy3N2XM</t>
  </si>
  <si>
    <t>jemmadawn.leonardo@wvsu.edu.ph</t>
  </si>
  <si>
    <t>Jemma Dawn C. Leonardo</t>
  </si>
  <si>
    <t>T0IJFhiBC4xGyI31pS0K</t>
  </si>
  <si>
    <t>2023-10-10T00:00:00.000Z</t>
  </si>
  <si>
    <t>Jan Felnesh Exe Bagacay</t>
  </si>
  <si>
    <t>T4KSD8SJEmgYCWQr1AJx</t>
  </si>
  <si>
    <t>College of Medicine - Biotechnology and Biomedical Research Laboratory, West Visayas State University</t>
  </si>
  <si>
    <t>2024-02-26T00:00:00.000Z</t>
  </si>
  <si>
    <t>jessettemarypauline.garcia@wvsu.edu.ph</t>
  </si>
  <si>
    <t>Jessette Mary Pauline Garcia</t>
  </si>
  <si>
    <t>T7ms92JJSVbEidS44Te8</t>
  </si>
  <si>
    <t>2025-08-18T18:28:41.996Z</t>
  </si>
  <si>
    <t>Jhianaly D. Erestingcol</t>
  </si>
  <si>
    <t>TEPNALjxVCvD0uKEisdI</t>
  </si>
  <si>
    <t>University of the Philippines Los Baños</t>
  </si>
  <si>
    <t>2026-01-29T07:14:51.334Z</t>
  </si>
  <si>
    <t>Graduate Student</t>
  </si>
  <si>
    <t>azulueta@usa.edu.ph</t>
  </si>
  <si>
    <t>Arvin Zulueta</t>
  </si>
  <si>
    <t>TJ21GGBG9YiFKVIpKOfX</t>
  </si>
  <si>
    <t>kathleenmae.donoso@wvsu.edu.ph</t>
  </si>
  <si>
    <t>Kathleen Mae V. Donoso</t>
  </si>
  <si>
    <t>TNYjtr7O8MMiQQn7523i</t>
  </si>
  <si>
    <t>2020-08-05T00:00:00.000Z</t>
  </si>
  <si>
    <t>dpmediodia@up.edu.ph</t>
  </si>
  <si>
    <t>Dominique P. Mediodia</t>
  </si>
  <si>
    <t>TPSQa1M2JxglIuTaxyPI</t>
  </si>
  <si>
    <t>gebrielle10@gmail.com</t>
  </si>
  <si>
    <t>Claire Samantha Juanico</t>
  </si>
  <si>
    <t>TR0zTJCSirZDC9T95XQN</t>
  </si>
  <si>
    <t>2025-08-16T14:45:47.449Z</t>
  </si>
  <si>
    <t>Science Research Specialist I</t>
  </si>
  <si>
    <t>Leonard King Jao</t>
  </si>
  <si>
    <t>TZHtmU12qEAvqORFzcOu</t>
  </si>
  <si>
    <t>mjcollo@ymail.com</t>
  </si>
  <si>
    <t>Melizza Jane M. Collo</t>
  </si>
  <si>
    <t>TZW4NuTFrjnRfW9JBgis</t>
  </si>
  <si>
    <t>College of Arts and Sciences (CAS) Buidling, University of the Philippines Visayas, Miagao, Iloilo 5023</t>
  </si>
  <si>
    <t>2021-07-05T00:00:00.000Z</t>
  </si>
  <si>
    <t>kblacson@up.edu.ph</t>
  </si>
  <si>
    <t>Kristina Samantha Lacson</t>
  </si>
  <si>
    <t>TZs4VTi48lHVp8X5ClB1</t>
  </si>
  <si>
    <t>2023-09-21T00:00:00.000Z</t>
  </si>
  <si>
    <t>mvnino@up.edu.ph</t>
  </si>
  <si>
    <t>Maureen Emily V. Niño</t>
  </si>
  <si>
    <t>TfoJ2KQIxiqYa33kZGxY</t>
  </si>
  <si>
    <t>4th Floor, Roxas Hall Annex, College of Medicine, West Visayas State University, La Paz, Iloilo City</t>
  </si>
  <si>
    <t>2022-04-12T00:00:00.000Z</t>
  </si>
  <si>
    <t>ssabinay@wvsu.edu.ph</t>
  </si>
  <si>
    <t>Stephen G. Sabinay</t>
  </si>
  <si>
    <t>Ts5eBWJHLM8SsThiUm30</t>
  </si>
  <si>
    <t>2025-02-28T00:00:00.000Z</t>
  </si>
  <si>
    <t>miascolptrmt@gmail.com</t>
  </si>
  <si>
    <t>Lordiel M. Miasco</t>
  </si>
  <si>
    <t>UZspyyGihlHXv29EPjMO</t>
  </si>
  <si>
    <t>Aklan State University</t>
  </si>
  <si>
    <t>2025-03-26T00:00:00.000Z</t>
  </si>
  <si>
    <t>dionie.barrientos@asu.edu.ph</t>
  </si>
  <si>
    <t>Dionie S. Barrientos</t>
  </si>
  <si>
    <t>UbcG1js9z0yg431yhbUY</t>
  </si>
  <si>
    <t>PSHS-WHC</t>
  </si>
  <si>
    <t>2025-08-20T15:53:43.174Z</t>
  </si>
  <si>
    <t>Andoni James Mediodia</t>
  </si>
  <si>
    <t>Um5sTQRnOIQiVRzI2jtz</t>
  </si>
  <si>
    <t>ODREIC, 2/F KOICA (New Administration) Building, Maharlika Highway, Tanghas, 
Tolosa, Leyte</t>
  </si>
  <si>
    <t>junerey.montajes@vsu.edu.ph</t>
  </si>
  <si>
    <t>June Rey A. Montajes</t>
  </si>
  <si>
    <t>Unpn8en1w3Qj0zJcr6hf</t>
  </si>
  <si>
    <t>rhodmar.divino@ssu.up.edu.ph</t>
  </si>
  <si>
    <t>Rhodmar D. Panis</t>
  </si>
  <si>
    <t>UqWkUsxx4slUdaWBhK2l</t>
  </si>
  <si>
    <t>2025-03-28T00:00:00.000Z</t>
  </si>
  <si>
    <t>reygtantiado@yahoo.com</t>
  </si>
  <si>
    <t>Rey Tantiado</t>
  </si>
  <si>
    <t>V8OKpquA0kJUO3RTrYQW</t>
  </si>
  <si>
    <t>csdelcastillo@up.edu.ph</t>
  </si>
  <si>
    <t>Carmelo del Castillo</t>
  </si>
  <si>
    <t>VHx7MdC0vawXrqSOmxvX</t>
  </si>
  <si>
    <t>2024-10-17T00:00:00.000Z</t>
  </si>
  <si>
    <t>ccmolina@dmmmsu.edu.ph</t>
  </si>
  <si>
    <t>Christian Molina</t>
  </si>
  <si>
    <t>VKa4upvoQ8zjKMHKpEsD</t>
  </si>
  <si>
    <t>kocarmelotes@up.edu.ph</t>
  </si>
  <si>
    <t>Kimny Claire O. Carmelotes</t>
  </si>
  <si>
    <t>VvFHlQAfpgag7guvmwUh</t>
  </si>
  <si>
    <t>rhyzz.jane@gmail.com</t>
  </si>
  <si>
    <t>Rhyzz Jane Balinos</t>
  </si>
  <si>
    <t>W4TmAjU0ULBxFUWnAObd</t>
  </si>
  <si>
    <t>SMaRTER-Corals Project</t>
  </si>
  <si>
    <t>2025-08-16T14:36:47.379Z</t>
  </si>
  <si>
    <t>University Research Associate II</t>
  </si>
  <si>
    <t>Clarisse Anne Pereira</t>
  </si>
  <si>
    <t>W5iioI1pAQQdIlRgFNah</t>
  </si>
  <si>
    <t>SEAFDEC/AQD, Barangay Buyu-an, Tigbauan, Iloilo</t>
  </si>
  <si>
    <t>2023-08-29T00:00:00.000Z</t>
  </si>
  <si>
    <t>jfaisan@seafdec.org.ph</t>
  </si>
  <si>
    <t>Joseph Faisan Jr.</t>
  </si>
  <si>
    <t>W96uXiCxnu0F8spucoMW</t>
  </si>
  <si>
    <t>2024-02-08T00:00:00.000Z</t>
  </si>
  <si>
    <t>Sheila Mae S. Santander-de Leon</t>
  </si>
  <si>
    <t>WO1IsnJwMpGx1n3P983r</t>
  </si>
  <si>
    <t>rsablog@yahoo.com</t>
  </si>
  <si>
    <t>Robert S. Ablog</t>
  </si>
  <si>
    <t>WWicwXYcbNzVO7tzsloO</t>
  </si>
  <si>
    <t>2024-07-18T00:00:00.000Z</t>
  </si>
  <si>
    <t>ndpajarillo@up.edu.ph</t>
  </si>
  <si>
    <t>Noeme D. Pajarillo</t>
  </si>
  <si>
    <t>WXxYWu6yQCxeRhZ93CEw</t>
  </si>
  <si>
    <t>DOST VI</t>
  </si>
  <si>
    <t>2024-10-29T00:00:00.000Z</t>
  </si>
  <si>
    <t>julieamancio@gmail.com</t>
  </si>
  <si>
    <t>Julie Ann Amancio</t>
  </si>
  <si>
    <t>WfMwCuSpDEMpJv7EjXZ7</t>
  </si>
  <si>
    <t>2024-05-03T00:00:00.000Z</t>
  </si>
  <si>
    <t>salidogleann@gmail.com</t>
  </si>
  <si>
    <t>Gleann P. Salido</t>
  </si>
  <si>
    <t>WkMnkxTiPmfVL7VWVtuf</t>
  </si>
  <si>
    <t>Biology Department, College of Science and Arts, University of San Carlos, Nasipit, Talamban, Cebu City</t>
  </si>
  <si>
    <t>jcyee@usc.edu.ph</t>
  </si>
  <si>
    <t>Jonie C. Yee, Ph.D.</t>
  </si>
  <si>
    <t>WnFvzgUUlQWlTjJg2wpO</t>
  </si>
  <si>
    <t xml:space="preserve">Department of Biology College of Liberal Arts, Sciences, &amp; Education University of San Agustin </t>
  </si>
  <si>
    <t>2026-01-09T03:19:03.306Z</t>
  </si>
  <si>
    <t xml:space="preserve"> Assistant Professor</t>
  </si>
  <si>
    <t>ARVIN C. ZULUETA</t>
  </si>
  <si>
    <t>WqGfERSuZn806hPtGq1K</t>
  </si>
  <si>
    <t>2025-08-18T16:28:18.840Z</t>
  </si>
  <si>
    <t>Jonalyn Mae G. Lobaton</t>
  </si>
  <si>
    <t>WsrVXauA5Hq9G2QfrQZF</t>
  </si>
  <si>
    <t>Janine C. Dimzon</t>
  </si>
  <si>
    <t>X2DvEz06pmkEkVVJp4mK</t>
  </si>
  <si>
    <t>Palawan State University University, College of Sciences Silliman University</t>
  </si>
  <si>
    <t>2025-08-21T11:01:20.238Z</t>
  </si>
  <si>
    <t>Faculty/Student</t>
  </si>
  <si>
    <t>Mary Claire Villanueva</t>
  </si>
  <si>
    <t>X2o9jBcmb9Nvnwik8zic</t>
  </si>
  <si>
    <t>West Visayas State University Medical Center</t>
  </si>
  <si>
    <t>2025-08-16T15:15:33.230Z</t>
  </si>
  <si>
    <t>Project Leader/Medical Specialist IV</t>
  </si>
  <si>
    <t>Dr. Aretha Ann Gacutan Liwag</t>
  </si>
  <si>
    <t>XFPELO6FjPbu9KDrj5HM</t>
  </si>
  <si>
    <t>charlesandrade40@gmail.com</t>
  </si>
  <si>
    <t>Charles R. Andrade</t>
  </si>
  <si>
    <t>XuvJa5GVOSImq9oUYAhD</t>
  </si>
  <si>
    <t>College of Agriculture and Forestry - Lambunao, Iloilo</t>
  </si>
  <si>
    <t>2025-08-16T15:06:35.547Z</t>
  </si>
  <si>
    <t>Ph.D. Student</t>
  </si>
  <si>
    <t>Christian C. Taba</t>
  </si>
  <si>
    <t>XvIWaee5j2CJpkb9bgXv</t>
  </si>
  <si>
    <t>Research/Technical Assistant</t>
  </si>
  <si>
    <t>dserra@dmmmsu.edu.ph</t>
  </si>
  <si>
    <t>Diomer B. Serra</t>
  </si>
  <si>
    <t>XwYCaafuBHrFeSjykOwK</t>
  </si>
  <si>
    <t>College of Science, University of the Philippines Visayas</t>
  </si>
  <si>
    <t>2024-11-28T00:00:00.000Z</t>
  </si>
  <si>
    <t>cprosal1@up.edu.ph</t>
  </si>
  <si>
    <t>Christian Jay Rosal</t>
  </si>
  <si>
    <t>Y2jFhMoaauwvvWd6LWNu</t>
  </si>
  <si>
    <t>Precious Quissy Casiple</t>
  </si>
  <si>
    <t>YPPwt9kOFuET6F5F1jMP</t>
  </si>
  <si>
    <t>Riz Cayelly Sumalapao</t>
  </si>
  <si>
    <t>YiEyMBkxXVUmKbpw12GR</t>
  </si>
  <si>
    <t>joyce.rodriguez@unicampania.it</t>
  </si>
  <si>
    <t>Joyce P. Rodriguez</t>
  </si>
  <si>
    <t>Yx0yRxuZOZRWUezuPpnn</t>
  </si>
  <si>
    <t>2024-12-04T00:00:00.000Z</t>
  </si>
  <si>
    <t>okamoto_yuga974@g.ecc.u-tokyo.ac.jp</t>
  </si>
  <si>
    <t>Yuga Okamoto</t>
  </si>
  <si>
    <t>ZDG22vYnSXQ8ZatWCQev</t>
  </si>
  <si>
    <t>2025-08-19T17:40:39.694Z</t>
  </si>
  <si>
    <t>Nielvin Consejo</t>
  </si>
  <si>
    <t>ZS5bi3YyKyNFiR1SONWR</t>
  </si>
  <si>
    <t>jpmateo@up.edu.ph</t>
  </si>
  <si>
    <t>Jonalyn Mateo</t>
  </si>
  <si>
    <t>ZVOlfuV9KO1y6SZMUBdm</t>
  </si>
  <si>
    <t>2023-05-08T00:00:00.000Z</t>
  </si>
  <si>
    <t>ZXoPIOMqjCDbUgeyCZeX</t>
  </si>
  <si>
    <t>2023-05-05T00:00:00.000Z</t>
  </si>
  <si>
    <t>tccatalya@up.edu.ph</t>
  </si>
  <si>
    <t>Trisha Catalya</t>
  </si>
  <si>
    <t>Zjh67vJ2aHpp9Wcrn6FB</t>
  </si>
  <si>
    <t>dshalaba@up.edu.ph</t>
  </si>
  <si>
    <t>Danilee Joshua S. Halaba</t>
  </si>
  <si>
    <t>ZucasFCyMVcUQoAsRiEK</t>
  </si>
  <si>
    <t>raijdarcillas@gmail.com</t>
  </si>
  <si>
    <t>Raishelle Joyce Arcillas</t>
  </si>
  <si>
    <t>ZzLunhrkt9lMgiLRCCt2</t>
  </si>
  <si>
    <t>Lea Cababasay</t>
  </si>
  <si>
    <t>a8pzle7Y6T0ZtrwLzLUl</t>
  </si>
  <si>
    <t>2022-12-15T00:00:00.000Z</t>
  </si>
  <si>
    <t>Raymond Cabarles</t>
  </si>
  <si>
    <t>aAh37Ysu5QnnzUVbZfXu</t>
  </si>
  <si>
    <t>DA - Fisheries Biotechnology Center</t>
  </si>
  <si>
    <t>2025-08-21T16:08:53.901Z</t>
  </si>
  <si>
    <t>Chief</t>
  </si>
  <si>
    <t>Dr. Casiano H. Choresca Jr.</t>
  </si>
  <si>
    <t>aEHGpgHrKfN7WiIP037T</t>
  </si>
  <si>
    <t>Department of Chemistry, College of Arts and Sciences, UP Visayas, Miagao, Iloilo 5023</t>
  </si>
  <si>
    <t>2022-06-17T00:00:00.000Z</t>
  </si>
  <si>
    <t>Zeth Rodario Bebit</t>
  </si>
  <si>
    <t>aFXU9dIm2uQWbo7WS4o8</t>
  </si>
  <si>
    <t>Center for Informatics University of San Agustin Iloilo</t>
  </si>
  <si>
    <t>2025-08-16T15:38:43.068Z</t>
  </si>
  <si>
    <t>MD, PhD</t>
  </si>
  <si>
    <t>Pia Regina Fatima C. Zamora</t>
  </si>
  <si>
    <t>aHEqtmHGplMayqgN6SaK</t>
  </si>
  <si>
    <t>Romblon State University</t>
  </si>
  <si>
    <t>2025-08-16T13:42:06.281Z</t>
  </si>
  <si>
    <t>Associate Professor</t>
  </si>
  <si>
    <t>MIGUEL D. VISCA JR.</t>
  </si>
  <si>
    <t>aIt9kU0xV7FO0Sb0Ecdq</t>
  </si>
  <si>
    <t>PSHS-WVC</t>
  </si>
  <si>
    <t>2025-08-20T15:47:41.058Z</t>
  </si>
  <si>
    <t>Terisha Deb Marie Palmes</t>
  </si>
  <si>
    <t>aWAJ6mxNfshdvQ28qebg</t>
  </si>
  <si>
    <t>Iloilo DOctors College</t>
  </si>
  <si>
    <t>ardeliabagona@gmail.com</t>
  </si>
  <si>
    <t>Ma. Ardelia Bagona</t>
  </si>
  <si>
    <t>aWh8W06nEyoG3gnUwXGZ</t>
  </si>
  <si>
    <t>2025-08-21T11:16:14.546Z</t>
  </si>
  <si>
    <t>BS Biology Student</t>
  </si>
  <si>
    <t>Marcianne Elise C. Sirilan</t>
  </si>
  <si>
    <t>aYdKUIPmd6TRY01v04iB</t>
  </si>
  <si>
    <t>DENR Regional Office 6, Pepita Aquino St., Port Area, Iloilo City</t>
  </si>
  <si>
    <t>oisaacra@gmail.com; denrcddr6.2018@gmail.com</t>
  </si>
  <si>
    <t>Rachel A. Casio</t>
  </si>
  <si>
    <t>aiV48CWTl5V5GIQp2jec</t>
  </si>
  <si>
    <t>maylayron@up.edu.ph</t>
  </si>
  <si>
    <t>Ma. Novem Grace Ylayron</t>
  </si>
  <si>
    <t>b7dedSCdZxX0r6x4nI66</t>
  </si>
  <si>
    <t>lowellmayangmapa@gmail.com</t>
  </si>
  <si>
    <t>Vien Lowell M. Mapa</t>
  </si>
  <si>
    <t>baRn1RBAOoLggdjCmar9</t>
  </si>
  <si>
    <t>Room 9, Second Floor (ABBA R&amp;D Center), College of Fisheries and Aquatic Science (CFAS), WPU-Puerto Princesa Campus, Sta. Monica, Puerto Princesa City</t>
  </si>
  <si>
    <t>2021-05-18T00:00:00.000Z</t>
  </si>
  <si>
    <t>arlene.avillanosa@wpu.edu.ph</t>
  </si>
  <si>
    <t>Arlene L . Avillanosa</t>
  </si>
  <si>
    <t>bpWPD2LgyoQ3n6rEGd7K</t>
  </si>
  <si>
    <t>College of Teacher Education, Mindoro State University</t>
  </si>
  <si>
    <t>jrmarquez2790@gmail.com</t>
  </si>
  <si>
    <t>Jermaine Ritzchelle D. Marquez</t>
  </si>
  <si>
    <t>c6DiNZJbQwFoRkeeL6PX</t>
  </si>
  <si>
    <t>Iloilo Science and Technology University</t>
  </si>
  <si>
    <t>2025-08-16T15:36:17.489Z</t>
  </si>
  <si>
    <t>Science Research Assistant</t>
  </si>
  <si>
    <t>Abolais B. Ampa Jr.</t>
  </si>
  <si>
    <t>c7qRspU9Sz5z6rbgH07U</t>
  </si>
  <si>
    <t>Gerlie Mae Candole</t>
  </si>
  <si>
    <t>c943FAQpaqhKonrGyjor</t>
  </si>
  <si>
    <t>School of Technology, University of the Philippines Visayas, Miagao, 5023, Iloilo</t>
  </si>
  <si>
    <t>2020-08-19T00:00:00.000Z</t>
  </si>
  <si>
    <t>Pretty Lee Silva</t>
  </si>
  <si>
    <t>cEzF4aUwF1Fc8vkZqmiM</t>
  </si>
  <si>
    <t>CFOS-IFPT, UP Visayas</t>
  </si>
  <si>
    <t>2025-08-16T15:24:49.196Z</t>
  </si>
  <si>
    <t>B.S. Fisheries Student</t>
  </si>
  <si>
    <t>Sofi Andrea Iaiel Sambalod</t>
  </si>
  <si>
    <t>cJDQjNOYtQcyP6HRRzBu</t>
  </si>
  <si>
    <t>2023-09-11T00:00:00.000Z</t>
  </si>
  <si>
    <t>nnbelas1@up.edu.ph</t>
  </si>
  <si>
    <t>Nadine Belas</t>
  </si>
  <si>
    <t>cLbUvVRidUOOnsoqwNh6</t>
  </si>
  <si>
    <t>2022-12-30T00:00:00.000Z</t>
  </si>
  <si>
    <t>ytdiputado@up.edu.ph</t>
  </si>
  <si>
    <t>Yobhel Grace T. Diputado</t>
  </si>
  <si>
    <t>dhiNPTX8tmyk3rTT6wI3</t>
  </si>
  <si>
    <t>Animal Ecology Laboratory, PRISM 2nd Floor, Mindanao State University - Iligan Institute of Technology, Andres Bonifacio Ave., Tibanga, Iligan City 9200, Philippines</t>
  </si>
  <si>
    <t>2024-05-02T00:00:00.000Z</t>
  </si>
  <si>
    <t>anne-nora.sabirin@g.msuiit.edu.ph</t>
  </si>
  <si>
    <t>Anne-Nora N. Sabirin</t>
  </si>
  <si>
    <t>dummKDm75OjSVmFEirrU</t>
  </si>
  <si>
    <t>Staff, Others</t>
  </si>
  <si>
    <t>Sharmen Berlin</t>
  </si>
  <si>
    <t>dyfZ7t6rP5rKMFNX4sDe</t>
  </si>
  <si>
    <t>Japan International Research Center for Agricultural Sciences (JIRCAS)</t>
  </si>
  <si>
    <t>2024-06-13T00:00:00.000Z</t>
  </si>
  <si>
    <t>ryuyamatsuda@affrc.go.jp</t>
  </si>
  <si>
    <t>Ryuya Matsuda</t>
  </si>
  <si>
    <t>eCCCvlQs78ysFawRFa7x</t>
  </si>
  <si>
    <t>mbsiccio@up.edu.ph</t>
  </si>
  <si>
    <t>Majoerly Augustine Siccio</t>
  </si>
  <si>
    <t>eMiUM6meMNVGkP6HwJMj</t>
  </si>
  <si>
    <t>NFRDI-Fisheries Biotechnology Center</t>
  </si>
  <si>
    <t>2025-08-17T18:39:09.916Z</t>
  </si>
  <si>
    <t>Science Research Specialist II</t>
  </si>
  <si>
    <t>Princess P. Taberna</t>
  </si>
  <si>
    <t>eUwaDVM7BTHdnZFkftd8</t>
  </si>
  <si>
    <t>2025-08-21T16:18:03.340Z</t>
  </si>
  <si>
    <t>Master of Science in Plant Pathology</t>
  </si>
  <si>
    <t>Paolo Comaling</t>
  </si>
  <si>
    <t>eeABdtQega5FtgX2XyFP</t>
  </si>
  <si>
    <t>Institute of Marine Fisheries and Oceanology</t>
  </si>
  <si>
    <t>2025-08-16T09:57:31.694Z</t>
  </si>
  <si>
    <t>Asst. Professor</t>
  </si>
  <si>
    <t>CRISTY S. ACABADO, Ph.D</t>
  </si>
  <si>
    <t>efNUadr2mIXuQfo9bTHm</t>
  </si>
  <si>
    <t>Irene Jean C. Lagumbay</t>
  </si>
  <si>
    <t>ek0mrTFo0bGOizNtgCxa</t>
  </si>
  <si>
    <t>ldopina@up.edu.ph</t>
  </si>
  <si>
    <t>Lilcah Angelique Opiña</t>
  </si>
  <si>
    <t>er9RIAqURekIc5oMUvPk</t>
  </si>
  <si>
    <t>2025-08-20T14:59:09.461Z</t>
  </si>
  <si>
    <t>exlyUf4Ci1lxmZxQ4uSO</t>
  </si>
  <si>
    <t>ISAT U</t>
  </si>
  <si>
    <t>2025-08-21T11:04:59.896Z</t>
  </si>
  <si>
    <t>Camille Gurrubat</t>
  </si>
  <si>
    <t>fIs0Qm2l6TgPnfOiV3Wv</t>
  </si>
  <si>
    <t>2024-02-27T00:00:00.000Z</t>
  </si>
  <si>
    <t>carylanne.abulencia@wvsu.edu.ph</t>
  </si>
  <si>
    <t>Caryl Anne G. Abulencia</t>
  </si>
  <si>
    <t>faoMOnoAC8nkvL7NgMlE</t>
  </si>
  <si>
    <t>jgagravante@up.edu.ph</t>
  </si>
  <si>
    <t>Jan Arcel Agravante</t>
  </si>
  <si>
    <t>fcihnnj97T55eqxFheWM</t>
  </si>
  <si>
    <t>euniceraiza.repizo@ro6.dost.gov.ph</t>
  </si>
  <si>
    <t>Eunice Raiza Panagsagan</t>
  </si>
  <si>
    <t>ffz1feT5vxUqMUh4meIZ</t>
  </si>
  <si>
    <t>Iloilo State University of Fisheries Science and Technology</t>
  </si>
  <si>
    <t>2024-08-27T00:00:00.000Z</t>
  </si>
  <si>
    <t>faullie03@yahoo.com</t>
  </si>
  <si>
    <t>Fausto dela Cruz</t>
  </si>
  <si>
    <t>fkG2HzZcqUgNLpXqR1n9</t>
  </si>
  <si>
    <t>CFOS-IFPT</t>
  </si>
  <si>
    <t>2025-08-21T15:37:28.369Z</t>
  </si>
  <si>
    <t>Gardel Xyza Libunao</t>
  </si>
  <si>
    <t>fs83XQe4bALIPJ9Lbtye</t>
  </si>
  <si>
    <t>Edcel T. Resano</t>
  </si>
  <si>
    <t>g7QB2qGOFz0jcuRokVTX</t>
  </si>
  <si>
    <t>cpponce@upv.edu.ph</t>
  </si>
  <si>
    <t>Concepcion Ponce</t>
  </si>
  <si>
    <t>gDW2Qho2KXP5gRpKCISV</t>
  </si>
  <si>
    <t>migueljavelosa97@gmail.com</t>
  </si>
  <si>
    <t>Joshua Miguel Javelosa</t>
  </si>
  <si>
    <t>gR94rNIXN6gjdzWXKm0n</t>
  </si>
  <si>
    <t>University of St. La Salle</t>
  </si>
  <si>
    <t>2025-08-16T14:34:24.700Z</t>
  </si>
  <si>
    <t>BS Biology IV</t>
  </si>
  <si>
    <t>Dominic Justine Mapa</t>
  </si>
  <si>
    <t>gXzP9mB7J0XcLRDmFIRW</t>
  </si>
  <si>
    <t>Mindanao State University - Iligan Institute of Technology</t>
  </si>
  <si>
    <t>2025-08-16T16:03:02.737Z</t>
  </si>
  <si>
    <t>Ph.D. in Biology Student</t>
  </si>
  <si>
    <t>Julius Kevin Cura</t>
  </si>
  <si>
    <t>gaQNgf1kjqZQdqQswHS6</t>
  </si>
  <si>
    <t>University of the Philippines Visayas, Hatchery Complex</t>
  </si>
  <si>
    <t>2024-04-17T00:00:00.000Z</t>
  </si>
  <si>
    <t>ahvargas@up.edu.ph</t>
  </si>
  <si>
    <t>Angel Ann H. Vargas</t>
  </si>
  <si>
    <t>gb60WMx0A2x8KA6oZ2Hd</t>
  </si>
  <si>
    <t>Microbiology Laboratory, College of Arts and Sciences, University of the Philippines Visayas, 5023 Miagao, Iloilo</t>
  </si>
  <si>
    <t>2022-07-21T00:00:00.000Z</t>
  </si>
  <si>
    <t>rbcabulong@up.edu.ph</t>
  </si>
  <si>
    <t>Rhudith Cabulong</t>
  </si>
  <si>
    <t>gdSncDQhLqbLOsrGXq2o</t>
  </si>
  <si>
    <t>2024-05-07T00:00:00.000Z</t>
  </si>
  <si>
    <t>johnpaulresano17@gmail.com</t>
  </si>
  <si>
    <t>John Paul Resano</t>
  </si>
  <si>
    <t>gepZJ96QqNCn204VeT71</t>
  </si>
  <si>
    <t>2025-08-16T14:31:51.074Z</t>
  </si>
  <si>
    <t>nomail@gmail.com</t>
  </si>
  <si>
    <t>Kathlyn Lumayag</t>
  </si>
  <si>
    <t>gfYKOv2E4zV4Dw8fkLbc</t>
  </si>
  <si>
    <t>2025-02-10T00:00:00.000Z</t>
  </si>
  <si>
    <t>21100173@usc.edu.ph</t>
  </si>
  <si>
    <t>Harold V. Pena</t>
  </si>
  <si>
    <t>gqoKcf1kYwOWpSx7CrSr</t>
  </si>
  <si>
    <t>2025-08-19T18:05:25.042Z</t>
  </si>
  <si>
    <t>Mari Neila Seco</t>
  </si>
  <si>
    <t>gtGjXjrRyvgX6iN42SgZ</t>
  </si>
  <si>
    <t>Plant Science Department, Aklan State University, Banga, Aklan</t>
  </si>
  <si>
    <t>2025-04-03T00:00:00.000Z</t>
  </si>
  <si>
    <t>epvedasto@asu.edu.ph</t>
  </si>
  <si>
    <t>Evelyn Vedasto</t>
  </si>
  <si>
    <t>gvKKXq7QYbkQlU4Xa7Dl</t>
  </si>
  <si>
    <t>2026-01-09T06:41:21.988Z</t>
  </si>
  <si>
    <t>KIAN DAVE C. CALDITO</t>
  </si>
  <si>
    <t>h7dvNyQncHNYq1dRJJmp</t>
  </si>
  <si>
    <t>Kharl Marx Adorado</t>
  </si>
  <si>
    <t>hFOnKEak9mR3bDDsXaiJ</t>
  </si>
  <si>
    <t>Siliman University</t>
  </si>
  <si>
    <t>2023-01-25T00:00:00.000Z</t>
  </si>
  <si>
    <t>Persie Persie Mark Sienes</t>
  </si>
  <si>
    <t>hNnF7GGtkbzwZ6KmSaQe</t>
  </si>
  <si>
    <t>2023-03-22T00:00:00.000Z</t>
  </si>
  <si>
    <t>rvlumapan@up.edu.ph</t>
  </si>
  <si>
    <t>Rose Ann Lumapan</t>
  </si>
  <si>
    <t>hVv7OAtB6XIMPH5rcbaR</t>
  </si>
  <si>
    <t>2022-11-03T00:00:00.000Z</t>
  </si>
  <si>
    <t>rjgestuveo@up.edu.ph</t>
  </si>
  <si>
    <t>Rommel Gestuveo</t>
  </si>
  <si>
    <t>haKPkUzIPKnN9kFHT1kf</t>
  </si>
  <si>
    <t>Ellen Rose Torremoro</t>
  </si>
  <si>
    <t>hd95WBjOniFx17Fgj2hx</t>
  </si>
  <si>
    <t>2022-03-24T00:00:00.000Z</t>
  </si>
  <si>
    <t>kdelossantos@up.edu.ph</t>
  </si>
  <si>
    <t>Kingsley John de los Santos</t>
  </si>
  <si>
    <t>hfeB1K3XI6UBKOCy2PnK</t>
  </si>
  <si>
    <t>splumayno@up.edu.ph</t>
  </si>
  <si>
    <t>Sanny David Lumayno</t>
  </si>
  <si>
    <t>hgNsBJhxre2Xobi6zBMv</t>
  </si>
  <si>
    <t>IA Office, 2nd Floor Villadolid Hall, University of the Philippines Visayas, Miagao, Iloilo</t>
  </si>
  <si>
    <t>2024-06-07T00:00:00.000Z</t>
  </si>
  <si>
    <t>nnmurallon@up.edu.ph</t>
  </si>
  <si>
    <t>Nikka Marie Murallon</t>
  </si>
  <si>
    <t>hsd8vkWgSkYWzUaboXjz</t>
  </si>
  <si>
    <t>clteves@up.edu.ph</t>
  </si>
  <si>
    <t>Christine Teves</t>
  </si>
  <si>
    <t>hwPfQs5WWvTGhXsLjq2H</t>
  </si>
  <si>
    <t>Maria Dulce L. Alibangbang</t>
  </si>
  <si>
    <t>ihDw5HDyaqFTbkhMGi7V</t>
  </si>
  <si>
    <t>MSU Naawan</t>
  </si>
  <si>
    <t>2025-08-21T15:31:23.334Z</t>
  </si>
  <si>
    <t>CHERLYN M. GERONDA</t>
  </si>
  <si>
    <t>j0hVvAvEFtYGTUbSQjw1</t>
  </si>
  <si>
    <t>2022-03-04T00:00:00.000Z</t>
  </si>
  <si>
    <t>jfrasgo@up.edu.ph</t>
  </si>
  <si>
    <t>John Rey F. Rasgo</t>
  </si>
  <si>
    <t>j4TJpAr3KTU6O0Jv5imy</t>
  </si>
  <si>
    <t>University of the Philippine Los Baños</t>
  </si>
  <si>
    <t>2022-04-29T00:00:00.000Z</t>
  </si>
  <si>
    <t>Philip Alviola</t>
  </si>
  <si>
    <t>juPzlXpxU9SWBpEbKteV</t>
  </si>
  <si>
    <t>Benedict Maralit</t>
  </si>
  <si>
    <t>kNAOBu4gFi05epIyz5Ha</t>
  </si>
  <si>
    <t>2025-08-16T14:02:04.075Z</t>
  </si>
  <si>
    <t>REJIE TAMONDEZ</t>
  </si>
  <si>
    <t>kOYTDRSGpIT4KwxzcBs5</t>
  </si>
  <si>
    <t>2025-08-21T10:34:33.631Z</t>
  </si>
  <si>
    <t>noemail@gmaill.com</t>
  </si>
  <si>
    <t>Zaldy Lavado</t>
  </si>
  <si>
    <t>kznFAcKCSTTldi9yWbap</t>
  </si>
  <si>
    <t>"National Institute of Molecular Biology and Biotechnology University of the Philippines Los Baños, College, Laguna, Philippines"</t>
  </si>
  <si>
    <t>2025-08-21T11:13:25.023Z</t>
  </si>
  <si>
    <t>University Researcher II</t>
  </si>
  <si>
    <t>Aileen Custodio</t>
  </si>
  <si>
    <t>l3dqAdCJkObGYq3rWa7A</t>
  </si>
  <si>
    <t>2022-03-25T00:00:00.000Z</t>
  </si>
  <si>
    <t>kcabismo@up.edu.ph</t>
  </si>
  <si>
    <t>Karl C. Abismo</t>
  </si>
  <si>
    <t>l5Wu0N6PdYVvl2Qlb14F</t>
  </si>
  <si>
    <t>UPV</t>
  </si>
  <si>
    <t>2025-08-17T18:04:00.784Z</t>
  </si>
  <si>
    <t>UPV-SPSO</t>
  </si>
  <si>
    <t>lKWTiRTWL14OJZjp3M3H</t>
  </si>
  <si>
    <t>Mindoro State University</t>
  </si>
  <si>
    <t>sottosantiagojohnvincent@gmail.com</t>
  </si>
  <si>
    <t>John Vincent S. Santiago</t>
  </si>
  <si>
    <t>lgKanimuqBDELeGO7ObF</t>
  </si>
  <si>
    <t>2022-12-07T00:00:00.000Z</t>
  </si>
  <si>
    <t>pmlamela@up.edu.ph</t>
  </si>
  <si>
    <t>Pauline Anne Lamela</t>
  </si>
  <si>
    <t>ljyXakxDDxGL4jVSp4DM</t>
  </si>
  <si>
    <t>jpcastano@up.edu.ph</t>
  </si>
  <si>
    <t>Janiela Marie Castaño</t>
  </si>
  <si>
    <t>lrJPcVgDRTzIxMpz285N</t>
  </si>
  <si>
    <t>canantong@up.edu.ph</t>
  </si>
  <si>
    <t>Cedric Jay A. Nantong</t>
  </si>
  <si>
    <t>m2sah7DOwzpiViBPmys9</t>
  </si>
  <si>
    <t>fhhuervana@up.edu.ph</t>
  </si>
  <si>
    <t>Fredson H. Huervana</t>
  </si>
  <si>
    <t>m30LRlNekF2zSmjpIZYS</t>
  </si>
  <si>
    <t>College of Fisheries and Ocean Sciences, University of the Philippines Visayas</t>
  </si>
  <si>
    <t>2026-01-28T01:14:31.915Z</t>
  </si>
  <si>
    <t>mnaria@up.edu.ph</t>
  </si>
  <si>
    <t>Ma. Justine Kate Naria</t>
  </si>
  <si>
    <t>m38uTAkNgXCfNIa6L9nc</t>
  </si>
  <si>
    <t>rmtacuyo@up.edu.ph</t>
  </si>
  <si>
    <t>Rhea Mar Tacuyo</t>
  </si>
  <si>
    <t>mkVzkxUKVPl2H8DOioDe</t>
  </si>
  <si>
    <t>DENR CENRO Guimbal, Brgy. Guibongan, Miagao, Iloilo</t>
  </si>
  <si>
    <t>cenroiloilo@denr.gov.ph</t>
  </si>
  <si>
    <t>Jojie P. Gereza</t>
  </si>
  <si>
    <t>mxU694ZVG4qpifYa9cQQ</t>
  </si>
  <si>
    <t>2022-06-06T00:00:00.000Z</t>
  </si>
  <si>
    <t>ctmueda@up.edu.ph</t>
  </si>
  <si>
    <t>Camille Rose T. Mueda</t>
  </si>
  <si>
    <t>n88J0qxQjzbOt8DaZgs6</t>
  </si>
  <si>
    <t>jasperpacho181@gmail.com</t>
  </si>
  <si>
    <t>Jasper D. Pacho</t>
  </si>
  <si>
    <t>nNR0n1NiPG68QyEQO979</t>
  </si>
  <si>
    <t>2025-08-16T09:39:24.029Z</t>
  </si>
  <si>
    <t>Research and Development Office</t>
  </si>
  <si>
    <t>ANDREA BEATRIZ MAYOR</t>
  </si>
  <si>
    <t>nOwKI3srl3chNB6AJHTf</t>
  </si>
  <si>
    <t>yooki.bastol@wvsu.edu.ph</t>
  </si>
  <si>
    <t>Yoo Ki Bastol</t>
  </si>
  <si>
    <t>nSQgRAYTVvrC4aI3aMwQ</t>
  </si>
  <si>
    <t>shairamaevalero@gmai.com</t>
  </si>
  <si>
    <t>Shaira Mae Valero</t>
  </si>
  <si>
    <t>nSy6zy0INgVtGGwvuc0s</t>
  </si>
  <si>
    <t>novekris.herida@wvsu.edu.ph</t>
  </si>
  <si>
    <t>Nove Kris B. Herida</t>
  </si>
  <si>
    <t>nTGajCQIjA44y0TuHm1x</t>
  </si>
  <si>
    <t>Arizza Joy T. Evardone</t>
  </si>
  <si>
    <t>ngOquvUo81YlppJPuJnW</t>
  </si>
  <si>
    <t>2025-08-20T15:33:59.551Z</t>
  </si>
  <si>
    <t>Faculty Researcher</t>
  </si>
  <si>
    <t>Andrew Gamba</t>
  </si>
  <si>
    <t>njnYZpWbpsOpiT7MrQ5d</t>
  </si>
  <si>
    <t>DOST-ITDI-VIP, DOST Cmpd., General Santos Avenue, Bicutan, Taguig City, Philippines</t>
  </si>
  <si>
    <t>2023-11-28T00:00:00.000Z</t>
  </si>
  <si>
    <t>virology.tomatoproject@gmail.com</t>
  </si>
  <si>
    <t>Dencee Jean T. Ledesma</t>
  </si>
  <si>
    <t>nyONlvU01KUcpiXO16fQ</t>
  </si>
  <si>
    <t>ejestoya@up.edu.ph</t>
  </si>
  <si>
    <t>Elijah Estoya</t>
  </si>
  <si>
    <t>nydHeuMbUEr6JgbFk0Wn</t>
  </si>
  <si>
    <t>k.khlyraelleg@gmail.com</t>
  </si>
  <si>
    <t>o01qqKvDZw1dztEXBEP0</t>
  </si>
  <si>
    <t>Department of Chemistry, College of Arts and Sciences, UP Visayas</t>
  </si>
  <si>
    <t>gacuevas@up.edu.ph</t>
  </si>
  <si>
    <t>Gabrielle Troy A. Cuevas</t>
  </si>
  <si>
    <t>o8O7jEcDthDd6Uc5f4cJ</t>
  </si>
  <si>
    <t>Institute of Fisheries, MinSu, Bongabong Campus, Brgy. Labasan, Bongabong, Oriental Mindoro</t>
  </si>
  <si>
    <t>Faculty, Researcher/Technical Assistant, Phd Student</t>
  </si>
  <si>
    <t>oFNoEbwFgqvTJaUsB0Hc</t>
  </si>
  <si>
    <t>Center for Limnological, Aquatic Biodiversity, and Mariculture Studies, Cebu Technological University - San Francisco</t>
  </si>
  <si>
    <t>2024-11-16T00:00:00.000Z</t>
  </si>
  <si>
    <t>maximinoabejo@ctu.edu.ph</t>
  </si>
  <si>
    <t>Maximino R. Abejo III</t>
  </si>
  <si>
    <t>oFnBRfHf5mmxwPffm9Cu</t>
  </si>
  <si>
    <t>Sotech, UP Visayas</t>
  </si>
  <si>
    <t>2025-01-29T00:00:00.000Z</t>
  </si>
  <si>
    <t>btdepanay@up.edu.ph</t>
  </si>
  <si>
    <t>Bhea Olga de Panay</t>
  </si>
  <si>
    <t>oSxovuIlhfU4bBwqCKxu</t>
  </si>
  <si>
    <t>fer.eliza2600@gmail.com</t>
  </si>
  <si>
    <t>Elizabeth D. Fernandez</t>
  </si>
  <si>
    <t>oUEjGwbrrDSQjtws1Pi9</t>
  </si>
  <si>
    <t>francomiguel.nodado@wvsu.edu.ph</t>
  </si>
  <si>
    <t>Franco Miguel N. Nodado</t>
  </si>
  <si>
    <t>oVUnZjbdZUuLYpEJrVT4</t>
  </si>
  <si>
    <t>Fisheries Dept., Romblon State University</t>
  </si>
  <si>
    <t>2024-02-15T00:00:00.000Z</t>
  </si>
  <si>
    <t>vincent.jay.gado@gmail.com</t>
  </si>
  <si>
    <t>Jordan F. Dorado</t>
  </si>
  <si>
    <t>okx0SefpaMq7lFkRB5e2</t>
  </si>
  <si>
    <t>2025-08-18T16:44:29.604Z</t>
  </si>
  <si>
    <t>Thryrone Ordanel</t>
  </si>
  <si>
    <t>pWWzvF6ZWEeXhimFEpUa</t>
  </si>
  <si>
    <t>SPSO, UP Visayas</t>
  </si>
  <si>
    <t>2025-08-21T11:22:27.073Z</t>
  </si>
  <si>
    <t>Acting Chief</t>
  </si>
  <si>
    <t>Cherry P. Anasco</t>
  </si>
  <si>
    <t>pZUNozevgi9sZjHUgT6c</t>
  </si>
  <si>
    <t>Department of Biology, University of San Carlos</t>
  </si>
  <si>
    <t>2025-08-16T15:29:03.003Z</t>
  </si>
  <si>
    <t>Lyka Joyce R. Butaya</t>
  </si>
  <si>
    <t>prjSUf9uJYzqvYSdlg29</t>
  </si>
  <si>
    <t>blanacita@up.edu.ph</t>
  </si>
  <si>
    <t>Beatrice L. Anacita</t>
  </si>
  <si>
    <t>puq1j3566pQBLtdHIDOO</t>
  </si>
  <si>
    <t>jmmagpusao@up.edu.ph</t>
  </si>
  <si>
    <t>Johannes Magpusao</t>
  </si>
  <si>
    <t>qQ6lgrHFcVwOU2lwaApb</t>
  </si>
  <si>
    <t>2025-08-16T14:13:25.709Z</t>
  </si>
  <si>
    <t>Xyrra Mazo</t>
  </si>
  <si>
    <t>qRodRXe344fAWLGDuIGB</t>
  </si>
  <si>
    <t>tenocgemalyn@ispsc.edu.ph</t>
  </si>
  <si>
    <t>Gemalyn L. Tenoc</t>
  </si>
  <si>
    <t>r9KhAA157iOltBxqbTeg</t>
  </si>
  <si>
    <t>COFES, University of Antique</t>
  </si>
  <si>
    <t>2020-02-13T00:00:00.000Z</t>
  </si>
  <si>
    <t>doroteoalvin@yahoo.com</t>
  </si>
  <si>
    <t>Alvin M. Doroteo</t>
  </si>
  <si>
    <t>rOfoUd14c5nAH7dM05be</t>
  </si>
  <si>
    <t>National Fisheries Research and Development Institute</t>
  </si>
  <si>
    <t>2025-08-17T18:18:37.118Z</t>
  </si>
  <si>
    <t>Senior Science Research Specialist</t>
  </si>
  <si>
    <t>Cristan Joy M. Campo</t>
  </si>
  <si>
    <t>rbevpPzVib40Jq1Sscr6</t>
  </si>
  <si>
    <t>ecsibulan@up.edu.ph</t>
  </si>
  <si>
    <t>Elize Margareth C. Sibulan</t>
  </si>
  <si>
    <t>rmzbMIPYnBZmsE7nMRA3</t>
  </si>
  <si>
    <t>irenelagumbay95@gmail.com</t>
  </si>
  <si>
    <t>s1bTeMt1Lgspk3HcFz21</t>
  </si>
  <si>
    <t>Dana Mariae Perez</t>
  </si>
  <si>
    <t>s8qdoDK0VqVEUOYI05Zw</t>
  </si>
  <si>
    <t>Winnel Joy R. Gonzaga</t>
  </si>
  <si>
    <t>s989qevDNSrgQ7XxrKEi</t>
  </si>
  <si>
    <t>alexgeolingo@gmail.com</t>
  </si>
  <si>
    <t>Maria Alexandra S. Geolingo</t>
  </si>
  <si>
    <t>s9gDfwWRyMuqN69iW5lw</t>
  </si>
  <si>
    <t>Michael T. Ibisate</t>
  </si>
  <si>
    <t>sVvQeGWybW1fWV2kjMzs</t>
  </si>
  <si>
    <t xml:space="preserve">Forest Research Institute, University of Sunshine Coast Sippy Downs, QLD, Australia </t>
  </si>
  <si>
    <t>2025-08-16T15:33:10.809Z</t>
  </si>
  <si>
    <t>PhD Candidate, Project Tarsier</t>
  </si>
  <si>
    <t>Jenny Vivian</t>
  </si>
  <si>
    <t>tH7MaKFQs6k7y8w9vHRQ</t>
  </si>
  <si>
    <t>Central Mindanao University, University Town, Musuan, Maramag, Bukidnon 8710</t>
  </si>
  <si>
    <t>2024-03-11T00:00:00.000Z</t>
  </si>
  <si>
    <t>s.pava.kristinacasandra@cmu.edu.ph</t>
  </si>
  <si>
    <t>Kristina Casandra Pava</t>
  </si>
  <si>
    <t>ta1cHCt6tsbU5SRfDQMc</t>
  </si>
  <si>
    <t>sethestebanpanes@gmail.com</t>
  </si>
  <si>
    <t>Seth Esteban Panes</t>
  </si>
  <si>
    <t>tcxqva4pl5nKCiLx5tUV</t>
  </si>
  <si>
    <t>2021-04-16T00:00:00.000Z</t>
  </si>
  <si>
    <t>acnoblezada@up.edu.ph</t>
  </si>
  <si>
    <t>Albert C. Noblezada</t>
  </si>
  <si>
    <t>tfYtpl9NJe7cJDeXOcX6</t>
  </si>
  <si>
    <t>2022-03-14T00:00:00.000Z</t>
  </si>
  <si>
    <t>wnsurnido@up.edu.ph</t>
  </si>
  <si>
    <t>Whelver N. Surnido</t>
  </si>
  <si>
    <t>tn2Yfazfo8U4iGWN5O3p</t>
  </si>
  <si>
    <t>CFOS, UP Visayas</t>
  </si>
  <si>
    <t>labonitillo@up.edu.ph</t>
  </si>
  <si>
    <t>Lynn Angelo A. Bonitillo</t>
  </si>
  <si>
    <t>topZaWxblXYw66IYfHtE</t>
  </si>
  <si>
    <t>IMFO, University of the Philippines Visayas</t>
  </si>
  <si>
    <t>grace.guanzon@dnsc.edu.ph</t>
  </si>
  <si>
    <t>Grace C. Guanzon</t>
  </si>
  <si>
    <t>tuD4un95VZsFA44gO6C8</t>
  </si>
  <si>
    <t>UPV Tacloban College, Magsaysay Blvd., Tacloban City, Leyte 6500</t>
  </si>
  <si>
    <t>2021-02-23T00:00:00.000Z</t>
  </si>
  <si>
    <t>lgyapdejeto@up.edu.ph</t>
  </si>
  <si>
    <t>Leni G. Yap-Dejeto</t>
  </si>
  <si>
    <t>u9yUdTe9CiGsFrr1LWm3</t>
  </si>
  <si>
    <t>gemphilproject@gmail.com</t>
  </si>
  <si>
    <t>Reymart S. Dagaraga</t>
  </si>
  <si>
    <t>uJmt5yr6abqQkfU7ihiG</t>
  </si>
  <si>
    <t>mssilfavan@up.edu.ph</t>
  </si>
  <si>
    <t>Mae Dell S. Silfavan</t>
  </si>
  <si>
    <t>uSdvzunW8ZvVHdmqscFi</t>
  </si>
  <si>
    <t>2026-01-09T06:30:59.999Z</t>
  </si>
  <si>
    <t>s2010593@usls.edu.ph</t>
  </si>
  <si>
    <t>AINA MARIE TAN PILARTA</t>
  </si>
  <si>
    <t>ubysraOTLHVzZ4qTNr68</t>
  </si>
  <si>
    <t>Silliman University</t>
  </si>
  <si>
    <t>2026-01-20T01:39:04.713Z</t>
  </si>
  <si>
    <t>joniermbadayos@su.edu.ph</t>
  </si>
  <si>
    <t>Jonier Badayos</t>
  </si>
  <si>
    <t>uvO8Cl9J2N4SUhFHb18t</t>
  </si>
  <si>
    <t>Christine Joy A. Barongo</t>
  </si>
  <si>
    <t>vKfdXKrfbJBGR43ghyKO</t>
  </si>
  <si>
    <t>University of St. La Salle – Bacolod</t>
  </si>
  <si>
    <t>2026-01-29T07:17:23.099Z</t>
  </si>
  <si>
    <t>s2200462@usls.edu.ph</t>
  </si>
  <si>
    <t>Eunice Lee O. Maribao</t>
  </si>
  <si>
    <t>vT76kp9mBxTI8AWnyOzC</t>
  </si>
  <si>
    <t>angenciana@up.edu.ph</t>
  </si>
  <si>
    <t>Ande Bryle Genciana</t>
  </si>
  <si>
    <t>vfOwicoUw0COpJAuXqaJ</t>
  </si>
  <si>
    <t>Jessa Cortes</t>
  </si>
  <si>
    <t>vqMWnp71gy8VY5kkw7EL</t>
  </si>
  <si>
    <t>Institute of Aquaculture - UPV CFOS</t>
  </si>
  <si>
    <t>2026-02-24T07:18:30.331Z</t>
  </si>
  <si>
    <t>ftamestoso@up.edu.ph</t>
  </si>
  <si>
    <t>Felix John T. Amestoso</t>
  </si>
  <si>
    <t>vrG05KCgyY3OISzGR0E0</t>
  </si>
  <si>
    <t>Sabrina Gatdula</t>
  </si>
  <si>
    <t>vvTEYaujpiacxtKwiPgL</t>
  </si>
  <si>
    <t>dpsm</t>
  </si>
  <si>
    <t>2025-08-15T02:41:27.998Z</t>
  </si>
  <si>
    <t>duranduranne@gmail.com</t>
  </si>
  <si>
    <t>Duranne Duran</t>
  </si>
  <si>
    <t>vyxyew3KZZ914wp58Y9w</t>
  </si>
  <si>
    <t>kptenizo@up.edu.ph</t>
  </si>
  <si>
    <t>Karl Angelo P. Tenizo</t>
  </si>
  <si>
    <t>w085VrW6TOjGKpgCjbgY</t>
  </si>
  <si>
    <t>2020-07-23T00:00:00.000Z</t>
  </si>
  <si>
    <t>lfendoma@up.edu.ph</t>
  </si>
  <si>
    <t>Leonilo F. Endoma</t>
  </si>
  <si>
    <t>w9r5zXauCg9CSIJrkRMo</t>
  </si>
  <si>
    <t>ballesteroscharlene@ispsc.edu.ph</t>
  </si>
  <si>
    <t>Charlene A. Ballesteros</t>
  </si>
  <si>
    <t>wIZJxyI2nq7EmxpHKhlo</t>
  </si>
  <si>
    <t>Marine Bio Dept., Romblon State University</t>
  </si>
  <si>
    <t>Vincent Jay H. Gado</t>
  </si>
  <si>
    <t>wY3Hm2yfOSxb3mzafQUr</t>
  </si>
  <si>
    <t>School of Technology</t>
  </si>
  <si>
    <t>2025-08-20T14:45:47.492Z</t>
  </si>
  <si>
    <t>Donny Honorio</t>
  </si>
  <si>
    <t>wmpgP670U7ZiZJLBVHRA</t>
  </si>
  <si>
    <t>S.E Jayme St, Pakna-an -  Mandaue City, 6014 Cebu, Philippines</t>
  </si>
  <si>
    <t>2025-08-20T15:30:58.116Z</t>
  </si>
  <si>
    <t>Procurement Staff</t>
  </si>
  <si>
    <t>noeamil@gmail.com</t>
  </si>
  <si>
    <t>Anabelle Fariola</t>
  </si>
  <si>
    <t>wnCQ2h1kMTkUe6pv7FMY</t>
  </si>
  <si>
    <t>2025-08-16T14:06:39.629Z</t>
  </si>
  <si>
    <t>Leonel Paolo Rodriguez</t>
  </si>
  <si>
    <t>ws8xl3BIYxpDtGnq8sdr</t>
  </si>
  <si>
    <t>Leyte University</t>
  </si>
  <si>
    <t>2025-08-20T16:12:44.986Z</t>
  </si>
  <si>
    <t>Ana Mae Alcala</t>
  </si>
  <si>
    <t>wvq7p97ezEnHN3LamBiu</t>
  </si>
  <si>
    <t>maiosabidong@icloud.com</t>
  </si>
  <si>
    <t>Maio Vendell V. Sabidong</t>
  </si>
  <si>
    <t>xA6cJSBUBrWMCutbPv42</t>
  </si>
  <si>
    <t>Coleen S. Tibar</t>
  </si>
  <si>
    <t>xIoilP0xhxNpt2LqviiG</t>
  </si>
  <si>
    <t>2022-01-19T00:00:00.000Z</t>
  </si>
  <si>
    <t>recadiz@up.edu.ph</t>
  </si>
  <si>
    <t>Rowena E. Cadiz</t>
  </si>
  <si>
    <t>xMAyFxYJmD0i5j10DAMA</t>
  </si>
  <si>
    <t>Sugar Regulatory Administration (SRA)- Visayas</t>
  </si>
  <si>
    <t>2025-08-20T15:10:59.625Z</t>
  </si>
  <si>
    <t>Virgie Celestial</t>
  </si>
  <si>
    <t>xaZJoDi5i3fnpPzdBz3K</t>
  </si>
  <si>
    <t>jrtorres@dmmmsu.edu.ph</t>
  </si>
  <si>
    <t>John Raymund D. Torres</t>
  </si>
  <si>
    <t>xebWiG81zEV1WLcFADci</t>
  </si>
  <si>
    <t>CAS-UPV</t>
  </si>
  <si>
    <t>2025-08-18T17:07:33.154Z</t>
  </si>
  <si>
    <t>Student Biosci</t>
  </si>
  <si>
    <t>May Ann Gito</t>
  </si>
  <si>
    <t>xi7L4GQ7Q6pniK3bLPax</t>
  </si>
  <si>
    <t>Frea Mae Dela Cruz</t>
  </si>
  <si>
    <t>xwBHbSor3VdzaHq5WlVZ</t>
  </si>
  <si>
    <t>2025-08-19T17:49:31.865Z</t>
  </si>
  <si>
    <t>Master Student</t>
  </si>
  <si>
    <t>Rosalie Niebla</t>
  </si>
  <si>
    <t>xwk1Ll0zkxp1OFPbd6J7</t>
  </si>
  <si>
    <t>Nutrition and Feed Development Section SEAFDEC - Aquaculture Department</t>
  </si>
  <si>
    <t>2025-08-16T14:51:22.735Z</t>
  </si>
  <si>
    <t>Technical Assistant</t>
  </si>
  <si>
    <t>Marianne Joyce S. Herrada</t>
  </si>
  <si>
    <t>y2jWgQ2BJcfhr84hXv6W</t>
  </si>
  <si>
    <t>Alieza O. Del Socorro</t>
  </si>
  <si>
    <t>yHXDRUzGL1U1CYZmKcYf</t>
  </si>
  <si>
    <t>Institute of Environmental &amp; Marine Science, Silliman University</t>
  </si>
  <si>
    <t>2025-04-22T00:00:00.000Z</t>
  </si>
  <si>
    <t>maryclairevillanueva@su.edu.ph</t>
  </si>
  <si>
    <t>Mary Claire Gatucao</t>
  </si>
  <si>
    <t>yWsh0MJJkupHR4lzYZ1s</t>
  </si>
  <si>
    <t>Mindanao, Mountain View College</t>
  </si>
  <si>
    <t>2026-02-04T00:52:34.361Z</t>
  </si>
  <si>
    <t>jamesburay8@gmail.com</t>
  </si>
  <si>
    <t>James Buray</t>
  </si>
  <si>
    <t>ybvKxlFL1naI3tWNKC9W</t>
  </si>
  <si>
    <t>2025-02-12T00:00:00.000Z</t>
  </si>
  <si>
    <t>tcxu@up.edu.ph</t>
  </si>
  <si>
    <t>Tiffany Xu</t>
  </si>
  <si>
    <t>ycsjn0OVI8VbMs7UqvqX</t>
  </si>
  <si>
    <t>fnplm@scabangisan@gmail.com</t>
  </si>
  <si>
    <t>FN Grace Cabangisan</t>
  </si>
  <si>
    <t>yl6cAYleuKoPQEFIgRT9</t>
  </si>
  <si>
    <t>ktmunoz@up.edu.ph</t>
  </si>
  <si>
    <t>Kyle Munoz</t>
  </si>
  <si>
    <t>ylhrTiJ5n04t73pX2WJA</t>
  </si>
  <si>
    <t>The Medical City Iloilo</t>
  </si>
  <si>
    <t>2025-08-16T13:36:35.966Z</t>
  </si>
  <si>
    <t>Health Informaticist</t>
  </si>
  <si>
    <t>noemail@gmai.com</t>
  </si>
  <si>
    <t>IMEE ISABELLE F. RAMOS</t>
  </si>
  <si>
    <t>yxvkURZpJicOoDRLLmWw</t>
  </si>
  <si>
    <t>arnel.nudalo@ctu.edu.ph</t>
  </si>
  <si>
    <t>Arnel G. Nudalo</t>
  </si>
  <si>
    <t>z63T30rHfyE4RFTPbDMx</t>
  </si>
  <si>
    <t>Bacolod Queen of Mercy Hospital Molecular Laboratory, LN Eroreco Drive, Mandalagan, Bacolod City 6100</t>
  </si>
  <si>
    <t>jbtywayanmolecular2020@gmail.com</t>
  </si>
  <si>
    <t>Jezreel Teruel Ywayan</t>
  </si>
  <si>
    <t>z8maffxZRSC8HH5V4JCs</t>
  </si>
  <si>
    <t>dapenuela@up.edu.ph</t>
  </si>
  <si>
    <t>Dianne Frances Penuela</t>
  </si>
  <si>
    <t>z9O4fqVIzOfTrSQGTWsJ</t>
  </si>
  <si>
    <t>mendoza.ayanarose@gmail.com</t>
  </si>
  <si>
    <t>Ayana Rose R. Mendoza</t>
  </si>
  <si>
    <t>zBRjutPtLdgz5TXclgZg</t>
  </si>
  <si>
    <t>Fisheries and Marine Sciences Department, Aklan State University - New Washington Campus</t>
  </si>
  <si>
    <t>Beverly T. Jaspe</t>
  </si>
  <si>
    <t>zGU2GE1Ro8lEcQKOPAhJ</t>
  </si>
  <si>
    <t>Breeding and Seed Production Section Research Division SEAFDEC/AQD</t>
  </si>
  <si>
    <t>2026-02-04T03:50:55.010Z</t>
  </si>
  <si>
    <t>Project Leader/Head</t>
  </si>
  <si>
    <t>jjdlcruz@seafdec.org.ph</t>
  </si>
  <si>
    <t>Joana Joy Huervana</t>
  </si>
  <si>
    <t>zSMz0FWbzZ8kh4sQ2ara</t>
  </si>
  <si>
    <t>Jay Marie V. Lumantas</t>
  </si>
  <si>
    <t>zY319DLKy4kgwkYl5cSR</t>
  </si>
  <si>
    <t>PGC Visayas Laboratories
Room 205, 2nd Floor
Regional Research Center
University of the Philippines Visayas
Brgy. Mambatad, Miagao, Iloilo 5023</t>
  </si>
  <si>
    <t>2019-02-12T00:00:00.000Z</t>
  </si>
  <si>
    <t>PGC VISAYAS</t>
  </si>
  <si>
    <t>zaZm1FbopgEkfz8bZLPE</t>
  </si>
  <si>
    <t>NEED Program: Project 2 UP Visayas</t>
  </si>
  <si>
    <t>2025-08-16T15:31:13.301Z</t>
  </si>
  <si>
    <t>URA I</t>
  </si>
  <si>
    <t>Richael P. Vargas</t>
  </si>
  <si>
    <t>zfUsb6QSZ4g6fyI4lsHy</t>
  </si>
  <si>
    <t xml:space="preserve">University of San Carlos (USC)  </t>
  </si>
  <si>
    <t>2025-08-16T15:49:43.335Z</t>
  </si>
  <si>
    <t>SRS-1</t>
  </si>
  <si>
    <t>Vanessa C. Duyar, MSc.</t>
  </si>
  <si>
    <t>zniB03IaMMuaBY31Y1Du</t>
  </si>
  <si>
    <t>lauraelyse.cambel@wvsu.edu.ph</t>
  </si>
  <si>
    <t>Laura Elyse J. Cambel</t>
  </si>
  <si>
    <t>zsnYhpv21WDGsofKsOI9</t>
  </si>
  <si>
    <t>Emelyn Joy Mameloco</t>
  </si>
  <si>
    <t>year</t>
  </si>
  <si>
    <t>sex</t>
  </si>
  <si>
    <t>affiliationAddress</t>
  </si>
  <si>
    <t>isContactPerson</t>
  </si>
  <si>
    <t>phoneNumber</t>
  </si>
  <si>
    <t>cid</t>
  </si>
  <si>
    <t>pid</t>
  </si>
  <si>
    <t>inquiryId</t>
  </si>
  <si>
    <t/>
  </si>
  <si>
    <t>Ongoing</t>
  </si>
  <si>
    <t>F</t>
  </si>
  <si>
    <t>Completed</t>
  </si>
  <si>
    <t>M</t>
  </si>
  <si>
    <t>CL-2020-010</t>
  </si>
  <si>
    <t>CL-2020-013</t>
  </si>
  <si>
    <t>Nadelene Faith N. Cartago</t>
  </si>
  <si>
    <t>CL-2020-015</t>
  </si>
  <si>
    <t>Cancelled</t>
  </si>
  <si>
    <t>CL-2020-019</t>
  </si>
  <si>
    <t xml:space="preserve">Ma. Novem Grace Ylayron </t>
  </si>
  <si>
    <t>CL-2020-021</t>
  </si>
  <si>
    <t>CL-2021-025</t>
  </si>
  <si>
    <t>CL-2021-031</t>
  </si>
  <si>
    <t>CL-2021-035</t>
  </si>
  <si>
    <t>CL-2022-038</t>
  </si>
  <si>
    <t>CL-2022-044</t>
  </si>
  <si>
    <t>CL-2022-051</t>
  </si>
  <si>
    <t>CL-2022-055</t>
  </si>
  <si>
    <t>CL-2022-056</t>
  </si>
  <si>
    <t>CL-2022-062</t>
  </si>
  <si>
    <t>CL-2022-066</t>
  </si>
  <si>
    <t>CL-2023-071</t>
  </si>
  <si>
    <t>CL-2023-074</t>
  </si>
  <si>
    <t>CL-2023-081</t>
  </si>
  <si>
    <t>CL-2023-082</t>
  </si>
  <si>
    <t>CL-2023-083</t>
  </si>
  <si>
    <t>CL-2023-085</t>
  </si>
  <si>
    <t>CL-2023-086</t>
  </si>
  <si>
    <t>CL-2023-087</t>
  </si>
  <si>
    <t>CL-2023-088</t>
  </si>
  <si>
    <t>CL-2023-096</t>
  </si>
  <si>
    <t>CL-2023-097</t>
  </si>
  <si>
    <t>CL-2023-100</t>
  </si>
  <si>
    <t>CL-2023-111</t>
  </si>
  <si>
    <t>CL-2023-112</t>
  </si>
  <si>
    <t>CL-2023-114</t>
  </si>
  <si>
    <t>CL-2023-119</t>
  </si>
  <si>
    <t>CL-2023-126</t>
  </si>
  <si>
    <t>CL-2023-127</t>
  </si>
  <si>
    <t>CL-2024-128</t>
  </si>
  <si>
    <t>CL-2024-131</t>
  </si>
  <si>
    <t>CL-2024-135</t>
  </si>
  <si>
    <t>CL-2024-138</t>
  </si>
  <si>
    <t>CL-2024-139</t>
  </si>
  <si>
    <t>CL-2024-142</t>
  </si>
  <si>
    <t>CL-2024-144</t>
  </si>
  <si>
    <t>CL-2024-151</t>
  </si>
  <si>
    <t>CL-2024-152</t>
  </si>
  <si>
    <t>CL-2024-167</t>
  </si>
  <si>
    <t>CL-2024-168a</t>
  </si>
  <si>
    <t>CL-2024-170</t>
  </si>
  <si>
    <t>CL-2024-171</t>
  </si>
  <si>
    <t>CL-2024-172</t>
  </si>
  <si>
    <t>CL-2024-175</t>
  </si>
  <si>
    <t>CL-2024-177</t>
  </si>
  <si>
    <t>CL-2024-178</t>
  </si>
  <si>
    <t>CL-2024-181</t>
  </si>
  <si>
    <t>NA</t>
  </si>
  <si>
    <t>CL-2024-185</t>
  </si>
  <si>
    <t>CL-2024-186</t>
  </si>
  <si>
    <t>CL-2024-187</t>
  </si>
  <si>
    <t>CL-2024-201</t>
  </si>
  <si>
    <t>CL-2024-202</t>
  </si>
  <si>
    <t>CL-2024-205</t>
  </si>
  <si>
    <t>CL-2024-207</t>
  </si>
  <si>
    <t>CL-2024-210</t>
  </si>
  <si>
    <t>CL-2024-219</t>
  </si>
  <si>
    <t>CL-2024-220</t>
  </si>
  <si>
    <t>CL-2024-221</t>
  </si>
  <si>
    <t>CL-2024-224</t>
  </si>
  <si>
    <t>CL-2024-225</t>
  </si>
  <si>
    <t>CL-2025-235</t>
  </si>
  <si>
    <t>-</t>
  </si>
  <si>
    <t>CL-2025-242</t>
  </si>
  <si>
    <t>CL-2025-252</t>
  </si>
  <si>
    <t>CL-2025-253</t>
  </si>
  <si>
    <t>CL-2025-255</t>
  </si>
  <si>
    <t>CL-2025-257</t>
  </si>
  <si>
    <t>CL-2025-262</t>
  </si>
  <si>
    <t>CL-2025-267</t>
  </si>
  <si>
    <t>CL-2025-270</t>
  </si>
  <si>
    <t>CL-2025-275</t>
  </si>
  <si>
    <t>CL-2025-276</t>
  </si>
  <si>
    <t>CL-2025-277</t>
  </si>
  <si>
    <t>CL-2025-278</t>
  </si>
  <si>
    <t>CL-2025-279</t>
  </si>
  <si>
    <t>CL-2025-280</t>
  </si>
  <si>
    <t>CL-2025-281</t>
  </si>
  <si>
    <t>CL-2025-291</t>
  </si>
  <si>
    <t>NEMSU</t>
  </si>
  <si>
    <t>Kriz Sanchez Delos Reyes</t>
  </si>
  <si>
    <t>CL-2025-293</t>
  </si>
  <si>
    <t>00000000000</t>
  </si>
  <si>
    <t>CL-2025-295</t>
  </si>
  <si>
    <t>Sanda Tetsuya</t>
  </si>
  <si>
    <t>CL-2025-297</t>
  </si>
  <si>
    <t>CL-2025-298</t>
  </si>
  <si>
    <t>Lee Genesis S. Mabaquiao</t>
  </si>
  <si>
    <t>CL-2025-304</t>
  </si>
  <si>
    <t>Miagao, Iloilo</t>
  </si>
  <si>
    <t>Ma. Clarissa Tamon</t>
  </si>
  <si>
    <t>CL-2025-305</t>
  </si>
  <si>
    <t>Joshua Adrian A. Valdez</t>
  </si>
  <si>
    <t>CL-2025-307</t>
  </si>
  <si>
    <t>CL-2025-308</t>
  </si>
  <si>
    <t xml:space="preserve"> Butuan City</t>
  </si>
  <si>
    <t>2025-11-13T01:22:19.075Z</t>
  </si>
  <si>
    <t>09543249450</t>
  </si>
  <si>
    <t>Department of Biology, Caraga State University</t>
  </si>
  <si>
    <t>Jana Marie P. Dompor</t>
  </si>
  <si>
    <t>janamarie.dompor@carsu.edu.ph</t>
  </si>
  <si>
    <t>["P-2025-145"]</t>
  </si>
  <si>
    <t>CL-2025-309</t>
  </si>
  <si>
    <t>2025-12-01T02:04:03.780Z</t>
  </si>
  <si>
    <t>09569604013</t>
  </si>
  <si>
    <t>Sealthiel Andrei Malones</t>
  </si>
  <si>
    <t>svmalones@up.edu.ph</t>
  </si>
  <si>
    <t>["P-2025-146"]</t>
  </si>
  <si>
    <t>CL-2026-001</t>
  </si>
  <si>
    <t>Bacolod City, Negros Occidental</t>
  </si>
  <si>
    <t>2026-01-12T06:30:19.926Z</t>
  </si>
  <si>
    <t>09773802697</t>
  </si>
  <si>
    <t>Biology Program, Department of Natural Sciences, University of St. La Salle - Bacolod</t>
  </si>
  <si>
    <t>["P-2026-001"]</t>
  </si>
  <si>
    <t>CL-2026-002</t>
  </si>
  <si>
    <t>2026-01-13T08:11:41.410Z</t>
  </si>
  <si>
    <t>CL-2026-003</t>
  </si>
  <si>
    <t>2026-01-13T08:17:33.602Z</t>
  </si>
  <si>
    <t>09279538853</t>
  </si>
  <si>
    <t>Deborah Zane G. Suyao</t>
  </si>
  <si>
    <t>suyaodeborah@gmail.com</t>
  </si>
  <si>
    <t>CL-2026-004</t>
  </si>
  <si>
    <t>2026-01-13T08:18:31.671Z</t>
  </si>
  <si>
    <t>Earl Francine A. Vallota</t>
  </si>
  <si>
    <t>earlfrancinev@gmail.com</t>
  </si>
  <si>
    <t>CL-2026-005</t>
  </si>
  <si>
    <t>Argao, Cebu Philippines</t>
  </si>
  <si>
    <t>2026-01-13T08:28:09.772Z</t>
  </si>
  <si>
    <t>09511311903</t>
  </si>
  <si>
    <t>Cebu Technological Institute - Argao Campus</t>
  </si>
  <si>
    <t>["P-2026-002"]</t>
  </si>
  <si>
    <t>CL-2026-006</t>
  </si>
  <si>
    <t>2026-01-13T08:29:37.408Z</t>
  </si>
  <si>
    <t>09485701352</t>
  </si>
  <si>
    <t>Christine Faye O. Gonzaga</t>
  </si>
  <si>
    <t>Research Assistant</t>
  </si>
  <si>
    <t>cturdargao@gmail.com</t>
  </si>
  <si>
    <t>CL-2026-007</t>
  </si>
  <si>
    <t>2026-01-13T13:44:44.629Z</t>
  </si>
  <si>
    <t>09278313640</t>
  </si>
  <si>
    <t>University of St. La Salle - Bacolod</t>
  </si>
  <si>
    <t>Aina Marie Pilarta</t>
  </si>
  <si>
    <t>["P-2026-003"]</t>
  </si>
  <si>
    <t>CL-2026-008</t>
  </si>
  <si>
    <t xml:space="preserve"> Marawi City, Lanao Del Sur</t>
  </si>
  <si>
    <t>2026-01-14T01:57:47.827Z</t>
  </si>
  <si>
    <t>09674413765</t>
  </si>
  <si>
    <t>Forestry Department, College Of Forestry And Environmental Studies, Mindanao State University – Main Campus</t>
  </si>
  <si>
    <t>["P-2026-004"]</t>
  </si>
  <si>
    <t>CL-2026-009</t>
  </si>
  <si>
    <t>Bacolod, Negros Occidental</t>
  </si>
  <si>
    <t>2026-01-19T04:37:09.916Z</t>
  </si>
  <si>
    <t>09322324143</t>
  </si>
  <si>
    <t xml:space="preserve">University of St. La Salle - Bacolod </t>
  </si>
  <si>
    <t>["P-2026-005"]</t>
  </si>
  <si>
    <t>CL-2026-010</t>
  </si>
  <si>
    <t>2026-01-20T00:52:38.199Z</t>
  </si>
  <si>
    <t>09606182356</t>
  </si>
  <si>
    <t>Roshaine Shawtel T. Medel</t>
  </si>
  <si>
    <t>s2201701@usls.edu.ph</t>
  </si>
  <si>
    <t>CL-2026-011</t>
  </si>
  <si>
    <t xml:space="preserve"> Bacolod City, Negros Occidental</t>
  </si>
  <si>
    <t>2026-01-20T00:53:29.613Z</t>
  </si>
  <si>
    <t>09167393597</t>
  </si>
  <si>
    <t>Christine John R. Cayetano</t>
  </si>
  <si>
    <t>s2202493@usls.edu.ph</t>
  </si>
  <si>
    <t>CL-2026-012</t>
  </si>
  <si>
    <t>2026-01-20T00:57:30.562Z</t>
  </si>
  <si>
    <t>09393860067</t>
  </si>
  <si>
    <t>Rose Ann Nellie Comorro</t>
  </si>
  <si>
    <t>rtcomorro@up.edu.ph</t>
  </si>
  <si>
    <t>["P-2026-006"]</t>
  </si>
  <si>
    <t>CL-2026-013</t>
  </si>
  <si>
    <t>2026-01-28T01:43:42.554Z</t>
  </si>
  <si>
    <t>09950991065</t>
  </si>
  <si>
    <t>["P-2026-009"]</t>
  </si>
  <si>
    <t>CL-2026-014</t>
  </si>
  <si>
    <t>Buyuan Tigbauan Iloilo</t>
  </si>
  <si>
    <t>2026-02-05T04:09:56.796Z</t>
  </si>
  <si>
    <t>09395535504</t>
  </si>
  <si>
    <t xml:space="preserve">SEAFDEC/AQD - Breeding and Seed Production Section, Research Division </t>
  </si>
  <si>
    <t>["P-2026-010"]</t>
  </si>
  <si>
    <t>CL-2026-015</t>
  </si>
  <si>
    <t>General Luna St. Iloilo City</t>
  </si>
  <si>
    <t>2026-02-09T07:51:22.634Z</t>
  </si>
  <si>
    <t>09952328721</t>
  </si>
  <si>
    <t>["P-2026-011"]</t>
  </si>
  <si>
    <t>CL-2026-016</t>
  </si>
  <si>
    <t>2026-02-09T08:14:17.443Z</t>
  </si>
  <si>
    <t>09778899035</t>
  </si>
  <si>
    <t>Andrei Yzabelle C. Servando</t>
  </si>
  <si>
    <t>aservando@usa.edu.ph</t>
  </si>
  <si>
    <t>CL-2026-017</t>
  </si>
  <si>
    <t>General Luna St., Iloilo City</t>
  </si>
  <si>
    <t>2026-02-09T08:20:14.447Z</t>
  </si>
  <si>
    <t>09121288487</t>
  </si>
  <si>
    <t>Trishia D. Rocero</t>
  </si>
  <si>
    <t>trocero@usa.edu.ph</t>
  </si>
  <si>
    <t>CL-2026-018</t>
  </si>
  <si>
    <t>2026-02-09T08:21:26.697Z</t>
  </si>
  <si>
    <t>09464526734</t>
  </si>
  <si>
    <t>Kieana Joy Maureen Alfaras Recustodio</t>
  </si>
  <si>
    <t>krecustodio@usa.edu.ph</t>
  </si>
  <si>
    <t>CL-2026-019</t>
  </si>
  <si>
    <t>2026-02-09T08:25:54.950Z</t>
  </si>
  <si>
    <t>09159041143</t>
  </si>
  <si>
    <t>Marianne Cielo M. Precoso</t>
  </si>
  <si>
    <t>mcprecioso@usa.edu.ph</t>
  </si>
  <si>
    <t>CL-2026-020</t>
  </si>
  <si>
    <t>2026-02-09T08:34:33.957Z</t>
  </si>
  <si>
    <t>09456981115</t>
  </si>
  <si>
    <t>Tricia Janine Poli</t>
  </si>
  <si>
    <t>tpoli@usa.edu.ph</t>
  </si>
  <si>
    <t>CL-2026-021</t>
  </si>
  <si>
    <t>2026-02-09T08:48:04.410Z</t>
  </si>
  <si>
    <t>09531556034</t>
  </si>
  <si>
    <t>Khea Lyn Pamocol Nopueto</t>
  </si>
  <si>
    <t>knopueto@usa.edu.ph</t>
  </si>
  <si>
    <t>CL-2026-022</t>
  </si>
  <si>
    <t>Other</t>
  </si>
  <si>
    <t>2026-02-25T06:33:05.994Z</t>
  </si>
  <si>
    <t>DOH-EB, UP-PGC NETWORK</t>
  </si>
  <si>
    <t>["P-2026-013"]</t>
  </si>
  <si>
    <t>CL-2026-023</t>
  </si>
  <si>
    <t>Loreto D. Tupas Building, Central Philippine University, Lopez Jaena Street, Jaro, Iloilo City, 5000 Philippines</t>
  </si>
  <si>
    <t>2026-02-25T08:22:32.243Z</t>
  </si>
  <si>
    <t>09458494067</t>
  </si>
  <si>
    <t>College of Medicine - Central Philippine University</t>
  </si>
  <si>
    <t>Aldrinne Desalit</t>
  </si>
  <si>
    <t>aldrinne.desalit-23@cpu.edu.ph</t>
  </si>
  <si>
    <t>["P-2026-014"]</t>
  </si>
  <si>
    <t>CL-2026-024</t>
  </si>
  <si>
    <t>2026-02-25T08:22:32.797Z</t>
  </si>
  <si>
    <t>09357519970</t>
  </si>
  <si>
    <t>Angelle Bethany Espia</t>
  </si>
  <si>
    <t>angellebethany.espia-23@cpu.edu.ph</t>
  </si>
  <si>
    <t>CL-2026-025</t>
  </si>
  <si>
    <t>2026-02-25T08:22:33.326Z</t>
  </si>
  <si>
    <t>09090050213</t>
  </si>
  <si>
    <t>Bea Mae Joyce Depra</t>
  </si>
  <si>
    <t>beamaejoyce.depra-23@cpu.edu.ph</t>
  </si>
  <si>
    <t>CL-2026-026</t>
  </si>
  <si>
    <t>2026-02-25T08:22:33.915Z</t>
  </si>
  <si>
    <t>09635783515</t>
  </si>
  <si>
    <t xml:space="preserve">College of Medicine - Central Philippine University </t>
  </si>
  <si>
    <t>Ellar Jane Deysolong</t>
  </si>
  <si>
    <t>CL-2026-027</t>
  </si>
  <si>
    <t>2026-02-25T08:22:34.437Z</t>
  </si>
  <si>
    <t>09390042266</t>
  </si>
  <si>
    <t>Jan Konrad Escobia</t>
  </si>
  <si>
    <t>jankonrad.escobia-23@cpu.edu.ph</t>
  </si>
  <si>
    <t>CL-2026-028</t>
  </si>
  <si>
    <t>2026-02-25T08:22:35.018Z</t>
  </si>
  <si>
    <t>09568440959</t>
  </si>
  <si>
    <t>Leandrey Fantilaga</t>
  </si>
  <si>
    <t>leandrey.fantilaga-23@cpu.edu.ph</t>
  </si>
  <si>
    <t>CL-2026-029</t>
  </si>
  <si>
    <t>2026-02-25T08:22:35.800Z</t>
  </si>
  <si>
    <t>09605959464</t>
  </si>
  <si>
    <t>Marianne Diaz</t>
  </si>
  <si>
    <t>marianne.diaz-23@cpu.edu.ph</t>
  </si>
  <si>
    <t>CL-2026-030</t>
  </si>
  <si>
    <t>2026-02-25T08:22:36.494Z</t>
  </si>
  <si>
    <t>09475384557</t>
  </si>
  <si>
    <t>Mike Angelo Dolinog</t>
  </si>
  <si>
    <t>mikeangelo.dolinog-23@cpu.edu.ph</t>
  </si>
  <si>
    <t>CL-2026-031</t>
  </si>
  <si>
    <t>2026-02-25T08:22:37.034Z</t>
  </si>
  <si>
    <t>09278473592</t>
  </si>
  <si>
    <t>Neri Lynie Espino</t>
  </si>
  <si>
    <t>nerilynie.espino-23@cpu.edu.ph</t>
  </si>
  <si>
    <t>CL-2026-032</t>
  </si>
  <si>
    <t>2026-02-25T08:22:37.532Z</t>
  </si>
  <si>
    <t>09635623305</t>
  </si>
  <si>
    <t>Princess Loraine Edombingo</t>
  </si>
  <si>
    <t>princessloraine.domingo-23@cpu.edu.ph</t>
  </si>
  <si>
    <t>CL-2026-033</t>
  </si>
  <si>
    <t>2026-02-25T08:22:38.497Z</t>
  </si>
  <si>
    <t>09084330802</t>
  </si>
  <si>
    <t>Srana Kristyn Dilag</t>
  </si>
  <si>
    <t>sranakrystin.dilag-23@cpu.edu.ph</t>
  </si>
  <si>
    <t>CL-2026-034</t>
  </si>
  <si>
    <t>Nonato Extension, Baybay Norte, Miagao, Iloilo</t>
  </si>
  <si>
    <t>2026-02-25T08:23:33.385Z</t>
  </si>
  <si>
    <t>09068100643</t>
  </si>
  <si>
    <t>Department of Chemistry - UP Visayas</t>
  </si>
  <si>
    <t>["P-2026-015"]</t>
  </si>
  <si>
    <t>CL-2026-035</t>
  </si>
  <si>
    <t>2026-02-25T08:23:34.143Z</t>
  </si>
  <si>
    <t>09173559062</t>
  </si>
  <si>
    <t>Department of Chemistry -  UPV CAS</t>
  </si>
  <si>
    <t>Rnie Shayne Gaurana</t>
  </si>
  <si>
    <t>rggaurana@up.edu.ph</t>
  </si>
  <si>
    <t>CL-2026-036</t>
  </si>
  <si>
    <t>UP Visayas, Miagao. Iloilo</t>
  </si>
  <si>
    <t>2026-02-26T05:35:02.376Z</t>
  </si>
  <si>
    <t>09691412077</t>
  </si>
  <si>
    <t>Institute of Fish Processing technology - UPV CFOS</t>
  </si>
  <si>
    <t>["P-2026-016"]</t>
  </si>
  <si>
    <t>CL-2026-037</t>
  </si>
  <si>
    <t>Bantalaan St., UPV Staff house, Brgy. Maty</t>
  </si>
  <si>
    <t>2026-02-27T03:01:28.339Z</t>
  </si>
  <si>
    <t>09169685126</t>
  </si>
  <si>
    <t>AUDREY MAE V ORILLAZA</t>
  </si>
  <si>
    <t>["P-2026-017"]</t>
  </si>
  <si>
    <t>notes</t>
  </si>
  <si>
    <t>iid</t>
  </si>
  <si>
    <t>fundingCategory</t>
  </si>
  <si>
    <t>personnelAssigned</t>
  </si>
  <si>
    <t>title</t>
  </si>
  <si>
    <t>fundingInstitution</t>
  </si>
  <si>
    <t>lead</t>
  </si>
  <si>
    <t>serviceRequested</t>
  </si>
  <si>
    <t>projectTag</t>
  </si>
  <si>
    <t>startDate</t>
  </si>
  <si>
    <t>sendingInstitution</t>
  </si>
  <si>
    <t>clientNames</t>
  </si>
  <si>
    <t>projectLead</t>
  </si>
  <si>
    <t>P-2019-000</t>
  </si>
  <si>
    <t>In-House</t>
  </si>
  <si>
    <t>PGC VISAYAS SATELLITE FACILITY</t>
  </si>
  <si>
    <t>DOST-PCHRD</t>
  </si>
  <si>
    <t>["N/A"]</t>
  </si>
  <si>
    <t>2025-08-14T16:00:00.000Z</t>
  </si>
  <si>
    <t>PGCV</t>
  </si>
  <si>
    <t>2019-02-28T16:00:00.000Z</t>
  </si>
  <si>
    <t>["PGC VISAYAS"]</t>
  </si>
  <si>
    <t>2026-02-18T02:59:38.269Z</t>
  </si>
  <si>
    <t>P-2020-001</t>
  </si>
  <si>
    <t>External</t>
  </si>
  <si>
    <t>Ma Carmel Javier</t>
  </si>
  <si>
    <t>Global Seaweed STAR Project</t>
  </si>
  <si>
    <t>UK Research and Innovation - Global Challenges Research Fund (UKRI-GCRF)</t>
  </si>
  <si>
    <t>["Equipment Use"]</t>
  </si>
  <si>
    <t>GSStar</t>
  </si>
  <si>
    <t>2020-03-12T16:00:00.000Z</t>
  </si>
  <si>
    <t>UP System</t>
  </si>
  <si>
    <t>["Rema C. Sibonga"]</t>
  </si>
  <si>
    <t>2026-02-18T02:59:38.558Z</t>
  </si>
  <si>
    <t>P-2020-002</t>
  </si>
  <si>
    <t>Taklong Barcoding Initiative</t>
  </si>
  <si>
    <t>TBI</t>
  </si>
  <si>
    <t>["Karen Claire S. Ebreo","Loina Henzel A. Delgado"]</t>
  </si>
  <si>
    <t>2026-02-18T02:59:38.909Z</t>
  </si>
  <si>
    <t>P-2020-003</t>
  </si>
  <si>
    <t>Transcriptome and Gut Metagenome Profile of Penaeus vannamei Exposed to Fluctuating Environmental Temperatures</t>
  </si>
  <si>
    <t>DOST-PCAARRD</t>
  </si>
  <si>
    <t>TGMPPEFET</t>
  </si>
  <si>
    <t>["Rhyzz Jane Balinos","Mary Antonette F. Atilano","Kyle R. Castañares","Angel Queenee D. Dequito"]</t>
  </si>
  <si>
    <t>2026-02-18T02:59:39.144Z</t>
  </si>
  <si>
    <t>P-2020-004</t>
  </si>
  <si>
    <t>Transcriptional Response of Selected Genes of the Green Mussel (Perna viridis) Exposed to Heat Stress</t>
  </si>
  <si>
    <t>DOST-ASTHRDP</t>
  </si>
  <si>
    <t>Cartago</t>
  </si>
  <si>
    <t>2020-07-02T16:00:00.000Z</t>
  </si>
  <si>
    <t>["Nadelene Faith N. Cartago"]</t>
  </si>
  <si>
    <t>2026-02-18T02:59:39.315Z</t>
  </si>
  <si>
    <t>P-2020-005</t>
  </si>
  <si>
    <t>Transcriptome and metabolome profiling of seaweeds to elucidate "ice-ice" disease and epiphyte infestation mechanisms</t>
  </si>
  <si>
    <t>Ice-Ice</t>
  </si>
  <si>
    <t>["Karl Angelo P. Tenizo","Denise V. Miranda"]</t>
  </si>
  <si>
    <t>2026-02-18T02:59:39.483Z</t>
  </si>
  <si>
    <t>P-2020-006</t>
  </si>
  <si>
    <t>Purification and Characterization of Linamarase from Lakan-1 and Java Variety Cassava (Manihot esculenta Crantz)</t>
  </si>
  <si>
    <t>UPV In-House Project</t>
  </si>
  <si>
    <t>Cuevas</t>
  </si>
  <si>
    <t>["Gabrielle Troy A. Cuevas","Wilson F. Medrocillo"]</t>
  </si>
  <si>
    <t>2026-02-18T02:59:39.669Z</t>
  </si>
  <si>
    <t>P-2020-007</t>
  </si>
  <si>
    <t>Instructional videos for Fish 111, Fish 236, Fish 238, Fish 321</t>
  </si>
  <si>
    <t>Endoma</t>
  </si>
  <si>
    <t>2020-07-22T16:00:00.000Z</t>
  </si>
  <si>
    <t>["Leonilo F. Endoma"]</t>
  </si>
  <si>
    <t>2026-02-18T02:59:39.843Z</t>
  </si>
  <si>
    <t>P-2020-008</t>
  </si>
  <si>
    <t xml:space="preserve">Marine Fisheries Assessment of Panay: Building Local Fisheries Information through Research Capability Enhancement on Higher Education Insitutions </t>
  </si>
  <si>
    <t>CHED</t>
  </si>
  <si>
    <t>Panay Marfish Project</t>
  </si>
  <si>
    <t>["Dominique P. Mediodia","Ma. Novem Grace Ylayron "]</t>
  </si>
  <si>
    <t>2026-02-18T02:59:40.008Z</t>
  </si>
  <si>
    <t>P-2020-009</t>
  </si>
  <si>
    <t>Marj Gem Bunda-Fajunio</t>
  </si>
  <si>
    <t xml:space="preserve">MS in Chemical Engineering </t>
  </si>
  <si>
    <t>Silva</t>
  </si>
  <si>
    <t>2020-08-18T16:00:00.000Z</t>
  </si>
  <si>
    <t>["Pretty Lee Silva"]</t>
  </si>
  <si>
    <t>2026-02-18T02:59:40.279Z</t>
  </si>
  <si>
    <t>P-2021-010</t>
  </si>
  <si>
    <t>c/o UP Visayas Tacloban College</t>
  </si>
  <si>
    <t>["Laboratory Services"]</t>
  </si>
  <si>
    <t>Glycogen</t>
  </si>
  <si>
    <t>2021-02-22T16:00:00.000Z</t>
  </si>
  <si>
    <t>SUC/HEI</t>
  </si>
  <si>
    <t>["Leni G. Yap-Dejeto"]</t>
  </si>
  <si>
    <t>2026-02-18T02:59:40.745Z</t>
  </si>
  <si>
    <t>P-2021-011</t>
  </si>
  <si>
    <t>DNA barcoding of fishes from Western Visayas, Philippines</t>
  </si>
  <si>
    <t>DNA Barcoding</t>
  </si>
  <si>
    <t>["Dianne Frances Penuela","Roxanne Cabebe"]</t>
  </si>
  <si>
    <t>2026-02-18T02:59:40.898Z</t>
  </si>
  <si>
    <t>P-2021-012</t>
  </si>
  <si>
    <t xml:space="preserve">Population Structure of Green Mussel (Perna viridis) in Panay Island, Philippines using D-loop Sequences </t>
  </si>
  <si>
    <t>DOST-ASTHRDP Thesis Grant</t>
  </si>
  <si>
    <t>Noblezada</t>
  </si>
  <si>
    <t>2021-04-15T16:00:00.000Z</t>
  </si>
  <si>
    <t>["Albert C. Noblezada"]</t>
  </si>
  <si>
    <t>2026-02-18T02:59:41.377Z</t>
  </si>
  <si>
    <t>P-2021-013</t>
  </si>
  <si>
    <t>Nadelene Faith Cartago</t>
  </si>
  <si>
    <t>Genetic Characterization of Macrobrachium populations in the Philippines for broodstock development and seed production</t>
  </si>
  <si>
    <t>GeM-PHIL</t>
  </si>
  <si>
    <t>["Arlene L . Avillanosa","Reymart S. Dagaraga","Jasper D. Pacho"]</t>
  </si>
  <si>
    <t>2026-02-18T02:59:41.641Z</t>
  </si>
  <si>
    <t>P-2021-014</t>
  </si>
  <si>
    <t>Pre-commercialization of Microwave Extracted Pectin from Waste Calamansi Peels</t>
  </si>
  <si>
    <t>["Retail Sales"]</t>
  </si>
  <si>
    <t>Calamansi Project</t>
  </si>
  <si>
    <t>["Kristina Samantha Lacson","Concepcion Ponce"]</t>
  </si>
  <si>
    <t>2026-02-18T02:59:41.826Z</t>
  </si>
  <si>
    <t>P-2021-015</t>
  </si>
  <si>
    <t>Effect of high temperature treatments on buffalo milk and buffalo bovine milk blends</t>
  </si>
  <si>
    <t>Mejares</t>
  </si>
  <si>
    <t>2021-08-26T16:00:00.000Z</t>
  </si>
  <si>
    <t>["Carolyn T. Mejares"]</t>
  </si>
  <si>
    <t>2026-02-18T02:59:41.986Z</t>
  </si>
  <si>
    <t>P-2022-016</t>
  </si>
  <si>
    <t>Development of immunoactive and growth promoting AquaFeed additive from Ulva seaweed</t>
  </si>
  <si>
    <t>AquaFeed</t>
  </si>
  <si>
    <t>2022-01-17T16:00:00.000Z</t>
  </si>
  <si>
    <t>["Rowena E. Cadiz"]</t>
  </si>
  <si>
    <t>2026-02-18T02:59:42.936Z</t>
  </si>
  <si>
    <t>P-2022-017</t>
  </si>
  <si>
    <t>Development of a Water Quality Biological Monitoring Protocol using Genetic, Phylogenetic and Functional Diversity on Freshwater Zooplankton Communitites in Inland Waters of Panay Island, Philippines</t>
  </si>
  <si>
    <t>DOST-PCIEERD</t>
  </si>
  <si>
    <t>PFZ</t>
  </si>
  <si>
    <t>["Eric Zeus C. Rizo","Shea Kathleen P. Guinto"]</t>
  </si>
  <si>
    <t>2026-02-18T02:59:43.188Z</t>
  </si>
  <si>
    <t>P-2022-018</t>
  </si>
  <si>
    <t>Fishery and Some Aspects on the Biology and Ecology of the Sergestid Shrimp, Acetes, in Miagao, Iloilo</t>
  </si>
  <si>
    <t>RGaudiel</t>
  </si>
  <si>
    <t>2022-03-01T16:00:00.000Z</t>
  </si>
  <si>
    <t>["Rother M. Gaudiel"]</t>
  </si>
  <si>
    <t>2026-02-18T02:59:43.358Z</t>
  </si>
  <si>
    <t>P-2022-019</t>
  </si>
  <si>
    <t>Genetic Marker Assessment of 12s and 18s of Kappaphycus striatus collected in Palawan</t>
  </si>
  <si>
    <t>c/o Global Seaweed STAR Project</t>
  </si>
  <si>
    <t>JRRasgo</t>
  </si>
  <si>
    <t>2022-03-03T16:00:00.000Z</t>
  </si>
  <si>
    <t>["John Rey F. Rasgo"]</t>
  </si>
  <si>
    <t>2026-02-18T02:59:43.533Z</t>
  </si>
  <si>
    <t>P-2022-020</t>
  </si>
  <si>
    <t>ESKAPE Pathogens in Intensive Care Unit from a Tertiary Healthcare Setting</t>
  </si>
  <si>
    <t>LDAtencio</t>
  </si>
  <si>
    <t>2022-03-07T16:00:00.000Z</t>
  </si>
  <si>
    <t>["Luke Dranoel D. Atencio"]</t>
  </si>
  <si>
    <t>2026-02-18T02:59:43.985Z</t>
  </si>
  <si>
    <t>P-2022-021</t>
  </si>
  <si>
    <t>Dynamics of the Epibacterial Community Structure and Composition of Kappaphycus alvarezii in Response to Thermal-induced Ice-ice Disease</t>
  </si>
  <si>
    <t>c/o Ice-ice Project</t>
  </si>
  <si>
    <t>WNSurnido</t>
  </si>
  <si>
    <t>2022-03-13T16:00:00.000Z</t>
  </si>
  <si>
    <t>["Whelver N. Surnido"]</t>
  </si>
  <si>
    <t>2026-02-18T02:59:44.131Z</t>
  </si>
  <si>
    <t>P-2022-022</t>
  </si>
  <si>
    <t>Assessment of Anthropogenic Marine Debris and Mangrove Forest Health in Iloilo Strait, Western Visayas, Philippines</t>
  </si>
  <si>
    <t>KDSantos</t>
  </si>
  <si>
    <t>2022-03-23T16:00:00.000Z</t>
  </si>
  <si>
    <t>["Kingsley John de los Santos"]</t>
  </si>
  <si>
    <t>2026-02-18T02:59:44.296Z</t>
  </si>
  <si>
    <t>P-2022-023</t>
  </si>
  <si>
    <t>Assessment of Antimicrobial Activitiy of Selected Fungi from Tilapia Greenwater Technology Against Vibrio parahaemolyticus in Blood Cockle, Anadara granosa</t>
  </si>
  <si>
    <t>DOST Thesis Grant</t>
  </si>
  <si>
    <t>KCAbismo</t>
  </si>
  <si>
    <t>2022-03-24T16:00:00.000Z</t>
  </si>
  <si>
    <t>["Karl C. Abismo"]</t>
  </si>
  <si>
    <t>2026-02-18T02:59:44.449Z</t>
  </si>
  <si>
    <t>P-2022-024</t>
  </si>
  <si>
    <t>Sequencing and Analysis of SARS-CoV-2 genomes in swab specimens collected by subnational / DOH-accredited COVID-19 laboratories in the Philippines from March to October 2020</t>
  </si>
  <si>
    <t>Retrospective Biosurveillance</t>
  </si>
  <si>
    <t>2022-04-28T16:00:00.000Z</t>
  </si>
  <si>
    <t>["Benedict Maralit"]</t>
  </si>
  <si>
    <t>2026-02-18T02:59:44.593Z</t>
  </si>
  <si>
    <t>P-2022-025</t>
  </si>
  <si>
    <t>Molecular detection of Henipa and Coronavirus in Flying Fox (Order Chiroptera: Family Pteropodidae) roost within First Gas Plant Site, Batangas City</t>
  </si>
  <si>
    <t>Bats</t>
  </si>
  <si>
    <t>["Philip Alviola"]</t>
  </si>
  <si>
    <t>2026-02-18T02:59:44.778Z</t>
  </si>
  <si>
    <t>P-2022-026</t>
  </si>
  <si>
    <t>Whole Genome Sequencing of the Philippine spotted deer  (Rusa alfredi)</t>
  </si>
  <si>
    <t>PGCV_Deer WGS</t>
  </si>
  <si>
    <t>2022-04-30T16:00:00.000Z</t>
  </si>
  <si>
    <t>["Persie Persie Mark Sienes"]</t>
  </si>
  <si>
    <t>2026-02-18T02:59:44.961Z</t>
  </si>
  <si>
    <t>P-2022-027</t>
  </si>
  <si>
    <t>Genomic variations among different (meta) populations of oriental angelwing clam (Pholas orientalis) in the_x000D_
Western Visayas, Philippines: basis for conservation breeding program</t>
  </si>
  <si>
    <t>DOST-NRCP NSTEP</t>
  </si>
  <si>
    <t>Pholas</t>
  </si>
  <si>
    <t>["Beverly T. Jaspe"]</t>
  </si>
  <si>
    <t>2026-02-18T02:59:45.145Z</t>
  </si>
  <si>
    <t>P-2022-028</t>
  </si>
  <si>
    <t>Metagenomic Characterization of Oil-degrading Microbial Communities from Slipper-shaped Oyster (Magallana bilineata) in Oil-contaminated Areas along Iloilo Strait, Philippines</t>
  </si>
  <si>
    <t>Mueda</t>
  </si>
  <si>
    <t>2022-06-05T16:00:00.000Z</t>
  </si>
  <si>
    <t>["Camille Rose T. Mueda"]</t>
  </si>
  <si>
    <t>2026-02-18T02:59:45.289Z</t>
  </si>
  <si>
    <t>P-2022-029</t>
  </si>
  <si>
    <t>Isolation, Characterization and Phylogenetic identification of Thraustochytrids from mangrove_x000D_
habitats around Panay Island, Philippines</t>
  </si>
  <si>
    <t>Thrausto</t>
  </si>
  <si>
    <t>["Kneessa Louie G. Dato-on","Therese Javellana "]</t>
  </si>
  <si>
    <t>2026-02-18T02:59:45.437Z</t>
  </si>
  <si>
    <t>P-2022-030</t>
  </si>
  <si>
    <t>Marine Fisheries Assessment of Panay: Building Local Fisheries Information through Research Capability Enhancement in HEIs Component 3: Chemical Composition of Marine Fishes – Leverage Research Project (SP20-14)</t>
  </si>
  <si>
    <t>Bebit</t>
  </si>
  <si>
    <t>2022-06-16T16:00:00.000Z</t>
  </si>
  <si>
    <t>["Zeth Rodario Bebit"]</t>
  </si>
  <si>
    <t>2026-02-18T02:59:45.875Z</t>
  </si>
  <si>
    <t>P-2022-031</t>
  </si>
  <si>
    <t>2022-07-11T16:00:00.000Z</t>
  </si>
  <si>
    <t>P-2022-032</t>
  </si>
  <si>
    <t>Diversity and screening of culturable cellulytic microorganisms from mangrove forests, natural parks, paddy field, and sugar plantation in Panay Island, Philippines</t>
  </si>
  <si>
    <t>UPV Regular In-House Research (RIR)</t>
  </si>
  <si>
    <t>Cabulong, (OM,CM)</t>
  </si>
  <si>
    <t>["Isabel Grace Gatpatan","Rhudith Cabulong"]</t>
  </si>
  <si>
    <t>2026-02-18T02:59:46.139Z</t>
  </si>
  <si>
    <t>P-2022-033</t>
  </si>
  <si>
    <t>Development of Novel Antiviral Compounds against Arthropod-borne Viruses</t>
  </si>
  <si>
    <t>DOST-DST JRP</t>
  </si>
  <si>
    <t>DeNoVac</t>
  </si>
  <si>
    <t>["Rommel Gestuveo","Frenche B. Hechanova"]</t>
  </si>
  <si>
    <t>2026-02-18T02:59:46.325Z</t>
  </si>
  <si>
    <t>P-2022-034</t>
  </si>
  <si>
    <t>Production and evaluation of Dried Microalgal Biomass for improved shelf life and product diversification</t>
  </si>
  <si>
    <t>DOST-PCAARD</t>
  </si>
  <si>
    <t>Microalgae</t>
  </si>
  <si>
    <t>["Jade G. Pahila","Cezarie L. Golingay","Ella Marie E. Villaruz","Antoniette Lorain Z. Dimaano","Arnel Adrian Rara"]</t>
  </si>
  <si>
    <t>2026-02-18T02:59:46.539Z</t>
  </si>
  <si>
    <t>P-2022-035</t>
  </si>
  <si>
    <t>Isolation, Characterization, And Identification of Plastic-Degrading Bacteria From Bago City Landfill, Negros Occidental, Philippines</t>
  </si>
  <si>
    <t>Lamela</t>
  </si>
  <si>
    <t>2022-12-06T16:00:00.000Z</t>
  </si>
  <si>
    <t>["Pauline Anne Lamela"]</t>
  </si>
  <si>
    <t>2026-02-18T02:59:46.744Z</t>
  </si>
  <si>
    <t>P-2022-036</t>
  </si>
  <si>
    <t>MS Aqua Fish 219 (Advanced Genetics)</t>
  </si>
  <si>
    <t>Cabarles et al</t>
  </si>
  <si>
    <t>["Raymond Cabarles","Emelyn Joy Mameloco","Edcel T. Resano"]</t>
  </si>
  <si>
    <t>2026-02-18T02:59:46.912Z</t>
  </si>
  <si>
    <t>P-2023-037</t>
  </si>
  <si>
    <t>Amplicon Sequencing of Seaweed</t>
  </si>
  <si>
    <t>MSU TCTO</t>
  </si>
  <si>
    <t>Halun</t>
  </si>
  <si>
    <t>2023-02-06T16:00:00.000Z</t>
  </si>
  <si>
    <t>["Dr. Sitti Zayda Halun"]</t>
  </si>
  <si>
    <t>2026-02-18T02:59:47.391Z</t>
  </si>
  <si>
    <t>P-2023-038</t>
  </si>
  <si>
    <t>Molecular identification of Dugong (Batch 1)</t>
  </si>
  <si>
    <t>["Laboratory Services","Bioinformatics Analysis"]</t>
  </si>
  <si>
    <t>Dugong - Miagao</t>
  </si>
  <si>
    <t>2023-03-07T16:00:00.000Z</t>
  </si>
  <si>
    <t>P-2023-039</t>
  </si>
  <si>
    <t>Fish 258 - Marine Biotechnology: Identification of  Lernaea using 18s primers</t>
  </si>
  <si>
    <t>Lernaea</t>
  </si>
  <si>
    <t>2023-03-13T16:00:00.000Z</t>
  </si>
  <si>
    <t>["Elsie Y. Guibone","Elsie Y. Guibone"]</t>
  </si>
  <si>
    <t>2026-02-18T02:59:47.684Z</t>
  </si>
  <si>
    <t>P-2023-040</t>
  </si>
  <si>
    <t>Gut Metabarcoding</t>
  </si>
  <si>
    <t>Fish Gut</t>
  </si>
  <si>
    <t>["Claire Samantha Juanico"]</t>
  </si>
  <si>
    <t>2026-02-18T02:59:47.840Z</t>
  </si>
  <si>
    <t>P-2023-041</t>
  </si>
  <si>
    <t>Real-time PCR Detection of Foodborne Pathogens in_x000D_
Oyster from local markets in Iloilo</t>
  </si>
  <si>
    <t>Lumapan</t>
  </si>
  <si>
    <t>["Rose Ann Lumapan","Karmelie Jane Monaya"]</t>
  </si>
  <si>
    <t>2026-02-18T02:59:47.996Z</t>
  </si>
  <si>
    <t>P-2023-042</t>
  </si>
  <si>
    <t>stevenmosura@gmail.com</t>
  </si>
  <si>
    <t>Bacterial Biofilm Formation and Inhibition Potential of Wild Macrofungi from Miagao, Iloilo</t>
  </si>
  <si>
    <t>Anacita</t>
  </si>
  <si>
    <t>2023-04-18T16:00:00.000Z</t>
  </si>
  <si>
    <t>["Beatrice L. Anacita"]</t>
  </si>
  <si>
    <t>2026-02-18T02:59:48.159Z</t>
  </si>
  <si>
    <t>P-2023-043</t>
  </si>
  <si>
    <t>Prebiotic potential of Beta-glucan extracted from macrofungu found in Miagao, Iloilo</t>
  </si>
  <si>
    <t>Talaman</t>
  </si>
  <si>
    <t>["Kyla Julienne P. Talaman"]</t>
  </si>
  <si>
    <t>2026-02-18T02:59:48.579Z</t>
  </si>
  <si>
    <t>P-2023-044</t>
  </si>
  <si>
    <t>Santos</t>
  </si>
  <si>
    <t>2023-04-19T16:00:00.000Z</t>
  </si>
  <si>
    <t>["Trisha Marie Santos"]</t>
  </si>
  <si>
    <t>2026-02-18T02:59:48.729Z</t>
  </si>
  <si>
    <t>P-2023-045</t>
  </si>
  <si>
    <t>Detection of E. coli and Salmonella using Culture-Independent Methods in Spiked Oyster Ostreidaei</t>
  </si>
  <si>
    <t>Catalya</t>
  </si>
  <si>
    <t>2023-05-04T16:00:00.000Z</t>
  </si>
  <si>
    <t>["Trisha Catalya"]</t>
  </si>
  <si>
    <t>2026-02-18T02:59:48.883Z</t>
  </si>
  <si>
    <t>P-2023-046</t>
  </si>
  <si>
    <t>Detection of Vibrio parahaemolyticus and Vibrio cholerae in Oyster using Quantitative Real-Time Polymerase Chain Reaction (qPCR)</t>
  </si>
  <si>
    <t>Cabalo</t>
  </si>
  <si>
    <t>["Josie Mar G. Cabalo"]</t>
  </si>
  <si>
    <t>2026-02-18T02:59:49.056Z</t>
  </si>
  <si>
    <t>P-2023-047</t>
  </si>
  <si>
    <t>alex.cayanan2@gmail.com</t>
  </si>
  <si>
    <t>Detection of Vibrio parahaemolyticus and Vibrio cholerae in Oyster using Quantitative Real-Time Polymerase Chain Reaction (qPCR)_x000D_
Characterization Of Picophytoplankton Abundance And Distribution In Relation To Varying Environmental Conditions In The Bay Zone Of The Batan Bay Estuary</t>
  </si>
  <si>
    <t>LN - Gregorio, Sibulan</t>
  </si>
  <si>
    <t>2023-05-15T16:00:00.000Z</t>
  </si>
  <si>
    <t>["Carlo S. Gregorio","Elize Margareth C. Sibulan"]</t>
  </si>
  <si>
    <t>2026-02-18T02:59:49.439Z</t>
  </si>
  <si>
    <t>P-2023-048</t>
  </si>
  <si>
    <t>Molecular identification of microalgae</t>
  </si>
  <si>
    <t>Feedmix</t>
  </si>
  <si>
    <t>2023-06-04T16:00:00.000Z</t>
  </si>
  <si>
    <t>["Ella Marie Kristine Baldove"]</t>
  </si>
  <si>
    <t>2026-02-18T02:59:50.293Z</t>
  </si>
  <si>
    <t>P-2023-049</t>
  </si>
  <si>
    <t>The effect of fermented silage on sperm quality of mixed-breed anglo nubian goats in Romblon</t>
  </si>
  <si>
    <t>LN - Padua</t>
  </si>
  <si>
    <t>2023-06-05T16:00:00.000Z</t>
  </si>
  <si>
    <t>["Abigail F. Padua"]</t>
  </si>
  <si>
    <t>2026-02-18T02:59:50.462Z</t>
  </si>
  <si>
    <t>P-2023-050</t>
  </si>
  <si>
    <t>Molecular identification of Warty Pig and Hawk Eagle</t>
  </si>
  <si>
    <t>DENR</t>
  </si>
  <si>
    <t>2023-12-12T10:05:06.100Z</t>
  </si>
  <si>
    <t>Government</t>
  </si>
  <si>
    <t>["Rachel A. Casio","Jojie P. Gereza"]</t>
  </si>
  <si>
    <t>2026-02-18T02:59:50.619Z</t>
  </si>
  <si>
    <t>P-2023-051</t>
  </si>
  <si>
    <t>Assessing the feasibility of implementing field deployable sequencing applied to dengue virus surveillance in the Philippines</t>
  </si>
  <si>
    <t>Medical Research Council - University of Glasgow Centre for Virus Research</t>
  </si>
  <si>
    <t>Dengue Seq</t>
  </si>
  <si>
    <t>2023-06-13T16:00:00.000Z</t>
  </si>
  <si>
    <t>["Ma Jowina Galarion"]</t>
  </si>
  <si>
    <t>2026-02-18T02:59:50.774Z</t>
  </si>
  <si>
    <t>P-2023-052</t>
  </si>
  <si>
    <t>Unraveling the Hidden Diversity of Aquatic Fungi from Panay Island, Philippines Project</t>
  </si>
  <si>
    <t>DOST</t>
  </si>
  <si>
    <t>AQFP</t>
  </si>
  <si>
    <t>["Mark S. Calabon","James Nim","Jan Felnesh Exe Bagacay"]</t>
  </si>
  <si>
    <t>2026-02-18T02:59:50.939Z</t>
  </si>
  <si>
    <t>P-2023-053</t>
  </si>
  <si>
    <t>Molecular identification of Kogiid whale stranded in Sicogon Island, Carles, Iloilo</t>
  </si>
  <si>
    <t>BFAR Sperm Whale</t>
  </si>
  <si>
    <t>2023-07-17T16:00:00.000Z</t>
  </si>
  <si>
    <t>International</t>
  </si>
  <si>
    <t>["Sheryll Mesa"]</t>
  </si>
  <si>
    <t>2026-02-18T02:59:51.409Z</t>
  </si>
  <si>
    <t>P-2023-054</t>
  </si>
  <si>
    <t>Effects of Crown-of-Thorns (Acanthaster planci) Starfish as a Growth Enhacer in White Mice (Mus musculus)</t>
  </si>
  <si>
    <t>LN - Dueñas</t>
  </si>
  <si>
    <t>2023-08-01T16:00:00.000Z</t>
  </si>
  <si>
    <t>["Krshna Mahakaola A. Dueñas"]</t>
  </si>
  <si>
    <t>2026-02-18T02:59:51.554Z</t>
  </si>
  <si>
    <t>P-2023-055</t>
  </si>
  <si>
    <t>Inhibitory Activity of Vitex negundo (Lagundi) Leaf Extract Against Biofilm Formation and Quorom Sensing of Vibrio cholerae</t>
  </si>
  <si>
    <t>V. cholerae (WVSU)</t>
  </si>
  <si>
    <t>["Stephen G. Sabinay","Franco Miguel N. Nodado","Danielle L. Elevado","Yoo Ki Bastol","Zeb Jose Joshua C. Cabalfin","Maio Vendell V. Sabidong","Jemma Dawn C. Leonardo","Leopoldo T. Bacquial II","Kathleen Mae V. Donoso ","Nove Kris B. Herida","Angel Mae T. Malones "]</t>
  </si>
  <si>
    <t>2026-02-18T02:59:51.713Z</t>
  </si>
  <si>
    <t>P-2023-056</t>
  </si>
  <si>
    <t>Fish Species ID</t>
  </si>
  <si>
    <t>SEAFDEC (Eel)</t>
  </si>
  <si>
    <t>2023-08-28T16:00:00.000Z</t>
  </si>
  <si>
    <t>["Joseph Faisan Jr."]</t>
  </si>
  <si>
    <t>2026-02-18T02:59:51.967Z</t>
  </si>
  <si>
    <t>P-2023-057</t>
  </si>
  <si>
    <t>The Complete Mitogenome of Placuna placenta and its Phylogenetic Implications</t>
  </si>
  <si>
    <t>Kapis</t>
  </si>
  <si>
    <t>2023-09-10T16:00:00.000Z</t>
  </si>
  <si>
    <t>["Nadine Belas"]</t>
  </si>
  <si>
    <t>2026-02-18T02:59:52.152Z</t>
  </si>
  <si>
    <t>P-2023-058</t>
  </si>
  <si>
    <t>Diversity assessment of freshwater zooplankton and macroinvertebrates towards identification of centers of biodiversity conservation in the Jalaur River Basin, Iloilo, Philippines</t>
  </si>
  <si>
    <t>OVPAA Balik PhD</t>
  </si>
  <si>
    <t>DAFZooMacro</t>
  </si>
  <si>
    <t>["Maureen Emily V. Niño"]</t>
  </si>
  <si>
    <t>2026-02-18T02:59:52.369Z</t>
  </si>
  <si>
    <t>P-2023-059</t>
  </si>
  <si>
    <t>Comparative analyses of genomic DNA extracted from fish tissue preserved in 70% alcohol, LN, and absolute ethanol in different periods of time and temperature</t>
  </si>
  <si>
    <t>Commercial Alcohol Preservation</t>
  </si>
  <si>
    <t>2023-10-22T16:00:00.000Z</t>
  </si>
  <si>
    <t>P-2023-060</t>
  </si>
  <si>
    <t>MinSU Bioinfo Analysis</t>
  </si>
  <si>
    <t>MinSU Bioinfo</t>
  </si>
  <si>
    <t>2023-11-08T16:00:00.000Z</t>
  </si>
  <si>
    <t>["Viva Princess A. Basa"]</t>
  </si>
  <si>
    <t>2026-02-18T02:59:53.590Z</t>
  </si>
  <si>
    <t>P-2023-061</t>
  </si>
  <si>
    <t>Integrating early warning systems for community outbreaks using water-based epidemiology during post-COVID-19 pandemic</t>
  </si>
  <si>
    <t>UP OVPAA EIDR Cycle 9</t>
  </si>
  <si>
    <t>PIPP - EIDR</t>
  </si>
  <si>
    <t>["Philip Ian P. Padilla","Christine Teves"]</t>
  </si>
  <si>
    <t>2026-02-18T02:59:53.766Z</t>
  </si>
  <si>
    <t>P-2023-062</t>
  </si>
  <si>
    <t>Development of spawning and hatchery techniques for the blood cockle (Anadara granosa) for sustainable aquaculture</t>
  </si>
  <si>
    <t>Blood Cockle Project</t>
  </si>
  <si>
    <t>2023-11-16T16:00:00.000Z</t>
  </si>
  <si>
    <t>["LC May C. Gasit"]</t>
  </si>
  <si>
    <t>2026-02-18T02:59:53.911Z</t>
  </si>
  <si>
    <t>P-2023-063</t>
  </si>
  <si>
    <t>Molecular identification of Snake</t>
  </si>
  <si>
    <t>DENR - Snake</t>
  </si>
  <si>
    <t>2023-12-11T16:00:00.000Z</t>
  </si>
  <si>
    <t>P-2024-064</t>
  </si>
  <si>
    <t>Detection of Natural Products Derived from Sediment Microbes in Mangrove</t>
  </si>
  <si>
    <t>NRCP-DOST</t>
  </si>
  <si>
    <t>Nat Prod (USC) - Dr. Yee</t>
  </si>
  <si>
    <t>2024-01-24T16:00:00.000Z</t>
  </si>
  <si>
    <t>["Jonie C. Yee, Ph.D."]</t>
  </si>
  <si>
    <t>2026-02-18T02:59:54.226Z</t>
  </si>
  <si>
    <t>P-2024-065</t>
  </si>
  <si>
    <t>Diwal Long Range PCR</t>
  </si>
  <si>
    <t>Diwal WGS</t>
  </si>
  <si>
    <t>2024-01-29T16:00:00.000Z</t>
  </si>
  <si>
    <t>P-2024-066</t>
  </si>
  <si>
    <t>Shotgun metagenomic analysis of DNA preserved whale ambergris from Antique</t>
  </si>
  <si>
    <t>Ambergris</t>
  </si>
  <si>
    <t>P-2024-067</t>
  </si>
  <si>
    <t>Mango Leaves-derived Biochar for the Removal of Amoxicillin in Aqueous Solution</t>
  </si>
  <si>
    <t>Jalandoni - Type II</t>
  </si>
  <si>
    <t>2024-02-06T16:00:00.000Z</t>
  </si>
  <si>
    <t>["Kaylen Yvon K. Jalandoni"]</t>
  </si>
  <si>
    <t>2026-02-18T02:59:54.800Z</t>
  </si>
  <si>
    <t>P-2024-068</t>
  </si>
  <si>
    <t>Transesterification of Waste Vegetable Oil from Oil-based Thermal Disinfection Technology using SrO/CaO Bamboo Biochar Composite</t>
  </si>
  <si>
    <t>Delegero - Type II</t>
  </si>
  <si>
    <t>2024-02-12T16:00:00.000Z</t>
  </si>
  <si>
    <t>["Ram Nikko U. Delegero"]</t>
  </si>
  <si>
    <t>2026-02-18T02:59:55.194Z</t>
  </si>
  <si>
    <t>P-2024-069</t>
  </si>
  <si>
    <t>Composition  and diversity of gut microbiota of Conomurex luhuanus</t>
  </si>
  <si>
    <t>Gastropod (RSU)</t>
  </si>
  <si>
    <t>["Vincent Jay H. Gado","Jordan F. Dorado"]</t>
  </si>
  <si>
    <t>2026-02-18T02:59:55.343Z</t>
  </si>
  <si>
    <t>P-2024-070</t>
  </si>
  <si>
    <t>DNA Barcoding and Depuration Protocol of Windowpane oysters (Placuna placenta) from Oton, Iloilo</t>
  </si>
  <si>
    <t>Capiz Shell (WVSU)</t>
  </si>
  <si>
    <t>["Jessette Mary Pauline Garcia","Caryl Anne G. Abulencia"]</t>
  </si>
  <si>
    <t>2026-02-18T02:59:57.144Z</t>
  </si>
  <si>
    <t>P-2024-071</t>
  </si>
  <si>
    <t>Development of Probiotics from roselle (Hibiscus sabdariffa), mulberry (Morus alba), and corn (Zea mays)</t>
  </si>
  <si>
    <t>CHED-LAKAS</t>
  </si>
  <si>
    <t>DMMMSU - Amplicon</t>
  </si>
  <si>
    <t>2024-03-03T16:00:00.000Z</t>
  </si>
  <si>
    <t>["Dianne A. Peralta"]</t>
  </si>
  <si>
    <t>2026-02-18T02:59:59.001Z</t>
  </si>
  <si>
    <t>P-2024-072</t>
  </si>
  <si>
    <t>DMMMSU - 16s</t>
  </si>
  <si>
    <t>P-2024-073</t>
  </si>
  <si>
    <t>Thesis</t>
  </si>
  <si>
    <t>Sea Cucumber (16s)</t>
  </si>
  <si>
    <t>P-2024-074</t>
  </si>
  <si>
    <t>with Dianne</t>
  </si>
  <si>
    <t>Optimization of DNA Extraction and DNA Barcoding of Farmed Eucheumatoid Species in San Dionisio, Iloilo</t>
  </si>
  <si>
    <t>Seaweed (BSF) A</t>
  </si>
  <si>
    <t>2024-03-12T16:00:00.000Z</t>
  </si>
  <si>
    <t>["Mae Dell S. Silfavan"]</t>
  </si>
  <si>
    <t>2026-02-18T02:59:59.582Z</t>
  </si>
  <si>
    <t>P-2024-075</t>
  </si>
  <si>
    <t>Optimization of Different DNA Extraction Protocols for Ulva spp.</t>
  </si>
  <si>
    <t>Seaweed (BSF) B</t>
  </si>
  <si>
    <t>["Jinelyn D. Kapaw-an"]</t>
  </si>
  <si>
    <t>2026-02-18T02:59:59.992Z</t>
  </si>
  <si>
    <t>P-2024-076</t>
  </si>
  <si>
    <t>Optimization of DNA Extraction Protocol and DNA Barcoding of Sargassum sp. found in San Lorenzo, Guimaras</t>
  </si>
  <si>
    <t>Seaweed (BSF) C</t>
  </si>
  <si>
    <t>["Princess Sarah Gabiota"]</t>
  </si>
  <si>
    <t>2026-02-18T03:00:00.304Z</t>
  </si>
  <si>
    <t>P-2024-077</t>
  </si>
  <si>
    <t>Microbial Community Assemblage of Heliopora corulea coral in Nogas Island Intertidal Zone.</t>
  </si>
  <si>
    <t>CFOS-IMFO</t>
  </si>
  <si>
    <t>Corals</t>
  </si>
  <si>
    <t>["Stephanie Faith Apines","Kharl Marx Adorado"]</t>
  </si>
  <si>
    <t>2026-02-18T03:00:00.758Z</t>
  </si>
  <si>
    <t>P-2024-078</t>
  </si>
  <si>
    <t>DNA Barcoding of Marine Microalgae (Tetraselmis sp.)</t>
  </si>
  <si>
    <t>Tetraselmis</t>
  </si>
  <si>
    <t>P-2024-079</t>
  </si>
  <si>
    <t>Bioinfo</t>
  </si>
  <si>
    <t>.</t>
  </si>
  <si>
    <t>Pava - Bioinfo</t>
  </si>
  <si>
    <t>["Kristina Casandra Pava"]</t>
  </si>
  <si>
    <t>2026-02-18T03:00:01.448Z</t>
  </si>
  <si>
    <t>P-2024-080</t>
  </si>
  <si>
    <t>Isolation and characterization of cellulolytic bacteria from decomposing leaf litter</t>
  </si>
  <si>
    <t>UPHSI - Chu</t>
  </si>
  <si>
    <t>2024-03-10T16:00:00.000Z</t>
  </si>
  <si>
    <t>["Marielle B. Chu"]</t>
  </si>
  <si>
    <t>2026-02-18T03:00:01.920Z</t>
  </si>
  <si>
    <t>P-2024-081</t>
  </si>
  <si>
    <t>Role of Type VI Secretion System During Shrimp Infection of Vibrio spp. - Causing Acute Hepatopancreatic Necrosis Disease (AHPND)</t>
  </si>
  <si>
    <t>Clarissa L. Gomez</t>
  </si>
  <si>
    <t>Vibrio - Bioinfo</t>
  </si>
  <si>
    <t>2024-03-26T16:00:00.000Z</t>
  </si>
  <si>
    <t>P-2024-082</t>
  </si>
  <si>
    <t>Effects of pH and Temperature on the  Biofilm Formation  and algD Gene Expression in Pseudomonas aeruginosa Clinical Isolates</t>
  </si>
  <si>
    <t>USLS - gene expression</t>
  </si>
  <si>
    <t>["Arlz Dominic E. Libanan","Vien Lowell M. Mapa","Lesther G. Tadeña","Joshua Miguel Javelosa"]</t>
  </si>
  <si>
    <t>2026-02-18T03:00:02.224Z</t>
  </si>
  <si>
    <t>P-2024-083</t>
  </si>
  <si>
    <t>Characterizing the Water Physiochemical Properties and Resident Microalgae Community of Cabaghauan Creek, Bacolod City</t>
  </si>
  <si>
    <t>USLS - algae</t>
  </si>
  <si>
    <t>["Briane S. Deo","Elizabeth D. Fernandez"]</t>
  </si>
  <si>
    <t>2026-02-18T03:00:02.468Z</t>
  </si>
  <si>
    <t>P-2024-084</t>
  </si>
  <si>
    <t>Improvement of Milkfish Larval Rearing and Nursery Culture through Gut Metagenome, Transcriptome Analysis, and Gut Microbial Community Manipulations</t>
  </si>
  <si>
    <t xml:space="preserve"> DOST-PCAARRD</t>
  </si>
  <si>
    <t>MF Gut</t>
  </si>
  <si>
    <t>["Carmelo del Castillo"]</t>
  </si>
  <si>
    <t>2026-02-18T03:00:02.631Z</t>
  </si>
  <si>
    <t>P-2024-085</t>
  </si>
  <si>
    <t>Evaluation on the use of Lachancea spp. and Nannochlopsis occulata paste to improve the yield and quality of rotifer Brachionus rotundiformis</t>
  </si>
  <si>
    <t>Yeast (BSF)</t>
  </si>
  <si>
    <t>2024-04-16T16:00:00.000Z</t>
  </si>
  <si>
    <t>["Angel Ann H. Vargas"]</t>
  </si>
  <si>
    <t>2026-02-18T03:00:03.068Z</t>
  </si>
  <si>
    <t>P-2024-086</t>
  </si>
  <si>
    <t>Anne</t>
  </si>
  <si>
    <t>Metabarcoding of Goat feces for Gastrointestinal nematode identification</t>
  </si>
  <si>
    <t>Goat (Sabirin, MSU IIT)</t>
  </si>
  <si>
    <t>2024-05-01T16:00:00.000Z</t>
  </si>
  <si>
    <t>["Anne-Nora N. Sabirin"]</t>
  </si>
  <si>
    <t>2026-02-18T03:00:03.255Z</t>
  </si>
  <si>
    <t>P-2024-087</t>
  </si>
  <si>
    <t>Molecular Guided Techniques for Improvement of Reproduction Performance of Saline-Tolerant Tilapia</t>
  </si>
  <si>
    <t>["Laboratory Services","Equipment Use"]</t>
  </si>
  <si>
    <t>RepPer SPIN</t>
  </si>
  <si>
    <t>["Sanny David Lumayno","Gleann P. Salido","Charles R. Andrade","Clarnic A. Berbegal"]</t>
  </si>
  <si>
    <t>2026-02-18T03:00:05.035Z</t>
  </si>
  <si>
    <t>P-2024-088</t>
  </si>
  <si>
    <t>Microbes Beneath the Surface: Exploring Diversity and Distribution of Microbial Species on Different Soil Samples in Siargao Island</t>
  </si>
  <si>
    <t>Soil 16s (Siargao NHS)</t>
  </si>
  <si>
    <t>2024-05-05T16:00:00.000Z</t>
  </si>
  <si>
    <t>["Gavin Louie M. Amolo"]</t>
  </si>
  <si>
    <t>2026-02-18T03:00:05.714Z</t>
  </si>
  <si>
    <t>P-2024-089</t>
  </si>
  <si>
    <t>Detection of Salmonella in Barn Swallow (Hirundu rustica) in Banga, Aklan</t>
  </si>
  <si>
    <t>Salmonella sp.</t>
  </si>
  <si>
    <t>2024-05-06T16:00:00.000Z</t>
  </si>
  <si>
    <t>["John Paul Resano"]</t>
  </si>
  <si>
    <t>2026-02-18T03:00:05.877Z</t>
  </si>
  <si>
    <t>P-2024-090</t>
  </si>
  <si>
    <t>Understanding Endophytic Fungi in Medicinal Plants and their Antibacterial Potential on Common and Antibiotic-Resistant Bacteria (ESKAPE pathogens)</t>
  </si>
  <si>
    <t>DOST/WVSU Main</t>
  </si>
  <si>
    <t>WVSU_16s Amplicon</t>
  </si>
  <si>
    <t>["Laura Elyse J. Cambel","Dr. Jeannemar Genevive Y. Figueras"]</t>
  </si>
  <si>
    <t>2026-02-18T03:00:06.026Z</t>
  </si>
  <si>
    <t>P-2024-091</t>
  </si>
  <si>
    <t>Marker assisted selection of saline tolerant tilapia for enhanced growth and feed conversion efficiency (del Castillo)</t>
  </si>
  <si>
    <t>CdC_Tilapia Mitogenome</t>
  </si>
  <si>
    <t>["Nikka Marie Murallon"]</t>
  </si>
  <si>
    <t>2026-02-18T03:00:06.220Z</t>
  </si>
  <si>
    <t>P-2024-092</t>
  </si>
  <si>
    <t>Identification of seaweed species using DNA_x000D_
sequence</t>
  </si>
  <si>
    <t>JIRCAS - Matsuda</t>
  </si>
  <si>
    <t>2024-06-12T16:00:00.000Z</t>
  </si>
  <si>
    <t>["Ryuya Matsuda"]</t>
  </si>
  <si>
    <t>2026-02-18T03:00:06.459Z</t>
  </si>
  <si>
    <t>P-2024-093</t>
  </si>
  <si>
    <t>Development of a LAMP-Based Detection Kit for Tomato Yellow Leaf Curl_x000D_
Virus (TYLCV) Philippine Strains</t>
  </si>
  <si>
    <t>DOST VIP</t>
  </si>
  <si>
    <t>DOST VIP_Tomato WGS</t>
  </si>
  <si>
    <t>2024-07-09T16:00:00.000Z</t>
  </si>
  <si>
    <t>["Dencee Jean T. Ledesma"]</t>
  </si>
  <si>
    <t>2026-02-18T03:00:06.772Z</t>
  </si>
  <si>
    <t>P-2024-094</t>
  </si>
  <si>
    <t>Evaluation of the Reproductive Condition and Environmental DNA of Green Mussel Culture in Samar, Philippines</t>
  </si>
  <si>
    <t>Mussel eDNA</t>
  </si>
  <si>
    <t>2024-07-17T16:00:00.000Z</t>
  </si>
  <si>
    <t>["Noeme D. Pajarillo"]</t>
  </si>
  <si>
    <t>2026-02-18T03:00:10.522Z</t>
  </si>
  <si>
    <t>P-2024-095</t>
  </si>
  <si>
    <t>Extraction of Larvae from VSU</t>
  </si>
  <si>
    <t>VSU Larvae</t>
  </si>
  <si>
    <t>2024-08-13T16:00:00.000Z</t>
  </si>
  <si>
    <t>["Fermina Genson"]</t>
  </si>
  <si>
    <t>2026-02-18T03:00:37.183Z</t>
  </si>
  <si>
    <t>P-2024-096</t>
  </si>
  <si>
    <t>Growth Performance and Genetic Characterization of Tilapia Strains in Culasi, Antique, Phiippines</t>
  </si>
  <si>
    <t>BFAR</t>
  </si>
  <si>
    <t>iBest/inbreed</t>
  </si>
  <si>
    <t>2024-08-26T16:00:00.000Z</t>
  </si>
  <si>
    <t>["Fausto dela Cruz"]</t>
  </si>
  <si>
    <t>2026-02-18T03:00:37.397Z</t>
  </si>
  <si>
    <t>P-2024-097</t>
  </si>
  <si>
    <t>Validation of Protocol for Enriched Amplicon Sequencing of ASFV</t>
  </si>
  <si>
    <t>TBA</t>
  </si>
  <si>
    <t>DA-BAI</t>
  </si>
  <si>
    <t>ASFV</t>
  </si>
  <si>
    <t>2024-09-03T16:00:00.000Z</t>
  </si>
  <si>
    <t>P-2024-098</t>
  </si>
  <si>
    <t>Storage of Samples</t>
  </si>
  <si>
    <t>UltraLow</t>
  </si>
  <si>
    <t>2024-09-04T16:00:00.000Z</t>
  </si>
  <si>
    <t>["Graziele Ann S. Taclas"]</t>
  </si>
  <si>
    <t>2026-02-18T03:00:37.662Z</t>
  </si>
  <si>
    <t>P-2024-099</t>
  </si>
  <si>
    <t>Clam WGS and Parasite ID</t>
  </si>
  <si>
    <t>Fuertes</t>
  </si>
  <si>
    <t>2024-09-09T16:00:00.000Z</t>
  </si>
  <si>
    <t>["Vince Fuertes"]</t>
  </si>
  <si>
    <t>2026-02-18T03:00:37.819Z</t>
  </si>
  <si>
    <t>P-2024-100</t>
  </si>
  <si>
    <t>Equipment Use</t>
  </si>
  <si>
    <t>Cortes</t>
  </si>
  <si>
    <t>["Jessa Cortes"]</t>
  </si>
  <si>
    <t>2026-02-18T03:00:38.035Z</t>
  </si>
  <si>
    <t>P-2024-101</t>
  </si>
  <si>
    <t>Field Testing of Hatchery &amp; Nursery Production &amp; Development of Broodstock Transport Protocols for the Native Catfish Clarias macrocephalus</t>
  </si>
  <si>
    <t>CdC_Catfish WGS</t>
  </si>
  <si>
    <t>2024-09-18T16:00:00.000Z</t>
  </si>
  <si>
    <t>P-2024-102</t>
  </si>
  <si>
    <t>Optimization of Universal Primers for DNA Barcoding per Taxa</t>
  </si>
  <si>
    <t>Universal Primers</t>
  </si>
  <si>
    <t>2024-09-20T16:00:00.000Z</t>
  </si>
  <si>
    <t>P-2024-103</t>
  </si>
  <si>
    <t>Optimization of Reduced Reagents for Amplicon Sequencing</t>
  </si>
  <si>
    <t>AmpliSeq Optimization</t>
  </si>
  <si>
    <t>2024-10-01T16:00:00.000Z</t>
  </si>
  <si>
    <t>P-2024-104</t>
  </si>
  <si>
    <t>Development of Brackishwater Nursery Culturing Systems for Tropical Anguilid Eel, Anguilla marmorata, in the Philippines</t>
  </si>
  <si>
    <t>UPV NEED PROJECT</t>
  </si>
  <si>
    <t>["Fredson H. Huervana","Kelee Ira B. Noque","Cedric Jay A. Nantong"]</t>
  </si>
  <si>
    <t>2026-02-18T03:00:40.062Z</t>
  </si>
  <si>
    <t>P-2024-105</t>
  </si>
  <si>
    <t>Fish Sauce</t>
  </si>
  <si>
    <t>2024-11-12T16:00:00.000Z</t>
  </si>
  <si>
    <t>["Jennifer S. Noveda"]</t>
  </si>
  <si>
    <t>2026-02-18T03:00:40.264Z</t>
  </si>
  <si>
    <t>P-2024-106</t>
  </si>
  <si>
    <t>Albaris</t>
  </si>
  <si>
    <t>2024-11-13T16:00:00.000Z</t>
  </si>
  <si>
    <t>["Albaris Tahiluddin"]</t>
  </si>
  <si>
    <t>2026-02-18T03:00:40.420Z</t>
  </si>
  <si>
    <t>P-2024-107</t>
  </si>
  <si>
    <t xml:space="preserve">“Morpho-Functional Traits and eDNA Metabarcoding of Freshwater Fishes and Invertebrate Communities in Panay Island”. </t>
  </si>
  <si>
    <t>Panay Metabarcoding</t>
  </si>
  <si>
    <t>["Erica Victoria Diaz"]</t>
  </si>
  <si>
    <t>2026-02-18T03:00:40.620Z</t>
  </si>
  <si>
    <t>P-2024-108</t>
  </si>
  <si>
    <t>Molecular Assisted Markers for the Assessment of Reproductive Performance of Saline Tolerant Population of inbred Niloticus</t>
  </si>
  <si>
    <t>CID</t>
  </si>
  <si>
    <t>2024-11-21T16:00:00.000Z</t>
  </si>
  <si>
    <t>["Cid Jeriko Dadibalos"]</t>
  </si>
  <si>
    <t>2026-02-18T03:00:40.779Z</t>
  </si>
  <si>
    <t>P-2024-109</t>
  </si>
  <si>
    <t>Developing insect-based feed using traditional and molecular approaches for sustainable production of Nile Tilapia in the Philippines</t>
  </si>
  <si>
    <t>IBF-Tilapia</t>
  </si>
  <si>
    <t>2024-11-26T16:00:00.000Z</t>
  </si>
  <si>
    <t>["Dr. Mary Jane S. Apines-Amar"]</t>
  </si>
  <si>
    <t>2026-02-18T03:00:40.952Z</t>
  </si>
  <si>
    <t>P-2024-110</t>
  </si>
  <si>
    <t>Seasonal Variability of Ingested Microplastics in Stolephorus indicus (van Hasselt,1823) in Tangalan, Aklan Philippines</t>
  </si>
  <si>
    <t>DOST-ATHRDP</t>
  </si>
  <si>
    <t>Microplastic</t>
  </si>
  <si>
    <t>2024-11-27T16:00:00.000Z</t>
  </si>
  <si>
    <t>["Christian Jay Rosal"]</t>
  </si>
  <si>
    <t>2026-02-18T03:00:41.111Z</t>
  </si>
  <si>
    <t>P-2024-111</t>
  </si>
  <si>
    <t>Elops Transcriptomics</t>
  </si>
  <si>
    <t>Elops</t>
  </si>
  <si>
    <t>2024-12-03T16:00:00.000Z</t>
  </si>
  <si>
    <t>["Yuga Okamoto"]</t>
  </si>
  <si>
    <t>2026-02-18T03:00:41.537Z</t>
  </si>
  <si>
    <t>P-2024-112</t>
  </si>
  <si>
    <t>Probiotics Project</t>
  </si>
  <si>
    <t>Molina_Probiotics</t>
  </si>
  <si>
    <t>2024-12-11T16:00:00.000Z</t>
  </si>
  <si>
    <t>["Christian Molina"]</t>
  </si>
  <si>
    <t>2026-02-18T03:00:42.404Z</t>
  </si>
  <si>
    <t>P-2025-113</t>
  </si>
  <si>
    <t>Characterization of Abaca cultivars in the Province of Aklan; Morphological, Tensile Strength and genomic analysis</t>
  </si>
  <si>
    <t>Abaca</t>
  </si>
  <si>
    <t>2025-01-06T16:00:00.000Z</t>
  </si>
  <si>
    <t>["Gene Seneris"]</t>
  </si>
  <si>
    <t>2026-02-18T03:00:42.629Z</t>
  </si>
  <si>
    <t>P-2025-114</t>
  </si>
  <si>
    <t>Perlas Diversity Project</t>
  </si>
  <si>
    <t>Perlas</t>
  </si>
  <si>
    <t>2025-01-08T16:00:00.000Z</t>
  </si>
  <si>
    <t>P-2025-115</t>
  </si>
  <si>
    <t>Laboratory and Tank-based Cultivation of Ulva from the Philippines by germling cluster technique</t>
  </si>
  <si>
    <t>Ulva</t>
  </si>
  <si>
    <t>2025-01-26T16:00:00.000Z</t>
  </si>
  <si>
    <t>["Eunice Valad-on"]</t>
  </si>
  <si>
    <t>2026-02-18T03:00:42.945Z</t>
  </si>
  <si>
    <t>P-2025-116</t>
  </si>
  <si>
    <t>Species Identification of Fish Fillet from Thaw Dripping</t>
  </si>
  <si>
    <t>Pangasius</t>
  </si>
  <si>
    <t>2025-01-27T16:00:00.000Z</t>
  </si>
  <si>
    <t>P-2025-117</t>
  </si>
  <si>
    <t>Lee Genesis Mabaquiao</t>
  </si>
  <si>
    <t>Assessment of the Lilang Fishery in Miagao, Iloilo</t>
  </si>
  <si>
    <t>Xu</t>
  </si>
  <si>
    <t>2025-02-11T16:00:00.000Z</t>
  </si>
  <si>
    <t>["Tiffany Xu"]</t>
  </si>
  <si>
    <t>2026-02-18T03:00:43.172Z</t>
  </si>
  <si>
    <t>P-2025-118</t>
  </si>
  <si>
    <t>Metagenomic Sequencing of Yeast sp. from Plant sample</t>
  </si>
  <si>
    <t>Honnie</t>
  </si>
  <si>
    <t>2025-02-18T16:00:00.000Z</t>
  </si>
  <si>
    <t>["Honnie Joy Balauro"]</t>
  </si>
  <si>
    <t>2026-02-18T03:00:43.468Z</t>
  </si>
  <si>
    <t>P-2025-119</t>
  </si>
  <si>
    <t>Microbial and Meiofaunal Successional Shifts in Biofilm on Pearl Farm Structures</t>
  </si>
  <si>
    <t>Meio</t>
  </si>
  <si>
    <t>2025-02-19T16:00:00.000Z</t>
  </si>
  <si>
    <t>["Ferlyn Legarde"]</t>
  </si>
  <si>
    <t>2026-02-18T03:00:44.423Z</t>
  </si>
  <si>
    <t>P-2025-120</t>
  </si>
  <si>
    <t>Thraustrochytrid Cultivation in Wastewater for Polyunsaturated Fatty Acid Production as Alternative Fish Feed/Ingredient for Fish</t>
  </si>
  <si>
    <t>UPLB-DOST</t>
  </si>
  <si>
    <t>Thraustro</t>
  </si>
  <si>
    <t>2025-02-23T16:00:00.000Z</t>
  </si>
  <si>
    <t>["Kyle Anthony C. Salinas"]</t>
  </si>
  <si>
    <t>2026-02-18T03:00:44.583Z</t>
  </si>
  <si>
    <t>P-2025-121</t>
  </si>
  <si>
    <t>2025-03-24T16:00:00.000Z</t>
  </si>
  <si>
    <t>P-2025-122</t>
  </si>
  <si>
    <t>In-House, External</t>
  </si>
  <si>
    <t>DOST - UPV YY Male Project</t>
  </si>
  <si>
    <t>YY Male</t>
  </si>
  <si>
    <t>["Ande Bryle Genciana","Jezel D. Alcantara"]</t>
  </si>
  <si>
    <t>2026-02-18T03:00:44.820Z</t>
  </si>
  <si>
    <t>P-2025-123</t>
  </si>
  <si>
    <t>WGS of Pineapple</t>
  </si>
  <si>
    <t>Pine</t>
  </si>
  <si>
    <t>2025-03-25T16:00:00.000Z</t>
  </si>
  <si>
    <t>["Dionie S. Barrientos"]</t>
  </si>
  <si>
    <t>2026-02-18T03:00:45.073Z</t>
  </si>
  <si>
    <t>P-2025-124</t>
  </si>
  <si>
    <t>Molecular Identification of Shipworm Species from Different Mangrove Species in Palawan, Philippines</t>
  </si>
  <si>
    <t>Shipworm</t>
  </si>
  <si>
    <t>2025-04-21T16:00:00.000Z</t>
  </si>
  <si>
    <t>["Mary Claire Gatucao"]</t>
  </si>
  <si>
    <t>2026-02-18T03:00:45.490Z</t>
  </si>
  <si>
    <t>P-2025-125</t>
  </si>
  <si>
    <t>Unveiling the Microbiome Profile of Muntingia calabura Roots and Bark: Linking Microbial Diversity to Secondary Metabolite Production</t>
  </si>
  <si>
    <t>Layson</t>
  </si>
  <si>
    <t>2025-04-22T16:00:00.000Z</t>
  </si>
  <si>
    <t>["Maria Isabel Layson"]</t>
  </si>
  <si>
    <t>2026-02-18T03:00:45.685Z</t>
  </si>
  <si>
    <t>P-2025-126</t>
  </si>
  <si>
    <t>Potential Application of Liquid Fermented Pineapple Silage to Enhance Growth, Gut Microbiota_x000D_
and Water Quality in Tilapia spp.</t>
  </si>
  <si>
    <t>Honcada</t>
  </si>
  <si>
    <t>2025-04-23T16:00:00.000Z</t>
  </si>
  <si>
    <t>["Cheeny A. Honcada"]</t>
  </si>
  <si>
    <t>2026-02-18T03:00:46.180Z</t>
  </si>
  <si>
    <t>P-2025-127</t>
  </si>
  <si>
    <t>Development of locally-available essential oil as a growth promoting and anti-microbial feed additive for saline tolerant tilapia Oreochromis niloticus</t>
  </si>
  <si>
    <t>Parreno</t>
  </si>
  <si>
    <t>2025-04-24T16:00:00.000Z</t>
  </si>
  <si>
    <t>["Kayla Marie F Parreño"]</t>
  </si>
  <si>
    <t>2026-02-18T03:00:46.323Z</t>
  </si>
  <si>
    <t>P-2025-128</t>
  </si>
  <si>
    <t>Zoonotic Potential of Blastocystis among pigs in Oton, Iloilo</t>
  </si>
  <si>
    <t>Blastocystis</t>
  </si>
  <si>
    <t>2025-05-18T16:00:00.000Z</t>
  </si>
  <si>
    <t>Private/Local</t>
  </si>
  <si>
    <t>["Louie Altamia"]</t>
  </si>
  <si>
    <t>2026-02-18T03:00:46.478Z</t>
  </si>
  <si>
    <t>P-2025-129</t>
  </si>
  <si>
    <t>Metagenomics Analysis of Microbial Shifts, Functional Pathways and Probiotic-Pathogen Dynamics in Fermented Saccostrea spp. Insights into Microbial Ecology, Metabolism &amp; Food Safety</t>
  </si>
  <si>
    <t>Personal</t>
  </si>
  <si>
    <t>Layda</t>
  </si>
  <si>
    <t>2025-05-19T16:00:00.000Z</t>
  </si>
  <si>
    <t>["Jelly D. Layda"]</t>
  </si>
  <si>
    <t>2026-02-18T03:00:47.273Z</t>
  </si>
  <si>
    <t>P-2025-130</t>
  </si>
  <si>
    <t>F219 Advanced Fish Genetics/Metabarcoding</t>
  </si>
  <si>
    <t>Arizapa</t>
  </si>
  <si>
    <t>2025-06-19T16:00:00.000Z</t>
  </si>
  <si>
    <t>["Ivy S. Arizapa"]</t>
  </si>
  <si>
    <t>2026-02-18T03:00:48.253Z</t>
  </si>
  <si>
    <t>P-2025-131</t>
  </si>
  <si>
    <t>Lernea parasitism in Glossobius aureus from Naujan Lake</t>
  </si>
  <si>
    <t>Guibone</t>
  </si>
  <si>
    <t>2025-06-22T16:00:00.000Z</t>
  </si>
  <si>
    <t>P-2025-132</t>
  </si>
  <si>
    <t>Investigation on the impacts of marble dust to Acropora hyacinthus: A tale of coral ecological resilience</t>
  </si>
  <si>
    <t>Gado</t>
  </si>
  <si>
    <t>P-2025-133</t>
  </si>
  <si>
    <t>Identification and Molecular Characterization of Colletotrichum sp. complex in tomato</t>
  </si>
  <si>
    <t>Jareno</t>
  </si>
  <si>
    <t>2025-07-07T16:00:00.000Z</t>
  </si>
  <si>
    <t>["Pee Jee Jareno"]</t>
  </si>
  <si>
    <t>2026-02-18T03:00:48.917Z</t>
  </si>
  <si>
    <t>P-2025-134</t>
  </si>
  <si>
    <t>Population Genetics of Blood Cockle (Tegillarca granosa) in the Philippines: A whole Mitochondrial Analysis</t>
  </si>
  <si>
    <t>Arteta</t>
  </si>
  <si>
    <t>2025-07-13T16:00:00.000Z</t>
  </si>
  <si>
    <t>["Allena Esther D. Arteta"]</t>
  </si>
  <si>
    <t>2026-02-18T03:00:49.116Z</t>
  </si>
  <si>
    <t>P-2025-135</t>
  </si>
  <si>
    <t>Environmental Genetic Analysis of Shellfish and Digitization of Harmful Algal Bloom (HAB) Patterns in WV</t>
  </si>
  <si>
    <t>Sedanza</t>
  </si>
  <si>
    <t>["Mary Grace Sedanza"]</t>
  </si>
  <si>
    <t>2026-02-18T03:00:49.433Z</t>
  </si>
  <si>
    <t>P-2025-136</t>
  </si>
  <si>
    <t>Diatoms Genetic Analysis Services</t>
  </si>
  <si>
    <t>JIRCAS</t>
  </si>
  <si>
    <t>Tetsuya</t>
  </si>
  <si>
    <t>2025-09-03T16:00:00.000Z</t>
  </si>
  <si>
    <t>["Sanda Tetsuya"]</t>
  </si>
  <si>
    <t>2026-02-18T03:00:50.300Z</t>
  </si>
  <si>
    <t>P-2025-137</t>
  </si>
  <si>
    <t>xemenesmeiservidadsecondes@gmail.com</t>
  </si>
  <si>
    <t>In-Vitro Characterization, Sequencing &amp; Greenhouse Evaluation of Endophytic Bacteria for Sugarcane Stress Tolerance</t>
  </si>
  <si>
    <t>Celestial</t>
  </si>
  <si>
    <t>2025-09-08T16:00:00.000Z</t>
  </si>
  <si>
    <t>["Virgie Celestial"]</t>
  </si>
  <si>
    <t>2026-02-18T03:00:50.461Z</t>
  </si>
  <si>
    <t>P-2025-138</t>
  </si>
  <si>
    <t>16s Metagenomics of Sediment Samples</t>
  </si>
  <si>
    <t>Divinagracia</t>
  </si>
  <si>
    <t>2025-09-09T16:00:00.000Z</t>
  </si>
  <si>
    <t>["Joshua Y. Divinagracia"]</t>
  </si>
  <si>
    <t>2026-02-18T03:00:50.710Z</t>
  </si>
  <si>
    <t>P-2025-139</t>
  </si>
  <si>
    <t>Molecular Identification of Stranded Whale</t>
  </si>
  <si>
    <t>2025-09-28T16:00:00.000Z</t>
  </si>
  <si>
    <t>["Kriz Sanchez Delos Reyes"]</t>
  </si>
  <si>
    <t>2026-02-18T03:00:51.143Z</t>
  </si>
  <si>
    <t>P-2025-140</t>
  </si>
  <si>
    <t>Surveillance of Antimicrobial resistant bacteria and genes in Iloilo River</t>
  </si>
  <si>
    <t>0</t>
  </si>
  <si>
    <t xml:space="preserve"> </t>
  </si>
  <si>
    <t>["Adrienne Marrie S. Bugayon-Janagap"]</t>
  </si>
  <si>
    <t>2026-02-18T03:00:51.312Z</t>
  </si>
  <si>
    <t>P-2025-141</t>
  </si>
  <si>
    <t>Evaluation of Synergistic Effects of the Extracts from Peacock Flowers and Cadena de AMor Leaves for TiO2-Based Dye Sensitized Solar Cell Application</t>
  </si>
  <si>
    <t>Valdez</t>
  </si>
  <si>
    <t>2025-10-20T16:00:00.000Z</t>
  </si>
  <si>
    <t>["Joshua Adrian A. Valdez","Joshua Ray P. Brillantes"]</t>
  </si>
  <si>
    <t>P-2025-142</t>
  </si>
  <si>
    <t>AMR and Whole Genome Sequencing of Blood Cockle Pathogens</t>
  </si>
  <si>
    <t>Tamon</t>
  </si>
  <si>
    <t>2025-10-27T16:00:00.000Z</t>
  </si>
  <si>
    <t>["Ma. Clarissa Tamon"]</t>
  </si>
  <si>
    <t>P-2025-143</t>
  </si>
  <si>
    <t xml:space="preserve">jeeeaquino@up.edu.ph </t>
  </si>
  <si>
    <t>qPCR Pineapple</t>
  </si>
  <si>
    <t>Panagsagan</t>
  </si>
  <si>
    <t>2025-10-29T16:00:00.000Z</t>
  </si>
  <si>
    <t>["Eunice Raiza Panagsagan"]</t>
  </si>
  <si>
    <t>2026-02-18T03:00:51.659Z</t>
  </si>
  <si>
    <t>P-2025-144</t>
  </si>
  <si>
    <t>Biosynthesis of Novel Bioactive Secondary Metabolites from Philippine Terrestrial Actinomycetes Using One Strain Many Compounds (OSMAC) Approach for Biomedical Applications</t>
  </si>
  <si>
    <t>DOST-NRCP</t>
  </si>
  <si>
    <t>Francis Legario</t>
  </si>
  <si>
    <t>OSMAC</t>
  </si>
  <si>
    <t>2025-11-11T16:00:00.000Z</t>
  </si>
  <si>
    <t>["Abolais Ampa Jr."]</t>
  </si>
  <si>
    <t>2026-02-18T03:00:51.820Z</t>
  </si>
  <si>
    <t>P-2025-145</t>
  </si>
  <si>
    <t>DNA METABARCODING ANALYSIS OF PLANT-BASED DIET COMPOSITION IN LONG-TAILED MACAQUES (Macaca fascicularis Raffles, 1821) IN BARANGAY SUMILE, BUTUAN CITY, PHILIPPINES</t>
  </si>
  <si>
    <t>Dompor</t>
  </si>
  <si>
    <t>2025-11-23T16:00:00.000Z</t>
  </si>
  <si>
    <t>["Jana Marie P. Dompor"]</t>
  </si>
  <si>
    <t>2026-02-18T03:00:52.235Z</t>
  </si>
  <si>
    <t>P-2025-146</t>
  </si>
  <si>
    <t>Mangrove Project</t>
  </si>
  <si>
    <t>Malones</t>
  </si>
  <si>
    <t>2025-11-30T16:00:00.000Z</t>
  </si>
  <si>
    <t>["Sealthiel Andrei Malones"]</t>
  </si>
  <si>
    <t>2026-02-18T03:00:52.408Z</t>
  </si>
  <si>
    <t>P-2025-147</t>
  </si>
  <si>
    <t>Microbiota Analysis</t>
  </si>
  <si>
    <t>NFRDI</t>
  </si>
  <si>
    <t>["Bioinformatics Analysis"]</t>
  </si>
  <si>
    <t>["Mary Nia M. Santos","Jenz Contante"]</t>
  </si>
  <si>
    <t>P-2025-148</t>
  </si>
  <si>
    <t>pvjareno@up.edu.ph</t>
  </si>
  <si>
    <t>Investigating the Antifungal Potential of Endophytic Fungi Isolated from Mangifera indica against candida krusei</t>
  </si>
  <si>
    <t>Eugene Earl P. Drua</t>
  </si>
  <si>
    <t>Drua</t>
  </si>
  <si>
    <t>2025-12-08T16:00:00.000Z</t>
  </si>
  <si>
    <t>2026-02-18T03:00:53.113Z</t>
  </si>
  <si>
    <t>P-2025-150</t>
  </si>
  <si>
    <t>Karl Tenizo</t>
  </si>
  <si>
    <t>Aquaculture Management (Fish 205)</t>
  </si>
  <si>
    <t>VMENF</t>
  </si>
  <si>
    <t>2026-01-08T06:54:03.505Z</t>
  </si>
  <si>
    <t>Fish 205</t>
  </si>
  <si>
    <t>2025-12-11T00:00:00.000Z</t>
  </si>
  <si>
    <t>2026-02-18T03:00:53.263Z</t>
  </si>
  <si>
    <t>P-2025-151</t>
  </si>
  <si>
    <t>Alex Cayanan</t>
  </si>
  <si>
    <t>Liquid Nitrogen Retail Purchase</t>
  </si>
  <si>
    <t>["Retail Services"]</t>
  </si>
  <si>
    <t>2026-01-08T06:58:52.792Z</t>
  </si>
  <si>
    <t>Retail</t>
  </si>
  <si>
    <t>2025-12-15T00:00:00.000Z</t>
  </si>
  <si>
    <t>2026-02-18T03:00:53.406Z</t>
  </si>
  <si>
    <t>P-2025-152</t>
  </si>
  <si>
    <t>16s Metagenomics Analysis of Banga Microbiota</t>
  </si>
  <si>
    <t>2026-01-08T07:01:08.301Z</t>
  </si>
  <si>
    <t>Banga</t>
  </si>
  <si>
    <t>2026-02-18T03:00:53.544Z</t>
  </si>
  <si>
    <t>P-2025-153</t>
  </si>
  <si>
    <t>Isolation, Preservation and Growth Kinetics of Selected Thraustrochytrids from natural mangorve areas in Panay Island</t>
  </si>
  <si>
    <t>Mary Dianne Grace Bahuad</t>
  </si>
  <si>
    <t>2026-01-08T07:04:15.757Z</t>
  </si>
  <si>
    <t>SEAFDEC</t>
  </si>
  <si>
    <t>2025-12-17T00:00:00.000Z</t>
  </si>
  <si>
    <t>2026-02-18T03:00:53.982Z</t>
  </si>
  <si>
    <t>P-2026-001</t>
  </si>
  <si>
    <t>Xemenes Secondes</t>
  </si>
  <si>
    <t>Impacts of Black Soldier Fly Frass on Soil Biota and Functional Ecological Indicators in Urban Soils of Bacolod City</t>
  </si>
  <si>
    <t>2026-01-08T08:05:11.917Z</t>
  </si>
  <si>
    <t>USLS-David</t>
  </si>
  <si>
    <t>2026-01-07T16:00:00.000Z</t>
  </si>
  <si>
    <t>["Leazar James V. David","Earl Francine A. Vallota","Deborah Zane G. Suyao","Eunice Lee O. Maribao"]</t>
  </si>
  <si>
    <t>P-2026-002</t>
  </si>
  <si>
    <t>Microbial Assessment of Tree Planted Areas and Final Benches of the Solid Earth Development Corporation (SEDC) Mining Site in San Fernando Cebu, Ph</t>
  </si>
  <si>
    <t>Taiheiyo</t>
  </si>
  <si>
    <t>2026-01-09T08:01:16.477Z</t>
  </si>
  <si>
    <t>Saripada</t>
  </si>
  <si>
    <t>2026-01-08T16:00:00.000Z</t>
  </si>
  <si>
    <t>["Rene Jane Alesna-Saripada","Christine Faye O. Gonzaga"]</t>
  </si>
  <si>
    <t>2026-02-18T03:00:54.526Z</t>
  </si>
  <si>
    <t>P-2026-003</t>
  </si>
  <si>
    <t>PJ Jareno</t>
  </si>
  <si>
    <t>Evaluation of the Biological Control Potential of Potential of Phyllosphere Endophytes from Theobroma Cacao against Black Pod Rot Disease caused by Phytophthora palmivora</t>
  </si>
  <si>
    <t>2026-01-13T13:38:33.107Z</t>
  </si>
  <si>
    <t>USLS-Pilarta</t>
  </si>
  <si>
    <t>2026-01-12T16:00:00.000Z</t>
  </si>
  <si>
    <t>["Aina Marie Pilarta"]</t>
  </si>
  <si>
    <t>P-2026-004</t>
  </si>
  <si>
    <t>Molecular Characterization of Bamboo Shoots Sold in Marawi City Markets for Food Traceability and Conservation</t>
  </si>
  <si>
    <t>2026-01-13T13:31:10.573Z</t>
  </si>
  <si>
    <t>Salvador</t>
  </si>
  <si>
    <t>2026-01-14T00:00:00.000Z</t>
  </si>
  <si>
    <t>["Orland Philip Salvador"]</t>
  </si>
  <si>
    <t>P-2026-005</t>
  </si>
  <si>
    <t>Identification and Molecular Characterization of Colletotrichum spp. causing Anthracnose in Mangifera spp. in Negros Occidental</t>
  </si>
  <si>
    <t>2026-01-19T04:31:46.986Z</t>
  </si>
  <si>
    <t>USLS-Pediongco</t>
  </si>
  <si>
    <t>2026-01-19T00:00:00.000Z</t>
  </si>
  <si>
    <t>["Roshaine Shawtel T. Medel","Christine John R. Cayetano","Sophia Isabel B. Pediongco"]</t>
  </si>
  <si>
    <t>P-2026-006</t>
  </si>
  <si>
    <t>Seaweeds Barcoding</t>
  </si>
  <si>
    <t>2026-01-20T00:55:46.249Z</t>
  </si>
  <si>
    <t>Comorro</t>
  </si>
  <si>
    <t>2026-01-20T00:00:00.000Z</t>
  </si>
  <si>
    <t>["Rose Ann Nellie Comorro"]</t>
  </si>
  <si>
    <t>P-2026-007</t>
  </si>
  <si>
    <t>Aquaculture Feeds Metabarcoding</t>
  </si>
  <si>
    <t>2026-01-20T01:00:34.626Z</t>
  </si>
  <si>
    <t>2026-02-18T03:00:56.992Z</t>
  </si>
  <si>
    <t>P-2026-008</t>
  </si>
  <si>
    <t xml:space="preserve"> Antimicrobial resistance (AMR) in tilapia and its associated important piscine bacterial pathogens in the Philippines</t>
  </si>
  <si>
    <t>["Training"]</t>
  </si>
  <si>
    <t>2026-01-26T07:20:14.572Z</t>
  </si>
  <si>
    <t>ISAT-AMR</t>
  </si>
  <si>
    <t>2026-01-26T00:00:00.000Z</t>
  </si>
  <si>
    <t>2026-02-18T03:00:57.171Z</t>
  </si>
  <si>
    <t>P-2026-009</t>
  </si>
  <si>
    <t>Dr. Victor Marco Emmanuel N. Ferriols</t>
  </si>
  <si>
    <t>Application optimization of carrageenan processing liquid spent wash as a biostimulant for the micropropagation of Eucheuma denticulatum</t>
  </si>
  <si>
    <t>2026-01-28T01:42:45.102Z</t>
  </si>
  <si>
    <t>EU-Naria</t>
  </si>
  <si>
    <t>2026-01-28T00:00:00.000Z</t>
  </si>
  <si>
    <t>["Ma. Justine Kate Naria"]</t>
  </si>
  <si>
    <t>P-2026-010</t>
  </si>
  <si>
    <t>Dianne Frances A. Penuela</t>
  </si>
  <si>
    <t>Development of Seedling Mass Production System for Slipper Lobster</t>
  </si>
  <si>
    <t>Japan Trust Fund</t>
  </si>
  <si>
    <t>2026-02-05T04:09:08.728Z</t>
  </si>
  <si>
    <t>SEAFDEC-Lobster</t>
  </si>
  <si>
    <t>2026-02-05T00:00:00.000Z</t>
  </si>
  <si>
    <t>["Joana Joy Huervana"]</t>
  </si>
  <si>
    <t>P-2026-011</t>
  </si>
  <si>
    <t>Antibacterial Efficacy and Whole-Genome Analysis of Methicillin-Resistant Staphylococcus aureus (ATCC-BAA-1708) TREATED WITH  SS25 ETHANOLIC LEAF EXTRACT</t>
  </si>
  <si>
    <t>Chris Armand N. Santiana</t>
  </si>
  <si>
    <t>2026-02-09T07:42:00.138Z</t>
  </si>
  <si>
    <t>USA-WGS</t>
  </si>
  <si>
    <t>2026-02-09T00:00:00.000Z</t>
  </si>
  <si>
    <t>["Chris Armand Santiana","Andrei Yzabelle C. Servando","Trishia D. Rocero","Kieana Joy Maureen Alfaras Recustodio","Marianne Cielo M. Precoso","Tricia Janine Poli","Khea Lyn Pamocol Nopueto"]</t>
  </si>
  <si>
    <t>P-2026-012</t>
  </si>
  <si>
    <t>Jasmine C. Velo</t>
  </si>
  <si>
    <t xml:space="preserve">Systematics of Marine Fungi in the Philippines </t>
  </si>
  <si>
    <t>EB Gareth Jones</t>
  </si>
  <si>
    <t>Mark C. Calabon</t>
  </si>
  <si>
    <t>2026-02-10T05:33:39.530Z</t>
  </si>
  <si>
    <t>SMFP</t>
  </si>
  <si>
    <t>2026-02-10T00:00:00.000Z</t>
  </si>
  <si>
    <t>P-2026-013</t>
  </si>
  <si>
    <t>["OryArvyB82Mzp8TMMq0q"]</t>
  </si>
  <si>
    <t>Ma. Carmel F. Javier</t>
  </si>
  <si>
    <t>A0004323-GF101 Direct Expense - GAA FY 2025 Additional Program For DOH-PGC (MOOE)</t>
  </si>
  <si>
    <t>["Equipment Use","Bioinformatics Analysis"]</t>
  </si>
  <si>
    <t>2026-02-25T06:31:05.859Z</t>
  </si>
  <si>
    <t>Biosurveillance</t>
  </si>
  <si>
    <t>2026-02-24T16:00:00.000Z</t>
  </si>
  <si>
    <t>["DOH-PGC Genomic Biosurveillance efforts in Luzon, Visayas and Mindanao Project"]</t>
  </si>
  <si>
    <t>P-2026-014</t>
  </si>
  <si>
    <t>Indigenous Magnetotactic Bacteria and Water Quality Analysis: A Baseline Study for Heavy Metal Bioremediation in the Iloilo River</t>
  </si>
  <si>
    <t>CPU College of Medicine Research Group 5</t>
  </si>
  <si>
    <t>2026-02-25T08:22:38.848Z</t>
  </si>
  <si>
    <t>2026-02-25T06:20:33.519Z</t>
  </si>
  <si>
    <t>["Aldrinne Desalit","Angelle Bethany Espia","Bea Mae Joyce Depra","Ellar Jane Deysolong","Jan Konrad Escobia","Leandrey Fantilaga","Marianne Diaz","Mike Angelo Dolinog","Neri Lynie Espino","Princess Loraine Edombingo","Srana Kristyn Dilag"]</t>
  </si>
  <si>
    <t>P-2026-015</t>
  </si>
  <si>
    <t>Extraction, Characterization, and Quantification of PDRN (Polydeoxyribonucleotides)</t>
  </si>
  <si>
    <t>None</t>
  </si>
  <si>
    <t>2026-02-25T08:23:34.539Z</t>
  </si>
  <si>
    <t>2026-03-15T16:00:00.000Z</t>
  </si>
  <si>
    <t>["Ashley Godwin Kennah Polinio","Rnie Shayne Gaurana"]</t>
  </si>
  <si>
    <t>P-2026-016</t>
  </si>
  <si>
    <t xml:space="preserve">16s Metagenomics of Fermented Samples </t>
  </si>
  <si>
    <t>["8V9oQzVu3C4UhC7ujZ0r"]</t>
  </si>
  <si>
    <t>Generation of a superior, growth-enhanced lines of Philippine native catfish through CRISPR/Cas9 technology</t>
  </si>
  <si>
    <t>DA-BPO</t>
  </si>
  <si>
    <t>2026-02-26T05:35:02.794Z</t>
  </si>
  <si>
    <t>2025-11-09T16:00:00.000Z</t>
  </si>
  <si>
    <t>["Arielle Estrella"]</t>
  </si>
  <si>
    <t>Rhoda Mae Simora</t>
  </si>
  <si>
    <t>P-2026-017</t>
  </si>
  <si>
    <t>Bio-based refinement of crude tuna oil</t>
  </si>
  <si>
    <t>2026-02-27T03:01:28.701Z</t>
  </si>
  <si>
    <t>2026-02-26T09:04:38.219Z</t>
  </si>
  <si>
    <t>["AUDREY MAE V ORILLAZA"]</t>
  </si>
  <si>
    <t>institution</t>
  </si>
  <si>
    <t>isInternal</t>
  </si>
  <si>
    <t>categories</t>
  </si>
  <si>
    <t>discountRate</t>
  </si>
  <si>
    <t>equipmentDiscount</t>
  </si>
  <si>
    <t>grandTotal</t>
  </si>
  <si>
    <t>equipmentSubtotal</t>
  </si>
  <si>
    <t>reagentsSubtotal</t>
  </si>
  <si>
    <t>equipmentTotalAfterDiscount</t>
  </si>
  <si>
    <t>services</t>
  </si>
  <si>
    <t>total</t>
  </si>
  <si>
    <t>subtotal</t>
  </si>
  <si>
    <t>discount</t>
  </si>
  <si>
    <t>preparedBy</t>
  </si>
  <si>
    <t>dateIssued</t>
  </si>
  <si>
    <t>referenceNumber</t>
  </si>
  <si>
    <t>useABLayout</t>
  </si>
  <si>
    <t>discountAppliedOn</t>
  </si>
  <si>
    <t>totalAfterDiscount</t>
  </si>
  <si>
    <t>laboratorySubtotal</t>
  </si>
  <si>
    <t>servicesSubtotal</t>
  </si>
  <si>
    <t>DISCOUNT_SCOPE</t>
  </si>
  <si>
    <t>category</t>
  </si>
  <si>
    <t>useAffiliationAsClientName</t>
  </si>
  <si>
    <t>VMENF-Q-2020-001</t>
  </si>
  <si>
    <t>["equipment"]</t>
  </si>
  <si>
    <t>Migrated from 2020 Excel (Equipment + Reagents).</t>
  </si>
  <si>
    <t>[{"category":"Equipment Use (Without Consumables)","id":"EQP-SVC-032","name":"Standard Minifuge (DLab D1008)","price":91,"quantity":12,"type":"equipment","unit":"per hour"},{"category":"Equipment Use (Without Consumables)","id":"EQP-SVC-021","name":"Micropipette (Multichannel)","price":101,"quantity":28,"type":"equipment","unit":"per hour"},{"category":"Equipment Use (Without Consumables)","id":"EQP-SVC-023","name":"Microwave Spectrophotometry (Multiskan Sky, uDrop)","price":305,"quantity":8,"type":"equipment","unit":"per hour"},{"category":"Equipment Use (Without Consumables)","id":"EQP-SVC-010","name":"Electrophoresis System (Advance Mupid One)","price":154,"quantity":16,"type":"equipment","unit":"per hour"},{"category":"Equipment Use (Without Consumables)","id":"EQP-SVC-015","name":"Gradient Thermal Cycler (Bio-Rad T100)","price":261,"quantity":8,"type":"equipment","unit":"per hour"},{"category":"Reagents and Consumables","id":null,"name":"Extraction Kit (50 samples/kit)","price":52000,"quantity":1,"type":"retail","unit":"lot (for 96 samples)"},{"category":"Reagents and Consumables","id":null,"name":"Absolute Ethanol (2 × 2.5 L)","price":380,"quantity":1,"type":"retail","unit":"lot (for 96 samples)"},{"category":"Reagents and Consumables","id":null,"name":"RNase-free water","price":703,"quantity":1,"type":"retail","unit":"lot (for 96 samples)"},{"category":"Reagents and Consumables","id":null,"name":"Tips &amp; Tubes (extraction)","price":9000,"quantity":1,"type":"retail","unit":"lot (for 96 samples)"},{"category":"Reagents and Consumables","id":null,"name":"Agarose gel","price":384,"quantity":1,"type":"retail","unit":"lot (for 96 samples)"},{"category":"Reagents and Consumables","id":null,"name":"Nucleic acid stain (Gel Red)","price":2107.52,"quantity":1,"type":"retail","unit":"lot (for 96 samples)"},{"category":"Reagents and Consumables","id":null,"name":"Tips &amp; Tubes (quantification)","price":6000,"quantity":1,"type":"retail","unit":"lot (for 96 samples)"},{"category":"Sequencing (c/o PGC HQ)","id":null,"name":"Purification","price":30720,"quantity":1,"type":"laboratory","unit":"lot (for 96 samples)"},{"category":"Sequencing (c/o PGC HQ)","id":null,"name":"Forward &amp; reverse sequencing","price":48000,"quantity":1,"type":"laboratory","unit":"lot (for 96 samples)"}]</t>
  </si>
  <si>
    <t>{"name":"MARJ GEM B. BUNDA","position":"University Researcher I"}</t>
  </si>
  <si>
    <t>2020-09-30T13:54:11.015Z</t>
  </si>
  <si>
    <t>VMENF-Q-2021-002</t>
  </si>
  <si>
    <t>Migrated from legacy quotation; renamed &amp; patched.</t>
  </si>
  <si>
    <t>[{"category":"Equipment Use (Without Consumables)","id":null,"name":"Electrophoresis System (Advance Mupid One)","type":"equipment","unit":"per hour","price":154,"quantity":48},{"category":"Equipment Use (Without Consumables)","id":null,"name":"Fluorometer (Qubit 4.0)","type":"equipment","unit":"per hour","price":287,"quantity":6},{"category":"Equipment Use (Without Consumables)","id":null,"name":"Gradient Thermal Cycler (Bio-Rad T100)","type":"equipment","unit":"per hour","price":261,"quantity":108},{"category":"Equipment Use (Without Consumables)","id":null,"name":"Microvolume Spectrophotometer (Multiskan Sky)","type":"equipment","unit":"per hour","price":305,"quantity":6},{"category":"Equipment Use (Without Consumables)","id":null,"name":"Standard Microcentrifuge (Heraeus Pico 17)","type":"equipment","unit":"per hour","price":136,"quantity":66}]</t>
  </si>
  <si>
    <t>2021-03-19T00:00:00.000Z</t>
  </si>
  <si>
    <t>VMENF-Q-2021-003</t>
  </si>
  <si>
    <t>["equipment","laboratory","retail"]</t>
  </si>
  <si>
    <t>Migrated from legacy quotation (discount on all).</t>
  </si>
  <si>
    <t>[{"category":"Equipment Use (Without Consumables)","id":null,"name":"Electrophoresis System (Advance Mupid One)","type":"equipment","unit":"per hour","price":154,"quantity":63},{"category":"Equipment Use (Without Consumables)","id":null,"name":"Fluorometer (Qubit 4.0)","type":"equipment","unit":"per hour","price":287,"quantity":9},{"category":"Equipment Use (Without Consumables)","id":null,"name":"Gradient Thermal Cycler (Bio-Rad T100)","type":"equipment","unit":"per hour","price":261,"quantity":108},{"category":"Equipment Use (Without Consumables)","id":null,"name":"Microvolume Spectrophotometer (Multiskan Sky)","type":"equipment","unit":"per hour","price":305,"quantity":9},{"category":"Equipment Use (Without Consumables)","id":null,"name":"Standard Microcentrifuge (Heraeus Pico 17)","type":"equipment","unit":"per hour","price":136,"quantity":72},{"category":"Retail Sales","id":null,"name":"Nuclease Free Water @₱703/100 mL (14 × 100 mL per period × 3)","type":"retail","unit":"lot","price":29526,"quantity":1}]</t>
  </si>
  <si>
    <t>2021-05-12T00:00:00.000Z</t>
  </si>
  <si>
    <t>all</t>
  </si>
  <si>
    <t>VMENF-Q-2021-004</t>
  </si>
  <si>
    <t>["laboratory"]</t>
  </si>
  <si>
    <t>[{"category":"Nucleic Acid Extraction","id":null,"name":"Spin-column extraction (100 samples × 7 sites) @₱698.00/sample × 700 samples","type":"lab","unit":"sample","price":698,"quantity":700},{"category":"Nucleic Acid Quantification","id":null,"name":"Agarose Gel Electrophoresis (12 samples per run) @₱649.00/run × 59 runs","type":"lab","unit":"run","price":649,"quantity":59},{"category":"PCR/Real-Time PCR","id":null,"name":"End-point PCR (High Throughput) @₱8,435.00/96 samples × 8 runs (COI)","type":"lab","unit":"run","price":8435,"quantity":8},{"category":"PCR/Real-Time PCR","id":null,"name":"End-point PCR (High Throughput) @₱8,435.00/96 samples × 8 runs (MT-ND1)","type":"lab","unit":"run","price":8435,"quantity":8},{"category":"PCR/Real-Time PCR","id":null,"name":"End-point PCR (High Throughput) @₱8,435.00/96 samples × 8 runs (ISSR × 5) [minimum for ISSR efficient bioinformatics analysis]","type":"lab","unit":"run","price":8435,"quantity":40}]</t>
  </si>
  <si>
    <t>2021-10-25T00:00:00.000Z</t>
  </si>
  <si>
    <t>VMENF-Q-2021-005</t>
  </si>
  <si>
    <t>[{"category":"Nucleic Acid Extraction","id":null,"name":"Spin-column extraction (10 samples × 5 sites) @₱698.00/sample × 50 samples [Optimization]","type":"laboratory","unit":"sample","price":698,"quantity":50},{"category":"Nucleic Acid Quantification","id":null,"name":"Agarose Gel Electrophoresis (12 samples per run) @₱649.00/run × 5 runs [Optimization]","type":"laboratory","unit":"run","price":649,"quantity":5},{"category":"PCR/Real-Time PCR","id":null,"name":"End-point PCR (Low Throughput) @₱171.00/sample × 50 samples (1 selected gene) [Optimization]","type":"laboratory","unit":"sample","price":171,"quantity":50},{"category":"Nucleic Acid Extraction","id":null,"name":"Spin-column extraction (10 samples × 5 sites) @₱698.00/sample × 50 samples [Actual]","type":"laboratory","unit":"sample","price":698,"quantity":50},{"category":"Nucleic Acid Quantification","id":null,"name":"Agarose Gel Electrophoresis (12 samples per run) @₱649.00/run × 5 runs [Actual]","type":"laboratory","unit":"run","price":649,"quantity":5},{"category":"PCR/Real-Time PCR","id":null,"name":"End-point PCR (Low Throughput) @₱171.00/sample × 50 samples (1 selected gene) [Actual]","type":"laboratory","unit":"sample","price":171,"quantity":50}]</t>
  </si>
  <si>
    <t>{"position":"University Researcher I","name":"MARJ GEM B. BUNDA"}</t>
  </si>
  <si>
    <t>2021-11-24T00:00:00.000Z</t>
  </si>
  <si>
    <t>VMENF-Q-2022-001</t>
  </si>
  <si>
    <t>[{"category":"Equipment Use","id":null,"name":"Autoclave (ALPC-32L) @₱230.00/hour × 3 hours","type":"equipment","unit":"hour","price":223,"quantity":3},{"category":"Equipment Use","id":null,"name":"Biosafety Cabinet (Labconco Logic Class II Type A) @₱255.00/hour × 6 hours","type":"equipment","unit":"hour","price":255,"quantity":6},{"category":"Equipment Use","id":null,"name":"Electrophoresis System (Advance Mujid One) @₱164.00/hour × 1 hour","type":"equipment","unit":"hour","price":154,"quantity":1},{"category":"Equipment Use","id":null,"name":"Gel Documentation System (Bio-Rad Gel Doc XR+) @₱389.00/hour × 1 hour","type":"equipment","unit":"hour","price":389,"quantity":1},{"category":"Equipment Use","id":null,"name":"Gradient Thermal Cycler (Bio-Rad T100) @₱261.00/hour × 3 hours","type":"equipment","unit":"hour","price":261,"quantity":3},{"category":"Equipment Use","id":null,"name":"Refrigerated Microcentrifuge (Thermo Scientific Fresco 17) @₱176.00/hour × 2 hours","type":"equipment","unit":"hour","price":176,"quantity":2},{"category":"Equipment Use","id":null,"name":"Shaker Incubator (Heidolph) @₱220.00/hour × 1 hour","type":"equipment","unit":"hour","price":202,"quantity":1},{"category":"Equipment Use","id":null,"name":"Standard Minifuge (DLab D1008) @₱91.00/hour × 1 hour","type":"equipment","unit":"hour","price":91,"quantity":1},{"category":"Equipment Use","id":null,"name":"Storage Freezer, -20°C (Gram BioLine Biocompact RF410) @₱133.00/hour × 1 hour","type":"equipment","unit":"hour","price":133,"quantity":1},{"category":"Equipment Use","id":null,"name":"Strip Tube Minifuge (Qinlab D1008) @₱95.00/hour × 1 hour","type":"equipment","unit":"hour","price":95,"quantity":1},{"category":"Equipment Use","id":null,"name":"Vortex Mixer (Thermo Scientific) @₱92.00/hour × 1 hour","type":"equipment","unit":"hour","price":92,"quantity":1}]</t>
  </si>
  <si>
    <t>2022-01-18T00:00:00.000Z</t>
  </si>
  <si>
    <t>VMENF-Q-2022-002</t>
  </si>
  <si>
    <t>Migrated from legacy quotation (discount on equipment).</t>
  </si>
  <si>
    <t>[{"category":"Next Generation Sequencing (Reagents &amp; Consumables)","id":null,"name":"Library Prep Kit (iSeq 100)","type":"laboratory","unit":"lot","price":53991.52,"quantity":1},{"category":"Next Generation Sequencing (Reagents &amp; Consumables)","id":null,"name":"IDT for Illumina – PCR Indexes 1 to 4","type":"laboratory","unit":"lot","price":16238.05,"quantity":1},{"category":"Next Generation Sequencing (Reagents &amp; Consumables)","id":null,"name":"iSeq 100 II Reagent v2 (300 cycles)","type":"laboratory","unit":"lot","price":41888,"quantity":1},{"category":"Next Generation Sequencing (Reagents &amp; Consumables)","id":null,"name":"PhiX v3","type":"laboratory","unit":"lot","price":836.8,"quantity":1},{"category":"Next Generation Sequencing (Reagents &amp; Consumables)","id":null,"name":"Nuclease-free water","type":"laboratory","unit":"lot","price":38,"quantity":1},{"category":"Next Generation Sequencing (Reagents &amp; Consumables)","id":null,"name":"Absolute ethanol, analytical grade","type":"laboratory","unit":"lot","price":300,"quantity":1},{"category":"Nucleic Acid Quantification (for NGS)","id":null,"name":"Qubit 4.0 Fluorometry","type":"laboratory","unit":"lot","price":12550,"quantity":1},{"category":"Nucleic Acid Quantification (for NGS)","id":null,"name":"Agilent Bioanalyzer","type":"laboratory","unit":"lot","price":9372,"quantity":1},{"category":"NGS Consumables","id":null,"name":"Optical Adhesive Film","type":"laboratory","unit":"lot","price":1997.6,"quantity":1},{"category":"NGS Consumables","id":null,"name":"0.2 mL 96-well plates, non-optical","type":"laboratory","unit":"lot","price":576,"quantity":1},{"category":"NGS Consumables","id":null,"name":"0.2 mL 8-strip tube with 8-strip cap","type":"laboratory","unit":"lot","price":112,"quantity":1},{"category":"NGS Consumables","id":null,"name":"Filtered tips, 1000 µL","type":"laboratory","unit":"lot","price":1000,"quantity":1},{"category":"NGS Consumables","id":null,"name":"Filtered tips, 200 µL","type":"laboratory","unit":"lot","price":2500,"quantity":1},{"category":"NGS Consumables","id":null,"name":"Filtered tips, 20 µL","type":"laboratory","unit":"lot","price":1000,"quantity":1},{"category":"NGS Consumables","id":null,"name":"Filtered tips, 10 µL","type":"laboratory","unit":"lot","price":2850,"quantity":1}]</t>
  </si>
  <si>
    <t>2022-03-10T00:00:00.000Z</t>
  </si>
  <si>
    <t>VMENF-Q-2022-003</t>
  </si>
  <si>
    <t>[{"category":"Next Generation Sequencing (Reagents &amp; Consumables)","id":null,"name":"Library Prep Kit","type":"laboratory","unit":"lot","price":215966.08,"quantity":1},{"category":"Next Generation Sequencing (Reagents &amp; Consumables)","id":null,"name":"IDT for Illumina – PCR Indexes 1 to 4","type":"laboratory","unit":"lot","price":64952.21,"quantity":1},{"category":"Next Generation Sequencing (Reagents &amp; Consumables)","id":null,"name":"iSeq 100 II Reagent v2 (300 cycles)","type":"laboratory","unit":"lot","price":83776,"quantity":1},{"category":"Next Generation Sequencing (Reagents &amp; Consumables)","id":null,"name":"PhiX v3","type":"laboratory","unit":"lot","price":1673.6,"quantity":1},{"category":"Next Generation Sequencing (Reagents &amp; Consumables)","id":null,"name":"Nuclease free water","type":"laboratory","unit":"lot","price":76,"quantity":1},{"category":"Next Generation Sequencing (Reagents &amp; Consumables)","id":null,"name":"Absolute ethanol, analytical grade","type":"laboratory","unit":"lot","price":600,"quantity":1},{"category":"Nucleic Acid Quantification (for NGS)","id":null,"name":"Qubit 4.0 Fluorometry","type":"laboratory","unit":"lot","price":753,"quantity":1},{"category":"Nucleic Acid Quantification (for NGS)","id":null,"name":"Agilent Bioanalyzer","type":"laboratory","unit":"lot","price":18744,"quantity":1},{"category":"NGS Consumables","id":null,"name":"Optical Adhesive Film","type":"laboratory","unit":"lot","price":1997.6,"quantity":1},{"category":"NGS Consumables","id":null,"name":"0.2 mL 96-well plates, non-optical","type":"laboratory","unit":"lot","price":576,"quantity":1},{"category":"NGS Consumables","id":null,"name":"0.2 mL 8-strip tube with 8-strip cap","type":"laboratory","unit":"lot","price":112,"quantity":1},{"category":"NGS Consumables","id":null,"name":"Filtered tips, 1000 µL","type":"laboratory","unit":"lot","price":2000,"quantity":1},{"category":"NGS Consumables","id":null,"name":"Filtered tips, 200 µL","type":"laboratory","unit":"lot","price":5000,"quantity":1},{"category":"NGS Consumables","id":null,"name":"Filtered tips, 20 µL","type":"laboratory","unit":"lot","price":2000,"quantity":1},{"category":"NGS Consumables","id":null,"name":"Filtered tips, 10 µL","type":"laboratory","unit":"lot","price":5700,"quantity":1}]</t>
  </si>
  <si>
    <t>VMENF-Q-2022-004</t>
  </si>
  <si>
    <t>[{"category":"Nucleic Acid Extraction","id":null,"name":"Bacterial (spin column)","type":"laboratory","unit":"lot","price":161238,"quantity":1},{"category":"Nucleic Acid Extraction","id":null,"name":"Animal blood (magnetic-bead)","type":"laboratory","unit":"lot","price":0,"quantity":1},{"category":"Nucleic Acid Extraction","id":null,"name":"Cell and tissue (magnetic-bead)","type":"laboratory","unit":"lot","price":0,"quantity":1},{"category":"Nucleic Acid Quantification","id":null,"name":"Qubit 4.0 fluorometry","type":"laboratory","unit":"lot","price":57981,"quantity":1},{"category":"Nucleic Acid Quantification","id":null,"name":"Agilent Bioanalyzer","type":"laboratory","unit":"lot","price":187440,"quantity":1},{"category":"Nucleic Acid Quantification","id":null,"name":"Agarose Gel Electrophoresis","type":"laboratory","unit":"lot","price":12980,"quantity":1},{"category":"Nucleic Acid Quantification","id":null,"name":"MultiScan Sky Spectrophotometry","type":"laboratory","unit":"lot","price":0,"quantity":1},{"category":"DNA/PCR Purification","id":null,"name":"Gel excision and purification (Recover kit)","type":"laboratory","unit":"lot","price":0,"quantity":1},{"category":"PCR/Real-time PCR","id":null,"name":"End-point PCR (Low Throughput)","type":"laboratory","unit":"lot","price":0,"quantity":1},{"category":"PCR/Real-time PCR","id":null,"name":"End-point PCR (High Throughput)","type":"laboratory","unit":"lot","price":0,"quantity":1},{"category":"PCR/Real-time PCR","id":null,"name":"Real-time PCR","type":"laboratory","unit":"lot","price":115710,"quantity":1},{"category":"Retail Sales","id":null,"name":"Liquid Nitrogen","type":"laboratory","unit":"lot","price":0,"quantity":1},{"category":"Retail Sales","id":null,"name":"Flake ice","type":"laboratory","unit":"lot","price":0,"quantity":1},{"category":"Retail Sales","id":null,"name":"Nuclease Free Water","type":"laboratory","unit":"lot","price":0,"quantity":1},{"category":"Sequencing Reagents and Consumables","id":null,"name":"SeqStudio Genetic Analyzer","type":"laboratory","unit":"lot","price":0,"quantity":1},{"category":"Sequencing Reagents and Consumables","id":null,"name":"Illumina iSeq 100","type":"laboratory","unit":"lot","price":411544.6,"quantity":1}]</t>
  </si>
  <si>
    <t>2022-03-22T00:00:00.000Z</t>
  </si>
  <si>
    <t>VMENF-Q-2022-005</t>
  </si>
  <si>
    <t>["laboratory","retail"]</t>
  </si>
  <si>
    <t>[{"category":"Nucleic Acid Extraction","id":null,"name":"Bacterial (spin column)","type":"laboratory","unit":"lot","price":7678,"quantity":1},{"category":"Nucleic Acid Extraction","id":null,"name":"Animal blood (magnetic-bead)","type":"laboratory","unit":"lot","price":0,"quantity":1},{"category":"Nucleic Acid Extraction","id":null,"name":"Cell and tissue (magnetic-bead)","type":"laboratory","unit":"lot","price":0,"quantity":1},{"category":"Nucleic Acid Quantification","id":null,"name":"Qubit 4.0 fluorometry","type":"laboratory","unit":"lot","price":2761,"quantity":1},{"category":"Nucleic Acid Quantification","id":null,"name":"Agilent Bioanalyzer","type":"laboratory","unit":"lot","price":9372,"quantity":1},{"category":"Nucleic Acid Quantification","id":null,"name":"Agarose Gel Electrophoresis","type":"laboratory","unit":"lot","price":649,"quantity":1},{"category":"Nucleic Acid Quantification","id":null,"name":"MultiScan Sky Spectrophotometry","type":"laboratory","unit":"lot","price":0,"quantity":1},{"category":"DNA/PCR Purification","id":null,"name":"Gel excision and purification (Recover kit)","type":"laboratory","unit":"lot","price":0,"quantity":1},{"category":"PCR/Real-time PCR","id":null,"name":"End-point PCR (Low Throughput)","type":"laboratory","unit":"lot","price":0,"quantity":1},{"category":"PCR/Real-time PCR","id":null,"name":"End-point PCR (High Throughput)","type":"laboratory","unit":"lot","price":0,"quantity":1},{"category":"PCR/Real-time PCR","id":null,"name":"Real-time PCR","type":"laboratory","unit":"lot","price":0,"quantity":1},{"category":"Retail Sales","id":null,"name":"Liquid Nitrogen","type":"laboratory","unit":"lot","price":0,"quantity":1},{"category":"Retail Sales","id":null,"name":"Flake ice","type":"laboratory","unit":"lot","price":0,"quantity":1},{"category":"Retail Sales","id":null,"name":"Nuclease Free Water","type":"laboratory","unit":"lot","price":0,"quantity":1},{"category":"Sequencing Reagents and Consumables","id":null,"name":"SeqStudio Genetic Analyzer","type":"laboratory","unit":"lot","price":0,"quantity":1},{"category":"Sequencing Reagents and Consumables","id":null,"name":"Illumina iSeq 100","type":"laboratory","unit":"lot","price":0,"quantity":1},{"category":"Sequencing Reagents and Consumables","id":null,"name":"Illumina NextSeq 1000","type":"laboratory","unit":"lot","price":287280.99,"quantity":1}]</t>
  </si>
  <si>
    <t>VMENF-Q-2022-006</t>
  </si>
  <si>
    <t>[{"category":"Nucleic Acid Quantification","id":null,"name":"Agarose Gel Electrophoresis (per run, 12 samples)","type":"equipment","unit":"per run","price":649,"quantity":3},{"category":"Sequencing Reagents and Consumables","id":null,"name":"Illumina iSeq 100 (per run)","type":"laboratory","unit":"per run","price":105110.14,"quantity":1}]</t>
  </si>
  <si>
    <t>VMENF-Q-2022-007</t>
  </si>
  <si>
    <t>[{"category":"Nucleic Acid Extraction","id":null,"name":"Bacterial (spin column)","price":698,"quantity":18,"type":"laboratory","unit":"samples"},{"category":"Nucleic Acid Extraction","id":null,"name":"Animal blood (magnetic-bead)","price":783,"quantity":0,"type":"laboratory","unit":"samples"},{"category":"Nucleic Acid Extraction","id":null,"name":"Cell and tissue (magnetic-bead)","price":799,"quantity":0,"type":"laboratory","unit":"samples"},{"category":"Nucleic Acid Quantification","id":null,"name":"Qubit 4.0 fluorometry","price":251,"quantity":18,"type":"laboratory","unit":"run(s)"},{"category":"Nucleic Acid Quantification","id":null,"name":"Agilent Bioanalyzer","price":9372,"quantity":2,"type":"laboratory","unit":"run(s)"},{"category":"Nucleic Acid Quantification","id":null,"name":"Agarose Gel Electrophoresis","price":649,"quantity":2,"type":"laboratory","unit":"run(s)"},{"category":"Nucleic Acid Quantification","id":null,"name":"MultiScan Sky Spectrophotometry","price":490,"quantity":0,"type":"laboratory","unit":"run(s)"},{"category":"DNA/PCR Purification","id":null,"name":"Gel excision and purification (Recover kit)","price":448,"quantity":0,"type":"laboratory","unit":"samples"},{"category":"PCR/Real-Time PCR","id":null,"name":"End-point PCR (Low Throughput)","price":171,"quantity":0,"type":"laboratory","unit":"samples"},{"category":"PCR/Real-Time PCR","id":null,"name":"End-point PCR (High Throughput)","price":8435,"quantity":0,"type":"laboratory","unit":"run(s)"},{"category":"PCR/Real-Time PCR","id":null,"name":"Real-time PCR","price":551,"quantity":0,"type":"laboratory","unit":"samples"},{"category":"Retail Sales","id":null,"name":"Liquid Nitrogen","price":500,"quantity":0,"type":"retail","unit":"liter(s)"},{"category":"Retail Sales","id":null,"name":"Flake Ice","price":61,"quantity":0,"type":"retail","unit":"kg"},{"category":"Retail Sales","id":null,"name":"Nuclease Free Water","price":703,"quantity":0,"type":"retail","unit":"100 mL"},{"category":"Sequencing Reagents and Consumables","id":null,"name":"SeqStudio Genetic Analyzer","price":0,"quantity":0,"type":"laboratory","unit":"run(s)"},{"category":"Sequencing Reagents and Consumables","id":null,"name":"Illumina iSeq 100","price":0,"quantity":0,"type":"laboratory","unit":"run(s)"},{"category":"Sequencing Reagents and Consumables","id":null,"name":"Illumina NextSeq 1000","price":0,"quantity":0,"type":"laboratory","unit":"run(s)"}]</t>
  </si>
  <si>
    <t>2022-03-28T00:00:00.000Z</t>
  </si>
  <si>
    <t>VMENF-Q-2022-008</t>
  </si>
  <si>
    <t>["equipment","laboratory"]</t>
  </si>
  <si>
    <t>Patched via quote_upsert (scope=equipment, internal=true).</t>
  </si>
  <si>
    <t>[{"category":"Equipment Use (Without Consumables)","id":null,"name":"Autoclave (ALP CL-32L)","price":223,"quantity":4,"type":"equipment","unit":"hour(s)"},{"category":"Equipment Use (Without Consumables)","id":null,"name":"Electrophoresis System (Advance Mupid One)","price":154,"quantity":2,"type":"equipment","unit":"hour(s)"},{"category":"Equipment Use (Without Consumables)","id":null,"name":"Gel Documentation System (Bio-Rad Gel Doc XR+)","price":389,"quantity":1,"type":"equipment","unit":"hour(s)"},{"category":"Equipment Use (Without Consumables)","id":null,"name":"Gradient Thermal Cycler (Bio-Rad T100)","price":261,"quantity":2,"type":"equipment","unit":"hour(s)"},{"category":"Equipment Use (Without Consumables)","id":null,"name":"Heat/cooling block (Hercuvan TT-100 DHC)","price":109,"quantity":2,"type":"equipment","unit":"hour(s)"},{"category":"Equipment Use (Without Consumables)","id":null,"name":"Laminar Flow PCR Cabinet (Airclean System AC600)","price":185,"quantity":4,"type":"equipment","unit":"hour(s)"},{"category":"Equipment Use (Without Consumables)","id":null,"name":"Microvolume Spectrophotometer with uDrop plate (Multiskan Sky)","price":500,"quantity":1,"type":"equipment","unit":"hour(s)"},{"category":"Equipment Use (Without Consumables)","id":null,"name":"Standard Microcentrifuge (Heraeus Pico 17)","price":136,"quantity":4,"type":"equipment","unit":"hour(s)"},{"category":"Equipment Use (Without Consumables)","id":null,"name":"Standard Minifuge (DLab D1008)","price":91,"quantity":1,"type":"equipment","unit":"hour(s)"},{"category":"Equipment Use (Without Consumables)","id":null,"name":"Vortex Mixer (Thermo Scientific)","price":92,"quantity":1,"type":"equipment","unit":"hour(s)"},{"category":"Sequencing Reagents and Consumables","id":null,"name":"Illumina iSeq 100","price":119156.06,"quantity":1,"type":"laboratory","unit":"run(s)"}]</t>
  </si>
  <si>
    <t>VMENF-Q-2022-009</t>
  </si>
  <si>
    <t>[{"category":"Equipment Use (Without Consumables)","type":"equipment","unit":"hour(s)","price":223,"quantity":30,"name":"Autoclave (ALP CL-32L)"},{"category":"Equipment Use (Without Consumables)","type":"equipment","unit":"hour(s)","price":110,"quantity":10,"name":"Balance, Analytical (Sartorius)"},{"category":"Equipment Use (Without Consumables)","type":"equipment","unit":"hour(s)","price":154,"quantity":20,"name":"Electrophoresis System (Advance Mupid One)"},{"category":"Equipment Use (Without Consumables)","type":"equipment","unit":"hour(s)","price":784,"quantity":0,"name":"Flow Cytometer (Attune NxT)"},{"category":"Equipment Use (Without Consumables)","type":"equipment","unit":"hour(s)","price":287,"quantity":0,"name":"Fluorometer (Qubit 4.0)"},{"category":"Equipment Use (Without Consumables)","type":"equipment","unit":"hour(s)","price":120,"quantity":5,"name":"Fumehood (Biobase FH1200)"},{"category":"Equipment Use (Without Consumables)","type":"equipment","unit":"hour(s)","price":389,"quantity":20,"name":"Gel Documentation System (Bio-Rad Gel Doc XR+)"},{"category":"Equipment Use (Without Consumables)","type":"equipment","unit":"hour(s)","price":261,"quantity":30,"name":"Gradient Thermal Cycler (Bio-Rad T100)"},{"category":"Equipment Use (Without Consumables)","type":"equipment","unit":"hour(s)","price":109,"quantity":40,"name":"Heat/cooling block (Hercuvan TT-100 DHC)"},{"category":"Equipment Use (Without Consumables)","type":"equipment","unit":"hour(s)","price":102,"quantity":10,"name":"Hot plate stirrer (Thermo Scientific)"},{"category":"Equipment Use (Without Consumables)","type":"equipment","unit":"hour(s)","price":185,"quantity":80,"name":"Laminar Flow PCR Cabinet (Airclean System AC600)"},{"category":"Equipment Use (Without Consumables)","type":"equipment","unit":"hour(s)","price":500,"quantity":20,"name":"Microvolume Spectrophotometer with uDrop plate (Multiskan Sky)"},{"category":"Equipment Use (Without Consumables)","type":"equipment","unit":"hour(s)","price":176,"quantity":80,"name":"Refrigerated microcentrifuge (Thermo Scientific Fresco 17)"},{"category":"Equipment Use (Without Consumables)","type":"equipment","unit":"hour(s)","price":91,"quantity":20,"name":"Standard Minifuge (DLab D1008)"},{"category":"Equipment Use (Without Consumables)","type":"equipment","unit":"hour(s)","price":133,"quantity":504,"name":"Storage Freezer, -20°C (Gram Bioline Biocompact RF410)"},{"category":"Equipment Use (Without Consumables)","type":"equipment","unit":"hour(s)","price":251,"quantity":0,"name":"Storage Freezer, -80°C (Arctiko ULUF 450)"},{"category":"Equipment Use (Without Consumables)","type":"equipment","unit":"hour(s)","price":92,"quantity":20,"name":"Vortex Mixer (Thermo Scientific)"}]</t>
  </si>
  <si>
    <t>2022-04-08T00:00:00.000Z</t>
  </si>
  <si>
    <t>VMENF-Q-2022-010</t>
  </si>
  <si>
    <t>Patched via quote_upsert (scope=none, internal=false).</t>
  </si>
  <si>
    <t>[{"category":"Nucleic Acid Extraction","type":"laboratory","unit":"samples","price":698,"quantity":0,"name":"Bacterial (spin column)"},{"category":"Nucleic Acid Extraction","type":"laboratory","unit":"samples","price":783,"quantity":0,"name":"Animal blood (magnetic-bead)"},{"category":"Nucleic Acid Extraction","type":"laboratory","unit":"samples","price":799,"quantity":0,"name":"Cell and tissue (magnetic-bead)"},{"category":"Nucleic Acid Quantification","type":"laboratory","unit":"run(s)","price":251,"quantity":0,"name":"Qubit 4.0 fluorometry"},{"category":"Nucleic Acid Quantification","type":"laboratory","unit":"run(s)","price":9372,"quantity":0,"name":"Agilent Bioanalyzer"},{"category":"Nucleic Acid Quantification","type":"laboratory","unit":"run(s)","price":649,"quantity":0,"name":"Agarose Gel Electrophoresis"},{"category":"Nucleic Acid Quantification","type":"laboratory","unit":"run(s)","price":490,"quantity":0,"name":"MultiSkan Sky Spectrophotometry"},{"category":"DNA/PCR Purification","type":"laboratory","unit":"samples","price":448,"quantity":0,"name":"Gel excision and purification (Recover kit)"},{"category":"PCR/Real-time PCR","type":"laboratory","unit":"samples","price":171,"quantity":0,"name":"End-point PCR (Low Throughput)"},{"category":"PCR/Real-time PCR","type":"laboratory","unit":"samples","price":8435,"quantity":0,"name":"End-point PCR (High Throughput)"},{"category":"PCR/Real-time PCR","type":"laboratory","unit":"samples","price":551,"quantity":0,"name":"Real-time PCR"},{"category":"Retail Sales","type":"retail","unit":"liter(s)","price":500,"quantity":0,"name":"Liquid Nitrogen"},{"category":"Retail Sales","type":"retail","unit":"kg","price":61,"quantity":0,"name":"Flake Ice"},{"category":"Retail Sales","type":"retail","unit":"100 mL","price":703,"quantity":0,"name":"Nuclease Free Water"},{"category":"Sequencing Reagents and Consumables","type":"laboratory","unit":"run(s)","price":0,"quantity":0,"name":"SeqStudio Genetic Analyzer"},{"category":"Sequencing Reagents and Consumables","type":"laboratory","unit":"run(s)","price":197813.18,"quantity":1,"name":"Illumina iSeq 100"},{"category":"Sequencing Reagents and Consumables","type":"laboratory","unit":"run(s)","price":0,"quantity":0,"name":"Illumina NextSeq 1000"}]</t>
  </si>
  <si>
    <t>2022-05-11T00:00:00.000Z</t>
  </si>
  <si>
    <t>none</t>
  </si>
  <si>
    <t>VMENF-Q-2022-011</t>
  </si>
  <si>
    <t>Patched via quote_upsert (scope=services, internal=true).</t>
  </si>
  <si>
    <t>[{"category":"Nucleic Acid Extraction","type":"laboratory","unit":"samples","price":698,"quantity":28,"name":"Bacterial (spin column)"},{"category":"Nucleic Acid Extraction","type":"laboratory","unit":"samples","price":783,"quantity":0,"name":"Animal blood (magnetic-bead)"},{"category":"Nucleic Acid Extraction","type":"laboratory","unit":"samples","price":799,"quantity":0,"name":"Cell and tissue (magnetic-bead)"},{"category":"Nucleic Acid Quantification","type":"laboratory","unit":"run(s)","price":251,"quantity":28,"name":"Qubit 4.0 fluorometry"},{"category":"Nucleic Acid Quantification","type":"laboratory","unit":"run(s)","price":9372,"quantity":0,"name":"Agilent Bioanalyzer"},{"category":"Nucleic Acid Quantification","type":"laboratory","unit":"run(s)","price":649,"quantity":5,"name":"Agarose Gel Electrophoresis"},{"category":"Nucleic Acid Quantification","type":"laboratory","unit":"run(s)","price":490,"quantity":4,"name":"MultiSkan Sky Spectrophotometry"},{"category":"DNA/PCR Purification","type":"laboratory","unit":"samples","price":448,"quantity":28,"name":"Gel excision and purification (Recover kit)"},{"category":"PCR/Real-time PCR","type":"laboratory","unit":"samples","price":171,"quantity":28,"name":"End-point PCR (Low Throughput)"},{"category":"PCR/Real-time PCR","type":"laboratory","unit":"samples","price":8435,"quantity":0,"name":"End-point PCR (High Throughput)"},{"category":"PCR/Real-time PCR","type":"laboratory","unit":"samples","price":551,"quantity":0,"name":"Real-time PCR"},{"category":"Retail Sales","type":"retail","unit":"liter(s)","price":500,"quantity":0,"name":"Liquid Nitrogen"},{"category":"Retail Sales","type":"retail","unit":"kg","price":61,"quantity":0,"name":"Flake Ice"},{"category":"Retail Sales","type":"retail","unit":"100 mL","price":703,"quantity":0,"name":"Nuclease Free Water"},{"category":"Sequencing Reagents and Consumables","type":"laboratory","unit":"run(s)","price":113909.01,"quantity":0,"name":"SeqStudio Genetic Analyzer"},{"category":"Sequencing Reagents and Consumables","type":"laboratory","unit":"run(s)","price":130416.96,"quantity":1,"name":"Illumina iSeq 100"},{"category":"Sequencing Reagents and Consumables","type":"laboratory","unit":"run(s)","price":331730.96,"quantity":0,"name":"Illumina NextSeq 1000"}]</t>
  </si>
  <si>
    <t>2022-06-08T00:00:00.000Z</t>
  </si>
  <si>
    <t>VMENF-Q-2022-012</t>
  </si>
  <si>
    <t>[{"category":"DNA/PCR Purification","id":null,"name":"Gel excision and purification (Recover kit)","unit":"per sample","price":448,"quantity":2,"type":"laboratory"},{"category":"Sequencing Reagents and Consumables","id":null,"name":"SeqStudio Genetic Analyzer","unit":"per run","price":32153.49,"quantity":1,"type":"laboratory"},{"category":"Sequencing Reagents and Consumables","id":null,"name":"Illumina iSeq 100","unit":"per run","price":68751.58,"quantity":0,"type":"laboratory"},{"category":"Sequencing Reagents and Consumables","id":null,"name":"Illumina NextSeq 1000","unit":"per run","price":288685.58,"quantity":0,"type":"laboratory"}]</t>
  </si>
  <si>
    <t>2022-06-15T00:00:00.000Z</t>
  </si>
  <si>
    <t>VMENF-Q-2022-013</t>
  </si>
  <si>
    <t>[{"name":"SeqStudio Genetic Analyzer","unit":"run(s)","price":75021.92,"quantity":1,"category":"Sequencing Reagents and Consumables"},{"name":"Illumina iSeq 100","unit":"run(s)","price":87304.27,"quantity":0,"category":"Sequencing Reagents and Consumables"},{"name":"Illumina NextSeq 1000","unit":"run(s)","price":310208.27,"quantity":0,"category":"Sequencing Reagents and Consumables"}]</t>
  </si>
  <si>
    <t>VMENF-Q-2022-014</t>
  </si>
  <si>
    <t>[{"category":"Nucleic Acid Extraction","name":"Bacterial (spin column)","unit":"per sample","price":698,"quantity":10},{"category":"Nucleic Acid Extraction","name":"Animal blood (magnetic-bead)","unit":"per sample","price":783,"quantity":0},{"category":"Nucleic Acid Extraction","name":"Cell and tissue (magnetic-bead)","unit":"per sample","price":799,"quantity":0},{"category":"Nucleic Acid Quantification","name":"Qubit 4.0 fluorometry","unit":"per run(s)","price":251,"quantity":10},{"category":"Nucleic Acid Quantification","name":"Agilent Bioanalyzer","unit":"per run(s)","price":9372,"quantity":0},{"category":"Nucleic Acid Quantification","name":"Agarose Gel Electrophoresis","unit":"per run(s)","price":649,"quantity":1},{"category":"Nucleic Acid Quantification","name":"MultiScan Sky Spectrophotometry","unit":"per run(s)","price":490,"quantity":1},{"category":"DNA/PCR Purification","name":"Gel excision and purification (Recover kit)","unit":"per sample","price":448,"quantity":10},{"category":"PCR/Real-time PCR","name":"End-point PCR (Low Throughput)","unit":"per sample","price":171,"quantity":10},{"category":"PCR/Real-time PCR","name":"End-point PCR (High Throughput)","unit":"per run(s)","price":8435,"quantity":0},{"category":"PCR/Real-time PCR","name":"Real-time PCR","unit":"per sample","price":551,"quantity":0},{"category":"Retail Sales","name":"Liquid Nitrogen","unit":"per liter","price":500,"quantity":0},{"category":"Retail Sales","name":"Flake Ice","unit":"per kilo","price":61,"quantity":0},{"category":"Retail Sales","name":"Nuclease Free Water","unit":"per 100 mL","price":703,"quantity":0},{"category":"Sequencing Reagents and Consumables","name":"SeqStudio Genetic Analyzer","unit":"per run(s)","price":60338.72,"quantity":0},{"category":"Sequencing Reagents and Consumables","name":"Illumina iSeq 100","unit":"per run(s)","price":79026.31,"quantity":1},{"category":"Sequencing Reagents and Consumables","name":"Illumina NextSeq 1000","unit":"per run(s)","price":301930.31,"quantity":0}]</t>
  </si>
  <si>
    <t>2022-06-27T00:00:00.000Z</t>
  </si>
  <si>
    <t>VMENF-Q-2022-015</t>
  </si>
  <si>
    <t>["bioinformatics"]</t>
  </si>
  <si>
    <t>[{"name":"Bioinformatics DNA Barcoding Workflow","price":79700,"quantity":1,"unit":"lot","category":"Bioinformatics","type":"bioinformatics"}]</t>
  </si>
  <si>
    <t>{"position":"Science Research Specialist","name":"Marlon John C. Varon"}</t>
  </si>
  <si>
    <t>2022-07-06T00:00:00.000Z</t>
  </si>
  <si>
    <t>VMENF-Q-2022-016</t>
  </si>
  <si>
    <t>[{"service":"Qubit 4.0 fluorometry","price":251,"unit":"run(s)","quantity":200,"amount":50200,"category":"Nucleic Acid Quantification","type":"laboratory"},{"service":"SeqStudio Genetic Analyzer","price":598243.41,"unit":"run(s)","quantity":1,"amount":598243.41,"category":"Sequencing Reagents and Consumables","type":"laboratory"}]</t>
  </si>
  <si>
    <t>2022-07-18T00:00:00.126Z</t>
  </si>
  <si>
    <t>VMENF-Q-2022-017</t>
  </si>
  <si>
    <t>[{"category":"Nucleic Acid Quantification","name":"Agarose Gel Electrophoresis","unit":"run(s)","price":649,"quantity":4,"type":"laboratory"},{"category":"Nucleic Acid Quantification","name":"MultiScan Sky Spectrophotometry","unit":"run(s)","price":490,"quantity":2,"type":"laboratory"},{"category":"DNA/PCR Purification","name":"Gel excision and purification (Recover kit)","unit":"sample(s)","price":448,"quantity":20,"type":"laboratory"},{"category":"PCR/Real-time PCR","name":"End-point PCR (Low Throughput)","unit":"sample(s)","price":171,"quantity":40,"type":"laboratory"},{"category":"Sequencing Reagents and Consumables","name":"SeqStudio Genetic Analyzer","unit":"run(s)","price":93011.33,"quantity":1,"type":"retail"}]</t>
  </si>
  <si>
    <t>2022-07-18T01:00:00.974Z</t>
  </si>
  <si>
    <t>VMENF-Q-2022-018</t>
  </si>
  <si>
    <t>[{"category":"Nucleic Acid Quantification","name":"Agilent Bioanalyzer","unit":"run(s)","price":9372,"quantity":1,"type":"laboratory"}]</t>
  </si>
  <si>
    <t>2022-07-18T02:00:00.398Z</t>
  </si>
  <si>
    <t>VMENF-Q-2022-019</t>
  </si>
  <si>
    <t>["retail"]</t>
  </si>
  <si>
    <t>Patched via quote_upsert (scope=all, internal=false).</t>
  </si>
  <si>
    <t>[{"category":"Sequencing Reagents and Consumables","name":"SeqStudio Genetic Analyzer","unit":"run(s)","price":75982.25,"quantity":1,"type":"retail"}]</t>
  </si>
  <si>
    <t>2022-07-18T04:00:00.240Z</t>
  </si>
  <si>
    <t>VMENF-Q-2022-020</t>
  </si>
  <si>
    <t>[{"category":"Laboratory","name":"Combined Quotation Services (020a + 020b)","unit":"lot","price":473500.42,"quantity":1,"type":"laboratory"}]</t>
  </si>
  <si>
    <t>2022-07-18T00:00:00.000Z</t>
  </si>
  <si>
    <t>VMENF-Q-2022-021</t>
  </si>
  <si>
    <t>Patched via quote_upsert (scope=all, internal=true).</t>
  </si>
  <si>
    <t>[{"category":"Equipment","name":"Autoclave (ALP CL-32L)","unit":"4 hour(s)","price":223,"quantity":4,"type":"equipment"},{"category":"Equipment","name":"OneJ","unit":"9 hour(s)","price":154,"quantity":9,"type":"equipment"},{"category":"Equipment","name":"Doc XR+","unit":"3 hour(s)","price":389,"quantity":3,"type":"equipment"},{"category":"Equipment","name":"DHC","unit":"10 hour(s)","price":109,"quantity":10,"type":"equipment"},{"category":"Equipment","name":"Hot plate stirrer (Thermo Scientific)","unit":"4 hour(s)","price":102,"quantity":4,"type":"equipment"},{"category":"Equipment","name":"System AC600i","unit":"5 hour(s)","price":185,"quantity":5,"type":"equipment"},{"category":"Equipment","name":"uDrop plate (Multiskan Sky)","unit":"5 hour(s)","price":305,"quantity":5,"type":"equipment"},{"category":"Equipment","name":"Scientific Fresco 17","unit":"2 hour(s)","price":176,"quantity":2,"type":"equipment"},{"category":"Equipment","name":"Real-time PCR (CFX 96 Touch)","unit":"0 hour(s)","price":70,"quantity":0,"type":"equipment"},{"category":"Equipment","name":"Single channel","unit":"8 hour(s)","price":415,"quantity":8,"type":"equipment"},{"category":"Equipment","name":"Standard Minifuge (DLab D1008)","unit":"2 hour(s)","price":91,"quantity":2,"type":"equipment"},{"category":"Equipment","name":"Vortex Mixer (Thermo Scientific)","unit":"6 hour(s)","price":92,"quantity":6,"type":"equipment"}]</t>
  </si>
  <si>
    <t>2022-08-16T00:00:00.000Z</t>
  </si>
  <si>
    <t>VMENF-Q-2022-022</t>
  </si>
  <si>
    <t>[{"category":"Bioinformatics","name":"Bioinformatics Metagenomics 16S Workflow (combined)","unit":"lot","price":58367.86,"quantity":1,"type":"bioinformatics"}]</t>
  </si>
  <si>
    <t>{"name":"Marlon John C. Varon","position":"Science Research Specialist"}</t>
  </si>
  <si>
    <t>2022-08-19T00:00:00.000Z</t>
  </si>
  <si>
    <t>VMENF-Q-2022-023</t>
  </si>
  <si>
    <t>[{"category":"Training","name":"Hands-on Training on Molecular Techniques and Bioinformatics Analysis (2 days + 2 days)","unit":"lot","price":100546.74,"quantity":1,"type":"bioinformatics"}]</t>
  </si>
  <si>
    <t>2022-08-23T00:00:00.000Z</t>
  </si>
  <si>
    <t>VMENF-Q-2022-024</t>
  </si>
  <si>
    <t>[{"category":"Equipment Use (Without Consumables)","name":"Autoclave (ALP CL-32L)","unit":"hour(s)","price":223,"quantity":22,"type":"equipment"},{"category":"Equipment Use (Without Consumables)","name":"Balance, Analytical (Sartorius)","unit":"hour(s)","price":110,"quantity":10,"type":"equipment"},{"category":"Equipment Use (Without Consumables)","name":"Electrophoresis System (Advance Mupid One)","unit":"hour(s)","price":154,"quantity":20,"type":"equipment"},{"category":"Equipment Use (Without Consumables)","name":"Fumehood (Biobase FH1200)","unit":"hour(s)","price":120,"quantity":5,"type":"equipment"},{"category":"Equipment Use (Without Consumables)","name":"Gel Documentation System (Bio-Rad Gel Doc XR+)","unit":"hour(s)","price":389,"quantity":20,"type":"equipment"},{"category":"Equipment Use (Without Consumables)","name":"Gradient Thermal Cycler (Bio-Rad T100)","unit":"hour(s)","price":261,"quantity":30,"type":"equipment"},{"category":"Equipment Use (Without Consumables)","name":"Heat/cooling block (Hercuvan TT-100 DHC)","unit":"hour(s)","price":109,"quantity":40,"type":"equipment"},{"category":"Equipment Use (Without Consumables)","name":"Hot plate stirrer (Thermo Scientific)","unit":"hour(s)","price":102,"quantity":10,"type":"equipment"},{"category":"Equipment Use (Without Consumables)","name":"Laminar Flow PCR Cabinet (Airclean System AC600)","unit":"hour(s)","price":185,"quantity":80.9,"type":"equipment"},{"category":"Equipment Use (Without Consumables)","name":"Microvolume Spectrophotometer with uDrop plate (Multiskan Sky)","unit":"hour(s)","price":500,"quantity":20,"type":"equipment"},{"category":"Equipment Use (Without Consumables)","name":"Refrigerated microcentrifuge (Thermo Scientific Fresco 17)","unit":"hour(s)","price":176,"quantity":80,"type":"equipment"},{"category":"Equipment Use (Without Consumables)","name":"Standard Minifuge (DLab D1008)","unit":"hour(s)","price":91,"quantity":25,"type":"equipment"},{"category":"Equipment Use (Without Consumables)","name":"Storage Freezer, -20C (Gram Bioline Biocompact RF410)","unit":"hour(s)","price":133,"quantity":500,"type":"equipment"},{"category":"Equipment Use (Without Consumables)","name":"Vortex Mixer (Thermo Scientific)","unit":"hour(s)","price":92,"quantity":20,"type":"equipment"}]</t>
  </si>
  <si>
    <t>VMENF-Q-2022-025</t>
  </si>
  <si>
    <t>[{"category":"Nucleic Acid Extraction","name":"Bacterial (spin column)","unit":"sample(s)","price":698,"quantity":11,"type":"laboratory"},{"category":"Nucleic Acid Quantification","name":"Agarose Gel Electrophoresis","unit":"run(s)","price":649,"quantity":2,"type":"laboratory"},{"category":"Nucleic Acid Quantification","name":"MultiSkan Sky Spectrophotometry","unit":"run(s)","price":490,"quantity":1,"type":"laboratory"},{"category":"PCR/Real-time PCR","name":"End-point PCR (Low Throughput)","unit":"sample(s)","price":171,"quantity":11,"type":"laboratory"},{"category":"Sequencing Reagents and Consumables","name":"SeqStudio Genetic Analyzer","unit":"run(s)","price":29177.36,"quantity":1,"type":"retail"}]</t>
  </si>
  <si>
    <t>2022-09-23T00:00:00.000Z</t>
  </si>
  <si>
    <t>VMENF-Q-2022-026</t>
  </si>
  <si>
    <t>[{"category":"Nucleic Acid Extraction","name":"Bacterial (spin column)","unit":"sample(s)","price":698,"quantity":2,"type":"laboratory"},{"category":"Nucleic Acid Quantification","name":"Agarose Gel Electrophoresis","unit":"run(s)","price":649,"quantity":1,"type":"laboratory"},{"category":"Nucleic Acid Quantification","name":"MultiSkan Sky Spectrophotometry","unit":"run(s)","price":490,"quantity":1,"type":"laboratory"},{"category":"Library Preparation","name":"16s Metagenomics","unit":"sample(s)","price":3436,"quantity":2,"type":"laboratory"},{"category":"Next Generation Sequencing","name":"i Reagent v2 Kit (300 cycles)","unit":"run(s)","price":77037,"quantity":1,"type":"laboratory"}]</t>
  </si>
  <si>
    <t>2022-10-04T00:00:00.000Z</t>
  </si>
  <si>
    <t>VMENF-Q-2022-027</t>
  </si>
  <si>
    <t>[{"category":"Nucleic Acid Quantification","name":"16s Metagenomics","unit":"sample(s)","price":3436,"quantity":3,"type":"laboratory"},{"category":"Next Generation Sequencing","name":"i Reagent v2 Kit (300 cycles)","unit":"run(s)","price":77037,"quantity":1,"type":"laboratory"}]</t>
  </si>
  <si>
    <t>VMENF-Q-2022-028</t>
  </si>
  <si>
    <t>[{"category":"Nucleic Acid Extraction","name":"Bacterial (spin column)","unit":"sample(s)","price":698,"quantity":3,"type":"laboratory"},{"category":"Nucleic Acid Quantification","name":"MultiScan Sky Spectrophotometry","unit":"run(s)","price":490,"quantity":1,"type":"laboratory"},{"category":"PCR/Real-time PCR","name":"End-point PCR","unit":"sample(s)","price":171,"quantity":3,"type":"laboratory"},{"category":"Capillary Sequencing","name":"Illumina Siga 100","unit":"sample(s)","price":4564,"quantity":3,"type":"laboratory"}]</t>
  </si>
  <si>
    <t>{"name":"NADELENE FAITH N. CARTAGO","position":"University Research Associate I"}</t>
  </si>
  <si>
    <t>2022-11-02T00:00:00.000Z</t>
  </si>
  <si>
    <t>VMENF-Q-2022-029</t>
  </si>
  <si>
    <t>[{"category":"Equipment Use (Without Consumables)","name":"Flow Cytometer (Attune NxT)","unit":"hour(s)","price":784,"quantity":8,"type":"equipment"}]</t>
  </si>
  <si>
    <t>{"name":"MA. CARMEL F. JAVIER, MSc.","position":"University Researcher I"}</t>
  </si>
  <si>
    <t>VMENF-Q-2022-030</t>
  </si>
  <si>
    <t>[{"category":"Laboratory Services (030a)","name":"Qubit Assay","unit":"sample","price":56,"quantity":72,"type":"laboratory"},{"category":"Laboratory Services (030b)","name":"DNA Extraction Kit (Qiagen)","unit":"kit","price":103695.68,"quantity":1,"type":"laboratory"},{"category":"Laboratory Services (030c)","name":"Nanodrop Spectrophotometry","unit":"sample","price":101,"quantity":80,"type":"laboratory"},{"category":"Laboratory Services (030d)","name":"Library Prep Reagents (Illumina)","unit":"lot","price":18707.04,"quantity":1,"type":"laboratory"}]</t>
  </si>
  <si>
    <t>{"name":"MARJ GEM B. BUNDA-FAJUNIO,","position":"University Researcher I"}</t>
  </si>
  <si>
    <t>2022-11-09T00:00:00.000Z</t>
  </si>
  <si>
    <t>VMENF-Q-2022-031</t>
  </si>
  <si>
    <t>[{"category":"Nucleic Acid Extraction","name":"Bacterial (spin column)","unit":"sample(s)","price":698,"quantity":30,"type":"laboratory"},{"category":"Nucleic Acid Quantification","name":"Agarose Gel Electrophoresis","unit":"run(s)","price":649,"quantity":3,"type":"laboratory"},{"category":"Nucleic Acid Quantification","name":"MultiScan Sky Spectrophotometry","unit":"run(s)","price":490,"quantity":3,"type":"laboratory"},{"category":"Library Preparation / 16S","name":"16S Metagenomics","unit":"sample(s)","price":3436,"quantity":30,"type":"laboratory"},{"category":"Next Generation Sequencing","name":"Illumina iSeq 100 – iReagent v2 Kit (300 cycles)","unit":"run(s)","price":77037,"quantity":1,"type":"laboratory"}]</t>
  </si>
  <si>
    <t>{"name":"MARJ GEM B. BUNDA-FAJUNIO","position":"University Researcher I"}</t>
  </si>
  <si>
    <t>2022-11-14T00:00:00.000Z</t>
  </si>
  <si>
    <t>VMENF-Q-2022-032</t>
  </si>
  <si>
    <t>[{"category":"Equipment Use (Without Consumables)","name":"Balance, Analytical (Sartorius)","unit":"hour(s)","price":110,"quantity":1,"type":"equipment"},{"category":"Equipment Use (Without Consumables)","name":"Electrophoresis System (Advance Mupid)","unit":"hour(s)","price":154,"quantity":1,"type":"equipment"},{"category":"Equipment Use (Without Consumables)","name":"Gradient Thermal Cycler (Bio-Rad T100)","unit":"hour(s)","price":261,"quantity":3,"type":"equipment"},{"category":"Equipment Use (Without Consumables)","name":"Laminar Flow PCR Cabinet (Airclean)","unit":"hour(s)","price":185,"quantity":7,"type":"equipment"},{"category":"Equipment Use (Without Consumables)","name":"Microvolume Spectrophotometer","unit":"hour(s)","price":500,"quantity":1,"type":"equipment"},{"category":"Equipment Use (Without Consumables)","name":"Standard Microcentrifuge (Heraeus Pico)","unit":"hour(s)","price":136,"quantity":4,"type":"equipment"},{"category":"Equipment Use (Without Consumables)","name":"Vortex Mixer (Thermo Scientific)","unit":"hour(s)","price":92,"quantity":4,"type":"equipment"}]</t>
  </si>
  <si>
    <t>VMENF-Q-2022-033</t>
  </si>
  <si>
    <t>[{"category":"Nucleic Acid Extraction","name":"Bacterial (spin column)","unit":"sample(s)","price":698,"quantity":30,"type":"laboratory"},{"category":"Nucleic Acid Quantification","name":"Agarose Gel Electrophoresis","unit":"run(s)","price":649,"quantity":6,"type":"laboratory"},{"category":"Nucleic Acid Quantification","name":"MultiSkan Sky Spectrophotometry","unit":"run(s)","price":490,"quantity":3,"type":"laboratory"},{"category":"PCR/Real-time PCR","name":"End-point PCR","unit":"sample(s)","price":171,"quantity":30,"type":"laboratory"},{"category":"Library Preparation","name":"DNA Library Preparation","unit":"sample(s)","price":8698,"quantity":30,"type":"laboratory"},{"category":"Next Generation Sequencing","name":"Illumina iSeq 100 (1 Reagent V1 Kit 300 cycles)","unit":"run(s)","price":77037,"quantity":1,"type":"laboratory"}]</t>
  </si>
  <si>
    <t>{"position":"University Researcher I","name":"MA. CARMEL F. JAVIER, MSc"}</t>
  </si>
  <si>
    <t>2022-11-15T00:00:00.000Z</t>
  </si>
  <si>
    <t>VMENF-Q-2022-034</t>
  </si>
  <si>
    <t>[{"category":"Nucleic Acid Extraction","name":"Bacterial (spin column)","unit":"sample(s)","price":698,"quantity":16,"type":"laboratory"},{"category":"Nucleic Acid Quantification","name":"Agilent Bioanalyzer","unit":"run(s)","price":9372,"quantity":2,"type":"laboratory"},{"category":"Capillary Sequencing","name":"16s Metagenomics","unit":"sample(s)","price":3436,"quantity":16,"type":"laboratory"},{"category":"Next Generation Sequencing","name":"Illumina iSeq 100 (1 Reagent v2 Kit 300 cycles)","unit":"run(s)","price":77037,"quantity":1,"type":"laboratory"}]</t>
  </si>
  <si>
    <t>2022-11-16T00:00:00.000Z</t>
  </si>
  <si>
    <t>VMENF-Q-2022-035</t>
  </si>
  <si>
    <t>[{"category":"Nucleic Acid Extraction","name":"Bacterial (spin column)","unit":"sample(s)","price":698,"quantity":20,"type":"laboratory"},{"category":"Nucleic Acid Quantification","name":"Agarose Gel Electrophoresis","unit":"run(s)","price":649,"quantity":4,"type":"laboratory"},{"category":"Nucleic Acid Quantification","name":"MultiSkan Sky Spectrophotometry","unit":"run(s)","price":490,"quantity":2,"type":"laboratory"},{"category":"PCR/Real-time PCR","name":"End-point PCR","unit":"sample(s)","price":171,"quantity":20,"type":"laboratory"},{"category":"Capillary Sequencing","name":"SeqStudio Genetic Analyzer","unit":"sample(s)","price":4564,"quantity":20,"type":"laboratory"}]</t>
  </si>
  <si>
    <t>2022-12-12T00:00:00.000Z</t>
  </si>
  <si>
    <t>VMENF-Q-2022-036</t>
  </si>
  <si>
    <t>[{"category":"Nucleic Acid Quantification","name":"Qubit 4.0 fluorometry","unit":"run(s)","price":251,"quantity":31,"type":"laboratory"},{"category":"Library Preparation","name":"DNA Library Preparation","unit":"sample(s)","price":9154.02,"quantity":31,"type":"laboratory"},{"category":"Next Generation Sequencing","name":"Illumina iSeq 100 — 1 Reagent v2 Kit (300 cycles)","unit":"run(s)","price":77037,"quantity":2,"type":"laboratory"}]</t>
  </si>
  <si>
    <t>{"name":"JASMINE C. VELO","position":"University Research Associate I"}</t>
  </si>
  <si>
    <t>VMENF-Q-2023-037</t>
  </si>
  <si>
    <t>["laboratory","equipment"]</t>
  </si>
  <si>
    <t>[{"category":"Laboratory Services","name":"Laboratory services (Jan 3, 2023)","unit":"lot","price":18087,"quantity":1,"type":"laboratory"},{"category":"Equipment Use (Without Consumables)","name":"Equipment use (Jan 3, 2023)","unit":"lot","price":2103,"quantity":1,"type":"equipment"}]</t>
  </si>
  <si>
    <t>{"name":"MA. CARMEL F. JAVIER, MSc","position":"University Researcher I"}</t>
  </si>
  <si>
    <t>2023-01-03T00:00:00.000Z</t>
  </si>
  <si>
    <t>VMENF-Q-2023-038</t>
  </si>
  <si>
    <t>[{"category":"Administrative","name":"No billable items for this request","unit":"lot","price":0,"quantity":1,"type":"laboratory"}]</t>
  </si>
  <si>
    <t>2023-01-17T00:00:00.000Z</t>
  </si>
  <si>
    <t>VMENF-Q-2023-039</t>
  </si>
  <si>
    <t>[{"category":"Laboratory &amp; NGS","name":"COVIDSeq + NGS reagents/consumables/logistics (39A)","unit":"lot","price":1223646.92,"quantity":1,"type":"laboratory"},{"category":"Equipment Use (Without Consumables)","name":"Equipment usage bundle (39B)","unit":"lot","price":58178,"quantity":1,"type":"equipment"}]</t>
  </si>
  <si>
    <t>2023-01-26T00:00:00.000Z</t>
  </si>
  <si>
    <t>VMENF-Q-2023-040</t>
  </si>
  <si>
    <t>[{"category":"Nucleic Acid Quantification","name":"Qubit 4.0 fluorometry","unit":"run(s)","price":251,"quantity":161.48,"type":"laboratory"},{"category":"DNA/PCR Purification","name":"PCR Product Purification","unit":"sample(s)","price":280,"quantity":162,"type":"laboratory"},{"category":"Library Preparation","name":"Amplicon Sequencing Lib Prep","unit":"sample(s)","price":1141.53,"quantity":155,"type":"laboratory"},{"category":"Next Generation Sequencing","name":"Illumina iSeq 100 (1.5 run)","unit":"run(s)","price":77037,"quantity":1.5,"type":"laboratory"}]</t>
  </si>
  <si>
    <t>VMENF-Q-2023-041</t>
  </si>
  <si>
    <t>[{"category":"Equipment Use (Without Consumables)","name":"Shaker Incubator (Heidolph)","unit":"hour(s)","price":200,"quantity":24,"type":"equipment"}]</t>
  </si>
  <si>
    <t>{"position":"University Researcher I","name":"JASMINE C. VELO"}</t>
  </si>
  <si>
    <t>2023-03-01T00:00:00.000Z</t>
  </si>
  <si>
    <t>VMENF-Q-2023-042</t>
  </si>
  <si>
    <t>[{"category":"Laboratory Services","name":"Nucleic Acid Extraction (Bacterial, spin column)","unit":"per sample","price":937,"quantity":4,"type":"laboratory"},{"category":"Laboratory Services","name":"Nucleic Acid Quantification (Qubit 4.0 fluorometry)","unit":"per sample","price":220,"quantity":4,"type":"laboratory"},{"category":"Laboratory Services","name":"Agarose Gel Electrophoresis","unit":"per run (12 samples)","price":582,"quantity":2,"type":"laboratory"},{"category":"Laboratory Services","name":"PCR/Real-Time PCR (End-point PCR)","unit":"per sample","price":296,"quantity":4,"type":"laboratory"},{"category":"Laboratory Services","name":"PCR/Real-Time PCR (Real-Time PCR single channel)","unit":"per sample","price":313,"quantity":4,"type":"laboratory"},{"category":"Laboratory Services","name":"Capillary Sequencing (SeqStudio Genetic Analyzer)","unit":"per sample","price":1510,"quantity":4,"type":"laboratory"}]</t>
  </si>
  <si>
    <t>VMENF-Q-2023-043</t>
  </si>
  <si>
    <t>[{"category":"Laboratory","name":"Nucleic Acid Extraction (Bacterial spin column)","unit":"per sample","price":937,"quantity":95,"type":"laboratory"},{"category":"Laboratory","name":"Nucleic Acid Extraction (Animal blood, magnetic-bead)","unit":"per sample","price":910,"quantity":96,"type":"laboratory"},{"category":"Laboratory","name":"SeqStudio Genetic Analyzer (Capillary Sequencing)","unit":"per sample","price":1480,"quantity":3,"type":"laboratory"},{"category":"Laboratory","name":"SeqStudio Genetic Analyzer (Capillary Sequencing)","unit":"per sample","price":1510,"quantity":1,"type":"laboratory"},{"category":"Laboratory","name":"Qubit 4.0 Fluorometry","unit":"per sample","price":223,"quantity":5,"type":"laboratory"}]</t>
  </si>
  <si>
    <t>2023-03-02T00:00:00.000Z</t>
  </si>
  <si>
    <t>VMENF-Q-2023-044</t>
  </si>
  <si>
    <t>[{"category":"Retail Sales","name":"Liquid Nitrogen","unit":"per liter","price":425,"quantity":20,"type":"retail"}]</t>
  </si>
  <si>
    <t>2023-03-09T00:00:00.000Z</t>
  </si>
  <si>
    <t>VMENF-Q-2023-045</t>
  </si>
  <si>
    <t>[{"category":"Nucleic Acid Extraction","name":"Bacterial (spin column)","unit":"per 5 samples","price":937,"quantity":5},{"category":"Nucleic Acid Quantification","name":"Qubit 4.0 fluorometer","unit":"per 5 samples","price":220,"quantity":5},{"category":"DNA/PCR Purification","name":"Agarose Gel Electrophoresis","unit":"per run","price":582,"quantity":2},{"category":"PCR-Real Time PCR","name":"End-point PCR","unit":"per 5 samples","price":296,"quantity":5},{"category":"Library Preparation","name":"Amplicon Sequencing Lib Prep","unit":"per 5 samples","price":5020,"quantity":5},{"category":"Next Generation Sequencing","name":"Illumina iSeq 100 Reagent v2 Kit (300 cycles)","unit":"per run","price":82675,"quantity":0.25}]</t>
  </si>
  <si>
    <t>2023-03-10T00:00:00.000Z</t>
  </si>
  <si>
    <t>VMENF-Q-2023-046</t>
  </si>
  <si>
    <t>["equipment","retail"]</t>
  </si>
  <si>
    <t>[{"category":"Equipment Use (Without Consumables)","name":"Gel Documentation System (Bio-Rad Gel Doc XR+)","unit":"hour(s)","price":410,"quantity":1,"type":"equipment"},{"category":"Equipment Use (Without Consumables)","name":"Heat/cooling block (Hercuvan TT-100 DHC)","unit":"hour(s)","price":120,"quantity":1,"type":"equipment"},{"category":"Equipment Use (Without Consumables)","name":"Micropipettor (Single Channel)","unit":"hour(s)","price":110,"quantity":1,"type":"equipment"},{"category":"Equipment Use (Without Consumables)","name":"Refrigerated microcentrifuge (Thermo Scientific Fresco 17)","unit":"hour(s)","price":190,"quantity":1,"type":"equipment"},{"category":"Equipment Use (Without Consumables)","name":"SDS-PAGE (Bio-Rad Mini Protean Tetra Cell &amp; Power Pac Basic)","unit":"hour(s)","price":180,"quantity":1,"type":"equipment"},{"category":"Equipment Use (Without Consumables)","name":"Storage Freezer, -20°C (Gram Bioline Biocompact RF410)","unit":"hour(s)","price":140,"quantity":1,"type":"equipment"},{"category":"Equipment Use (Without Consumables)","name":"Vortex Mixer (Thermo Scientific)","unit":"hour(s)","price":96,"quantity":1,"type":"equipment"},{"category":"Equipment Use (Without Consumables)","name":"Plate Spinner","unit":"hour(s)","price":111,"quantity":1,"type":"equipment"},{"category":"Equipment Use (Without Consumables)","name":"Storage Refrigerator, 2–8°C (PHCBI)","unit":"hour(s)","price":104,"quantity":1,"type":"equipment"},{"category":"Equipment Use (Without Consumables)","name":"Water bath (Julabo Pura 14)","unit":"hour(s)","price":149,"quantity":1,"type":"equipment"},{"category":"Retail Sales","name":"Type 1 (Ultrapure/Milli-Q) Water","unit":"per 3 L","price":900,"quantity":0.3,"type":"retail"}]</t>
  </si>
  <si>
    <t>VMENF-Q-2023-047</t>
  </si>
  <si>
    <t>[{"category":"Nucleic Acid Extraction","name":"Bacterial (spin column)","unit":"sample(s)","price":940,"quantity":12,"type":"laboratory"},{"category":"Nucleic Acid Quantification","name":"Agarose Gel Electrophoresis","unit":"run(s)","price":590,"quantity":1,"type":"laboratory"},{"category":"Nucleic Acid Quantification","name":"MultiSkan Sky Spectrophotometry","unit":"run(s)","price":300,"quantity":1,"type":"laboratory"},{"category":"PCR/Real-time PCR","name":"End-point PCR","unit":"sample(s)","price":470,"quantity":12,"type":"laboratory"},{"category":"PCR/Real-time PCR","name":"Real-Time PCR (single channel)","unit":"sample(s)","price":230,"quantity":54,"type":"laboratory"}]</t>
  </si>
  <si>
    <t>{"position":"University Researcher I","name":"MARJ GEM B. BUNDA-FAJUNIO, M.Sc."}</t>
  </si>
  <si>
    <t>2023-03-30T00:00:00.000Z</t>
  </si>
  <si>
    <t>VMENF-Q-2023-048</t>
  </si>
  <si>
    <t>[{"category":"Nucleic Acid Extraction","name":"Bacterial (spin column)","unit":"sample(s)","price":940,"quantity":6,"type":"laboratory"},{"category":"Nucleic Acid Quantification","name":"Qubit 4.0 fluorometry","unit":"run(s)","price":190,"quantity":6,"type":"laboratory"},{"category":"Nucleic Acid Quantification","name":"Agarose Gel Electrophoresis","unit":"run(s)","price":590,"quantity":1,"type":"laboratory"},{"category":"Nucleic Acid Quantification","name":"MultiSkan Sky Spectrophotometry","unit":"run(s)","price":300,"quantity":1,"type":"laboratory"},{"category":"PCR/Real-time PCR","name":"End-point PCR","unit":"sample(s)","price":300,"quantity":6,"type":"laboratory"},{"category":"Library Preparation","name":"Amplicon Sequencing Lib Prep","unit":"sample(s)","price":6120,"quantity":5,"type":"laboratory"},{"category":"Next Generation Sequencing","name":"Illumina iSeq 100 (1 Reagent v2 Kit, 300 cycles)","unit":"run(s)","price":82680,"quantity":0.5,"type":"laboratory"}]</t>
  </si>
  <si>
    <t>VMENF-Q-2023-049</t>
  </si>
  <si>
    <t>[{"category":"Nucleic Acid Quantification","name":"Qubit 4.0 fluorometry","unit":"run(s)","price":190,"quantity":6,"type":"laboratory"},{"category":"PCR/Real-time PCR","name":"End-point PCR","unit":"sample(s)","price":300,"quantity":6,"type":"laboratory"},{"category":"Library Preparation","name":"Amplicon Sequencing Lib Prep","unit":"sample(s)","price":5100,"quantity":6,"type":"laboratory"},{"category":"Next Generation Sequencing","name":"Illumina iSeq 100 (1 Reagent v2 Kit, 300 cycles)","unit":"run(s)","price":82680,"quantity":0.5,"type":"laboratory"}]</t>
  </si>
  <si>
    <t>2023-04-13T00:00:00.000Z</t>
  </si>
  <si>
    <t>VMENF-Q-2023-050</t>
  </si>
  <si>
    <t>[{"category":"Nucleic Acid Quantification","name":"Agarose Gel Electrophoresis","unit":"run(s)","price":590,"quantity":1,"type":"laboratory"},{"category":"Capillary Sequencing","name":"SeqStudio Genetic Analyzer","unit":"sample(s)","price":2100,"quantity":10,"type":"laboratory"}]</t>
  </si>
  <si>
    <t>VMENF-Q-2023-051</t>
  </si>
  <si>
    <t>VMENF-Q-2023-052</t>
  </si>
  <si>
    <t>[{"category":"Nucleic Acid Extraction","name":"Bacterial (spin column)","unit":"sample(s)","price":940,"quantity":28,"type":"laboratory"},{"category":"Nucleic Acid Quantification","name":"Qubit 4.0 fluorometry","unit":"run(s)","price":190,"quantity":28,"type":"laboratory"},{"category":"Nucleic Acid Quantification","name":"Agarose Gel Electrophoresis (per run, 12 samples)","unit":"run(s)","price":590,"quantity":3,"type":"laboratory"},{"category":"Nucleic Acid Quantification","name":"MultiSkan Sky Spectrophotometry (per run, 15 samples)","unit":"run(s)","price":300,"quantity":2,"type":"laboratory"},{"category":"PCR/Real-Time PCR","name":"End-point PCR","unit":"sample(s)","price":300,"quantity":28,"type":"laboratory"},{"category":"Capillary Sequencing","name":"SeqStudio Genetic Analyzer","unit":"sample(s)","price":2100,"quantity":28,"type":"laboratory"}]</t>
  </si>
  <si>
    <t>2023-06-15T00:00:00.000Z</t>
  </si>
  <si>
    <t>VMENF-Q-2023-053</t>
  </si>
  <si>
    <t>[{"category":"Nucleic Acid Extraction","name":"Bacterial (spin column)","unit":"sample(s)","price":940,"quantity":1,"type":"laboratory"},{"category":"Nucleic Acid Quantification","name":"Qubit 4.0 fluorometry","unit":"run(s)","price":190,"quantity":1,"type":"laboratory"},{"category":"Nucleic Acid Quantification","name":"Agarose Gel Electrophoresis (per run, 12 samples)","unit":"run(s)","price":590,"quantity":1,"type":"laboratory"},{"category":"Nucleic Acid Quantification","name":"MultiSkan Sky Spectrophotometry (per run, 15 samples)","unit":"run(s)","price":300,"quantity":1,"type":"laboratory"},{"category":"DNA/PCR Purification","name":"PCR Product Purification","unit":"sample(s)","price":450,"quantity":1,"type":"laboratory"},{"category":"PCR/Real-Time PCR","name":"End-point PCR","unit":"sample(s)","price":300,"quantity":1,"type":"laboratory"},{"category":"Capillary Sequencing","name":"SeqStudio Genetic Analyzer","unit":"sample(s)","price":2100,"quantity":1,"type":"laboratory"}]</t>
  </si>
  <si>
    <t>2023-06-21T00:00:00.000Z</t>
  </si>
  <si>
    <t>VMENF-Q-2023-054</t>
  </si>
  <si>
    <t>[{"category":"Retail Sales","name":"Liquid Nitrogen (₱360/liter)","unit":"liter","price":360,"quantity":8,"type":"retail"},{"category":"Retail Sales","name":"Liquid Nitrogen (₱620/liter)","unit":"liter","price":620,"quantity":3,"type":"retail"}]</t>
  </si>
  <si>
    <t>2023-06-27T00:00:00.000Z</t>
  </si>
  <si>
    <t>VMENF-Q-2023-055</t>
  </si>
  <si>
    <t>[{"category":"Nucleic Acid Extraction","name":"Bacterial (spin column)","unit":"sample(s)","price":940,"quantity":9,"type":"laboratory"},{"category":"Nucleic Acid Quantification","name":"Agilent Bioanalyzer","unit":"run(s)","price":590,"quantity":1,"type":"laboratory"},{"category":"Nucleic Acid Quantification","name":"Agarose Gel Electrophoresis","unit":"run(s)","price":300,"quantity":1,"type":"laboratory"},{"category":"PCR/Real-time PCR","name":"Real-Time PCR (single channel)","unit":"sample(s)","price":230,"quantity":198,"type":"laboratory"},{"category":"Library Preparation","name":"DNA Library Preparation (Small and Large WG)","unit":"sample(s)","price":11350,"quantity":1,"type":"laboratory"},{"category":"Next Generation Sequencing","name":"Illumina NextSeq 1000 – P2 Reagent v3 Kit (300 cycles)","unit":"run(s)","price":483750,"quantity":1,"type":"laboratory"}]</t>
  </si>
  <si>
    <t>2023-07-05T00:00:00.000Z</t>
  </si>
  <si>
    <t>VMENF-Q-2023-056</t>
  </si>
  <si>
    <t>[{"category":"Nucleic Acid Extraction","name":"Bacterial (spin column)","unit":"sample(s)","price":940,"quantity":6,"type":"laboratory"},{"category":"Nucleic Acid Quantification","name":"Agarose Gel Electrophoresis","unit":"run(s)","price":590,"quantity":2,"type":"laboratory"},{"category":"Nucleic Acid Quantification","name":"MultiSkan Sky Spectrophotometry","unit":"run(s)","price":300,"quantity":1,"type":"laboratory"},{"category":"PCR/Real-time PCR","name":"End-point PCR","unit":"sample(s)","price":300,"quantity":6,"type":"laboratory"},{"category":"Capillary Sequencing","name":"SeqStudio Genetic Analyzer","unit":"sample(s)","price":2100,"quantity":6,"type":"laboratory"}]</t>
  </si>
  <si>
    <t>2023-07-26T00:00:00.000Z</t>
  </si>
  <si>
    <t>VMENF-Q-2023-057</t>
  </si>
  <si>
    <t>VMENF-Q-2023-058</t>
  </si>
  <si>
    <t>[{"category":"Library Preparation","name":"Amplicon Sequencing Lib Prep","unit":"sample(s)","price":5100,"quantity":50,"type":"laboratory"},{"category":"Next Generation Sequencing","name":"Illumina iSeq 100 (i1 Reagent v2 Kit, 300 cycles)","unit":"run(s)","price":82680,"quantity":0.5,"type":"laboratory"}]</t>
  </si>
  <si>
    <t>2023-08-01T00:00:00.000Z</t>
  </si>
  <si>
    <t>VMENF-Q-2023-059</t>
  </si>
  <si>
    <t>[{"category":"Nucleic Acid Extraction","name":"Bacterial (spin column)","unit":"sample(s)","price":940,"quantity":30,"type":"laboratory"},{"category":"Nucleic Acid Quantification","name":"Qubit 4.0 fluorometry","unit":"sample(s)","price":190,"quantity":30,"type":"laboratory"},{"category":"Nucleic Acid Quantification","name":"Agarose Gel Electrophoresis","unit":"run(s)","price":590,"quantity":2.5,"type":"laboratory"},{"category":"Nucleic Acid Quantification","name":"MultiSkan Sky Spectrophotometry","unit":"run(s)","price":300,"quantity":2.5,"type":"laboratory"},{"category":"Library Preparation","name":"16s Metagenomics","unit":"sample(s)","price":4750,"quantity":30,"type":"laboratory"},{"category":"Next Generation Sequencing","name":"Illumina iSeq 100 (i1 Reagent v2 Kit, 300 cycles)","unit":"run(s)","price":82680,"quantity":1,"type":"laboratory"}]</t>
  </si>
  <si>
    <t>2023-08-03T00:00:00.000Z</t>
  </si>
  <si>
    <t>VMENF-Q-2023-060</t>
  </si>
  <si>
    <t>[{"category":"Nucleic Acid Extraction","name":"Bacterial (spin column)","unit":"sample(s)","price":940,"quantity":2,"type":"laboratory"},{"category":"Nucleic Acid Quantification","name":"Qubit 4.0 fluorometry","unit":"run(s)","price":190,"quantity":2,"type":"laboratory"},{"category":"Nucleic Acid Quantification","name":"Agarose Gel Electrophoresis","unit":"run(s)","price":590,"quantity":1,"type":"laboratory"},{"category":"Nucleic Acid Quantification","name":"MultiSkan Sky Spectrophotometry","unit":"run(s)","price":300,"quantity":1,"type":"laboratory"},{"category":"DNA/PCR Purification","name":"PCR Product Purification","unit":"sample(s)","price":450,"quantity":2,"type":"laboratory"},{"category":"PCR/Real-time PCR","name":"End-point PCR","unit":"sample(s)","price":300,"quantity":2,"type":"laboratory"},{"category":"Capillary Sequencing","name":"SeqStudio Genetic Analyzer","unit":"sample(s)","price":2100,"quantity":4,"type":"laboratory"},{"category":"Adjustment","name":"Subtotal alignment (per client sheet)","unit":"lot","price":444,"quantity":1,"type":"laboratory"}]</t>
  </si>
  <si>
    <t>{"position":"University Researcher I","name":"MARJ GEM B. BUNDA-FAJUNIO, MSc."}</t>
  </si>
  <si>
    <t>2023-08-04T00:00:00.000Z</t>
  </si>
  <si>
    <t>VMENF-Q-2023-061</t>
  </si>
  <si>
    <t>["training"]</t>
  </si>
  <si>
    <t>[{"category":"Training","name":"Whole Genome Sequencing Library Preparation (2 days, up to 6 pax)","unit":"pax","price":26173,"quantity":6,"type":"training"},{"category":"Training","name":"Amplicon Sequencing Library Preparation (2 days, up to 6 pax)","unit":"pax","price":16966,"quantity":6,"type":"training"},{"category":"Training","name":"Hands-on WGS: Library Prep &amp; Bioinformatics (3 days, up to 6 pax)","unit":"pax","price":28215,"quantity":6,"type":"training"}]</t>
  </si>
  <si>
    <t>VMENF-Q-2023-062</t>
  </si>
  <si>
    <t>[{"category":"Nucleic Acid Extraction","name":"Bacterial (spin column)","unit":"sample(s)","price":940,"quantity":9,"type":"laboratory"},{"category":"Nucleic Acid Quantification","name":"Qubit 4.0 fluorometry","unit":"sample(s)","price":190,"quantity":9,"type":"laboratory"},{"category":"Nucleic Acid Quantification","name":"Agarose Gel Electrophoresis","unit":"run(s)","price":590,"quantity":1,"type":"laboratory"},{"category":"Library Preparation","name":"16s Metagenomics","unit":"sample(s)","price":4750,"quantity":9,"type":"laboratory"},{"category":"Next Generation Sequencing","name":"Illumina iSeq 100 (i1 Reagent v2 Kit, 300 cycles)","unit":"run(s)","price":82680,"quantity":1,"type":"laboratory"}]</t>
  </si>
  <si>
    <t>2023-08-07T00:00:00.000Z</t>
  </si>
  <si>
    <t>VMENF-Q-2023-063</t>
  </si>
  <si>
    <t>[{"category":"Nucleic Acid Quantification","name":"Qubit 4.0 fluorometry","unit":"sample(s)","price":190,"quantity":21,"type":"laboratory"},{"category":"Nucleic Acid Quantification","name":"Agarose Gel Electrophoresis","unit":"run(s)","price":590,"quantity":1,"type":"laboratory"},{"category":"Library Preparation","name":"16s Metagenomics","unit":"sample(s)","price":4750,"quantity":21,"type":"laboratory"},{"category":"Next Generation Sequencing","name":"Illumina iSeq 100 (i1 Reagent v2 Kit, 300 cycles)","unit":"run(s)","price":82680,"quantity":1,"type":"laboratory"}]</t>
  </si>
  <si>
    <t>VMENF-Q-2023-064</t>
  </si>
  <si>
    <t>[{"category":"Capillary Sequencing","name":"SeqStudio Genetic Analyzer","unit":"sample(s)","price":2100,"quantity":600,"type":"laboratory"}]</t>
  </si>
  <si>
    <t>VMENF-Q-2023-065</t>
  </si>
  <si>
    <t>[{"category":"Nucleic Acid Extraction","name":"Bacterial (spin column)","unit":"sample(s)","price":940,"quantity":20,"type":"laboratory"},{"category":"Nucleic Acid Quantification","name":"Agarose Gel Electrophoresis","unit":"run(s)","price":590,"quantity":2,"type":"laboratory"},{"category":"Nucleic Acid Quantification","name":"MultiSkan Sky Spectrophotometry","unit":"run(s)","price":300,"quantity":2,"type":"laboratory"},{"category":"PCR/Real-time PCR","name":"End-point PCR","unit":"sample(s)","price":300,"quantity":20,"type":"laboratory"},{"category":"Library Preparation","name":"16s Metagenomics","unit":"sample(s)","price":4750,"quantity":10,"type":"laboratory"},{"category":"Library Preparation","name":"Amplicon Sequencing Lib Prep","unit":"sample(s)","price":5100,"quantity":10,"type":"laboratory"},{"category":"Next Generation Sequencing","name":"Illumina iSeq 100 (i1 Reagent v2 Kit 300 cycles)","unit":"run(s)","price":82680,"quantity":1,"type":"laboratory"}]</t>
  </si>
  <si>
    <t>2023-10-26T00:00:00.000Z</t>
  </si>
  <si>
    <t>VMENF-Q-2023-066</t>
  </si>
  <si>
    <t>[{"category":"Nucleic Acid Extraction","name":"Bacterial (spin column)","unit":"sample(s)","price":940,"quantity":1,"type":"laboratory"},{"category":"Nucleic Acid Quantification","name":"Qubit 4.0 fluorometry","unit":"sample(s)","price":190,"quantity":1,"type":"laboratory"},{"category":"Nucleic Acid Quantification","name":"MultiSkan Sky Spectrophotometry","unit":"sample(s)","price":300,"quantity":1,"type":"laboratory"},{"category":"PCR/Real-time PCR","name":"End-point PCR","unit":"sample(s)","price":300,"quantity":1,"type":"laboratory"},{"category":"Library Preparation","name":"Nextera XT DNA Library Preparation (Small and Large WG)","unit":"sample(s)","price":11350,"quantity":1,"type":"laboratory"},{"category":"Next Generation Sequencing","name":"Illumina iSeq 100 (i1 Reagent v2 Kit 300 cycles)","unit":"run(s)","price":82680,"quantity":1,"type":"laboratory"}]</t>
  </si>
  <si>
    <t>{"position":"University Researcher I","name":"Ma. Carmel F. Javier"}</t>
  </si>
  <si>
    <t>2023-11-08T00:00:00.000Z</t>
  </si>
  <si>
    <t>VMENF-Q-2023-067</t>
  </si>
  <si>
    <t>[{"category":"Nucleic Acid Extraction","name":"Bacterial (spin column)","unit":"sample(s)","price":940,"quantity":40,"type":"laboratory"},{"category":"Nucleic Acid Quantification","name":"Agarose Gel Electrophoresis","unit":"run(s)","price":590,"quantity":4,"type":"laboratory"},{"category":"Nucleic Acid Quantification","name":"MultiSkan Sky Spectrophotometry","unit":"run(s)","price":300,"quantity":4,"type":"laboratory"}]</t>
  </si>
  <si>
    <t>2023-11-14T00:00:00.000Z</t>
  </si>
  <si>
    <t>VMENF-Q-2023-068</t>
  </si>
  <si>
    <t>[{"category":"Nucleic Acid Extraction","name":"Bacterial (spin column)","unit":"sample(s)","price":940,"quantity":20,"type":"laboratory"},{"category":"Nucleic Acid Quantification","name":"Agarose Gel Electrophoresis","unit":"run(s)","price":590,"quantity":4,"type":"laboratory"},{"category":"Nucleic Acid Quantification","name":"MultiSkan Sky Spectrophotometry","unit":"run(s)","price":300,"quantity":3,"type":"laboratory"},{"category":"PCR/Real-Time PCR","name":"End-point PCR","unit":"sample(s)","price":530,"quantity":20,"type":"laboratory"},{"category":"Library Preparation","name":"Amplicon Sequencing Lib Prep","unit":"sample(s)","price":5100,"quantity":20,"type":"laboratory"},{"category":"Next Generation Sequencing","name":"Illumina iSeq 100 i1 Reagent v2 Kit (300 cycles)","unit":"run(s)","price":82680,"quantity":1,"type":"laboratory"}]</t>
  </si>
  <si>
    <t>{"name":"Ma. Carmel F. Javier","position":"University Researcher I"}</t>
  </si>
  <si>
    <t>2023-11-15T00:00:00.000Z</t>
  </si>
  <si>
    <t>VMENF-Q-2023-069</t>
  </si>
  <si>
    <t>[{"category":"Library Preparation","name":"Amplicon Sequencing Lib Prep","unit":"sample(s)","price":5100,"quantity":100,"type":"laboratory"},{"category":"Next Generation Sequencing","name":"Illumina iSeq 100 i1 Reagent v2 Kit (300 cycles)","unit":"run(s)","price":82680,"quantity":1,"type":"laboratory"}]</t>
  </si>
  <si>
    <t>{"name":"MARJ GEM B. BUNDA-FAJUNIO, M.Sc.","position":"University Researcher I"}</t>
  </si>
  <si>
    <t>2023-11-24T00:00:00.000Z</t>
  </si>
  <si>
    <t>VMENF-Q-2023-070</t>
  </si>
  <si>
    <t>[{"category":"Equipment Use (Without Consumables)","name":"Autoclave (ALP CL-32L)","unit":"hour(s)","price":240,"quantity":2,"type":"equipment"},{"category":"Equipment Use (Without Consumables)","name":"Balance, Analytical (Sartorius)","unit":"hour(s)","price":120,"quantity":1,"type":"equipment"},{"category":"Equipment Use (Without Consumables)","name":"Electrophoresis System (Advance Mupid One)","unit":"hour(s)","price":170,"quantity":1,"type":"equipment"},{"category":"Equipment Use (Without Consumables)","name":"Gel Documentation System (Bio-Rad Gel Doc XR+)","unit":"hour(s)","price":410,"quantity":1,"type":"equipment"},{"category":"Equipment Use (Without Consumables)","name":"Gradient Thermal Cycler (Bio-Rad T100)","unit":"hour(s)","price":190,"quantity":2,"type":"equipment"},{"category":"Equipment Use (Without Consumables)","name":"Heat/cooling block (Hercuvan TT-100 DHC)","unit":"hour(s)","price":120,"quantity":2,"type":"equipment"},{"category":"Equipment Use (Without Consumables)","name":"Laminar Flow PCR Cabinet (Airclean System AC600)","unit":"hour(s)","price":200,"quantity":2,"type":"equipment"},{"category":"Equipment Use (Without Consumables)","name":"Micropipettor (Single Channel)","unit":"hour(s)","price":110,"quantity":8,"type":"equipment"},{"category":"Equipment Use (Without Consumables)","name":"Microwave Spectrophotometer with uDrop plate (Multiskan Sky)","unit":"hour(s)","price":350,"quantity":1,"type":"equipment"},{"category":"Equipment Use (Without Consumables)","name":"Standard Microcentrifuge (Hereaus Pico 17)","unit":"hour(s)","price":150,"quantity":4,"type":"equipment"},{"category":"Equipment Use (Without Consumables)","name":"Standard Minifuge (DLab D1008)","unit":"hour(s)","price":100,"quantity":2,"type":"equipment"}]</t>
  </si>
  <si>
    <t>VMENF-Q-2023-071</t>
  </si>
  <si>
    <t>[{"category":"Capillary Sequencing","name":"Capillary Sequencing","unit":"sample(s)","price":2100,"quantity":5,"type":"laboratory"}]</t>
  </si>
  <si>
    <t>VMENF-Q-2023-072</t>
  </si>
  <si>
    <t>[{"category":"Nucleic Acid Quantification","name":"MultiScan Sky Spectrophotometry","unit":"per run (15 samples)","price":300,"quantity":1,"type":"laboratory"},{"category":"DNA/PCR Purification","name":"PCR Product Purification","unit":"per sample","price":450,"quantity":3,"type":"laboratory"},{"category":"PCR/Real-Time PCR","name":"End-point PCR","unit":"per sample","price":300,"quantity":3,"type":"laboratory"},{"category":"Capillary Sequencing","name":"SeqStudio Genetic Analyzer","unit":"per sample","price":2100,"quantity":3,"type":"laboratory"}]</t>
  </si>
  <si>
    <t>2023-12-04T00:00:00.000Z</t>
  </si>
  <si>
    <t>VMENF-Q-2023-073</t>
  </si>
  <si>
    <t>[{"category":"Nucleic Acid Quantification","name":"Qubit 4.0 fluorometry","unit":"per sample","price":190,"quantity":3,"type":"laboratory"},{"category":"DNA/PCR Purification","name":"PCR Product Purification","unit":"per sample","price":450,"quantity":3,"type":"laboratory"},{"category":"Capillary Sequencing","name":"SeqStudio Genetic Analyzer","unit":"per sample","price":2100,"quantity":3,"type":"laboratory"}]</t>
  </si>
  <si>
    <t>2023-12-05T00:00:00.000Z</t>
  </si>
  <si>
    <t>VMENF-Q-2023-074</t>
  </si>
  <si>
    <t>[{"category":"Library Preparation","name":"16s Metagenomics","unit":"per sample","price":4750,"quantity":45,"type":"laboratory"},{"category":"Next Generation Sequencing","name":"Illumina iSeq 100 (i1 Reagent v2 Kit, 300 cycles)","unit":"per run","price":82680,"quantity":1,"type":"laboratory"}]</t>
  </si>
  <si>
    <t>2023-12-12T00:00:00.000Z</t>
  </si>
  <si>
    <t>VMENF-Q-2023-075</t>
  </si>
  <si>
    <t>[{"category":"Nucleic Acid Quantification","name":"Agarose Gel Electrophoresis","unit":"per run (12 samples)","price":590,"quantity":2,"type":"laboratory"},{"category":"PCR/Real-time PCR","name":"End-point PCR","unit":"per sample","price":300,"quantity":15,"type":"laboratory"},{"category":"Library Preparation","name":"16s Metagenomics","unit":"per sample","price":4750,"quantity":15,"type":"laboratory"},{"category":"Next Generation Sequencing","name":"Illumina iSeq 100 (i1 Reagent v2 Kit, 300 cycles)","unit":"per run","price":82680,"quantity":1,"type":"laboratory"}]</t>
  </si>
  <si>
    <t>2023-12-20T00:00:00.000Z</t>
  </si>
  <si>
    <t>VMENF-Q-2024-076</t>
  </si>
  <si>
    <t>[{"category":"Nucleic Acid Quantification","name":"Agarose Gel Electrophoresis","unit":"per run (12 samples)","price":590,"quantity":1,"type":"laboratory"},{"category":"PCR/Real-time PCR","name":"End-point PCR","unit":"per sample","price":300,"quantity":10,"type":"laboratory"},{"category":"Library Preparation","name":"Amplicon Sequencing Lib Prep","unit":"per sample","price":5100,"quantity":10,"type":"laboratory"},{"category":"Next Generation Sequencing","name":"Illumina iSeq 100 (i1 Reagent v2 Kit, 300 cycles)","unit":"per run","price":82680,"quantity":0.5,"type":"laboratory"}]</t>
  </si>
  <si>
    <t>2024-01-12T00:00:00.000Z</t>
  </si>
  <si>
    <t>VMENF-Q-2024-077</t>
  </si>
  <si>
    <t>[{"category":"Equipment Use (Without Consumables)","name":"Biosafety Cabinet (Labconco Logic Class II Type A)","unit":"hour(s)","price":270,"quantity":8,"type":"equipment"},{"category":"Equipment Use (Without Consumables)","name":"Flow Cytometer (Attune NxT)","unit":"hour(s)","price":790,"quantity":8,"type":"equipment"},{"category":"Equipment Use (Without Consumables)","name":"Swinging bucket centrifuge, refrigerated (Beckman Coulter Avanti J-15R)","unit":"hour(s)","price":370,"quantity":4,"type":"equipment"},{"category":"Equipment Use (Without Consumables)","name":"Liquid Nitrogen Tank","unit":"hour(s)","price":100,"quantity":8,"type":"equipment"},{"category":"Retail Sales","name":"Liquid Nitrogen","unit":"per liter","price":620,"quantity":10,"type":"retail"}]</t>
  </si>
  <si>
    <t>VMENF-Q-2024-078</t>
  </si>
  <si>
    <t>[{"category":"Library Preparation","name":"DNA Library Preparation (Small and Large WG)","unit":"sample(s)","price":11350,"quantity":10,"type":"laboratory"},{"category":"Library Preparation","name":"Amplicon Sequencing Lib Prep","unit":"sample(s)","price":5100,"quantity":10,"type":"laboratory"},{"category":"Next Generation Sequencing","name":"Illumina iSeq 100 – i1 Reagent v2 Kit (300 cycles)","unit":"run(s)","price":82680,"quantity":1,"type":"laboratory"}]</t>
  </si>
  <si>
    <t>VMENF-Q-2024-079</t>
  </si>
  <si>
    <t>[{"category":"Nucleic Acid Extraction","name":"Bacterial (spin column)","unit":"sample(s)","price":940,"quantity":20,"type":"laboratory"},{"category":"Nucleic Acid Quantification","name":"Agarose Gel Electrophoresis","unit":"run(s)","price":590,"quantity":1,"type":"laboratory"},{"category":"Nucleic Acid Quantification","name":"MultiSkan Sky Spectrophotometry","unit":"run(s)","price":300,"quantity":1,"type":"laboratory"},{"category":"Library Preparation","name":"16s Metagenomics","unit":"sample(s)","price":4750,"quantity":20,"type":"laboratory"},{"category":"Next Generation Sequencing","name":"Illumina iSeq 100 – i1 Reagent v2 Kit (300 cycles)","unit":"run(s)","price":82680,"quantity":1,"type":"laboratory"}]</t>
  </si>
  <si>
    <t>{"name":"JASMINE C. VELO, M.Sc.","position":"University Research Associate I"}</t>
  </si>
  <si>
    <t>2024-01-17T00:00:00.000Z</t>
  </si>
  <si>
    <t>VMENF-Q-2024-080</t>
  </si>
  <si>
    <t>[{"category":"Nucleic Acid Extraction","name":"Bacterial (spin column)","unit":"sample(s)","price":940,"quantity":40,"type":"laboratory"},{"category":"Nucleic Acid Quantification","name":"Agarose Gel Electrophoresis","unit":"run(s)","price":590,"quantity":4,"type":"laboratory"},{"category":"Nucleic Acid Quantification","name":"MultiSkan Sky Spectrophotometry","unit":"run(s)","price":300,"quantity":3,"type":"laboratory"},{"category":"PCR - Real-time PCR","name":"End-point PCR","unit":"sample(s)","price":300,"quantity":40,"type":"laboratory"},{"category":"Library Preparation","name":"Amplicon Sequencing Lib Prep","unit":"sample(s)","price":5100,"quantity":40,"type":"laboratory"},{"category":"Next Generation Sequencing","name":"Illumina iSeq 100 – i1 Reagent v2 Kit (300 cycles)","unit":"run(s)","price":82680,"quantity":0.4,"type":"laboratory"}]</t>
  </si>
  <si>
    <t>VMENF-Q-2024-081</t>
  </si>
  <si>
    <t>[{"category":"Nucleic Acid Extraction","name":"Bacterial (spin column)","unit":"sample(s)","price":940,"quantity":1,"type":"laboratory"},{"category":"Nucleic Acid Quantification","name":"Agarose Gel Electrophoresis","unit":"run(s)","price":590,"quantity":1,"type":"laboratory"},{"category":"Nucleic Acid Quantification","name":"MultiSkan Sky Spectrophotometry","unit":"run(s)","price":300,"quantity":1,"type":"laboratory"},{"category":"PCR - Real-time PCR","name":"End-point PCR","unit":"sample(s)","price":300,"quantity":1,"type":"laboratory"},{"category":"Library Preparation","name":"Amplicon Sequencing Lib Prep","unit":"sample(s)","price":5100,"quantity":1,"type":"laboratory"},{"category":"Next Generation Sequencing","name":"Illumina iSeq 100 – i1 Reagent v2 Kit (300 cycles)","unit":"run(s)","price":82680,"quantity":0.1,"type":"laboratory"}]</t>
  </si>
  <si>
    <t>2024-02-02T00:00:00.000Z</t>
  </si>
  <si>
    <t>VMENF-Q-2024-082</t>
  </si>
  <si>
    <t>[{"category":"Nucleic Acid Extraction","name":"Bacterial (spin column)","unit":"sample(s)","price":940,"quantity":2,"type":"laboratory"},{"category":"Nucleic Acid Quantification","name":"Agarose Gel Electrophoresis","unit":"run(s)","price":590,"quantity":1,"type":"laboratory"},{"category":"Nucleic Acid Quantification","name":"MultiSkan Sky Spectrophotometry","unit":"run(s)","price":300,"quantity":1,"type":"laboratory"},{"category":"PCR - Real-time PCR","name":"End-point PCR","unit":"sample(s)","price":300,"quantity":2,"type":"laboratory"},{"category":"Library Preparation","name":"Amplicon Sequencing Lib Prep","unit":"sample(s)","price":5100,"quantity":2,"type":"laboratory"},{"category":"Next Generation Sequencing","name":"Illumina iSeq 100 – i1 Reagent v2 Kit (300 cycles)","unit":"run(s)","price":82680,"quantity":0.1,"type":"laboratory"}]</t>
  </si>
  <si>
    <t>VMENF-Q-2024-083</t>
  </si>
  <si>
    <t>[{"category":"Library Preparation","name":"DNA Library Preparation (Small and Large WG)","unit":"sample(s)","price":11350,"quantity":5,"type":"laboratory"},{"category":"Next Generation Sequencing","name":"Illumina NextSeq 1000 – P2 Reagent v3 Kit (300 cycles)","unit":"run(s)","price":483750,"quantity":0.5,"type":"laboratory"}]</t>
  </si>
  <si>
    <t>2024-02-05T00:00:00.000Z</t>
  </si>
  <si>
    <t>VMENF-Q-2024-084</t>
  </si>
  <si>
    <t>[{"category":"Nucleic Acid Extraction","name":"Bacterial (spin column)","unit":"sample(s)","price":940,"quantity":2,"type":"laboratory"},{"category":"Nucleic Acid Quantification","name":"Agarose Gel Electrophoresis","unit":"run(s)","price":590,"quantity":2,"type":"laboratory"},{"category":"Nucleic Acid Quantification","name":"MultiSkan Sky Spectrophotometry","unit":"run(s)","price":300,"quantity":1,"type":"laboratory"},{"category":"PCR/Real-Time PCR","name":"End-point PCR","unit":"sample(s)","price":300,"quantity":2,"type":"laboratory"},{"category":"Library Preparation","name":"Amplicon Sequencing Lib Prep","unit":"sample(s)","price":5100,"quantity":2,"type":"laboratory"},{"category":"Next Generation Sequencing","name":"Illumina iSeq 100","unit":"run(s)","price":82680,"quantity":0.2,"type":"laboratory"}]</t>
  </si>
  <si>
    <t>2024-02-05T00:00:00.341Z</t>
  </si>
  <si>
    <t>VMENF-Q-2024-085</t>
  </si>
  <si>
    <t>[{"category":"Bioinformatics","name":"Whole Genome Sequencing Workflow (QC, read mapping, variant calling, assembly, downstream analysis)","unit":"sample(s)","price":21257.6,"quantity":5,"type":"bioinformatics"},{"category":"Bioinformatics","name":"Man-hours (analysis)","unit":"hour(s)","price":200,"quantity":200,"type":"bioinformatics"}]</t>
  </si>
  <si>
    <t>2024-02-05T00:30:00.446Z</t>
  </si>
  <si>
    <t>VMENF-Q-2024-086</t>
  </si>
  <si>
    <t>[{"category":"Nucleic Acid Extraction","name":"Bacterial (spin column)","unit":"sample(s)","price":940,"quantity":30,"type":"laboratory"},{"category":"Nucleic Acid Quantification","name":"Agarose Gel Electrophoresis","unit":"run(s)","price":590,"quantity":3,"type":"laboratory"},{"category":"Nucleic Acid Quantification","name":"MultiSkan Sky Spectrophotometry","unit":"run(s)","price":300,"quantity":3,"type":"laboratory"},{"category":"Library Preparation","name":"16s Metagenomics","unit":"sample(s)","price":4750,"quantity":30,"type":"laboratory"},{"category":"Next Generation Sequencing","name":"Illumina iSeq 100 (i1 Reagent v2 Kit, 300 cycles)","unit":"run(s)","price":82680,"quantity":1,"type":"laboratory"}]</t>
  </si>
  <si>
    <t>2024-02-12T00:00:00.000Z</t>
  </si>
  <si>
    <t>VMENF-Q-2024-087</t>
  </si>
  <si>
    <t>[{"category":"Nucleic Acid Extraction","name":"Bacterial (spin column)","unit":"sample(s)","price":940,"quantity":10,"type":"laboratory"},{"category":"Nucleic Acid Quantification","name":"Agarose Gel Electrophoresis","unit":"run(s)","price":590,"quantity":1,"type":"laboratory"},{"category":"Nucleic Acid Quantification","name":"MultiSkan Sky Spectrophotometry","unit":"run(s)","price":300,"quantity":1,"type":"laboratory"},{"category":"PCR/Real-time PCR","name":"End-point PCR","unit":"sample(s)","price":300,"quantity":10,"type":"laboratory"},{"category":"Library Preparation","name":"Amplicon Sequencing Lib Prep","unit":"sample(s)","price":5100,"quantity":10,"type":"laboratory"},{"category":"Next Generation Sequencing","name":"Illumina iSeq 100 (i1 Reagent v2 Kit, 300 cycles)","unit":"run(s)","price":82680,"quantity":0.2,"type":"laboratory"}]</t>
  </si>
  <si>
    <t>VMENF-Q-2024-088</t>
  </si>
  <si>
    <t>[{"unit":"sample(s)","quantity":7,"price":2293.4,"category":"Bioinformatics","name":"Bioinformatics Analysis: Amplicon Sequencing &amp; Phylogenetic Analysis","type":"bioinformatics"},{"name":"Bioinformatics Analysis: Amplicon Sequencing &amp; Phylogenetic Analysis","unit":"sample(s)","price":2293.41,"category":"Bioinformatics Analysis","quantity":3,"type":"bioinformatics"}]</t>
  </si>
  <si>
    <t>VMENF-Q-2024-089</t>
  </si>
  <si>
    <t>[{"category":"Nucleic Acid Extraction","name":"Bacterial (spin column)","unit":"sample(s)","price":940,"quantity":25,"type":"laboratory"},{"category":"Nucleic Acid Quantification","name":"Agarose Gel Electrophoresis","unit":"run(s)","price":590,"quantity":6,"type":"laboratory"},{"category":"Nucleic Acid Quantification","name":"MultiSkan Sky Spectrophotometry","unit":"run(s)","price":300,"quantity":2,"type":"laboratory"},{"category":"PCR/Real-time PCR","name":"End-point PCR","unit":"sample(s)","price":300,"quantity":25,"type":"laboratory"},{"category":"Library Preparation","name":"Amplicon Sequencing Lib Prep","unit":"sample(s)","price":5100,"quantity":25,"type":"laboratory"},{"category":"Next Generation Sequencing","name":"Illumina iSeq 100 – i1 Reagent v2 Kit (300 cycles)","unit":"run(s)","price":82680,"quantity":0.2,"type":"laboratory"}]</t>
  </si>
  <si>
    <t>2024-02-21T00:00:00.000Z</t>
  </si>
  <si>
    <t>VMENF-Q-2024-090</t>
  </si>
  <si>
    <t>[{"type":"bioinformatics","unit":"per project","price":58205.75,"quantity":1,"category":"Bioinformatics Analysis"}]</t>
  </si>
  <si>
    <t>2024-02-22T00:00:00.000Z</t>
  </si>
  <si>
    <t>VMENF-Q-2024-091</t>
  </si>
  <si>
    <t>[{"name":"16s Metagenomics","unit":"per sample","type":"laboratory","price":4750,"quantity":35,"category":"Library Preparation"},{"unit":"per run","name":"Illumina iSeq 100 – i1 Reagent v2 Kit (300 cycles)","price":82680,"type":"laboratory","quantity":0.8,"category":"Next Generation Sequencing"}]</t>
  </si>
  <si>
    <t>VMENF-Q-2024-092</t>
  </si>
  <si>
    <t>[{"unit":"per sample","type":"laboratory","category":"Nucleic Acid Extraction","name":"Bacterial (spin column)","price":940,"quantity":5},{"quantity":1,"price":590,"name":"Agarose Gel Electrophoresis","category":"Nucleic Acid Quantification","unit":"per run","type":"laboratory"},{"unit":"per run","category":"Nucleic Acid Quantification","quantity":1,"type":"laboratory","name":"MultiScan Sky Spectrophotometry","price":300},{"type":"laboratory","price":300,"unit":"per sample","name":"End-point PCR","quantity":5,"category":"PCR/Real-Time PCR"},{"price":5100,"unit":"per sample","name":"Amplicon Sequencing Lib Prep","type":"laboratory","quantity":5,"category":"Library Preparation"}]</t>
  </si>
  <si>
    <t>2024-03-05T00:00:00.000Z</t>
  </si>
  <si>
    <t>VMENF-Q-2024-093</t>
  </si>
  <si>
    <t>[{"type":"laboratory","price":5100,"quantity":5,"name":"Amplicon Sequencing Lib Prep","unit":"per sample","category":"Library Preparation"}]</t>
  </si>
  <si>
    <t>VMENF-Q-2024-094</t>
  </si>
  <si>
    <t>[{"name":"Bacterial (spin column)","price":940,"unit":"per sample","category":"Nucleic Acid Extraction","quantity":24,"type":"laboratory"},{"quantity":24,"category":"PCR/Real-Time PCR","price":300,"type":"laboratory","name":"End-point PCR","unit":"per sample"},{"type":"laboratory","unit":"per sample","name":"16s Metagenomics","quantity":24,"price":4750,"category":"Library Preparation"},{"name":"Illumina iSeq 100 — i1 Reagent v2 Kit (300 cycles)","unit":"per run","quantity":0.5,"price":82680,"type":"laboratory","category":"Next Generation Sequencing"}]</t>
  </si>
  <si>
    <t>VMENF-Q-2024-095</t>
  </si>
  <si>
    <t>[{"price":790,"type":"equipment","unit":"per hour","category":"Equipment Use (Without Consumables)","quantity":100,"name":"Flow Cytometer (Attune NxT)"}]</t>
  </si>
  <si>
    <t>2024-03-06T00:00:00.000Z</t>
  </si>
  <si>
    <t>VMENF-Q-2024-096</t>
  </si>
  <si>
    <t>[{"price":2175.9,"type":"bioinformatics","service":"Whole Genome Sequencing","quantity":1,"unit":"per sample","category":"Bioinformatics Analysis"}]</t>
  </si>
  <si>
    <t>2024-03-07T00:00:00.000Z</t>
  </si>
  <si>
    <t>VMENF-Q-2024-097</t>
  </si>
  <si>
    <t>[{"unit":"per sample","quantity":5,"name":"Whole Genome Sequencing (NextSeq 1000)","type":"laboratory","price":59725,"category":"Next Generation Sequencing"}]</t>
  </si>
  <si>
    <t>VMENF-Q-2024-098</t>
  </si>
  <si>
    <t>[{"type":"Bioinformatics","unit":"per sample","quantity":5,"price":29257.6,"category":"Bioinformatics Analysis, WGS"}]</t>
  </si>
  <si>
    <t>VMENF-Q-2024-099</t>
  </si>
  <si>
    <t>[{"unit":"per project","price":201172.3,"quantity":1,"type":"bioinformatics","service":"Whole Genome Sequencing (WGS) Analysis","category":"Bioinformatics Analysis"}]</t>
  </si>
  <si>
    <t>2024-03-08T00:00:00.000Z</t>
  </si>
  <si>
    <t>VMENF-Q-2024-100</t>
  </si>
  <si>
    <t>[{"service":"Bacterial Genome Annotation and other Downstream Analysis","quantity":1,"type":"bioinformatics","price":4875.58,"unit":"per sample","category":"Bioinformatics Analysis"}]</t>
  </si>
  <si>
    <t>2024-03-12T00:00:00.000Z</t>
  </si>
  <si>
    <t>VMENF-Q-2024-101</t>
  </si>
  <si>
    <t>[{"type":"bioinformatics","service":"Read Mapping, Bacterial Genome Annotation and other Downstream Analysis","unit":"per sample","price":10096.15,"quantity":1}]</t>
  </si>
  <si>
    <t>2024-03-20T00:00:00.000Z</t>
  </si>
  <si>
    <t>VMENF-Q-2024-102</t>
  </si>
  <si>
    <t>[{"type":"laboratory","name":"Bacterial (spin column) Nucleic Acid Extraction","price":940,"quantity":9,"category":"Nucleic Acid Extraction","unit":"per sample"},{"quantity":2,"price":590,"name":"Agarose Gel Electrophoresis","unit":"per run","type":"laboratory","category":"Nucleic Acid Quantification"},{"price":300,"name":"MultiSkan Sky Spectrophotometry","unit":"per run","category":"Nucleic Acid Quantification","quantity":1,"type":"laboratory"},{"quantity":9,"name":"End-point PCR","price":450,"unit":"per sample","category":"PCR/Real-Time PCR","type":"laboratory"},{"quantity":9,"category":"DNA/PCR Purification","unit":"per sample","price":300,"type":"laboratory","name":"PCR Product Purification"},{"name":"Amplicon Sequencing Lib Prep","unit":"per sample","price":5100,"category":"Library Preparation","type":"laboratory","quantity":9},{"type":"laboratory","quantity":0.1,"name":"Illumina NextSeq 1000 (P3 Reagent v3 Kit 300 cycles)","price":483750,"unit":"per run","category":"Next Generation Sequencing"}]</t>
  </si>
  <si>
    <t>internal</t>
  </si>
  <si>
    <t>VMENF-Q-2024-103</t>
  </si>
  <si>
    <t>[{"type":"laboratory","unit":"per run","name":"Agarose Gel Electrophoresis","quantity":6,"category":"Nucleic Acid Quantification","price":590},{"unit":"per sample","quantity":72,"name":"End-point PCR","price":300,"category":"PCR/Real-Time PCR","type":"laboratory"},{"type":"laboratory","name":"Amplicon Sequencing Lib Prep","price":5100,"quantity":72,"category":"Library Preparation","unit":"per sample"},{"quantity":1,"name":"Illumina NextSeq 1000 (P1 Reagent v3 Kit 300 cycles)","type":"laboratory","price":82680,"unit":"per run","category":"Next Generation Sequencing"}]</t>
  </si>
  <si>
    <t>2024-03-22T00:00:00.000Z</t>
  </si>
  <si>
    <t>VMENF-Q-2024-104</t>
  </si>
  <si>
    <t>[{"type":"laboratory","unit":"per sample","price":940,"name":"Bacterial Nucleic Acid Extraction (spin column)","category":"Nucleic Acid Extraction","quantity":5},{"type":"laboratory","name":"Agarose Gel Electrophoresis","unit":"per run","quantity":1,"category":"Nucleic Acid Quantification","price":590},{"unit":"per run","name":"MultiSkan Sky Spectrophotometry","type":"laboratory","price":300,"quantity":1,"category":"Nucleic Acid Quantification"},{"quantity":5,"name":"End-point PCR","unit":"per sample","type":"laboratory","price":300,"category":"PCR/Real-Time PCR"}]</t>
  </si>
  <si>
    <t>VMENF-Q-2024-105</t>
  </si>
  <si>
    <t>[{"quantity":1,"price":590,"unit":"per run","name":"Agarose Gel Electrophoresis","type":"laboratory","category":"Nucleic Acid Extraction"},{"price":300,"unit":"per sample","name":"End-point PCR","quantity":5,"type":"laboratory","category":"PCR/Real-time PCR"}]</t>
  </si>
  <si>
    <t>VMENF-Q-2024-106</t>
  </si>
  <si>
    <t>[{"service":"Bioinformatics Analysis - Whole Genome Sequencing","type":"Bioinformatics","svc":"Bioinformatics Analysis","unit":"per sample","quantity":1,"price":4351.81,"category":"Bioinformatics Analysis"}]</t>
  </si>
  <si>
    <t>2024-04-01T00:00:00.000Z</t>
  </si>
  <si>
    <t>VMENF-Q-2024-107</t>
  </si>
  <si>
    <t>[{"category":"Bioinformatics","type":"bioinformatics","name":"Bioinformatics Analysis – Whole Genome Sequencing (72 samples)","unit":"lot","price":366408.434,"quantity":1}]</t>
  </si>
  <si>
    <t>2024-04-02T00:00:00.000Z</t>
  </si>
  <si>
    <t>VMENF-Q-2024-108</t>
  </si>
  <si>
    <t>[{"category":"Laboratory","type":"laboratory","name":"Bacterial (spin column)","unit":"sample(s)","price":940,"quantity":8},{"category":"Laboratory","type":"laboratory","name":"Agarose Gel Electrophoresis","unit":"run(s)","price":590,"quantity":1},{"category":"Laboratory","type":"laboratory","name":"MultiScan UV Spectrophotometry","unit":"run(s)","price":300,"quantity":1},{"category":"Laboratory","type":"laboratory","name":"End-point PCR","unit":"sample(s)","price":300,"quantity":8}]</t>
  </si>
  <si>
    <t>VMENF-Q-2024-109</t>
  </si>
  <si>
    <t>[{"type":"laboratory","category":"Library Preparation","name":"Amplicon Sequencing Lib Prep","unit":"per sample","price":5100,"quantity":2}]</t>
  </si>
  <si>
    <t>2024-04-04T00:00:00.000Z</t>
  </si>
  <si>
    <t>VMENF-Q-2024-110</t>
  </si>
  <si>
    <t>[{"type":"laboratory","category":"Nucleic Acid Extraction","name":"Bacterial (spin column)","unit":"per sample","price":940,"quantity":20},{"type":"laboratory","category":"Nucleic Acid Quantification","name":"Agarose Gel Electrophoresis","unit":"per run (12 samples)","price":590,"quantity":4},{"type":"laboratory","category":"Nucleic Acid Quantification","name":"MultiScan Sky Spectrophotometry","unit":"per run (15 samples)","price":300,"quantity":2},{"type":"laboratory","category":"PCR/Real-Time PCR","name":"End-point PCR","unit":"per sample","price":300,"quantity":20},{"type":"laboratory","category":"Library Preparation","name":"Amplicon Sequencing Lib Prep","unit":"per sample","price":5100,"quantity":20},{"type":"laboratory","category":"Next Generation Sequencing","name":"P2 Reagent v3 Kit (300 cycles) — Illumina NextSeq 1000","unit":"per run","price":483750,"quantity":0.2}]</t>
  </si>
  <si>
    <t>VMENF-Q-2024-111</t>
  </si>
  <si>
    <t>[{"type":"laboratory","category":"Nucleic Acid Extraction","name":"Bacterial (spin column)","unit":"per sample","price":940,"quantity":9},{"type":"laboratory","category":"Nucleic Acid Quantification","name":"Agarose Gel Electrophoresis","unit":"per run (12 samples)","price":590,"quantity":1},{"type":"laboratory","category":"Nucleic Acid Quantification","name":"MultiSkan Sky Spectrophotometry","unit":"per run (15 samples)","price":300,"quantity":1}]</t>
  </si>
  <si>
    <t>VMENF-Q-2024-112</t>
  </si>
  <si>
    <t>[{"type":"laboratory","category":"Nucleic Acid Extraction","name":"Bacterial (spin column)","unit":"per sample","price":940,"quantity":3},{"type":"laboratory","category":"Nucleic Acid Quantification","name":"Agarose Gel Electrophoresis","unit":"per run (12 samples)","price":590,"quantity":2},{"type":"laboratory","category":"Nucleic Acid Quantification","name":"MultiSkan Sky Spectrophotometry","unit":"per run (15 samples)","price":300,"quantity":1},{"type":"laboratory","category":"PCR/Real-Time PCR","name":"End-point PCR","unit":"per sample","price":300,"quantity":6},{"type":"laboratory","category":"Library Preparation","name":"Amplicon Sequencing Lib Prep","unit":"per sample","price":5100,"quantity":6}]</t>
  </si>
  <si>
    <t>VMENF-Q-2024-113</t>
  </si>
  <si>
    <t>[{"type":"equipment","service":"Biosafety Cabinet (Labconco Logic Class II Type A)","unit":"per hour","price":270,"quantity":4},{"type":"equipment","service":"Electrophoresis System (Advance Mupid One)","unit":"per hour","price":170,"quantity":2},{"type":"equipment","service":"Gel Documentation System (Bio-Rad Gel Doc XR+)","unit":"per hour","price":410,"quantity":1},{"type":"equipment","service":"Gradient Thermal Cycler (Bio-Rad T100)","unit":"per hour","price":190,"quantity":3},{"type":"equipment","service":"Incubator Cabinet (Binder BD-115)","unit":"per hour","price":150,"quantity":2},{"type":"equipment","service":"Hot plate stirrer (Thermo Scientific)","unit":"per hour","price":120,"quantity":1},{"type":"equipment","service":"Microwave Spectrophotometer w/ uDrop plate (Multiskan Sky)","unit":"per hour","price":350,"quantity":1},{"type":"equipment","service":"Refrigerated microcentrifuge (Thermo Scientific Fresco 17)","unit":"per hour","price":190,"quantity":4},{"type":"equipment","service":"SDS-PAGE (Bio-Rad Mini Protean Tetra Cell &amp; Power Pac Basic)","unit":"per hour","price":180,"quantity":1},{"type":"equipment","service":"Standard Minifuge (DLab D1008)","unit":"per hour","price":100,"quantity":1},{"type":"equipment","service":"Water bath (Julabo Pur 14)","unit":"per hour","price":150,"quantity":2},{"type":"equipment","service":"Liquid Nitrogen Tank","unit":"per hour","price":100,"quantity":9},{"type":"laboratory","service":"End-point PCR","unit":"per sample","price":300,"quantity":3},{"type":"laboratory","service":"Amplicon Sequencing Lib Prep","unit":"per sample","price":5100,"quantity":3}]</t>
  </si>
  <si>
    <t>VMENF-Q-2024-114</t>
  </si>
  <si>
    <t>[{"type":"laboratory","service":"Bacterial Nucleic Acid Extraction (spin column)","unit":"sample(s)","price":940,"quantity":9},{"type":"laboratory","service":"Agarose Gel Electrophoresis","unit":"run(s)","price":590,"quantity":1},{"type":"laboratory","service":"MultiSkan Sky Spectrophotometer","unit":"run(s)","price":300,"quantity":1}]</t>
  </si>
  <si>
    <t>VMENF-Q-2024-115</t>
  </si>
  <si>
    <t>[{"quantity":2,"category":"Nucleic Acid Extraction","unit":"per sample","name":"Bacterial (spin column)","price":940,"type":"laboratory"},{"quantity":1,"name":"Agarose Gel Electrophoresis","price":590,"unit":"per run (12 samples)","type":"laboratory","category":"Nucleic Acid Quantification"},{"type":"laboratory","category":"Nucleic Acid Quantification","price":300,"name":"MultiSkan Sky Spectrophotometry","unit":"per run (15 samples)","quantity":1},{"name":"16s Metagenomics","type":"laboratory","category":"Library Preparation","quantity":2,"unit":"per sample","price":4750},{"name":"i1 Reagent v2 Kit (300 cycles)","type":"laboratory","quantity":0.04,"unit":"per run","price":82680,"category":"Next Generation Sequencing\t\t\t\t"}]</t>
  </si>
  <si>
    <t>2024-04-24T00:00:00.000Z</t>
  </si>
  <si>
    <t>VMENF-Q-2024-116</t>
  </si>
  <si>
    <t>[{"type":"laboratory","category":"Nucleic Acid Extraction","name":"Bacterial (spin column)","unit":"per sample","price":940,"quantity":6},{"type":"laboratory","category":"Nucleic Acid Quantification","name":"Agarose Gel Electrophoresis","unit":"per run (12 samples)","price":590,"quantity":1},{"type":"laboratory","category":"Nucleic Acid Quantification","name":"MultiSkan Sky Spectrophotometry","unit":"per run (15 samples)","price":300,"quantity":1},{"type":"laboratory","category":"Library Preparation","name":"16s Metagenomics","unit":"per sample","price":4750,"quantity":6},{"type":"laboratory","category":"Next Generation Sequencing","name":"Il Reagent v2 Kit (300 cycles)","unit":"per run","price":82680,"quantity":1}]</t>
  </si>
  <si>
    <t>2024-04-30T00:00:00.000Z</t>
  </si>
  <si>
    <t>VMENF-Q-2024-117</t>
  </si>
  <si>
    <t>[{"type":"laboratory","category":"Nucleic Acid Extraction","name":"Bacterial (spin column)","unit":"per sample","price":940,"quantity":2},{"type":"laboratory","category":"Nucleic Acid Quantification","name":"Agarose Gel Electrophoresis","unit":"per run (12 samples)","price":590,"quantity":1},{"type":"laboratory","category":"Nucleic Acid Quantification","name":"MultiSkan Sky Spectrophotometry","unit":"per run (15 samples)","price":300,"quantity":1},{"type":"laboratory","category":"Library Preparation","name":"16s Metagenomics","unit":"per sample","price":4750,"quantity":2},{"type":"laboratory","category":"Next Generation Sequencing","name":"Il Reagent v2 Kit (300 cycles)","unit":"per run","price":82680,"quantity":1}]</t>
  </si>
  <si>
    <t>VMENF-Q-2024-118</t>
  </si>
  <si>
    <t>[{"unit":"per sample","type":"laboratory","quantity":4,"price":940,"category":"Nucleic Acid Extraction","name":"Bacterial (spin column)"},{"category":"Nucleic Acid Quantification","name":"Agarose Gel Electrophoresis","type":"laboratory","quantity":2,"unit":"per run (12 samples)","price":590},{"quantity":1,"type":"laboratory","unit":"per run (15 samples)","category":"Nucleic Acid Quantification","name":"MultiSkan Sky Spectrophotometry","price":300},{"unit":"per sample","type":"laboratory","price":300,"name":"End-point PCR","quantity":4,"category":"PCR/Real-time PCR"},{"name":"Amplicon Sequencing Lib Prep","price":5100,"category":"Capillary Sequencing","unit":"per sample","quantity":4,"type":"laboratory"},{"unit":"per run","quantity":0.04,"name":"Il Reagent v2 Kit (300 cycles)","category":"Next Generation Sequencing","type":"laboratory","price":82680}]</t>
  </si>
  <si>
    <t>VMENF-Q-2024-119</t>
  </si>
  <si>
    <t>[{"type":"laboratory","category":"Library Preparation","name":"Amplicon Sequencing Lib Prep","unit":"per sample","price":5100,"quantity":4}]</t>
  </si>
  <si>
    <t>VMENF-Q-2024-120</t>
  </si>
  <si>
    <t>[{"type":"laboratory","category":"Nucleic Acid Extraction","name":"Bacterial (spin column)","unit":"per sample","price":940,"quantity":10},{"type":"laboratory","category":"Nucleic Acid Quantification","name":"Agarose Gel Electrophoresis","unit":"per run","price":590,"quantity":2},{"type":"laboratory","category":"Nucleic Acid Quantification","name":"MultiScan Sky Spectrophotometry","unit":"per run","price":300,"quantity":1},{"type":"laboratory","category":"PCR/Real-time PCR","name":"End-point PCR","unit":"per sample","price":300,"quantity":10},{"type":"laboratory","category":"Library Preparation","name":"Amplicon Sequencing Lib Prep","unit":"per sample","price":5100,"quantity":10},{"type":"laboratory","category":"Next Generation Sequencing","name":"Ilumina iSeq 100","unit":"per run","price":82680,"quantity":0.05}]</t>
  </si>
  <si>
    <t>VMENF-Q-2024-121</t>
  </si>
  <si>
    <t>[{"type":"laboratory","category":"Nucleic Acid Extraction","name":"Bacterial (spin column)","unit":"per sample","price":940,"quantity":3},{"type":"laboratory","category":"Nucleic Acid Quantification","name":"Agarose Gel Electrophoresis","unit":"per run","price":590,"quantity":2},{"type":"laboratory","category":"Nucleic Acid Quantification","name":"MultiScan Sky Spectrophotometry","unit":"per run","price":300,"quantity":1},{"type":"laboratory","category":"Library Preparation","name":"16s Metagenomics","unit":"per sample","price":4750,"quantity":3},{"type":"laboratory","category":"Next Generation Sequencing","name":"Ilumina iSeq 100","unit":"per run","price":82680,"quantity":1}]</t>
  </si>
  <si>
    <t>VMENF-Q-2024-122</t>
  </si>
  <si>
    <t>[{"type":"laboratory","category":"Library Preparation","name":"Amplicon Sequencing Lib Prep","unit":"per sample","price":5100,"quantity":1},{"type":"laboratory","category":"Next Generation Sequencing","name":"Ilumina iSeq 100","unit":"per run","price":82680,"quantity":0.02}]</t>
  </si>
  <si>
    <t>2024-05-21T00:00:00.000Z</t>
  </si>
  <si>
    <t>VMENF-Q-2024-123</t>
  </si>
  <si>
    <t>[{"type":"laboratory","category":"Next Generation Sequencing","name":"Whole Genome Sequencing - Variant Calling","unit":"per sample","price":33509.2,"quantity":5}]</t>
  </si>
  <si>
    <t>2024-05-27T00:00:00.000Z</t>
  </si>
  <si>
    <t>VMENF-Q-2024-124</t>
  </si>
  <si>
    <t>[{"type":"laboratory","category":"Nucleic Acid Extraction","name":"Bacterial (spin column)","unit":"per sample","price":940,"quantity":100},{"type":"laboratory","category":"Nucleic Acid Quantification","name":"MultiScan Sky Spectrophotometry","unit":"per run","price":300,"quantity":7},{"type":"laboratory","category":"Library Preparation","name":"16s Metagenomics","unit":"per sample","price":4750,"quantity":100},{"type":"laboratory","category":"Next Generation Sequencing","name":"Ilumina iSeq 100","unit":"per run","price":82680,"quantity":1}]</t>
  </si>
  <si>
    <t>2024-05-29T00:00:00.000Z</t>
  </si>
  <si>
    <t>VMENF-Q-2024-125</t>
  </si>
  <si>
    <t>[{"type":"laboratory","category":"Next Generation Sequencing","name":"WGS - Variant Calling","unit":"per sample","price":4251.52,"quantity":5}]</t>
  </si>
  <si>
    <t>2024-05-30T00:00:00.000Z</t>
  </si>
  <si>
    <t>VMENF-Q-2024-126</t>
  </si>
  <si>
    <t>[{"type":"laboratory","category":"None","name":"No Services","unit":"n/a","price":0,"quantity":0}]</t>
  </si>
  <si>
    <t>2024-05-31T00:00:00.454Z</t>
  </si>
  <si>
    <t>VMENF-Q-2024-127</t>
  </si>
  <si>
    <t>[{"type":"laboratory","category":"Nucleic Acid Extraction","name":"Bacterial (spin column)","unit":"per sample","price":940,"quantity":48},{"type":"laboratory","category":"Nucleic Acid Quantification","name":"Agarose Gel Electrophoresis","unit":"per run","price":590,"quantity":4},{"type":"laboratory","category":"Nucleic Acid Quantification","name":"MultiScan Sky Spectrophotometry","unit":"per run","price":300,"quantity":4},{"type":"laboratory","category":"PCR/Real-time PCR","name":"End-point PCR","unit":"per sample","price":300,"quantity":48},{"type":"laboratory","category":"Library Preparation","name":"16s Metagenomics","unit":"per sample","price":4750,"quantity":48},{"type":"laboratory","category":"Next Generation Sequencing","name":"iReagent v1 Kit (300 cycles)","unit":"per run","price":82680,"quantity":1.5},{"type":"laboratory","category":"Retail Sales","name":"Type 2 (Pure/Elix) Distilled Water","unit":"per L","price":280,"quantity":1},{"type":"laboratory","category":"Retail Sales","name":"Type 1 (Ultrapure/Milli-Q) Water","unit":"per 0.3L","price":900,"quantity":1}]</t>
  </si>
  <si>
    <t>2024-06-11T00:00:00.000Z</t>
  </si>
  <si>
    <t>VMENF-Q-2024-128</t>
  </si>
  <si>
    <t>[{"type":"laboratory","category":"Nucleic Acid Quantification","name":"MultiScan Sky Spectrophotometry","unit":"run(s)","price":300,"quantity":3},{"type":"laboratory","category":"Library Preparation","name":"16s Metagenomics","unit":"sample(s)","price":4750,"quantity":9},{"type":"laboratory","category":"Next Generation Sequencing","name":"iSeq 100 v2 Kit (300 cycles)","unit":"run(s)","price":82800,"quantity":0.3}]</t>
  </si>
  <si>
    <t>VMENF-Q-2024-129</t>
  </si>
  <si>
    <t>[{"type":"Laboratory","category":"Nucleic Acid Extraction","name":"Bacterial (spin column)","unit":"sample(s)","price":940,"quantity":20},{"type":"Laboratory","category":"Nucleic Acid Quantification","name":"Agarose Gel Electrophoresis","unit":"run(s)","price":590,"quantity":4},{"type":"Laboratory","category":"Nucleic Acid Quantification","name":"MultiScan Sky Spectrophotometry","unit":"run(s)","price":300,"quantity":2},{"type":"Laboratory","category":"PCR/Real-time PCR","name":"End-point PCR","unit":"sample(s)","price":300,"quantity":20},{"type":"Laboratory","category":"Library Preparation","name":"DNA Library Preparation (Small and Large WG)","unit":"sample(s)","price":11350,"quantity":9},{"type":"Laboratory","category":"Library Preparation","name":"Amplicon Sequencing Lib Prep","unit":"sample(s)","price":8500,"quantity":12},{"type":"Laboratory","category":"Next Generation Sequencing","name":"P2 Reagent v3 Kit (300 cycles)","unit":"run(s)","price":483750,"quantity":0.5}]</t>
  </si>
  <si>
    <t>VMENF-Q-2024-130</t>
  </si>
  <si>
    <t>[{"type":"Equipment","category":"Equipment Use (Without Consumables)","name":"Balance, Analytical (Sartorius)","unit":"hour(s)","price":120,"quantity":8},{"type":"Equipment","category":"Equipment Use (Without Consumables)","name":"Biosafety Cabinet (Labconco Logic Class II Type A)","unit":"hour(s)","price":270,"quantity":8},{"type":"Equipment","category":"Equipment Use (Without Consumables)","name":"Shaker Incubator (Heidolph)","unit":"hour(s)","price":200,"quantity":8}]</t>
  </si>
  <si>
    <t>VMENF-Q-2024-131</t>
  </si>
  <si>
    <t>[{"type":"Laboratory","category":"Nucleic Acid Extraction","name":"Bacterial (spin column)","unit":"sample(s)","price":940,"quantity":9},{"type":"Laboratory","category":"Nucleic Acid Quantification","name":"Agarose Gel Electrophoresis","unit":"run(s)","price":590,"quantity":1},{"type":"Laboratory","category":"Nucleic Acid Quantification","name":"MultiScan Sky Spectrophotometry","unit":"run(s)","price":300,"quantity":1},{"type":"Laboratory","category":"16s Metagenomics","name":"16s Metagenomics","unit":"sample(s)","price":4750,"quantity":9},{"type":"Laboratory","category":"Next Generation Sequencing","name":"iSeq 100 (2 × 150 cycles)","unit":"run(s)","price":82680,"quantity":1}]</t>
  </si>
  <si>
    <t>2024-06-19T00:00:00.000Z</t>
  </si>
  <si>
    <t>VMENF-Q-2024-132</t>
  </si>
  <si>
    <t>[{"type":"Laboratory","category":"Library Preparation","name":"16s Metagenomics","unit":"sample(s)","price":4750,"quantity":9},{"type":"Laboratory","category":"Next Generation Sequencing","name":"II Reagent v2 Kit (300 cycles)","unit":"run(s)","price":82680,"quantity":1}]</t>
  </si>
  <si>
    <t>2024-06-20T00:00:00.000Z</t>
  </si>
  <si>
    <t>VMENF-Q-2024-133</t>
  </si>
  <si>
    <t>[{"type":"Laboratory","category":"Library Preparation","name":"TruSeq Stranded mRNA","unit":"sample(s)","price":25750,"quantity":36},{"type":"Laboratory","category":"Library Preparation","name":"TruSeq Stranded total RNA","unit":"sample(s)","price":34900,"quantity":36},{"type":"Laboratory","category":"16s Metagenomics","name":"16s Metagenomics","unit":"sample(s)","price":4750,"quantity":0},{"type":"Laboratory","category":"Next Generation Sequencing","name":"P2 Reagent v3 Kit (300 cycles)","unit":"run(s)","price":483750,"quantity":1}]</t>
  </si>
  <si>
    <t>2024-07-01T00:00:00.000Z</t>
  </si>
  <si>
    <t>VMENF-Q-2024-134</t>
  </si>
  <si>
    <t>[{"type":"Laboratory","category":"16s Metagenomics","name":"16s Metagenomics","unit":"sample(s)","price":4750,"quantity":50},{"type":"Laboratory","category":"Next Generation Sequencing","name":"iSeq 100 - v2 Kit (300 cycles)","unit":"run(s)","price":82680,"quantity":0.563}]</t>
  </si>
  <si>
    <t>VMENF-Q-2024-135</t>
  </si>
  <si>
    <t>[{"type":"Laboratory","category":"Nucleic Acid Extraction","name":"Bacterial (spin column)","unit":"sample(s)","price":940,"quantity":15},{"type":"Laboratory","category":"Nucleic Acid Quantification","name":"Qubit 4.0 fluorometry","unit":"run(s)","price":190,"quantity":15},{"type":"Laboratory","category":"Nucleic Acid Quantification","name":"Agarose Gel Electrophoresis","unit":"run(s)","price":590,"quantity":1.2},{"type":"Laboratory","category":"Nucleic Acid Quantification","name":"MultiScan Sky Spectrophotometry","unit":"run(s)","price":300,"quantity":1},{"type":"Laboratory","category":"PCR/Real-time PCR","name":"End-point PCR","unit":"sample(s)","price":300,"quantity":6},{"type":"Laboratory","category":"Library Preparation","name":"DNA Library Preparation (Small and Large WG)","unit":"sample(s)","price":11350,"quantity":9},{"type":"Laboratory","category":"Library Preparation","name":"Ampicon Sequencing Lib Prep","unit":"sample(s)","price":5100,"quantity":6},{"type":"Laboratory","category":"Next Generation Sequencing","name":"Illumina iSeq 100 - i1 Reagent v2 Kit (300 cycles)","unit":"run(s)","price":82680,"quantity":1}]</t>
  </si>
  <si>
    <t>2024-07-04T00:00:00.000Z</t>
  </si>
  <si>
    <t>VMENF-Q-2024-136</t>
  </si>
  <si>
    <t>[{"type":"laboratory","category":"Nucleic Acid Extraction","name":"Bacterial (spin column)","unit":"sample(s)","price":940,"quantity":12},{"type":"laboratory","category":"Nucleic Acid Quantification","name":"Qubit 4.0 fluorometry","unit":"run(s)","price":190,"quantity":13},{"type":"laboratory","category":"Nucleic Acid Quantification","name":"Agilent Bioanalyzer","unit":"run(s)","price":13320,"quantity":2.5},{"type":"laboratory","category":"Nucleic Acid Quantification","name":"Agarose Gel Electrophoresis","unit":"run(s)","price":590,"quantity":4},{"type":"laboratory","category":"Nucleic Acid Quantification","name":"MultiScan Sky Spectrophotometry","unit":"run(s)","price":300,"quantity":4},{"type":"laboratory","category":"Library Preparation","name":"DNA Library Preparation (Small and Large WG)","unit":"sample(s)","price":11350,"quantity":6},{"type":"laboratory","category":"Next Generation Sequencing","name":"i1 Reagent v2 Kit (300 cycles)","unit":"run(s)","price":82680,"quantity":2}]</t>
  </si>
  <si>
    <t>{"name":"Jasmine C. Velo","position":"University Researcher I"}</t>
  </si>
  <si>
    <t>2024-07-10T00:00:00.000Z</t>
  </si>
  <si>
    <t>VMENF-Q-2024-137</t>
  </si>
  <si>
    <t>[{"type":"equipment","category":"Equipment Use (Without Consumables)","name":"Autoclave (ALP CL-32L)","unit":"hour(s)","price":240,"quantity":1},{"type":"equipment","category":"Equipment Use (Without Consumables)","name":"Balance, Analytical (Sartorius)","unit":"hour(s)","price":120,"quantity":8},{"type":"equipment","category":"Equipment Use (Without Consumables)","name":"Biosafety Cabinet (Labconco Logic Class II Type A)","unit":"hour(s)","price":270,"quantity":4},{"type":"equipment","category":"Equipment Use (Without Consumables)","name":"Micropipettor (Single Channel)","unit":"hour(s)","price":110,"quantity":1},{"type":"equipment","category":"Equipment Use (Without Consumables)","name":"Shaker Incubator (Heidolph)","unit":"hour(s)","price":200,"quantity":8}]</t>
  </si>
  <si>
    <t>2024-07-16T00:00:00.000Z</t>
  </si>
  <si>
    <t>VMENF-Q-2024-138</t>
  </si>
  <si>
    <t>[{"type":"laboratory","category":"Nucleic Acid Extraction","name":"Bacterial (spin column)","unit":"sample(s)","price":940,"quantity":1},{"type":"laboratory","category":"Nucleic Acid Quantification","name":"Agarose Gel Electrophoresis","unit":"run(s)","price":590,"quantity":1},{"type":"laboratory","category":"Nucleic Acid Quantification","name":"MultiScan Sky Spectrophotometry","unit":"run(s)","price":300,"quantity":1},{"type":"laboratory","category":"DNA/PCR Purification","name":"PCR Product Purification","unit":"sample(s)","price":450,"quantity":1},{"type":"laboratory","category":"PCR/Real-time PCR","name":"End-point PCR","unit":"sample(s)","price":300,"quantity":1},{"type":"laboratory","category":"Library Preparation","name":"Amplicon Sequencing Lib Prep","unit":"sample(s)","price":5100,"quantity":1}]</t>
  </si>
  <si>
    <t>2024-07-17T00:00:00.000Z</t>
  </si>
  <si>
    <t>VMENF-Q-2024-139</t>
  </si>
  <si>
    <t>[{"type":"Bioinformatics","category":"Bioinformatics Analysis","name":"16s Metagenomics","unit":"sample(s)","price":56522.59,"quantity":1}]</t>
  </si>
  <si>
    <t>2024-08-01T00:00:00.000Z</t>
  </si>
  <si>
    <t>VMENF-Q-2024-140</t>
  </si>
  <si>
    <t>[{"type":"Bioinformatics","category":"Bioinformatics Analysis","name":"16s Metagenomics","unit":"sample(s)","price":0,"quantity":1}]</t>
  </si>
  <si>
    <t>2024-08-05T00:00:00.000Z</t>
  </si>
  <si>
    <t>VMENF-Q-2024-141</t>
  </si>
  <si>
    <t>VMENF-Q-2024-142</t>
  </si>
  <si>
    <t>[{"type":"Laboratory","category":"Nucleic Acid Extraction","name":"Bacterial (spin column)","unit":"sample(s)","price":940,"quantity":1},{"type":"Laboratory","category":"Nucleic Acid Quantification","name":"Qubit 4.0 fluorometer","unit":"run(s)","price":190,"quantity":1},{"type":"Laboratory","category":"Nucleic Acid Quantification","name":"Agarose Gel Electrophoresis","unit":"run(s)","price":590,"quantity":1},{"type":"Laboratory","category":"Library Preparation","name":"DNA Library Preparation (Small and Large WG)","unit":"sample(s)","price":11350,"quantity":1},{"type":"Laboratory","category":"Next Generation Sequencing","name":"i1 Reagent v2 Kit (300 cycles)","unit":"run(s)","price":82680,"quantity":0.1}]</t>
  </si>
  <si>
    <t>2024-08-22T00:00:00.000Z</t>
  </si>
  <si>
    <t>VMENF-Q-2024-143</t>
  </si>
  <si>
    <t>[{"type":"Laboratory","category":"Library Preparation","name":"Amplicon Sequencing Lib Prep","unit":"sample(s)","price":5100,"quantity":0}]</t>
  </si>
  <si>
    <t>VMENF-Q-2024-144</t>
  </si>
  <si>
    <t>[{"type":"Bioinformatics","category":"Amplicon","name":"Bioinformatics Analysis (Amplicon)","unit":"sample(s)","price":12279.52,"quantity":1}]</t>
  </si>
  <si>
    <t>VMENF-Q-2024-146</t>
  </si>
  <si>
    <t>[{"type":"Laboratory","category":"Nucleic Acid Extraction","name":"Bacterial (spin column)","unit":"sample(s)","price":940,"quantity":25},{"type":"Laboratory","category":"Nucleic Acid Quantification","name":"Agarose Gel Electrophoresis","unit":"run(s)","price":590,"quantity":4},{"type":"Laboratory","category":"Nucleic Acid Quantification","name":"MultiScan Sky Spectrophotometry","unit":"run(s)","price":300,"quantity":4},{"type":"Laboratory","category":"PCR/Real-time PCR","name":"End-point PCR","unit":"sample(s)","price":300,"quantity":25},{"type":"Laboratory","category":"Library Preparation","name":"Amplicon Sequencing Lib Prep","unit":"sample(s)","price":5100,"quantity":25},{"type":"Laboratory","category":"Next Generation Sequencing","name":"Illumina iSeq 100 – i1 Reagent v2 Kit (300 cycles)","unit":"run(s)","price":82680,"quantity":0.1}]</t>
  </si>
  <si>
    <t>VMENF-Q-2024-147</t>
  </si>
  <si>
    <t>[{"type":"Laboratory","category":"Nucleic Acid Extraction","name":"Bacterial (spin column)","unit":"sample(s)","price":940,"quantity":130},{"type":"Laboratory","category":"Nucleic Acid Quantification","name":"Agarose Gel Electrophoresis","unit":"run(s)","price":590,"quantity":11},{"type":"Laboratory","category":"Nucleic Acid Quantification","name":"MultiScan Sky Spectrophotometry","unit":"run(s)","price":300,"quantity":9},{"type":"Laboratory","category":"PCR/Real-time PCR","name":"End-point PCR","unit":"sample(s)","price":300,"quantity":130}]</t>
  </si>
  <si>
    <t>VMENF-Q-2024-148</t>
  </si>
  <si>
    <t>[{"type":"Laboratory","category":"Sample Storage","name":"4°C Refrigerator","unit":"per month","price":1296.21,"quantity":3}]</t>
  </si>
  <si>
    <t>VMENF-Q-2024-149</t>
  </si>
  <si>
    <t>[{"type":"Laboratory","category":"Nucleic Acid Extraction","name":"Bacterial (spin column)","unit":"sample(s)","price":940,"quantity":4},{"type":"Laboratory","category":"Nucleic Acid Quantification","name":"Agarose Gel Electrophoresis","unit":"run(s)","price":590,"quantity":1},{"type":"Laboratory","category":"Nucleic Acid Quantification","name":"MultiScan Sky Spectrophotometry","unit":"run(s)","price":300,"quantity":1},{"type":"Laboratory","category":"Library Preparation","name":"16s Metagenomics","unit":"sample(s)","price":4750,"quantity":4}]</t>
  </si>
  <si>
    <t>2024-09-03T00:00:00.000Z</t>
  </si>
  <si>
    <t>VMENF-Q-2024-150</t>
  </si>
  <si>
    <t>[{"type":"Bioinformatics","category":"Bioinformatics Analysis","name":"16s Metagenomics","unit":"run(s)","price":4611.07,"quantity":1}]</t>
  </si>
  <si>
    <t>2024-09-04T00:00:00.000Z</t>
  </si>
  <si>
    <t>VMENF-Q-2024-152</t>
  </si>
  <si>
    <t>[{"type":"laboratory","category":"Nucleic Acid Extraction","name":"Bacterial (spin column)","unit":"sample(s)","price":940,"quantity":10},{"type":"laboratory","category":"Nucleic Acid Quantification","name":"Qubit 4.0 fluorometry","unit":"sample(s)","price":190,"quantity":10},{"type":"laboratory","category":"Nucleic Acid Quantification","name":"Agarose Gel Electrophoresis","unit":"run(s)","price":590,"quantity":1},{"type":"laboratory","category":"Library Preparation","name":"DNA Library Preparation (Small and Large WG)","unit":"sample(s)","price":11350,"quantity":10},{"type":"laboratory","category":"Next Generation Sequencing","name":"Illumina iSeq 100 - 1 Reagent v3 Kit (300 cycles)","unit":"run(s)","price":82680,"quantity":1}]</t>
  </si>
  <si>
    <t>2024-09-12T00:00:00.000Z</t>
  </si>
  <si>
    <t>VMENF-Q-2024-153</t>
  </si>
  <si>
    <t>[{"type":"laboratory","category":"Nucleic Acid Extraction","name":"Bacterial (spin column)","unit":"sample(s)","price":940,"quantity":9},{"type":"laboratory","category":"Nucleic Acid Quantification","name":"Qubit 4.0 fluorometry","unit":"sample(s)","price":190,"quantity":9},{"type":"laboratory","category":"Nucleic Acid Quantification","name":"Agarose Gel Electrophoresis","unit":"run(s)","price":590,"quantity":1},{"type":"laboratory","category":"Library Preparation","name":"TruSeq Stranded total RNA","unit":"sample(s)","price":18700,"quantity":0},{"type":"laboratory","category":"Library Preparation","name":"16s Metagenomics","unit":"sample(s)","price":4750,"quantity":9},{"type":"laboratory","category":"Next Generation Sequencing","name":"iReagent v2 Kit (300 cycles)","unit":"run(s)","price":82680,"quantity":1}]</t>
  </si>
  <si>
    <t>VMENF-Q-2024-154</t>
  </si>
  <si>
    <t>[{"type":"Laboratory","category":"Nucleic Acid Extraction","name":"Bacterial (spin column)","unit":"sample(s)","price":940,"quantity":1},{"type":"Laboratory","category":"Nucleic Acid Quantification","name":"Qubit 4.0 fluorometry","unit":"run(s)","price":190,"quantity":1},{"type":"Laboratory","category":"Nucleic Acid Quantification","name":"Agarose Gel Electrophoresis","unit":"run(s)","price":590,"quantity":1},{"type":"Laboratory","category":"Library Preparation","name":"DNA Library Preparation (Small and Large WG)","unit":"sample(s)","price":11350,"quantity":1},{"type":"Laboratory","category":"Next Generation Sequencing","name":"Illumina iSeq 100: i1 Reagent v2 Kit (300 cycles)","unit":"run(s)","price":82680,"quantity":0.1}]</t>
  </si>
  <si>
    <t>VMENF-Q-2024-155</t>
  </si>
  <si>
    <t>[{"type":"Laboratory","category":"Nucleic Acid Extraction","name":"Bacterial (spin column)","unit":"sample(s)","price":940,"quantity":1},{"type":"Laboratory","category":"Nucleic Acid Quantification","name":"Qubit 4.0 fluorometry","unit":"run(s)","price":190,"quantity":1},{"type":"Laboratory","category":"Nucleic Acid Quantification","name":"Agarose Gel Electrophoresis","unit":"run(s)","price":590,"quantity":2},{"type":"Laboratory","category":"Next Generation Sequencing","name":"Illumina iSeq 100: i1 Reagent v2 Kit (300 cycles)","unit":"run(s)","price":82680,"quantity":1},{"type":"Laboratory","category":"Library Preparation","name":"16s Metagenomics","unit":"sample(s)","price":4750,"quantity":1}]</t>
  </si>
  <si>
    <t>2024-09-18T00:00:00.000Z</t>
  </si>
  <si>
    <t>VMENF-Q-2024-156</t>
  </si>
  <si>
    <t>[{"type":"laboratory","category":"Nucleic Acid Extraction","name":"Bacterial (spin column)","unit":"sample(s)","price":940,"quantity":6},{"type":"laboratory","category":"Nucleic Acid Extraction","name":"Animal blood (magnetic-bead)","unit":"sample(s)","price":910,"quantity":4},{"type":"laboratory","category":"Nucleic Acid Quantification","name":"Qubit 4.0 fluorometry","unit":"run(s)","price":190,"quantity":10},{"type":"laboratory","category":"Capillary Sequencing","name":"Amplicon Sequencing Lib Prep","unit":"sample(s)","price":5100,"quantity":4}]</t>
  </si>
  <si>
    <t>VMENF-Q-2024-157</t>
  </si>
  <si>
    <t>[{"type":"laboratory","category":"Nucleic Acid Extraction","name":"Bacterial (spin column)","unit":"sample(s)","price":940,"quantity":20},{"type":"laboratory","category":"Nucleic Acid Quantification","name":"Agarose Gel Electrophoresis","unit":"run(s)","price":590,"quantity":2},{"type":"laboratory","category":"Nucleic Acid Quantification","name":"MultiSkan Sky Spectrophotometry","unit":"run(s)","price":300,"quantity":2},{"type":"laboratory","category":"Capillary Sequencing","name":"Amplicon Sequencing Lib Prep","unit":"sample(s)","price":5100,"quantity":20},{"type":"laboratory","category":"Next Generation Sequencing","name":"Illumina iSeq 100","unit":"run(s)","price":82680,"quantity":1}]</t>
  </si>
  <si>
    <t>2024-09-18T00:00:00.546Z</t>
  </si>
  <si>
    <t>VMENF-Q-2024-158</t>
  </si>
  <si>
    <t>[{"type":"Laboratory","category":"Nucleic Acid Extraction","name":"Bacterial (spin column)","unit":"sample(s)","price":940,"quantity":5},{"type":"Laboratory","category":"Nucleic Acid Quantification","name":"MultiSkan Sky Spectrophotometry","unit":"run(s)","price":300,"quantity":2}]</t>
  </si>
  <si>
    <t>2024-09-18T01:00:00.116Z</t>
  </si>
  <si>
    <t>VMENF-Q-2024-159</t>
  </si>
  <si>
    <t>[{"type":"Laboratory","category":"Nucleic Acid Extraction","name":"Bacterial (spin column)","unit":"sample(s)","price":940,"quantity":1},{"type":"Laboratory","category":"Nucleic Acid Quantification","name":"Qubit 4.0 fluorometry","unit":"run(s)","price":190,"quantity":1},{"type":"Laboratory","category":"Nucleic Acid Quantification","name":"Agarose Gel Electrophoresis","unit":"run(s)","price":590,"quantity":1},{"type":"Laboratory","category":"Library Preparation","name":"DNA Library Preparation (Small and Large WG)","unit":"sample(s)","price":11350,"quantity":1},{"type":"Laboratory","category":"Next Generation Sequencing","name":"P2 Reagent v3 Kit (300 cycles)","unit":"run(s)","price":483750,"quantity":1}]</t>
  </si>
  <si>
    <t>2024-09-19T00:00:00.341Z</t>
  </si>
  <si>
    <t>VMENF-Q-2024-160</t>
  </si>
  <si>
    <t>[{"type":"Laboratory","category":"Nucleic Acid Extraction","name":"Bacterial (spin column)","unit":"sample(s)","price":940,"quantity":1},{"type":"Laboratory","category":"Nucleic Acid Quantification","name":"Agarose Gel Electrophoresis","unit":"run(s)","price":590,"quantity":1},{"type":"Laboratory","category":"PCR/Real-time PCR","name":"End-point PCR","unit":"sample(s)","price":300,"quantity":1},{"type":"Laboratory","category":"DNA/PCR Purification","name":"Amplicon Sequencing Lib Prep","unit":"sample(s)","price":5100,"quantity":1},{"type":"Laboratory","category":"Next Generation Sequencing","name":"Illumina iSeq 100 (iSeq Reagent V2 Kit 300 cycles)","unit":"run(s)","price":82680,"quantity":0.1}]</t>
  </si>
  <si>
    <t>2024-09-19T02:00:00.054Z</t>
  </si>
  <si>
    <t>VMENF-Q-2024-161</t>
  </si>
  <si>
    <t>[{"type":"laboratory","category":"Nucleic Acid Extraction","name":"Bacterial (spin column)","unit":"sample(s)","price":940,"quantity":1},{"type":"laboratory","category":"Nucleic Acid Quantification","name":"Agarose Gel Electrophoresis","unit":"run(s)","price":590,"quantity":1},{"type":"laboratory","category":"PCR/Real-time PCR","name":"End-point PCR","unit":"sample(s)","price":300,"quantity":1},{"type":"laboratory","category":"Library Preparation","name":"Amplicon Sequencing Lib Prep","unit":"sample(s)","price":5100,"quantity":1},{"type":"laboratory","category":"Next Generation Sequencing","name":"Illumina iSeq 100 (Reagent v2 Kit (300 cycles))","unit":"run(s)","price":82680,"quantity":0.1}]</t>
  </si>
  <si>
    <t>2024-09-19T03:00:00.878Z</t>
  </si>
  <si>
    <t>VMENF-Q-2024-162</t>
  </si>
  <si>
    <t>[{"type":"laboratory","category":"Nucleic Acid Quantification","name":"Qubit 4.0 fluorometry","unit":"run(s)","price":190,"quantity":15},{"type":"laboratory","category":"Library Preparation","name":"Amplicon Sequencing Lib Prep","unit":"sample(s)","price":5100,"quantity":15},{"type":"laboratory","category":"Next Generation Sequencing","name":"Illumina NextSeq 1000 - P2 Reagent v3 Kit (100 cycles)","unit":"run(s)","price":199450,"quantity":0.2}]</t>
  </si>
  <si>
    <t>2024-09-26T00:00:00.000Z</t>
  </si>
  <si>
    <t>VMENF-Q-2024-163</t>
  </si>
  <si>
    <t>[{"type":"laboratory","category":"Nucleic Acid Extraction","name":"Bacterial (spin column)","unit":"sample(s)","price":940,"quantity":2},{"type":"laboratory","category":"Nucleic Acid Quantification","name":"Qubit 4.0 fluorometry","unit":"run(s)","price":190,"quantity":2},{"type":"laboratory","category":"Nucleic Acid Quantification","name":"Agarose Gel Electrophoresis","unit":"run(s)","price":590,"quantity":1},{"type":"laboratory","category":"Library Preparation","name":"DNA Library Preparation (Small and Large WG)","unit":"sample(s)","price":11350,"quantity":2},{"type":"laboratory","category":"Next Generation Sequencing","name":"Illumina NextSeq 1000 - P2 Reagent v3 Kit (100 cycles)","unit":"run(s)","price":199450,"quantity":0.1}]</t>
  </si>
  <si>
    <t>VMENF-Q-2024-164</t>
  </si>
  <si>
    <t>[{"type":"bioinformatics","category":"Genome Assembly","name":"Mitochondrial Genome Assembly","unit":"project","price":45363.46,"quantity":1}]</t>
  </si>
  <si>
    <t>2024-09-30T00:00:00.000Z</t>
  </si>
  <si>
    <t>VMENF-Q-2024-165</t>
  </si>
  <si>
    <t>[{"type":"bioinformatics","category":"Genome Assembly","name":"Whole Genome Assembly","unit":"project","price":54403.84,"quantity":1}]</t>
  </si>
  <si>
    <t>VMENF-Q-2024-166</t>
  </si>
  <si>
    <t>[{"type":"laboratory","category":"Basic Molecular Techniques","name":"Basic Molecular Techniques","unit":"sample","price":0,"quantity":0},{"type":"laboratory","category":"Amplicon Sequencing","name":"Amplicon Sequencing","unit":"sample","price":0,"quantity":0}]</t>
  </si>
  <si>
    <t>VMENF-Q-2024-167</t>
  </si>
  <si>
    <t>[{"type":"training","category":"Training","name":"Laboratory Services (Training) - Bioinformatics Workflow for Amplicon Assembly","unit":"bundle","price":60108.91,"quantity":1}]</t>
  </si>
  <si>
    <t>VMENF-Q-2024-168</t>
  </si>
  <si>
    <t>[{"type":"laboratory","category":"Molecular Biology","name":"16s Metagenomics and Amplicon Sequencing","unit":"bundle","price":183500,"quantity":1}]</t>
  </si>
  <si>
    <t>VMENF-Q-2024-169</t>
  </si>
  <si>
    <t>[{"type":"bioinformatics","category":"Population Genetics","name":"Bioinformatics Analysis (Population Genetics)","unit":"bundle","price":4935.58,"quantity":1}]</t>
  </si>
  <si>
    <t>2024-10-03T00:00:00.000Z</t>
  </si>
  <si>
    <t>VMENF-Q-2024-170</t>
  </si>
  <si>
    <t>[{"type":"bioinformatics","category":"Whole Genome Sequencing","name":"Bioinformatics Analysis (WGS and Annotation)","unit":"bundle","price":49817.29,"quantity":1}]</t>
  </si>
  <si>
    <t>VMENF-Q-2024-171</t>
  </si>
  <si>
    <t>[{"type":"Laboratory","category":"Nucleic Acid Extraction","name":"Bacterial (spin column)","unit":"sample(s)","price":940,"quantity":5},{"type":"Laboratory","category":"Nucleic Acid Quantification","name":"Qubit 4.0 fluorometry","unit":"run(s)","price":190,"quantity":5},{"type":"Laboratory","category":"Nucleic Acid Quantification","name":"Agarose Gel Electrophoresis","unit":"run(s)","price":590,"quantity":1},{"type":"Laboratory","category":"Library Preparation","name":"Amplicon Sequencing Lib Prep","unit":"sample(s)","price":650,"quantity":5},{"type":"Laboratory","category":"Next Generation Sequencing","name":"P2 Reagent v3 Kit (100 cycles)","unit":"run(s)","price":199450,"quantity":0.05}]</t>
  </si>
  <si>
    <t>VMENF-Q-2024-172</t>
  </si>
  <si>
    <t>[{"type":"Laboratory","category":"Library Preparation","name":"16s Metagenomics","unit":"sample(s)","price":4750,"quantity":24},{"type":"Laboratory","category":"Next Generation Sequencing","name":"i1 Reagent v2 Kit (300 cycles)","unit":"run(s)","price":82680,"quantity":0.8}]</t>
  </si>
  <si>
    <t>VMENF-Q-2024-173</t>
  </si>
  <si>
    <t>[{"type":"laboratory","category":"Nucleic Acid Extraction","name":"Bacterial (spin column)","unit":"sample(s)","price":940,"quantity":15},{"type":"laboratory","category":"Nucleic Acid Quantification","name":"Agarose Gel Electrophoresis","unit":"run(s)","price":590,"quantity":1},{"type":"laboratory","category":"Nucleic Acid Quantification","name":"MultiSkan Sky Spectrophotometry","unit":"run(s)","price":300,"quantity":1},{"type":"laboratory","category":"PCR/Real-time PCR","name":"End-point PCR","unit":"sample(s)","price":300,"quantity":15},{"type":"laboratory","category":"Library Preparation","name":"Amplicon Sequencing Lib Prep","unit":"sample(s)","price":5100,"quantity":15},{"type":"laboratory","category":"Next Generation Sequencing","name":"Illumina iSeq 100 – i1 Reagent v2 Kit (300 cycles)","unit":"run(s)","price":82680,"quantity":0.1}]</t>
  </si>
  <si>
    <t>2024-10-22T00:00:00.000Z</t>
  </si>
  <si>
    <t>VMENF-Q-2024-174</t>
  </si>
  <si>
    <t>[{"type":"laboratory","category":"Nucleic Acid Extraction","name":"Bacterial (spin column)","unit":"sample(s)","price":940,"quantity":10},{"type":"laboratory","category":"Nucleic Acid Quantification","name":"Agarose Gel Electrophoresis","unit":"run(s)","price":590,"quantity":2},{"type":"laboratory","category":"Nucleic Acid Quantification","name":"MultiSkan Sky Spectrophotometry","unit":"run(s)","price":300,"quantity":10},{"type":"laboratory","category":"PCR/Real-time PCR","name":"End-point PCR","unit":"sample(s)","price":300,"quantity":10},{"type":"laboratory","category":"Library Preparation","name":"Amplicon Sequencing Lib Prep","unit":"sample(s)","price":5100,"quantity":10},{"type":"laboratory","category":"Next Generation Sequencing","name":"Illumina iSeq 100 – i1 Reagent v2 Kit (300 cycles)","unit":"run(s)","price":82680,"quantity":0.01}]</t>
  </si>
  <si>
    <t>VMENF-Q-2024-175</t>
  </si>
  <si>
    <t>[{"type":"Laboratory","category":"Package","name":"Extraction to Sequencing","unit":"sample(s)","price":6664.95,"quantity":40}]</t>
  </si>
  <si>
    <t>2024-11-04T00:00:00.000Z</t>
  </si>
  <si>
    <t>VMENF-Q-2024-176</t>
  </si>
  <si>
    <t>[{"type":"Laboratory","category":"Package","name":"2 Sample WGS Package","unit":"sample(s)","price":7198.4,"quantity":2}]</t>
  </si>
  <si>
    <t>2024-11-05T00:00:00.000Z</t>
  </si>
  <si>
    <t>VMENF-Q-2024-177</t>
  </si>
  <si>
    <t>[{"type":"Laboratory","category":"Package","name":"WGS","unit":"sample(s)","price":6710.32,"quantity":21}]</t>
  </si>
  <si>
    <t>2024-11-08T00:00:00.000Z</t>
  </si>
  <si>
    <t>VMENF-Q-2024-178</t>
  </si>
  <si>
    <t>[{"type":"Laboratory","category":"16s Metagenomics","name":"16s Metagenomic Sequencing - Internal Rate","unit":"sample(s)","price":7554.67,"quantity":3}]</t>
  </si>
  <si>
    <t>2024-11-11T00:00:00.000Z</t>
  </si>
  <si>
    <t>VMENF-Q-2024-179</t>
  </si>
  <si>
    <t>[{"type":"Laboratory","category":"Library Preparation","name":"16s Metagenomics","unit":"sample(s)","price":0,"quantity":0}]</t>
  </si>
  <si>
    <t>VMENF-Q-2024-180</t>
  </si>
  <si>
    <t>[{"type":"Bioinformatics","category":"Bioinformatics Analysis","name":"Bioinformatics Analysis","unit":"sample(s)","price":7294.469,"quantity":20}]</t>
  </si>
  <si>
    <t>VMENF-Q-2024-181</t>
  </si>
  <si>
    <t>[{"type":"Laboratory","category":"Nucleic Acid Extraction","name":"Bacterial (spin column)","unit":"sample(s)","price":940,"quantity":5},{"type":"Laboratory","category":"Nucleic Acid Quantification","name":"Qubit 4.0 fluorometry","unit":"run(s)","price":190,"quantity":6},{"type":"Laboratory","category":"Nucleic Acid Quantification","name":"Agilent Bioanalyzer","unit":"run(s)","price":1110,"quantity":1},{"type":"Laboratory","category":"Nucleic Acid Quantification","name":"Agarose Gel Electrophoresis","unit":"run(s)","price":590,"quantity":1},{"type":"Laboratory","category":"Nucleic Acid Quantification","name":"MultiSkan Sky Spectrophotometry","unit":"run(s)","price":300,"quantity":1},{"type":"Laboratory","category":"Library Preparation","name":"Amplicon Sequencing Lib Prep","unit":"sample(s)","price":2194,"quantity":5},{"type":"Laboratory","category":"Next Generation Sequencing","name":"P2 Reagent v3 Kit (100 cycles)","unit":"run(s)","price":199450,"quantity":0.01}]</t>
  </si>
  <si>
    <t>VMENF-Q-2024-182</t>
  </si>
  <si>
    <t>[{"type":"Laboratory","category":"Nucleic Acid Extraction","name":"Bacterial (spin column)","unit":"sample(s)","price":940,"quantity":50},{"type":"Laboratory","category":"Nucleic Acid Quantification","name":"Qubit 4.0 fluorometry","unit":"sample(s)","price":190,"quantity":3},{"type":"Laboratory","category":"Nucleic Acid Quantification","name":"Agilent Bioanalyzer","unit":"run(s)","price":1110,"quantity":2},{"type":"Laboratory","category":"Nucleic Acid Quantification","name":"Agarose Gel Electrophoresis","unit":"run(s)","price":590,"quantity":5},{"type":"Laboratory","category":"Library Preparation","name":"Targeted Metagenomics/Metabarcoding","unit":"sample(s)","price":4750,"quantity":35},{"type":"Laboratory","category":"Next Generation Sequencing","name":"i1 Reagent v2 Kit (300 cycles)","unit":"run(s)","price":82680,"quantity":0.1}]</t>
  </si>
  <si>
    <t>2024-11-15T00:00:00.000Z</t>
  </si>
  <si>
    <t>VMENF-Q-2024-183</t>
  </si>
  <si>
    <t>[{"type":"Laboratory","category":"","name":"Whole Genome Sequencing","unit":"sample(s)","price":0,"quantity":0}]</t>
  </si>
  <si>
    <t>VMENF-Q-2024-184</t>
  </si>
  <si>
    <t>[{"type":"Laboratory","category":"Nucleic Acid Extraction","name":"Bacterial (spin column)","unit":"sample(s)","price":940,"quantity":1},{"type":"Laboratory","category":"Nucleic Acid Quantification","name":"Qubit 4.0 fluorometry","unit":"run(s)","price":190,"quantity":1},{"type":"Laboratory","category":"Nucleic Acid Quantification","name":"Agarose Gel Electrophoresis","unit":"run(s)","price":590,"quantity":1},{"type":"Laboratory","category":"Library Preparation","name":"Amplicon Sequencing Lib Prep","unit":"sample(s)","price":2436.3,"quantity":1},{"type":"Laboratory","category":"Next Generation Sequencing","name":"P2 Reagent v3 Kit (100 cycles)","unit":"run(s)","price":994.5,"quantity":1}]</t>
  </si>
  <si>
    <t>2024-11-18T00:00:00.000Z</t>
  </si>
  <si>
    <t>VMENF-Q-2024-185</t>
  </si>
  <si>
    <t>[{"type":"Laboratory","category":"Nucleic Acid Quantification","name":"Agarose Gel Electrophoresis","unit":"run(s)","price":590,"quantity":4.1},{"type":"Laboratory","category":"Nucleic Acid Quantification","name":"MultiSkan Sky Spectrophotometry","unit":"run(s)","price":300,"quantity":5.1},{"type":"Laboratory","category":"PCR/Real-time PCR","name":"End-point PCR","unit":"sample(s)","price":300,"quantity":30},{"type":"Laboratory","category":"Library Preparation","name":"Amplicon Sequencing Lib Prep","unit":"sample(s)","price":2194,"quantity":60},{"type":"Laboratory","category":"Next Generation Sequencing","name":"i1 Reagent v2 Kit (300 cycles)","unit":"run(s)","price":82680,"quantity":1}]</t>
  </si>
  <si>
    <t>2024-11-20T00:00:00.000Z</t>
  </si>
  <si>
    <t>VMENF-Q-2024-186</t>
  </si>
  <si>
    <t>[{"type":"Laboratory","category":"Library Preparation","name":"Amplicon Sequencing Lib Prep","unit":"sample(s)","price":2194,"quantity":3},{"type":"Laboratory","category":"Capillary Sequencing","name":"Capillary Sequencing","unit":"sample(s)","price":1612.5,"quantity":3}]</t>
  </si>
  <si>
    <t>VMENF-Q-2024-187</t>
  </si>
  <si>
    <t>[{"type":"Laboratory","category":"Nucleic Acid Extraction","name":"Bacterial (spin column)","unit":"sample(s)","price":940,"quantity":19},{"type":"Laboratory","category":"Nucleic Acid Quantification","name":"Qubit 4.0 fluorometry","unit":"sample(s)","price":190,"quantity":17},{"type":"Laboratory","category":"Nucleic Acid Quantification","name":"Agarose Gel Electrophoresis","unit":"run(s)","price":590,"quantity":6.8},{"type":"Laboratory","category":"Nucleic Acid Quantification","name":"MultiSkan Sky Spectrophotometry","unit":"run(s)","price":300,"quantity":2},{"type":"Laboratory","category":"Library Preparation","name":"16s Metagenomics","unit":"sample(s)","price":4750,"quantity":17},{"type":"Laboratory","category":"Next Generation Sequencing","name":"P2 Reagent v3 Kit (100 cycles)","unit":"run(s)","price":199450,"quantity":0.1},{"type":"Laboratory","category":"Bioinformatics Analysis","name":"Bioinformatics Analysis","unit":"sample","price":493,"quantity":12}]</t>
  </si>
  <si>
    <t>VMENF-Q-2024-188</t>
  </si>
  <si>
    <t>[{"type":"Retail Sales","category":"Retail Sales","name":"Type 1 (Ultrapure/Milli-Q) Water","unit":"3L","price":900,"quantity":3.33333}]</t>
  </si>
  <si>
    <t>VMENF-Q-2024-189</t>
  </si>
  <si>
    <t>[{"type":"Laboratory","category":"Nucleic Acid Extraction","name":"Bacterial (spin column)","unit":"sample(s)","price":940,"quantity":10},{"type":"Laboratory","category":"Library Preparation","name":"16s Metagenomics","unit":"sample(s)","price":4750,"quantity":10},{"type":"Laboratory","category":"Next Generation Sequencing","name":"Illumina NextSeq 1000 - P2 Reagent v3 Kit (100 cycles)","unit":"run(s)","price":199450,"quantity":0.0765}]</t>
  </si>
  <si>
    <t>VMENF-Q-2024-190</t>
  </si>
  <si>
    <t>2024-11-29T00:00:00.000Z</t>
  </si>
  <si>
    <t>VMENF-Q-2024-191</t>
  </si>
  <si>
    <t>[{"type":"Bioinformatics","category":"Assembly and Annotation","name":"Extraction + De novo assembly (2) + Annotation","unit":"package","price":62610.11,"quantity":1},{"type":"Bioinformatics","category":"Annotation","name":"Extraction to annotation only","unit":"package","price":4684.81,"quantity":1}]</t>
  </si>
  <si>
    <t>2024-12-02T00:00:00.000Z</t>
  </si>
  <si>
    <t>VMENF-Q-2024-192</t>
  </si>
  <si>
    <t>[{"type":"Laboratory","category":"Nucleic Acid Extraction","name":"Bacterial (spin column)","unit":"sample(s)","price":940,"quantity":4},{"type":"Laboratory","category":"Nucleic Acid Quantification","name":"Qubit 4.0 fluorometry","unit":"run(s)","price":190,"quantity":4},{"type":"Laboratory","category":"Nucleic Acid Quantification","name":"Agarose Gel Electrophoresis","unit":"run(s)","price":590,"quantity":1},{"type":"Laboratory","category":"Nucleic Acid Quantification","name":"MultiSkan Sky Spectrophotometry","unit":"run(s)","price":300,"quantity":1},{"type":"Laboratory","category":"Library Preparation","name":"DNA Library Preparation (Small and Large WG)","unit":"sample(s)","price":11350,"quantity":4},{"type":"Laboratory","category":"Next Generation Sequencing","name":"P2 Reagent v3 Kit (300 cycles)","unit":"run(s)","price":483750,"quantity":0.1}]</t>
  </si>
  <si>
    <t>VMENF-Q-2025-193</t>
  </si>
  <si>
    <t>[{"type":"Laboratory","category":"Library Preparation","name":"Metabarcoding (16S, 18S, ITS)","unit":"sample(s)","price":55145,"quantity":1}]</t>
  </si>
  <si>
    <t>2025-01-02T00:00:00.000Z</t>
  </si>
  <si>
    <t>VMENF-Q-2025-194</t>
  </si>
  <si>
    <t>[{"type":"Laboratory","category":"Library Preparation","name":"Amplicon Sequencing Lib Prep","unit":"sample(s)","price":5100,"quantity":5},{"type":"Laboratory","category":"Next Generation Sequencing","name":"Illumina iSeq 100 i1 Reagent v2 Kit (300 cycles)","unit":"run(s)","price":82680,"quantity":0.495}]</t>
  </si>
  <si>
    <t>VMENF-Q-2025-195</t>
  </si>
  <si>
    <t>[{"type":"Equipment","category":"Equipment Use (Without Consumables)","name":"Spectrophotometer","unit":"hour(s)","price":1240,"quantity":1},{"type":"Equipment","category":"Equipment Use (Without Consumables)","name":"Pipettes (single and multichannel)","unit":"hour(s)","price":1240,"quantity":1},{"type":"Equipment","category":"Equipment Use (Without Consumables)","name":"Tips for pipette","unit":"set(s)","price":250,"quantity":2}]</t>
  </si>
  <si>
    <t>VMENF-Q-2025-196</t>
  </si>
  <si>
    <t>[{"type":"Laboratory","category":"Library Preparation","name":"Amplicon Sequencing Lib Prep","unit":"sample(s)","price":2194,"quantity":7},{"type":"Laboratory","category":"Next Generation Sequencing","name":"P2 Reagent v3 Kit (300 cycles)","unit":"run(s)","price":483750,"quantity":0.01}]</t>
  </si>
  <si>
    <t>2025-01-16T00:00:00.000Z</t>
  </si>
  <si>
    <t>VMENF-Q-2025-197</t>
  </si>
  <si>
    <t>[{"type":"Bioinformatics","category":"Transcriptome","name":"Transcriptome analysis","unit":"package","price":62610.11,"quantity":1}]</t>
  </si>
  <si>
    <t>2025-01-21T00:00:00.000Z</t>
  </si>
  <si>
    <t>VMENF-Q-2025-198</t>
  </si>
  <si>
    <t>[{"type":"Laboratory","category":"Nucleic Acid Extraction","name":"Bacterial (spin column)","unit":"sample(s)","price":940,"quantity":10},{"type":"Laboratory","category":"Nucleic Acid Quantification","name":"Qubit 4.0 fluorometry","unit":"run(s)","price":190,"quantity":10},{"type":"Laboratory","category":"Nucleic Acid Quantification","name":"Agilent Bioanalyzer","unit":"run(s)","price":1110,"quantity":2.1},{"type":"Laboratory","category":"Nucleic Acid Quantification","name":"Agarose Gel Electrophoresis","unit":"run(s)","price":590,"quantity":2},{"type":"Laboratory","category":"Nucleic Acid Quantification","name":"MultiSkan Sky Spectrophotometry","unit":"run(s)","price":300,"quantity":1.1},{"type":"Laboratory","category":"Library Preparation","name":"DNA Library Preparation (Small and Large WG)","unit":"sample(s)","price":11350,"quantity":10},{"type":"Laboratory","category":"Library Preparation","name":"16s Metagenomics","unit":"sample(s)","price":4750,"quantity":10},{"type":"Laboratory","category":"Next Generation Sequencing","name":"P2 Reagent v3 Kit (300 cycles)","unit":"run(s)","price":483750,"quantity":0.25}]</t>
  </si>
  <si>
    <t>2025-02-03T00:00:00.730Z</t>
  </si>
  <si>
    <t>VMENF-Q-2025-199</t>
  </si>
  <si>
    <t>[{"type":"Bioinformatics","category":"Metabarcoding","name":"Picrust2 run","unit":"run","price":0,"quantity":0}]</t>
  </si>
  <si>
    <t>2025-02-03T00:00:00.000Z</t>
  </si>
  <si>
    <t>VMENF-Q-2025-200</t>
  </si>
  <si>
    <t>[{"type":"Laboratory","category":"Nucleic Acid Extraction","name":"Bacterial (spin column)","unit":"sample(s)","price":940,"quantity":1},{"type":"Laboratory","category":"Nucleic Acid Quantification","name":"Agarose Gel Electrophoresis","unit":"run(s)","price":590,"quantity":1},{"type":"Laboratory","category":"Nucleic Acid Quantification","name":"MultiSkan Sky Spectrophotometry","unit":"run(s)","price":300,"quantity":1},{"type":"Laboratory","category":"Library Preparation","name":"Metagenomics/Metabarcoding","unit":"sample(s)","price":4750,"quantity":1},{"type":"Laboratory","category":"Next Generation Sequencing","name":"i1 Reagent v2 Kit (300 cycles)","unit":"run(s)","price":82680,"quantity":0.05}]</t>
  </si>
  <si>
    <t>2025-02-07T00:00:00.000Z</t>
  </si>
  <si>
    <t>VMENF-Q-2025-201</t>
  </si>
  <si>
    <t>[{"type":"Laboratory","category":"Nucleic Acid Extraction","name":"Bacterial (spin column)","unit":"sample(s)","price":940,"quantity":40},{"type":"Laboratory","category":"Nucleic Acid Quantification","name":"Agarose Gel Electrophoresis","unit":"run(s)","price":590,"quantity":6},{"type":"Laboratory","category":"Nucleic Acid Quantification","name":"MultiSkan Sky Spectrophotometry","unit":"run(s)","price":300,"quantity":4},{"type":"Laboratory","category":"PCR/Real-time PCR","name":"End-point PCR","unit":"sample(s)","price":300,"quantity":40},{"type":"Laboratory","category":"Library Preparation","name":"Amplicon Sequencing Lib Prep","unit":"sample(s)","price":2194,"quantity":40},{"type":"Laboratory","category":"Next Generation Sequencing","name":"Illumina iSeq 100 - i1 Reagent v2 Kit (300 cycles)","unit":"run(s)","price":82680,"quantity":1}]</t>
  </si>
  <si>
    <t>VMENF-Q-2025-202</t>
  </si>
  <si>
    <t>[{"type":"Bioinformatics","category":"Whole Genome Sequencing","name":"WGS - Bioinformatics Analysis","unit":"sample(s)","price":0,"quantity":10},{"type":"Bioinformatics","category":"Metabarcoding","name":"eDNA Metabarcoding Analysis","unit":"sample(s)","price":0,"quantity":2}]</t>
  </si>
  <si>
    <t>2025-02-13T00:00:00.000Z</t>
  </si>
  <si>
    <t>VMENF-Q-2025-203</t>
  </si>
  <si>
    <t>[{"type":"Laboratory","category":"Whole Genome Sequencing","name":"Bacterial Whole Genome Sequencing","unit":"sample(s)","price":61255,"quantity":1}]</t>
  </si>
  <si>
    <t>VMENF-Q-2025-204</t>
  </si>
  <si>
    <t>[{"type":"Laboratory","category":"Nucleic Acid Extraction","name":"Bacterial (spin column)","unit":"sample(s)","price":940,"quantity":16},{"type":"Laboratory","category":"Nucleic Acid Quantification","name":"Agilent Bioanalyzer","unit":"run(s)","price":1110,"quantity":1},{"type":"Laboratory","category":"Nucleic Acid Quantification","name":"Agarose Gel Electrophoresis","unit":"run(s)","price":590,"quantity":2},{"type":"Laboratory","category":"Nucleic Acid Quantification","name":"MultiSkan Sky Spectrophotometry","unit":"run(s)","price":300,"quantity":2},{"type":"Laboratory","category":"PCR/Real-time PCR","name":"End-point PCR","unit":"sample(s)","price":300,"quantity":16},{"type":"Laboratory","category":"Library Preparation","name":"Amplicon Sequencing Lib Prep","unit":"sample(s)","price":2194,"quantity":16},{"type":"Laboratory","category":"Next Generation Sequencing","name":"P2 Reagent v3 Kit (300 cycles)","unit":"run(s)","price":483750,"quantity":0.01}]</t>
  </si>
  <si>
    <t>VMENF-Q-2025-205</t>
  </si>
  <si>
    <t>["laboratory","Bioinformatics"]</t>
  </si>
  <si>
    <t>[{"type":"Laboratory","category":"Next Generation Sequencing","name":"Whole Genome Sequencing (WGS)","unit":"sample(s)","price":68849.47,"quantity":1}]</t>
  </si>
  <si>
    <t>VMENF-Q-2025-206</t>
  </si>
  <si>
    <t>[{"type":"Bioinformatics","category":"Comparative Genomics","name":"Core Genome Phylogenetics Analysis","unit":"analysis","price":2135.5,"quantity":2}]</t>
  </si>
  <si>
    <t>2025-02-14T00:00:00.000Z</t>
  </si>
  <si>
    <t>VMENF-Q-2025-207</t>
  </si>
  <si>
    <t>[{"type":"Laboratory","category":"","name":"","unit":"sample","price":6297.75,"quantity":2}]</t>
  </si>
  <si>
    <t>2025-02-17T00:00:00.000Z</t>
  </si>
  <si>
    <t>VMENF-Q-2025-208</t>
  </si>
  <si>
    <t>[{"type":"Laboratory","category":"","name":"","unit":"sample","price":8861.5,"quantity":1}]</t>
  </si>
  <si>
    <t>VMENF-Q-2025-209</t>
  </si>
  <si>
    <t>[{"type":"Laboratory","category":"Nucleic Acid Extraction","name":"Bacterial (spin column)","unit":"sample","price":940,"quantity":22},{"type":"Laboratory","category":"Nucleic Acid Quantification","name":"Agarose Gel Electrophoresis","unit":"run","price":590,"quantity":1.7},{"type":"Laboratory","category":"Nucleic Acid Quantification","name":"MultiSkan Sky Spectrophotometry","unit":"run","price":300,"quantity":2},{"type":"Laboratory","category":"PCR/Real-time PCR","name":"End-point PCR","unit":"sample","price":300,"quantity":22},{"type":"Laboratory","category":"Library Preparation","name":"Amplicon Sequencing Lib Prep","unit":"sample","price":2194,"quantity":22},{"type":"Laboratory","category":"Next Generation Sequencing","name":"P2 Reagent v3 Kit (300 cycles)","unit":"run","price":483750,"quantity":0.01}]</t>
  </si>
  <si>
    <t>VMENF-Q-2025-210</t>
  </si>
  <si>
    <t>[{"type":"Bioinformatics","category":"Bioinformatics Analysis","name":"Bioinformatics Analysis","unit":"analysis","price":2220.91,"quantity":15}]</t>
  </si>
  <si>
    <t>VMENF-Q-2025-211</t>
  </si>
  <si>
    <t>[{"type":"Laboratory","category":"Nucleic Acid Extraction","name":"Bacterial (spin column)","unit":"sample(s)","price":940,"quantity":15},{"type":"Laboratory","category":"Nucleic Acid Quantification","name":"Agarose Gel Electrophoresis","unit":"run(s)","price":590,"quantity":2},{"type":"Laboratory","category":"Library Preparation","name":"16s Metagenomics","unit":"sample(s)","price":4750,"quantity":15},{"type":"Laboratory","category":"Next Generation Sequencing","name":"P2 Reagent v3 Kit (300 cycles)","unit":"run(s)","price":483750,"quantity":0.05}]</t>
  </si>
  <si>
    <t>VMENF-Q-2025-212</t>
  </si>
  <si>
    <t>[{"type":"Laboratory","category":"Nucleic Acid Extraction","name":"Extraction","unit":"sample(s)","price":0,"quantity":10},{"type":"Laboratory","category":"PCR/Real-time PCR","name":"PCR","unit":"sample(s)","price":0,"quantity":10}]</t>
  </si>
  <si>
    <t>2025-02-27T00:00:00.000Z</t>
  </si>
  <si>
    <t>VMENF-Q-2025-213</t>
  </si>
  <si>
    <t>[{"type":"Laboratory","category":"Nucleic Acid Extraction","name":"Bacterial (spin column)","unit":"sample(s)","price":940,"quantity":14},{"type":"Laboratory","category":"Nucleic Acid Quantification","name":"Agarose Gel Electrophoresis","unit":"run(s)","price":590,"quantity":2},{"type":"Laboratory","category":"Nucleic Acid Quantification","name":"MultiSkan Sky Spectrophotometry","unit":"run(s)","price":300,"quantity":2},{"type":"Laboratory","category":"PCR/Real-time PCR","name":"End-point PCR","unit":"sample(s)","price":300,"quantity":14},{"type":"Laboratory","category":"Library Preparation","name":"Amplicon Sequencing Lib Prep","unit":"sample(s)","price":2194,"quantity":14},{"type":"Laboratory","category":"Next Generation Sequencing","name":"P2 Reagent v3 Kit (300 cycles)","unit":"run(s)","price":483750,"quantity":0.01}]</t>
  </si>
  <si>
    <t>2025-03-06T00:00:00.000Z</t>
  </si>
  <si>
    <t>VMENF-Q-2025-214</t>
  </si>
  <si>
    <t>["laboratory","bioinformatics"]</t>
  </si>
  <si>
    <t>[{"type":"Laboratory","category":"Library Preparation","name":"TruSeq Stranded mRNA","unit":"sample(s)","price":25750,"quantity":5},{"type":"Laboratory","category":"Library Preparation","name":"Amplicon Sequencing Lib Prep","unit":"sample(s)","price":2194,"quantity":4},{"type":"Laboratory","category":"Next Generation Sequencing","name":"i1 Reagent v2 Kit (300 cycles)","unit":"run(s)","price":82680,"quantity":0.1},{"type":"Bioinformatics","category":"Bioinformatics","name":"Bioinformatics Analysis","unit":"Lot","price":8296,"quantity":1}]</t>
  </si>
  <si>
    <t>VMENF-Q-2025-215</t>
  </si>
  <si>
    <t>[{"type":"Laboratory","category":"Nucleic Acid Extraction","name":"Extraction, NAQ, PCR","unit":"lot","price":56750,"quantity":1}]</t>
  </si>
  <si>
    <t>2025-03-20T00:00:00.000Z</t>
  </si>
  <si>
    <t>VMENF-Q-2025-216</t>
  </si>
  <si>
    <t>[{"type":"laboratory","category":"Nucleic Acid Extraction","name":"Bacterial (spin column)","unit":"sample(s)","price":940,"quantity":4},{"type":"laboratory","category":"Nucleic Acid Quantification","name":"Qubit 4.0 fluorometry","unit":"run(s)","price":190,"quantity":1},{"type":"laboratory","category":"Nucleic Acid Quantification","name":"Agilent Bioanalyzer","unit":"run(s)","price":1110,"quantity":1},{"type":"laboratory","category":"Nucleic Acid Quantification","name":"Agarose Gel Electrophoresis","unit":"run(s)","price":590,"quantity":1},{"type":"laboratory","category":"Nucleic Acid Quantification","name":"MultiSkan Sky Spectrophotometry","unit":"run(s)","price":300,"quantity":1},{"type":"laboratory","category":"PCR/Real-time PCR","name":"End-point PCR","unit":"sample(s)","price":300,"quantity":4},{"type":"laboratory","category":"Library Preparation","name":"Amplicon Sequencing Lib Prep","unit":"sample(s)","price":2194,"quantity":4},{"type":"laboratory","category":"Next Generation Sequencing","name":"P2 Reagent v3 Kit (300 cycles)","unit":"run(s)","price":483750,"quantity":0.05}]</t>
  </si>
  <si>
    <t>VMENF-Q-2025-217</t>
  </si>
  <si>
    <t>[{"type":"laboratory","category":"Nucleic Acid Extraction","name":"Bacterial (spin column)","unit":"sample(s)","price":0,"quantity":0},{"type":"laboratory","category":"Nucleic Acid Quantification","name":"Qubit 4.0 fluorometry","unit":"run(s)","price":0,"quantity":0},{"type":"laboratory","category":"PCR/Real-time PCR","name":"End-point PCR","unit":"sample(s)","price":0,"quantity":0}]</t>
  </si>
  <si>
    <t>2025-03-21T00:00:00.000Z</t>
  </si>
  <si>
    <t>VMENF-Q-2025-218</t>
  </si>
  <si>
    <t>[{"type":"laboratory","category":"Nucleic Acid Extraction","name":"Bacterial (spin column)","unit":"sample(s)","price":940,"quantity":1},{"type":"laboratory","category":"Nucleic Acid Quantification","name":"Qubit 4.0 fluorometry","unit":"run(s)","price":190,"quantity":1},{"type":"laboratory","category":"Nucleic Acid Quantification","name":"Agilent Bioanalyzer","unit":"run(s)","price":1110,"quantity":1},{"type":"laboratory","category":"Nucleic Acid Quantification","name":"Agarose Gel Electrophoresis","unit":"run(s)","price":590,"quantity":1},{"type":"laboratory","category":"Library Preparation","name":"Amplicon Sequencing Lib Prep","unit":"sample(s)","price":2194,"quantity":1},{"type":"laboratory","category":"Next Generation Sequencing","name":"P2 Reagent v3 Kit (300 cycles)","unit":"run(s)","price":483750,"quantity":0.1}]</t>
  </si>
  <si>
    <t>VMENF-Q-2025-219</t>
  </si>
  <si>
    <t>[{"type":"laboratory","category":"Nucleic Acid Extraction","name":"Bacterial (spin column)","unit":"sample(s)","price":940,"quantity":5},{"type":"laboratory","category":"Nucleic Acid Quantification","name":"Qubit 4.0 fluorometry","unit":"run(s)","price":190,"quantity":1},{"type":"laboratory","category":"Nucleic Acid Quantification","name":"Agilent Bioanalyzer","unit":"run(s)","price":1110,"quantity":1},{"type":"laboratory","category":"Nucleic Acid Quantification","name":"Agarose Gel Electrophoresis","unit":"run(s)","price":590,"quantity":2},{"type":"laboratory","category":"Nucleic Acid Quantification","name":"MultiSkan Sky Spectrophotometry","unit":"run(s)","price":300,"quantity":1},{"type":"laboratory","category":"PCR/Real-time PCR","name":"End-point PCR","unit":"sample(s)","price":300,"quantity":5},{"type":"laboratory","category":"Library Preparation","name":"Amplicon Sequencing Lib Prep","unit":"sample(s)","price":2194,"quantity":5},{"type":"laboratory","category":"Next Generation Sequencing","name":"P2 Reagent v3 Kit (300 cycles)","unit":"run(s)","price":483750,"quantity":0.05}]</t>
  </si>
  <si>
    <t>2025-03-25T00:00:00.000Z</t>
  </si>
  <si>
    <t>VMENF-Q-2025-220</t>
  </si>
  <si>
    <t>[{"type":"equipment","category":"Equipment Use (Without Consumables)","name":"Equipment use","unit":"use(s)","price":5030,"quantity":1}]</t>
  </si>
  <si>
    <t>VMENF-Q-2025-221</t>
  </si>
  <si>
    <t>[{"type":"laboratory","category":"Extraction, NAQ, PCR","name":"Laboratory Services","unit":"package","price":13880,"quantity":1}]</t>
  </si>
  <si>
    <t>VMENF-Q-2025-222</t>
  </si>
  <si>
    <t>[{"type":"laboratory","category":"Library Preparation","name":"Amplicon Sequencing Lib Prep","unit":"sample(s)","price":2194,"quantity":6},{"type":"laboratory","category":"Next Generation Sequencing","name":"i1 Reagent v2 Kit (300 cycles)","unit":"run(s)","price":82680,"quantity":0.05}]</t>
  </si>
  <si>
    <t>2025-04-04T00:00:00.143Z</t>
  </si>
  <si>
    <t>VMENF-Q-2025-223</t>
  </si>
  <si>
    <t>[{"type":"laboratory","category":"Metagenomics Sequencing","name":"","unit":"","price":0,"quantity":0}]</t>
  </si>
  <si>
    <t>2025-04-08T00:00:00.690Z</t>
  </si>
  <si>
    <t>VMENF-Q-2025-224</t>
  </si>
  <si>
    <t>[{"type":"laboratory","category":"Extraction to Amplicon Sequencing","name":"","unit":"","price":0,"quantity":0}]</t>
  </si>
  <si>
    <t>2025-04-11T00:00:00.000Z</t>
  </si>
  <si>
    <t>VMENF-Q-2025-225</t>
  </si>
  <si>
    <t>[{"type":"laboratory","category":"Nucleic Acid Extraction","name":"Bacterial (spin column)","unit":"sample(s)","price":940,"quantity":2},{"type":"laboratory","category":"Nucleic Acid Quantification","name":"Agarose Gel Electrophoresis","unit":"run(s)","price":590,"quantity":1},{"type":"laboratory","category":"Nucleic Acid Quantification","name":"MultiSkan Sky Spectrophotometry","unit":"run(s)","price":300,"quantity":1},{"type":"laboratory","category":"PCR/Real-time PCR","name":"End-point PCR","unit":"sample(s)","price":300,"quantity":2},{"type":"laboratory","category":"Library Preparation","name":"Amplicon Sequencing Lib Prep","unit":"sample(s)","price":2194,"quantity":2},{"type":"laboratory","category":"Next Generation Sequencing","name":"P2 Reagent v3 Kit (300 cycles)","unit":"run(s)","price":483750,"quantity":0.01}]</t>
  </si>
  <si>
    <t>2025-04-14T00:00:00.000Z</t>
  </si>
  <si>
    <t>VMENF-Q-2025-226</t>
  </si>
  <si>
    <t>[{"type":"laboratory","category":"Nucleic Acid Extraction","name":"Bacterial (spin column)","unit":"sample(s)","price":940,"quantity":30},{"type":"laboratory","category":"Nucleic Acid Quantification","name":"Qubit 4.0 fluorometry","unit":"run(s)","price":190,"quantity":3},{"type":"laboratory","category":"Nucleic Acid Quantification","name":"Agilent Bioanalyzer","unit":"run(s)","price":1110,"quantity":3},{"type":"laboratory","category":"Nucleic Acid Quantification","name":"Agarose Gel Electrophoresis","unit":"run(s)","price":590,"quantity":5.2},{"type":"laboratory","category":"Nucleic Acid Quantification","name":"MultiSkan Sky Spectrophotometry","unit":"run(s)","price":300,"quantity":7},{"type":"laboratory","category":"PCR/Real-time PCR","name":"End-point PCR","unit":"sample(s)","price":300,"quantity":30},{"type":"laboratory","category":"Library Preparation","name":"Amplicon Sequencing Lib Prep","unit":"sample(s)","price":2194,"quantity":30},{"type":"laboratory","category":"Next Generation Sequencing","name":"P2 Reagent v3 Kit (300 cycles)","unit":"run(s)","price":483750,"quantity":0.1},{"type":"retail","category":"Retail Sales","name":"Type 1 (Ultrapure/Milli-Q) Water","unit":"3L","price":900,"quantity":1}]</t>
  </si>
  <si>
    <t>2025-04-22T00:00:00.981Z</t>
  </si>
  <si>
    <t>VMENF-Q-2025-227</t>
  </si>
  <si>
    <t>[{"type":"laboratory","category":"Library Preparation","name":"Amplicon Sequencing Lib Prep","unit":"sample(s)","price":2194,"quantity":43},{"type":"laboratory","category":"Next Generation Sequencing","name":"P2 Reagent v3 Kit (300 cycles)","unit":"run(s)","price":483750,"quantity":0.05}]</t>
  </si>
  <si>
    <t>2025-04-21T00:00:00.000Z</t>
  </si>
  <si>
    <t>VMENF-Q-2025-228</t>
  </si>
  <si>
    <t>[{"type":"laboratory","category":"Nucleic Acid Extraction","name":"Bacterial (spin column)","unit":"sample(s)","price":940,"quantity":2},{"type":"laboratory","category":"Nucleic Acid Quantification","name":"Qubit 4.0 fluorometry","unit":"run(s)","price":190,"quantity":1},{"type":"laboratory","category":"Nucleic Acid Quantification","name":"Agilent Bioanalyzer","unit":"run(s)","price":1110,"quantity":1},{"type":"laboratory","category":"Nucleic Acid Quantification","name":"Agarose Gel Electrophoresis","unit":"run(s)","price":590,"quantity":2},{"type":"laboratory","category":"Nucleic Acid Quantification","name":"MultiSkan Sky Spectrophotometry","unit":"run(s)","price":300,"quantity":1},{"type":"laboratory","category":"Library Preparation","name":"16s Metagenomics","unit":"sample(s)","price":4750,"quantity":2},{"type":"laboratory","category":"Next Generation Sequencing","name":"P2 Reagent v3 Kit (300 cycles)","unit":"run(s)","price":483750,"quantity":0.05}]</t>
  </si>
  <si>
    <t>VMENF-Q-2025-229</t>
  </si>
  <si>
    <t>[{"type":"laboratory","category":"Nucleic Acid Extraction","name":"Bacterial (spin column)","unit":"sample(s)","price":940,"quantity":3},{"type":"laboratory","category":"Nucleic Acid Quantification","name":"Agarose Gel Electrophoresis","unit":"run(s)","price":590,"quantity":1},{"type":"laboratory","category":"Nucleic Acid Quantification","name":"MultiSkan Sky Spectrophotometry","unit":"run(s)","price":300,"quantity":1},{"type":"laboratory","category":"PCR/Real-time PCR","name":"End-point PCR","unit":"sample(s)","price":300,"quantity":3},{"type":"laboratory","category":"Library Preparation","name":"16s Metagenomics","unit":"sample(s)","price":4750,"quantity":3},{"type":"laboratory","category":"Library Preparation","name":"Amplicon Sequencing Lib Prep","unit":"sample(s)","price":2194,"quantity":3},{"type":"laboratory","category":"Next Generation Sequencing","name":"P2 Reagent v3 Kit (300 cycles)","unit":"run(s)","price":483750,"quantity":0.05}]</t>
  </si>
  <si>
    <t>VMENF-Q-2025-230</t>
  </si>
  <si>
    <t>[{"type":"laboratory","category":"Nucleic Acid Extraction","name":"Bacterial (spin column)","unit":"sample(s)","price":940,"quantity":3},{"type":"laboratory","category":"Nucleic Acid Quantification","name":"Agarose Gel Electrophoresis","unit":"run(s)","price":590,"quantity":1},{"type":"laboratory","category":"Nucleic Acid Quantification","name":"MultiSkan Sky Spectrophotometry","unit":"run(s)","price":300,"quantity":1},{"type":"laboratory","category":"PCR/Real-time PCR","name":"End-point PCR","unit":"sample(s)","price":300,"quantity":3},{"type":"laboratory","category":"Library Preparation","name":"Amplicon Sequencing Lib Prep","unit":"sample(s)","price":2194,"quantity":3},{"type":"laboratory","category":"Next Generation Sequencing","name":"P2 Reagent v3 Kit (300 cycles)","unit":"run(s)","price":483750,"quantity":0.05}]</t>
  </si>
  <si>
    <t>VMENF-Q-2025-231</t>
  </si>
  <si>
    <t>[{"type":"laboratory","category":"Library Preparation","name":"16s Metagenomics","unit":"sample(s)","price":1274.45,"quantity":2}]</t>
  </si>
  <si>
    <t>VMENF-Q-2025-232</t>
  </si>
  <si>
    <t>[{"type":"laboratory","category":"Bundled Service","name":"Extraction to PCR","unit":"","price":6440,"quantity":1}]</t>
  </si>
  <si>
    <t>2025-05-05T00:00:00.000Z</t>
  </si>
  <si>
    <t>VMENF-Q-2025-233</t>
  </si>
  <si>
    <t>[{"type":"bioinformatics","category":"Bioinformatics Analysis","name":"Bioinformatics Analysis","unit":"","price":4961.7,"quantity":1}]</t>
  </si>
  <si>
    <t>2025-05-08T00:00:00.000Z</t>
  </si>
  <si>
    <t>VMENF-Q-2025-234</t>
  </si>
  <si>
    <t>[{"type":"laboratory","category":"","name":"","unit":"sample(s)","price":0,"quantity":0}]</t>
  </si>
  <si>
    <t>VMENF-Q-2025-235</t>
  </si>
  <si>
    <t>[{"type":"laboratory","category":"Nucleic Acid Extraction","name":"Bacterial (spin column)","unit":"sample(s)","price":940,"quantity":6},{"type":"laboratory","category":"Nucleic Acid Quantification","name":"Agarose Gel Electrophoresis","unit":"run(s)","price":590,"quantity":2},{"type":"laboratory","category":"Nucleic Acid Quantification","name":"MultiSkan Sky Spectrophotometry","unit":"run(s)","price":300,"quantity":1},{"type":"laboratory","category":"Library Preparation","name":"16s Metagenomics","unit":"sample(s)","price":4750,"quantity":6},{"type":"laboratory","category":"Next Generation Sequencing","name":"i1 Reagent v2 Kit (300 cycles)","unit":"run(s)","price":82680,"quantity":0.05}]</t>
  </si>
  <si>
    <t>2025-05-14T00:00:00.000Z</t>
  </si>
  <si>
    <t>VMENF-Q-2025-236</t>
  </si>
  <si>
    <t>[{"type":"laboratory","category":"Nucleic Acid Extraction","name":"Bacterial (spin column)","unit":"sample(s)","price":940,"quantity":14},{"type":"laboratory","category":"PCR/Real-time PCR","name":"End-point PCR","unit":"sample(s)","price":300,"quantity":70},{"type":"laboratory","category":"Nucleic Acid Quantification","name":"Agarose Gel Electrophoresis","unit":"run(s)","price":590,"quantity":10}]</t>
  </si>
  <si>
    <t>VMENF-Q-2025-237</t>
  </si>
  <si>
    <t>[{"type":"laboratory","category":"Nucleic Acid Extraction","name":"Bacterial (spin column)","unit":"sample(s)","price":940,"quantity":27},{"type":"laboratory","category":"Nucleic Acid Quantification","name":"Agarose Gel Electrophoresis","unit":"run(s)","price":590,"quantity":9},{"type":"laboratory","category":"Nucleic Acid Quantification","name":"MultiSkan Sky Spectrophotometry","unit":"run(s)","price":300,"quantity":2},{"type":"laboratory","category":"Library Preparation","name":"16s Metagenomics","unit":"sample(s)","price":4750,"quantity":27},{"type":"laboratory","category":"Next Generation Sequencing","name":"i1 Reagent v2 Kit (300 cycles)","unit":"run(s)","price":82680,"quantity":0.35}]</t>
  </si>
  <si>
    <t>2025-05-20T00:00:00.280Z</t>
  </si>
  <si>
    <t>VMENF-Q-2025-238</t>
  </si>
  <si>
    <t>[{"type":"laboratory","category":"Nucleic Acid Extraction","name":"Bacterial (spin column)","unit":"sample(s)","price":940,"quantity":45},{"type":"laboratory","category":"Nucleic Acid Quantification","name":"Qubit 4.0 fluorometry","unit":"run(s)","price":190,"quantity":1},{"type":"laboratory","category":"Nucleic Acid Quantification","name":"Agilent Bioanalyzer (per sample)","unit":"run(s)","price":1110,"quantity":1},{"type":"laboratory","category":"Nucleic Acid Quantification","name":"Agarose Gel Electrophoresis","unit":"run(s)","price":590,"quantity":8},{"type":"laboratory","category":"Nucleic Acid Quantification","name":"MultiSkan Sky Spectrophotometry","unit":"run(s)","price":2700,"quantity":5},{"type":"laboratory","category":"PCR/Real-time PCR","name":"End-point PCR","unit":"sample(s)","price":300,"quantity":30},{"type":"laboratory","category":"Library Preparation","name":"16s Metagenomics","unit":"sample(s)","price":4750,"quantity":15},{"type":"laboratory","category":"Library Preparation","name":"Amplicon Sequencing Lib Prep","unit":"sample(s)","price":2194,"quantity":30},{"type":"laboratory","category":"Next Generation Sequencing","name":"P2 Reagent v3 Kit (300 cycles)","unit":"run(s)","price":483750,"quantity":0.05}]</t>
  </si>
  <si>
    <t>2025-05-22T00:00:00.000Z</t>
  </si>
  <si>
    <t>VMENF-Q-2025-239</t>
  </si>
  <si>
    <t>[{"type":"laboratory","category":"Library Preparation","name":"16s Metagenomics","unit":"sample(s)","price":307.57,"quantity":72}]</t>
  </si>
  <si>
    <t>2025-06-03T00:00:00.000Z</t>
  </si>
  <si>
    <t>VMENF-Q-2025-240</t>
  </si>
  <si>
    <t>[{"type":"laboratory","category":"Library Preparation","name":"16s Metagenomics","unit":"sample(s)","price":4750,"quantity":22},{"type":"laboratory","category":"Library Preparation","name":"Amplicon Sequencing Lib Prep","unit":"sample(s)","price":159,"quantity":22}]</t>
  </si>
  <si>
    <t>2025-06-04T00:00:00.000Z</t>
  </si>
  <si>
    <t>VMENF-Q-2025-241</t>
  </si>
  <si>
    <t>[{"type":"laboratory","category":"Nucleic Acid Extraction","name":"Bacterial (spin column)","unit":"sample(s)","price":940,"quantity":1},{"type":"laboratory","category":"Library Preparation","name":"16s Metagenomics","unit":"sample(s)","price":4750,"quantity":1},{"type":"laboratory","category":"Next Generation Sequencing","name":"i1 Reagent v2 Kit (300 cycles)","unit":"run(s)","price":82680,"quantity":0.05}]</t>
  </si>
  <si>
    <t>2025-06-10T00:00:00.000Z</t>
  </si>
  <si>
    <t>VMENF-Q-2025-242</t>
  </si>
  <si>
    <t>[{"type":"laboratory","category":"Nucleic Acid Extraction","name":"Bacterial (spin column)","unit":"sample(s)","price":940,"quantity":40},{"type":"laboratory","category":"Nucleic Acid Quantification","name":"Agilent Bioanalyzer","unit":"run(s)","price":13320,"quantity":0.0833333333333},{"type":"laboratory","category":"Nucleic Acid Quantification","name":"Agarose Gel Electrophoresis","unit":"run(s)","price":590,"quantity":4},{"type":"laboratory","category":"Nucleic Acid Quantification","name":"MultiSkan Sky Spectrophotometry","unit":"run(s)","price":300,"quantity":5},{"type":"laboratory","category":"PCR/Real-time PCR","name":"End-point PCR","unit":"sample(s)","price":300,"quantity":40},{"type":"laboratory","category":"Library Preparation","name":"Amplicon Sequencing Lib Prep","unit":"sample(s)","price":2194,"quantity":40},{"type":"laboratory","category":"Next Generation Sequencing","name":"i1 Reagent v2 Kit (300 cycles)","unit":"run(s)","price":82680,"quantity":0.05}]</t>
  </si>
  <si>
    <t>2025-06-13T00:00:00.000Z</t>
  </si>
  <si>
    <t>VMENF-Q-2025-243</t>
  </si>
  <si>
    <t>[{"type":"laboratory","category":"Library Preparation","name":"Amplicon Sequencing Lib Prep","unit":"sample(s)","price":2194,"quantity":8},{"type":"laboratory","category":"Next Generation Sequencing","name":"i1 Reagent v2 Kit (300 cycles)","unit":"run(s)","price":82680,"quantity":0.05}]</t>
  </si>
  <si>
    <t>2025-06-16T00:00:00.000Z</t>
  </si>
  <si>
    <t>VMENF-Q-2025-244</t>
  </si>
  <si>
    <t>[{"type":"laboratory","category":"Nucleic Acid Extraction","name":"Bacterial (spin column)","unit":"sample(s)","price":940,"quantity":12},{"type":"laboratory","category":"Nucleic Acid Quantification","name":"Qubit 4.0 fluorometry","unit":"run(s)","price":190,"quantity":12},{"type":"laboratory","category":"Nucleic Acid Quantification","name":"Agilent Bioanalyzer","unit":"run(s)","price":1110,"quantity":2},{"type":"laboratory","category":"Nucleic Acid Quantification","name":"Agarose Gel Electrophoresis","unit":"run(s)","price":590,"quantity":2},{"type":"laboratory","category":"Nucleic Acid Quantification","name":"MultiSkan Sky Spectrophotometry","unit":"run(s)","price":300,"quantity":1},{"type":"laboratory","category":"Library Preparation","name":"DNA Library Preparation (Small and Large WG)","unit":"sample(s)","price":11350,"quantity":6},{"type":"laboratory","category":"Library Preparation","name":"16s Metagenomics","unit":"sample(s)","price":4750,"quantity":6},{"type":"laboratory","category":"Next Generation Sequencing","name":"i1 Reagent v2 Kit (300 cycles)","unit":"run(s)","price":82680,"quantity":1},{"type":"laboratory","category":"Training","name":"Hands-on Training on Library Preparation &amp; Sequencing","unit":"lot","price":8000,"quantity":1}]</t>
  </si>
  <si>
    <t>2025-06-25T00:00:00.000Z</t>
  </si>
  <si>
    <t>VMENF-Q-2025-245</t>
  </si>
  <si>
    <t>[{"type":"laboratory","category":"Library Preparation","name":"Amplicon Sequencing Lib Prep","unit":"sample(s)","price":2194,"quantity":216},{"type":"laboratory","category":"Next Generation Sequencing","name":"i1 Reagent v2 Kit (300 cycles)","unit":"run(s)","price":82680,"quantity":1}]</t>
  </si>
  <si>
    <t>VMENF-Q-2025-246</t>
  </si>
  <si>
    <t>[{"type":"laboratory","category":"Nucleic Acid Extraction","name":"Bacterial (spin column)","unit":"sample(s)","price":940,"quantity":6},{"type":"laboratory","category":"Nucleic Acid Quantification","name":"Agarose Gel Electrophoresis","unit":"run(s)","price":590,"quantity":1},{"type":"laboratory","category":"Nucleic Acid Quantification","name":"MultiSkan Sky Spectrophotometry","unit":"run(s)","price":300,"quantity":1},{"type":"laboratory","category":"PCR/Real-time PCR","name":"End-point PCR","unit":"sample(s)","price":300,"quantity":6},{"type":"laboratory","category":"Library Preparation","name":"Amplicon Sequencing Lib Prep","unit":"sample(s)","price":2194,"quantity":6},{"type":"laboratory","category":"Next Generation Sequencing","name":"i1 Reagent v2 Kit (300 cycles)","unit":"run(s)","price":82680,"quantity":0.05}]</t>
  </si>
  <si>
    <t>VMENF-Q-2025-247</t>
  </si>
  <si>
    <t>[{"type":"laboratory","category":"Nucleic Acid Extraction","name":"Bacterial (spin column)","unit":"sample(s)","price":940,"quantity":60},{"type":"laboratory","category":"Nucleic Acid Quantification","name":"Agarose Gel Electrophoresis","unit":"run(s)","price":590,"quantity":5},{"type":"laboratory","category":"Nucleic Acid Quantification","name":"MultiSkan Sky Spectrophotometry","unit":"run(s)","price":300,"quantity":4}]</t>
  </si>
  <si>
    <t>2025-06-26T00:00:00.000Z</t>
  </si>
  <si>
    <t>VMENF-Q-2025-248</t>
  </si>
  <si>
    <t>[{"type":"Bioinformatics","category":"Bioinformatics","name":"Phylogenetic Analysis of Bacterial Samples","unit":"lot","price":2183.48,"quantity":1}]</t>
  </si>
  <si>
    <t>VMENF-Q-2025-249</t>
  </si>
  <si>
    <t>[{"type":"Bioinformatics","category":"Bioinformatics","name":"Phylogenetic Analysis of Fish Samples","unit":"lot","price":2183.48,"quantity":1}]</t>
  </si>
  <si>
    <t>VMENF-Q-2025-250</t>
  </si>
  <si>
    <t>[{"type":"Bioinformatics","category":"Bioinformatics","name":"16S Metabarcoding Analysis of Fish Gut Samples","unit":"sample","price":0,"quantity":0}]</t>
  </si>
  <si>
    <t>VMENF-Q-2025-251</t>
  </si>
  <si>
    <t>[{"type":"Bioinformatics","category":"Bioinformatics","name":"WGS, Metabarcoding Analyses with training","unit":"lot","price":204545.45,"quantity":1}]</t>
  </si>
  <si>
    <t>VMENF-Q-2025-252</t>
  </si>
  <si>
    <t>[{"type":"laboratory","category":"Nucleic Acid Extraction","name":"Bacterial (spin column)","unit":"sample(s)","price":940,"quantity":60},{"type":"laboratory","category":"Nucleic Acid Quantification","name":"Agilent Bioanalyzer","unit":"run(s)","price":13320,"quantity":0.083333},{"type":"laboratory","category":"Nucleic Acid Quantification","name":"Agarose Gel Electrophoresis","unit":"run(s)","price":590,"quantity":5},{"type":"laboratory","category":"Nucleic Acid Quantification","name":"MultiSkan Sky Spectrophotometry","unit":"run(s)","price":300,"quantity":4},{"type":"laboratory","category":"PCR/Real-time PCR","name":"End-point PCR","unit":"sample(s)","price":300,"quantity":60},{"type":"laboratory","category":"Library Preparation","name":"Amplicon Sequencing Lib Prep","unit":"sample(s)","price":2194,"quantity":60},{"type":"laboratory","category":"Next Generation Sequencing","name":"i1 Reagent v2 Kit (300 cycles)","unit":"run(s)","price":82680,"quantity":0.05}]</t>
  </si>
  <si>
    <t>2025-07-02T00:00:00.000Z</t>
  </si>
  <si>
    <t>VMENF-Q-2025-253</t>
  </si>
  <si>
    <t>[{"type":"laboratory","category":"Laboratory Services","name":"Extraction, Metabarcoding","unit":"package","price":45688,"quantity":1}]</t>
  </si>
  <si>
    <t>2025-07-18T00:00:00.000Z</t>
  </si>
  <si>
    <t>VMENF-Q-2025-254</t>
  </si>
  <si>
    <t>[{"type":"laboratory","category":"Laboratory Services","name":"Extraction, PCR and Amplicon Seq","unit":"package","price":8506.8,"quantity":1}]</t>
  </si>
  <si>
    <t>2025-07-19T00:00:00.000Z</t>
  </si>
  <si>
    <t>VMENF-Q-2025-255</t>
  </si>
  <si>
    <t>[{"type":"laboratory","category":"Nucleic Acid Extraction","name":"Bacterial (spin column)","unit":"sample(s)","price":940,"quantity":40},{"type":"laboratory","category":"Nucleic Acid Quantification","name":"Agarose Gel Electrophoresis","unit":"run(s)","price":590,"quantity":8},{"type":"laboratory","category":"Nucleic Acid Quantification","name":"MultiSkan Sky Spectrophotometry","unit":"run(s)","price":300,"quantity":3},{"type":"laboratory","category":"PCR/Real-time PCR","name":"End-point PCR","unit":"sample(s)","price":300,"quantity":40},{"type":"laboratory","category":"Library Preparation","name":"Amplicon Sequencing Lib Prep","unit":"sample(s)","price":2194,"quantity":40},{"type":"laboratory","category":"Next Generation Sequencing","name":"i1 Reagent v2 Kit (300 cycles)","unit":"run(s)","price":82680,"quantity":0.1}]</t>
  </si>
  <si>
    <t>2025-08-06T00:00:00.000Z</t>
  </si>
  <si>
    <t>VMENF-Q-2025-256</t>
  </si>
  <si>
    <t>2025-08-21T16:18:14.533Z</t>
  </si>
  <si>
    <t>VMENF-Q-2026-257</t>
  </si>
  <si>
    <t>Merlito Dayon Jr</t>
  </si>
  <si>
    <t>System Ad</t>
  </si>
  <si>
    <t>Q5yUGRyRKCSAFITUDqNt</t>
  </si>
  <si>
    <t>[{"type":"equipment","price":240,"category":"Equipment Use (Without Consumables)","id":"EQP-SVC-001","name":"Autoclave (ALP CL-32L)","unit":"per hour","quantity":1},{"id":"EQP-SVC-002","price":520,"category":"Equipment Use (Without Consumables)","name":"Automated Extraction Machine (Kingfisher)","type":"equipment","unit":"per hour","quantity":1},{"unit":"per sample","type":"laboratory","name":"Spin Column Based Extraction","id":"LAB-SVC-001","category":"Nucleic Acid Extraction","price":940,"quantity":1},{"type":"laboratory","unit":"per sample","id":"LAB-SVC-002","price":910,"category":"Nucleic Acid Extraction","name":"Magnetic Bead Based Extraction (Animal Blood)","quantity":1},{"type":"retail","unit":"per liter","category":"Retail Sales","name":"Liquid Nitrogen","price":620,"id":"RTL-SVC-001","quantity":1},{"id":"RTL-SVC-002","category":"Retail Sales","type":"retail","price":100,"name":"Flake Ice","unit":"per kilo","quantity":1}]</t>
  </si>
  <si>
    <t>{"name":"Merlito","position":"IT Admin"}</t>
  </si>
  <si>
    <t>2026-01-07T02:52:31.212Z</t>
  </si>
  <si>
    <t>VMENF-Q-2026-258</t>
  </si>
  <si>
    <t>[{"type":"laboratory","id":"LAB-SVC-001","price":940,"name":"Spin Column Based Extraction","category":"Nucleic Acid Extraction","unit":"per sample","quantity":6},{"category":"Nucleic Acid Quantification","id":"LAB-SVC-006","price":590,"type":"laboratory","unit":"per run (12 samples)","name":"Agarose Gel Electrophoresis","quantity":1},{"id":"LAB-SVC-007","price":300,"name":"MultiSkan Sky Spectrophotometry","unit":"per run (15 samples)","type":"laboratory","category":"Nucleic Acid Quantification","quantity":1},{"category":"Library Preparation","price":4750,"type":"laboratory","name":"Targeted Metagenomics/Metabarcoding","id":"LAB-SVC-017","unit":"per sample","quantity":12},{"unit":"per run","name":"i1 Reagent v2 Kit (300 cycles)","price":82680,"category":"Next Generation Sequencing","id":"LAB-SVC-022","type":"laboratory","quantity":0.05}]</t>
  </si>
  <si>
    <t>{"name":"Ma. Carmel F. Javier","position":"University Researcher 1"}</t>
  </si>
  <si>
    <t>2026-01-08T07:31:46.532Z</t>
  </si>
  <si>
    <t>VMENF-Q-2026-259</t>
  </si>
  <si>
    <t>[{"type":"laboratory","id":"LAB-SVC-001","price":940,"name":"Spin Column Based Extraction","category":"Nucleic Acid Extraction","unit":"per sample","quantity":6},{"category":"Nucleic Acid Quantification","id":"LAB-SVC-006","price":590,"type":"laboratory","unit":"per run (12 samples)","name":"Agarose Gel Electrophoresis","quantity":1},{"id":"LAB-SVC-007","price":300,"name":"MultiSkan Sky Spectrophotometry","unit":"per run (15 samples)","type":"laboratory","category":"Nucleic Acid Quantification","quantity":1},{"category":"Library Preparation","price":4750,"type":"laboratory","name":"Targeted Metagenomics/Metabarcoding","id":"LAB-SVC-017","unit":"per sample","quantity":6},{"unit":"per run","name":"i1 Reagent v2 Kit (300 cycles)","price":82680,"category":"Next Generation Sequencing","id":"LAB-SVC-022","type":"laboratory","quantity":0.05}]</t>
  </si>
  <si>
    <t>2026-01-08T07:35:51.098Z</t>
  </si>
  <si>
    <t>VMENF-Q-2026-260</t>
  </si>
  <si>
    <t>ANGELLE BETHANY H. ESPIA</t>
  </si>
  <si>
    <t>Central Philippine University College of Medicine</t>
  </si>
  <si>
    <t>kvByk5xl2y5h9QJIkxvp</t>
  </si>
  <si>
    <t>[{"type":"laboratory","name":"Spin Column Based Extraction","unit":"per sample","price":940,"category":"Nucleic Acid Extraction","id":"LAB-SVC-001","quantity":1},{"name":"Agarose Gel Electrophoresis","category":"Nucleic Acid Quantification","id":"LAB-SVC-006","type":"laboratory","unit":"per run (12 samples)","price":590,"quantity":1},{"category":"Nucleic Acid Quantification","unit":"per run (15 samples)","id":"LAB-SVC-007","name":"MultiSkan Sky Spectrophotometry","type":"laboratory","price":300,"quantity":1},{"unit":"per sample","name":"End-point PCR","id":"LAB-SVC-010","price":300,"type":"laboratory","category":"PCR/Real-Time PCR","quantity":1},{"unit":"per sample","price":2184,"id":"LAB-SVC-018","type":"laboratory","name":"Amplicon Sequencing Lib Prep","category":"Library Preparation","quantity":1},{"id":"LAB-SVC-022","unit":"per run","name":"i1 Reagent v2 Kit (300 cycles)","type":"laboratory","category":"Next Generation Sequencing","price":82680,"quantity":0.01}]</t>
  </si>
  <si>
    <t>2026-01-08T08:33:16.543Z</t>
  </si>
  <si>
    <t>VMENF-Q-2026-261</t>
  </si>
  <si>
    <t>[{"unit":"per sample","name":"Spin Column Based Extraction","category":"Nucleic Acid Extraction","type":"laboratory","price":940,"id":"LAB-SVC-001","quantity":3},{"category":"Nucleic Acid Quantification","id":"LAB-SVC-006","name":"Agarose Gel Electrophoresis","price":590,"type":"laboratory","unit":"per run (12 samples)","quantity":1},{"price":300,"category":"Nucleic Acid Quantification","type":"laboratory","unit":"per run (15 samples)","name":"MultiSkan Sky Spectrophotometry","id":"LAB-SVC-007","quantity":1},{"category":"Library Preparation","type":"laboratory","unit":"per sample","id":"LAB-SVC-017","price":4750,"name":"Targeted Metagenomics/Metabarcoding","quantity":3},{"price":82680,"id":"LAB-SVC-022","unit":"per run","name":"i1 Reagent v2 Kit (300 cycles)","category":"Next Generation Sequencing","type":"laboratory","quantity":0.05}]</t>
  </si>
  <si>
    <t>2026-01-09T05:14:15.197Z</t>
  </si>
  <si>
    <t>VMENF-Q-2026-262</t>
  </si>
  <si>
    <t>[{"unit":"per sample","name":"Spin Column Based Extraction","category":"Nucleic Acid Extraction","type":"laboratory","price":940,"id":"LAB-SVC-001","quantity":5},{"category":"Nucleic Acid Quantification","id":"LAB-SVC-006","name":"Agarose Gel Electrophoresis","price":590,"type":"laboratory","unit":"per run (12 samples)","quantity":1},{"price":300,"category":"Nucleic Acid Quantification","type":"laboratory","unit":"per run (15 samples)","name":"MultiSkan Sky Spectrophotometry","id":"LAB-SVC-007","quantity":1},{"id":"LAB-SVC-010","category":"PCR/Real-Time PCR","type":"laboratory","unit":"per sample","price":300,"name":"End-point PCR","quantity":5},{"price":2184,"id":"LAB-SVC-018","type":"laboratory","category":"Library Preparation","unit":"per sample","name":"Amplicon Sequencing Lib Prep","quantity":5},{"price":82680,"id":"LAB-SVC-022","unit":"per run","name":"i1 Reagent v2 Kit (300 cycles)","category":"Next Generation Sequencing","type":"laboratory","quantity":0.01}]</t>
  </si>
  <si>
    <t>2026-01-09T06:32:29.597Z</t>
  </si>
  <si>
    <t>VMENF-Q-2026-263</t>
  </si>
  <si>
    <t>[{"id":"LAB-SVC-001","price":940,"name":"Spin Column Based Extraction","type":"laboratory","unit":"per sample","category":"Nucleic Acid Extraction","quantity":5},{"id":"LAB-SVC-006","price":590,"category":"Nucleic Acid Quantification","unit":"per run (12 samples)","name":"Agarose Gel Electrophoresis","type":"laboratory","quantity":1},{"price":300,"category":"Nucleic Acid Quantification","type":"laboratory","name":"MultiSkan Sky Spectrophotometry","id":"LAB-SVC-007","unit":"per run (15 samples)","quantity":1},{"name":"End-point PCR","unit":"per sample","category":"PCR/Real-Time PCR","id":"LAB-SVC-010","price":300,"type":"laboratory","quantity":5},{"id":"LAB-SVC-018","type":"laboratory","price":2184,"unit":"per sample","name":"Amplicon Sequencing Lib Prep","category":"Library Preparation","quantity":5},{"category":"Next Generation Sequencing","unit":"per run","type":"laboratory","price":82680,"name":"i1 Reagent v2 Kit (300 cycles)","id":"LAB-SVC-022","quantity":0.01}]</t>
  </si>
  <si>
    <t>2026-01-09T06:43:33.146Z</t>
  </si>
  <si>
    <t>VMENF-Q-2026-264</t>
  </si>
  <si>
    <t>[{"id":"LAB-SVC-001","price":940,"name":"Spin Column Based Extraction","type":"laboratory","unit":"per sample","category":"Nucleic Acid Extraction","quantity":4},{"id":"LAB-SVC-006","price":590,"category":"Nucleic Acid Quantification","unit":"per run (12 samples)","name":"Agarose Gel Electrophoresis","type":"laboratory","quantity":1},{"price":300,"category":"Nucleic Acid Quantification","type":"laboratory","name":"MultiSkan Sky Spectrophotometry","id":"LAB-SVC-007","unit":"per run (15 samples)","quantity":1},{"id":"LAB-SVC-017","price":4750,"name":"Targeted Metagenomics/Metabarcoding","unit":"per sample","category":"Library Preparation","type":"laboratory","quantity":8},{"category":"Next Generation Sequencing","unit":"per run","type":"laboratory","price":82680,"name":"i1 Reagent v2 Kit (300 cycles)","id":"LAB-SVC-022","quantity":0.05}]</t>
  </si>
  <si>
    <t>2026-01-09T07:59:09.769Z</t>
  </si>
  <si>
    <t>VMENF-Q-2026-265</t>
  </si>
  <si>
    <t>[{"unit":"per sample","name":"Spin Column Based Extraction","category":"Nucleic Acid Extraction","price":940,"type":"laboratory","id":"LAB-SVC-001","quantity":6},{"type":"laboratory","category":"Nucleic Acid Quantification","id":"LAB-SVC-006","price":590,"unit":"per run (12 samples)","name":"Agarose Gel Electrophoresis","quantity":1},{"type":"laboratory","category":"Nucleic Acid Quantification","id":"LAB-SVC-007","name":"MultiSkan Sky Spectrophotometry","unit":"per run (15 samples)","price":300,"quantity":1},{"category":"Library Preparation","type":"laboratory","price":4750,"id":"LAB-SVC-017","name":"Targeted Metagenomics/Metabarcoding","unit":"per sample","quantity":6},{"type":"laboratory","category":"Next Generation Sequencing","unit":"per run","id":"LAB-SVC-022","price":82680,"name":"i1 Reagent v2 Kit (300 cycles)","quantity":0.05}]</t>
  </si>
  <si>
    <t>2026-01-12T01:09:41.675Z</t>
  </si>
  <si>
    <t>VMENF-Q-2026-266</t>
  </si>
  <si>
    <t xml:space="preserve"> CHRIS ARMAND SANTIANA</t>
  </si>
  <si>
    <t>g0tUOKtWLbmNdqyJgu0v</t>
  </si>
  <si>
    <t>[{"name":"Spin Column Based Extraction","id":"LAB-SVC-001","type":"laboratory","unit":"per sample","category":"Nucleic Acid Extraction","price":940,"quantity":3},{"unit":"per run (12 samples)","name":"Agarose Gel Electrophoresis","price":590,"category":"Nucleic Acid Quantification","type":"laboratory","id":"LAB-SVC-006","quantity":1},{"type":"laboratory","category":"Nucleic Acid Quantification","unit":"per run (15 samples)","id":"LAB-SVC-007","name":"MultiSkan Sky Spectrophotometry","price":300,"quantity":1},{"category":"Nucleic Acid Quantification","name":"Qubit 4.0 fluorometry","type":"laboratory","price":190,"id":"LAB-SVC-004","unit":"per sample","quantity":3},{"category":"Library Preparation","type":"laboratory","name":"Amplicon Sequencing Lib Prep","price":2184,"unit":"per sample","id":"LAB-SVC-018","quantity":3},{"name":"P2 Reagent v3 Kit (300 cycles)","type":"laboratory","unit":"per run","price":483750,"category":"Next Generation Sequencing","id":"LAB-SVC-025","quantity":0.01}]</t>
  </si>
  <si>
    <t>2026-01-12T08:16:46.809Z</t>
  </si>
  <si>
    <t>VMENF-Q-2026-267</t>
  </si>
  <si>
    <t>[{"name":"Spin Column Based Extraction","type":"laboratory","category":"Nucleic Acid Extraction","price":940,"unit":"per sample","id":"LAB-SVC-001","quantity":1},{"id":"LAB-SVC-006","category":"Nucleic Acid Quantification","type":"laboratory","name":"Agarose Gel Electrophoresis","unit":"per run (12 samples)","price":590,"quantity":1},{"price":300,"type":"laboratory","category":"Nucleic Acid Quantification","id":"LAB-SVC-007","name":"MultiSkan Sky Spectrophotometry","unit":"per run (15 samples)","quantity":1},{"category":"PCR/Real-Time PCR","price":300,"id":"LAB-SVC-010","type":"laboratory","unit":"per sample","name":"End-point PCR","quantity":1},{"name":"Amplicon Sequencing Lib Prep","type":"laboratory","category":"Library Preparation","price":2184,"unit":"per sample","id":"LAB-SVC-018","quantity":1},{"name":"i1 Reagent v2 Kit (300 cycles)","category":"Next Generation Sequencing","type":"laboratory","id":"LAB-SVC-022","price":82680,"unit":"per run","quantity":0.01}]</t>
  </si>
  <si>
    <t>2026-01-13T12:38:12.825Z</t>
  </si>
  <si>
    <t>VMENF-Q-2026-268</t>
  </si>
  <si>
    <t>[{"name":"Spin Column Based Extraction","type":"laboratory","category":"Nucleic Acid Extraction","price":940,"unit":"per sample","id":"LAB-SVC-001","quantity":9},{"id":"LAB-SVC-006","category":"Nucleic Acid Quantification","type":"laboratory","name":"Agarose Gel Electrophoresis","unit":"per run (12 samples)","price":590,"quantity":4},{"price":300,"type":"laboratory","category":"Nucleic Acid Quantification","id":"LAB-SVC-007","name":"MultiSkan Sky Spectrophotometry","unit":"per run (15 samples)","quantity":1},{"category":"PCR/Real-Time PCR","price":300,"id":"LAB-SVC-010","type":"laboratory","unit":"per sample","name":"End-point PCR","quantity":27},{"name":"Amplicon Sequencing Lib Prep","type":"laboratory","category":"Library Preparation","price":2184,"unit":"per sample","id":"LAB-SVC-018","quantity":27},{"name":"i1 Reagent v2 Kit (300 cycles)","category":"Next Generation Sequencing","type":"laboratory","id":"LAB-SVC-022","price":82680,"unit":"per run","quantity":0.01}]</t>
  </si>
  <si>
    <t>2026-01-13T13:02:49.291Z</t>
  </si>
  <si>
    <t>VMENF-Q-2026-269</t>
  </si>
  <si>
    <t>[{"unit":"per sample","name":"Spin Column Based Extraction","type":"laboratory","category":"Nucleic Acid Extraction","price":940,"id":"LAB-SVC-001","quantity":4},{"price":590,"category":"Nucleic Acid Quantification","unit":"per run (12 samples)","id":"LAB-SVC-006","name":"Agarose Gel Electrophoresis","type":"laboratory","quantity":1},{"id":"LAB-SVC-007","name":"MultiSkan Sky Spectrophotometry","category":"Nucleic Acid Quantification","price":300,"unit":"per run (15 samples)","type":"laboratory","quantity":1},{"category":"PCR/Real-Time PCR","type":"laboratory","unit":"per sample","id":"LAB-SVC-010","name":"End-point PCR","price":300,"quantity":4},{"unit":"per sample","category":"Library Preparation","name":"Amplicon Sequencing Lib Prep","type":"laboratory","id":"LAB-SVC-018","price":2184,"quantity":4},{"id":"LAB-SVC-022","category":"Next Generation Sequencing","price":82680,"unit":"per run","name":"i1 Reagent v2 Kit (300 cycles)","type":"laboratory","quantity":0.01}]</t>
  </si>
  <si>
    <t>2026-01-13T13:24:31.420Z</t>
  </si>
  <si>
    <t>VMENF-Q-2026-270</t>
  </si>
  <si>
    <t>[{"category":"Nucleic Acid Extraction","price":940,"unit":"per sample","id":"LAB-SVC-001","name":"Spin Column Based Extraction","type":"laboratory","quantity":5},{"unit":"per sample","name":"End-point PCR","id":"LAB-SVC-010","category":"PCR/Real-Time PCR","type":"laboratory","price":300,"quantity":10},{"unit":"per sample","id":"LAB-SVC-018","type":"laboratory","price":2184,"category":"Library Preparation","name":"Amplicon Sequencing Lib Prep","quantity":10}]</t>
  </si>
  <si>
    <t>2026-01-15T02:59:17.598Z</t>
  </si>
  <si>
    <t>VMENF-Q-2026-271</t>
  </si>
  <si>
    <t>[{"category":"Equipment Use (Without Consumables)","unit":"per hour","name":"Biosafety Cabinet (Labconco Logic Class II Type A)","price":270,"id":"EQP-SVC-008","type":"equipment","quantity":4},{"id":"EQP-SVC-016","unit":"per hour","price":120,"name":"Heat/cooling block (Hercuvan TT-100 DHC)","type":"equipment","category":"Equipment Use (Without Consumables)","quantity":1},{"name":"Micropipette (Single Channel)","type":"equipment","id":"EQP-SVC-022","price":110,"unit":"per hour","category":"Equipment Use (Without Consumables)","quantity":4},{"price":190,"name":"Refrigerated microcentrifuge (Thermo Scientific Fresco 17)","unit":"per hour","type":"equipment","category":"Equipment Use (Without Consumables)","id":"EQP-SVC-028","quantity":1},{"id":"EQP-SVC-032","type":"equipment","unit":"per hour","category":"Equipment Use (Without Consumables)","price":100,"name":"Standard Minifuge (DLab D1008)","quantity":1},{"name":"Vortex Mixer (Thermo Scientific)","price":100,"category":"Equipment Use (Without Consumables)","id":"EQP-SVC-038","type":"equipment","unit":"per hour","quantity":1},{"category":"Nucleic Acid Quantification","id":"LAB-SVC-006","unit":"per run (12 samples)","type":"laboratory","price":590,"name":"Agarose Gel Electrophoresis","quantity":2},{"category":"Nucleic Acid Quantification","type":"laboratory","price":300,"id":"LAB-SVC-007","unit":"per run (15 samples)","name":"MultiSkan Sky Spectrophotometry","quantity":1},{"unit":"per sample","name":"End-point PCR","id":"LAB-SVC-010","category":"PCR/Real-Time PCR","type":"laboratory","price":300,"quantity":12}]</t>
  </si>
  <si>
    <t>2026-01-15T08:33:53.925Z</t>
  </si>
  <si>
    <t>VMENF-Q-2026-272</t>
  </si>
  <si>
    <t>[{"price":940,"type":"laboratory","id":"LAB-SVC-001","unit":"per sample","category":"Nucleic Acid Extraction","name":"Spin Column Based Extraction","quantity":5},{"id":"LAB-SVC-010","name":"End-point PCR","unit":"per sample","price":300,"type":"laboratory","category":"PCR/Real-Time PCR","quantity":10},{"id":"LAB-SVC-018","name":"Amplicon Sequencing Lib Prep","category":"Library Preparation","unit":"per sample","price":2184,"type":"laboratory","quantity":10}]</t>
  </si>
  <si>
    <t>2026-01-19T04:28:03.816Z</t>
  </si>
  <si>
    <t>VMENF-Q-2026-273</t>
  </si>
  <si>
    <t>[{"name":"Spin Column Based Extraction","price":940,"type":"laboratory","id":"LAB-SVC-001","category":"Nucleic Acid Extraction","unit":"per sample","quantity":1,"samples":0},{"price":590,"category":"Nucleic Acid Quantification","unit":"per run (12 samples)","type":"laboratory","name":"Agarose Gel Electrophoresis","id":"LAB-SVC-006","quantity":1,"samples":0},{"unit":"per run (15 samples)","type":"laboratory","name":"MultiSkan Sky Spectrophotometry","id":"LAB-SVC-007","category":"Nucleic Acid Quantification","price":300,"quantity":1,"samples":0},{"id":"LAB-SVC-010","type":"laboratory","category":"PCR/Real-Time PCR","unit":"per sample","price":300,"name":"End-point PCR","quantity":1,"samples":0},{"unit":"per sample","id":"LAB-SVC-018","type":"laboratory","category":"Library Preparation","name":"Amplicon Sequencing Lib Prep","price":2184,"quantity":1,"samples":0},{"category":"Next Generation Sequencing","name":"i1 Reagent v2 Kit (300 cycles)","id":"LAB-SVC-022","price":82680,"type":"laboratory","unit":"per run","quantity":0.01,"samples":0}]</t>
  </si>
  <si>
    <t>2026-01-20T01:18:49.625Z</t>
  </si>
  <si>
    <t>VMENF-Q-2026-274</t>
  </si>
  <si>
    <t>[{"price":440,"unit":"per hour","type":"equipment","category":"Equipment Use (Without Consumables)","id":"EQP-SVC-026","name":"Real-time PCR (CFX 96 Touch) - single channel","quantity":5,"samples":0},{"name":"Spin Column Based Extraction","price":940,"type":"laboratory","id":"LAB-SVC-001","category":"Nucleic Acid Extraction","unit":"per sample","quantity":18,"samples":0},{"price":590,"category":"Nucleic Acid Quantification","unit":"per run (12 samples)","type":"laboratory","name":"Agarose Gel Electrophoresis","id":"LAB-SVC-006","quantity":2,"samples":0},{"unit":"per run (15 samples)","type":"laboratory","name":"MultiSkan Sky Spectrophotometry","id":"LAB-SVC-007","category":"Nucleic Acid Quantification","price":300,"quantity":2,"samples":0},{"unit":"per sample","id":"LAB-SVC-018","type":"laboratory","category":"Library Preparation","name":"Amplicon Sequencing Lib Prep","price":2184,"quantity":18,"samples":0},{"category":"Next Generation Sequencing","name":"i1 Reagent v2 Kit (300 cycles)","id":"LAB-SVC-022","price":82680,"type":"laboratory","unit":"per run","quantity":0.01,"samples":0}]</t>
  </si>
  <si>
    <t>2026-01-20T01:41:20.359Z</t>
  </si>
  <si>
    <t>VMENF-Q-2026-327</t>
  </si>
  <si>
    <t>[{"id":"BIO-SVC-003","name":"Metabarcoding  with Pre-processing only","category":"Bioinformatics","type":"bioinformatics","unit":"per run","price":3954.62,"description":"Pre-processing results include: FastQC, trimming, denoising, and generate the representative sequences, count table, taxonomic information, and relative abundance plot.","minQuantity":9,"additionalUnitPrice":439.4025792,"minParticipants":null,"additionalParticipantPrice":null,"quantity":2,"samples":0}]</t>
  </si>
  <si>
    <t>{"name":"Albert Noblezada","position":"SRS II"}</t>
  </si>
  <si>
    <t>2026-01-29T06:39:08.160Z</t>
  </si>
  <si>
    <t>VMENF-Q-2026-329</t>
  </si>
  <si>
    <t>[{"id":"BIO-SVC-006","name":"Whole Genome Assembly and Annotation","category":"Bioinformatics","type":"bioinformatics","unit":"per run","price":9941.29,"description":"Note: Bioinformatics Service is only applicable for small genomes (&lt;1GB)\nIncludes FastQC, Trimming, Genome Assembly, Assembly QC, and Annotation","minQuantity":null,"additionalUnitPrice":null,"minParticipants":null,"additionalParticipantPrice":null,"quantity":1,"samples":0}]</t>
  </si>
  <si>
    <t>2026-01-29T06:45:57.398Z</t>
  </si>
  <si>
    <t>VMENF-Q-2026-330</t>
  </si>
  <si>
    <t>[{"id":"BIO-SVC-002","name":"Metabarcoding  with Downstream Analysis","category":"Bioinformatics","type":"bioinformatics","unit":"per run (9 samples)","price":10042.88,"description":"Pre-processing and downstream analysis results include: FastQC, trimming, denoising, and generate the representative sequences, count table, taxonomic information, and relative abundance plot.; Alpha diversity indices; Beta diversity indices; Univariate and Multivariate Analysis; Differential Abundance; Function Prediction.","minQuantity":9,"additionalUnitPrice":1115.875852,"minParticipants":null,"additionalParticipantPrice":null,"quantity":1,"samples":0}]</t>
  </si>
  <si>
    <t>2026-01-29T07:15:30.228Z</t>
  </si>
  <si>
    <t>VMENF-Q-2026-331</t>
  </si>
  <si>
    <t>[{"id":"BIO-SVC-003","name":"Metabarcoding  with Pre-processing only","category":"Bioinformatics","type":"bioinformatics","unit":"per run","price":3954.62,"description":"Pre-processing results include: FastQC, trimming, denoising, and generate the representative sequences, count table, taxonomic information, and relative abundance plot.\napplicable up to maximum of 9 samples","minQuantity":null,"additionalUnitPrice":null,"minParticipants":null,"additionalParticipantPrice":null,"quantity":1,"samples":0}]</t>
  </si>
  <si>
    <t>2026-01-29T07:18:09.814Z</t>
  </si>
  <si>
    <t>VMENF-Q-2026-332</t>
  </si>
  <si>
    <t>[{"id":"BIO-SVC-006","name":"Whole Genome Assembly and Annotation","category":"Bioinformatics","type":"bioinformatics","unit":"per run","price":9941.29,"description":"Note: Bioinformatics Service is only applicable for small genomes (&lt;1GB)\nIncludes FastQC, Trimming, Genome Assembly, Assembly QC, and Annotation","minQuantity":null,"additionalUnitPrice":null,"minParticipants":null,"additionalParticipantPrice":null,"quantity":3,"samples":0}]</t>
  </si>
  <si>
    <t>2026-01-29T07:23:36.650Z</t>
  </si>
  <si>
    <t>VMENF-Q-2026-333</t>
  </si>
  <si>
    <t>[{"id":"BIO-SVC-005","name":"Phylogenetics (1 marker)","category":"Bioinformatics","type":"bioinformatics","unit":"per run","price":2183.48,"description":"Applicable to multiple samples using single gene marker\nIncludes multiple sequence alignment, trimming, model testing, and  maximum likelihood (ML) tree construction","minQuantity":null,"additionalUnitPrice":null,"minParticipants":null,"additionalParticipantPrice":null,"quantity":1,"samples":0}]</t>
  </si>
  <si>
    <t>2026-01-29T07:26:23.251Z</t>
  </si>
  <si>
    <t>VMENF-Q-2026-334</t>
  </si>
  <si>
    <t>2026-01-29T07:32:48.055Z</t>
  </si>
  <si>
    <t>VMENF-Q-2026-335</t>
  </si>
  <si>
    <t>[{"id":"LAB-SVC-001","name":"Spin Column Based Extraction","category":"Nucleic Acid Extraction","type":"laboratory","unit":"per sample","price":940,"quantity":8,"samples":0},{"id":"LAB-SVC-004","name":"Qubit 4.0 fluorometry","category":"Nucleic Acid Quantification","type":"laboratory","unit":"per sample","price":190,"quantity":8,"samples":0},{"id":"LAB-SVC-006","name":"Agarose Gel Electrophoresis","category":"Nucleic Acid Quantification","type":"laboratory","unit":"per run (12 samples)","price":590,"quantity":1.5,"samples":0},{"id":"LAB-SVC-007","name":"MultiSkan Sky Spectrophotometry","category":"Nucleic Acid Quantification","type":"laboratory","unit":"per run (15 samples)","price":300,"quantity":1.5,"samples":0},{"id":"LAB-SVC-018","name":"Amplicon Sequencing Lib Prep","category":"Library Preparation","type":"laboratory","unit":"per sample","price":2184,"quantity":8,"samples":0},{"id":"LAB-SVC-025","name":"P2 Reagent v3 Kit (300 cycles)","category":"Next Generation Sequencing","type":"laboratory","unit":"per run","price":483750,"quantity":0.15,"samples":0},{"id":"BIO-SVC-006","name":"Whole Genome Assembly and Annotation","category":"Bioinformatics","type":"bioinformatics","unit":"per sample","price":9941.29,"description":"Note: Bioinformatics Service is only applicable for small genomes (&lt;1GB)\nIncludes FastQC, Trimming, Genome Assembly, Assembly QC, and Annotation","minQuantity":null,"additionalUnitPrice":null,"minParticipants":null,"additionalParticipantPrice":null,"quantity":8,"samples":0}]</t>
  </si>
  <si>
    <t>2026-01-30T05:20:47.966Z</t>
  </si>
  <si>
    <t>VMENF-Q-2026-336</t>
  </si>
  <si>
    <t>[{"id":"LAB-SVC-001","name":"Spin Column Based Extraction","category":"Nucleic Acid Extraction","type":"laboratory","unit":"per sample","price":940,"quantity":9,"samples":0},{"id":"LAB-SVC-006","name":"Agarose Gel Electrophoresis","category":"Nucleic Acid Quantification","type":"laboratory","unit":"per run (12 samples)","price":590,"quantity":3,"samples":0},{"id":"LAB-SVC-007","name":"MultiSkan Sky Spectrophotometry","category":"Nucleic Acid Quantification","type":"laboratory","unit":"per run (15 samples)","price":300,"quantity":1,"samples":0},{"id":"LAB-SVC-010","name":"End-point PCR","category":"PCR/Real-Time PCR","type":"laboratory","unit":"per sample","price":300,"quantity":9,"samples":0},{"id":"LAB-SVC-018","name":"Amplicon Sequencing Lib Prep","category":"Library Preparation","type":"laboratory","unit":"per sample","price":2184,"quantity":9,"samples":0},{"id":"LAB-SVC-022","name":"i1 Reagent v2 Kit (300 cycles)","category":"Next Generation Sequencing","type":"laboratory","unit":"per run","price":82680,"quantity":0.011,"samples":0},{"id":"BIO-SVC-005","name":"Phylogenetics (1 marker)","category":"Bioinformatics","type":"bioinformatics","unit":"per run","price":2183.48,"description":"Applicable to multiple samples using single gene marker\nIncludes multiple sequence alignment, trimming, model testing, and  maximum likelihood (ML) tree construction","minQuantity":null,"additionalUnitPrice":null,"minParticipants":null,"additionalParticipantPrice":null,"quantity":1,"samples":0}]</t>
  </si>
  <si>
    <t>2026-01-30T05:25:37.058Z</t>
  </si>
  <si>
    <t>VMENF-Q-2026-337</t>
  </si>
  <si>
    <t>2026-01-30T05:26:58.767Z</t>
  </si>
  <si>
    <t>VMENF-Q-2026-338</t>
  </si>
  <si>
    <t>[{"id":"LAB-SVC-001","name":"Spin Column Based Extraction","category":"Nucleic Acid Extraction","type":"laboratory","unit":"per sample","price":940,"quantity":2,"samples":0},{"id":"LAB-SVC-006","name":"Agarose Gel Electrophoresis","category":"Nucleic Acid Quantification","type":"laboratory","unit":"per run (12 samples)","price":590,"quantity":1,"samples":0},{"id":"LAB-SVC-007","name":"MultiSkan Sky Spectrophotometry","category":"Nucleic Acid Quantification","type":"laboratory","unit":"per run (15 samples)","price":300,"quantity":1,"samples":0},{"id":"LAB-SVC-010","name":"End-point PCR","category":"PCR/Real-Time PCR","type":"laboratory","unit":"per sample","price":300,"quantity":2,"samples":0},{"id":"LAB-SVC-018","name":"Amplicon Sequencing Lib Prep","category":"Library Preparation","type":"laboratory","unit":"per sample","price":2184,"quantity":2,"samples":0},{"id":"LAB-SVC-022","name":"i1 Reagent v2 Kit (300 cycles)","category":"Next Generation Sequencing","type":"laboratory","unit":"per run","price":82680,"quantity":0.01,"samples":0}]</t>
  </si>
  <si>
    <t>2026-02-04T00:53:35.133Z</t>
  </si>
  <si>
    <t>VMENF-Q-2026-339</t>
  </si>
  <si>
    <t>[{"id":"LAB-SVC-001","name":"Spin Column Based Extraction","category":"Nucleic Acid Extraction","type":"laboratory","unit":"per sample","price":940,"quantity":18,"samples":0},{"id":"LAB-SVC-006","name":"Agarose Gel Electrophoresis","category":"Nucleic Acid Quantification","type":"laboratory","unit":"per run (12 samples)","price":590,"quantity":4,"samples":0},{"id":"LAB-SVC-007","name":"MultiSkan Sky Spectrophotometry","category":"Nucleic Acid Quantification","type":"laboratory","unit":"per run (15 samples)","price":300,"quantity":4,"samples":0},{"id":"LAB-SVC-010","name":"End-point PCR","category":"PCR/Real-Time PCR","type":"laboratory","unit":"per sample","price":300,"quantity":18,"samples":0},{"id":"EQP-SVC-026","name":"Real-time PCR (CFX 96 Touch) - single channel","category":"Equipment Use (Without Consumables)","type":"equipment","unit":"per hour","price":440,"quantity":5,"samples":0}]</t>
  </si>
  <si>
    <t>2026-02-04T03:03:40.837Z</t>
  </si>
  <si>
    <t>VMENF-Q-2026-340</t>
  </si>
  <si>
    <t>[{"id":"LAB-SVC-001","name":"Spin Column Based Extraction","category":"Nucleic Acid Extraction","type":"laboratory","unit":"per sample","price":940,"quantity":1,"samples":0},{"id":"LAB-SVC-006","name":"Agarose Gel Electrophoresis","category":"Nucleic Acid Quantification","type":"laboratory","unit":"per run (12 samples)","price":590,"quantity":1,"samples":0},{"id":"LAB-SVC-007","name":"MultiSkan Sky Spectrophotometry","category":"Nucleic Acid Quantification","type":"laboratory","unit":"per run (15 samples)","price":300,"quantity":1,"samples":0},{"id":"LAB-SVC-010","name":"End-point PCR","category":"PCR/Real-Time PCR","type":"laboratory","unit":"per sample","price":300,"quantity":1,"samples":0},{"id":"LAB-SVC-018","name":"Amplicon Sequencing Lib Prep","category":"Library Preparation","type":"laboratory","unit":"per sample","price":2184,"quantity":1,"samples":0},{"id":"LAB-SVC-022","name":"i1 Reagent v2 Kit (300 cycles)","category":"Next Generation Sequencing","type":"laboratory","unit":"per run","price":82680,"quantity":0.01,"samples":0}]</t>
  </si>
  <si>
    <t>2026-02-04T03:51:54.251Z</t>
  </si>
  <si>
    <t>VMENF-Q-2026-341</t>
  </si>
  <si>
    <t>2026-02-05T07:39:25.049Z</t>
  </si>
  <si>
    <t>VMENF-Q-2026-342</t>
  </si>
  <si>
    <t>[{"id":"LAB-SVC-001","name":"Spin Column Based Extraction","category":"Nucleic Acid Extraction","type":"laboratory","unit":"per sample","price":940,"quantity":45,"samples":0},{"id":"LAB-SVC-006","name":"Agarose Gel Electrophoresis","category":"Nucleic Acid Quantification","type":"laboratory","unit":"per run (12 samples)","price":590,"quantity":4,"samples":0},{"id":"LAB-SVC-007","name":"MultiSkan Sky Spectrophotometry","category":"Nucleic Acid Quantification","type":"laboratory","unit":"per run (15 samples)","price":300,"quantity":3,"samples":0},{"id":"LAB-SVC-010","name":"End-point PCR","category":"PCR/Real-Time PCR","type":"laboratory","unit":"per sample","price":300,"quantity":45,"samples":0},{"id":"LAB-SVC-018","name":"Amplicon Sequencing Lib Prep","category":"Library Preparation","type":"laboratory","unit":"per sample","price":2184,"quantity":45,"samples":0},{"id":"LAB-SVC-022","name":"i1 Reagent v2 Kit (300 cycles)","category":"Next Generation Sequencing","type":"laboratory","unit":"per run","price":82680,"quantity":0.01,"samples":0}]</t>
  </si>
  <si>
    <t>2026-02-13T05:48:04.867Z</t>
  </si>
  <si>
    <t>VMENF-Q-2026-343</t>
  </si>
  <si>
    <t>[{"id":"EQP-SVC-008","name":"Biosafety Cabinet (Labconco Logic Class II Type A)","category":"Equipment Use (Without Consumables)","type":"equipment","unit":"per hour","price":270,"quantity":8,"samples":0},{"id":"EQP-SVC-010","name":"Electrophoresis System (Advance Mupid One)","category":"Equipment Use (Without Consumables)","type":"equipment","unit":"per hour","price":170,"quantity":4,"samples":0},{"id":"EQP-SVC-014","name":"Gel Documentation System (Bio-Rad Gel Doc XR+)","category":"Equipment Use (Without Consumables)","type":"equipment","unit":"per hour","price":410,"quantity":1,"samples":0},{"id":"EQP-SVC-015","name":"Gradient Thermal Cycler (Bio-Rad T100)","category":"Equipment Use (Without Consumables)","type":"equipment","unit":"per hour","price":190,"quantity":2,"samples":0},{"id":"EQP-SVC-022","name":"Micropipette (Single Channel)","category":"Equipment Use (Without Consumables)","type":"equipment","unit":"per hour","price":110,"quantity":16,"samples":0},{"id":"EQP-SVC-023","name":"Spectrophotometer w/ uDrop plate (Multiskan Sky)","category":"Equipment Use (Without Consumables)","type":"equipment","unit":"per hour","price":350,"description":"","minQuantity":null,"additionalUnitPrice":null,"minParticipants":null,"additionalParticipantPrice":null,"quantity":1,"samples":0},{"id":"EQP-SVC-028","name":"Refrigerated microcentrifuge (Thermo Scientific Fresco 17)","category":"Equipment Use (Without Consumables)","type":"equipment","unit":"per hour","price":190,"quantity":4,"samples":0},{"id":"EQP-SVC-032","name":"Standard Minifuge (DLab D1008)","category":"Equipment Use (Without Consumables)","type":"equipment","unit":"per hour","price":100,"quantity":1,"samples":0},{"id":"EQP-SVC-038","name":"Vortex Mixer (Thermo Scientific)","category":"Equipment Use (Without Consumables)","type":"equipment","unit":"per hour","price":100,"quantity":4,"samples":0}]</t>
  </si>
  <si>
    <t>2026-02-13T05:51:40.499Z</t>
  </si>
  <si>
    <t>VMENF-Q-2026-344</t>
  </si>
  <si>
    <t>[{"id":"BIO-SVC-003","name":"Metabarcoding  with Pre-processing only","category":"Bioinformatics","type":"bioinformatics","unit":"per run","price":3954.62,"description":"Pre-processing results include: FastQC, trimming, denoising, and generate the representative sequences, count table, taxonomic information, alpha/beta diversity and relative abundance plot.\napplicable up to maximum of 9 samples per run","minQuantity":null,"additionalUnitPrice":null,"minParticipants":null,"additionalParticipantPrice":null,"quantity":2,"samples":0}]</t>
  </si>
  <si>
    <t>{"name":"Albert Noblezada","position":"Science Research Specialist II"}</t>
  </si>
  <si>
    <t>2026-02-19T06:10:49.956Z</t>
  </si>
  <si>
    <t>VMENF-Q-2026-345</t>
  </si>
  <si>
    <t>[{"id":"LAB-SVC-001","name":"Spin Column Based Extraction","category":"Nucleic Acid Extraction","type":"laboratory","unit":"per sample","price":940,"quantity":6,"samples":0},{"id":"LAB-SVC-006","name":"Agarose Gel Electrophoresis","category":"Nucleic Acid Quantification","type":"laboratory","unit":"per run (12 samples)","price":590,"quantity":1,"samples":0}]</t>
  </si>
  <si>
    <t>2026-02-19T08:03:06.192Z</t>
  </si>
  <si>
    <t>VMENF-Q-2026-346</t>
  </si>
  <si>
    <t>[{"id":"LAB-SVC-001","name":"Spin Column Based Extraction","category":"Nucleic Acid Extraction","type":"laboratory","unit":"per sample","price":940,"quantity":1,"samples":0},{"id":"LAB-SVC-006","name":"Agarose Gel Electrophoresis","category":"Nucleic Acid Quantification","type":"laboratory","unit":"per run (12 samples)","price":590,"quantity":1,"samples":0},{"id":"LAB-SVC-007","name":"MultiSkan Sky Spectrophotometry","category":"Nucleic Acid Quantification","type":"laboratory","unit":"per run (15 samples)","price":300,"quantity":1,"samples":0},{"id":"LAB-SVC-017","name":"Targeted Metagenomics/Metabarcoding","category":"Library Preparation","type":"laboratory","unit":"per sample","price":4750,"quantity":1,"samples":0},{"id":"LAB-SVC-022","name":"i1 Reagent v2 Kit (300 cycles)","category":"Next Generation Sequencing","type":"laboratory","unit":"per run","price":82680,"quantity":0.02,"samples":0},{"id":"BIO-SVC-002","name":"Metabarcoding  with Downstream Analysis","category":"Bioinformatics","type":"bioinformatics","unit":"per run","price":10042.88,"description":"Applicable up to maximum of 9 samples\nPre-processing and downstream analysis results include: FastQC, trimming, denoising, and generate the representative sequences, count table, taxonomic information, and relative abundance plot.; Alpha diversity indices; Beta diversity indices; Univariate and Multivariate Analysis; Differential Abundance; Function Prediction.","minQuantity":9,"additionalUnitPrice":1115.875852,"minParticipants":null,"additionalParticipantPrice":null,"quantity":1,"samples":0}]</t>
  </si>
  <si>
    <t>2026-02-24T07:30:43.981Z</t>
  </si>
  <si>
    <t>VMENF-Q-2026-347</t>
  </si>
  <si>
    <t>[{"id":"LAB-SVC-001","name":"Spin Column Based Extraction","category":"Nucleic Acid Extraction","type":"laboratory","unit":"per sample","price":940,"quantity":2,"samples":0},{"id":"LAB-SVC-006","name":"Agarose Gel Electrophoresis","category":"Nucleic Acid Quantification","type":"laboratory","unit":"per run (12 samples)","price":590,"quantity":1,"samples":0},{"id":"LAB-SVC-007","name":"MultiSkan Sky Spectrophotometry","category":"Nucleic Acid Quantification","type":"laboratory","unit":"per run (15 samples)","price":300,"quantity":1,"samples":0},{"id":"LAB-SVC-017","name":"Targeted Metagenomics/Metabarcoding","category":"Library Preparation","type":"laboratory","unit":"per sample","price":4750,"quantity":2,"samples":0},{"id":"LAB-SVC-022","name":"i1 Reagent v2 Kit (300 cycles)","category":"Next Generation Sequencing","type":"laboratory","unit":"per run","price":82680,"quantity":0.02,"samples":0},{"id":"BIO-SVC-002","name":"Metabarcoding  with Downstream Analysis","category":"Bioinformatics","type":"bioinformatics","unit":"per run","price":10042.88,"description":"Applicable up to maximum of 9 samples\nPre-processing and downstream analysis results include: FastQC, trimming, denoising, and generate the representative sequences, count table, taxonomic information, and relative abundance plot.; Alpha diversity indices; Beta diversity indices; Univariate and Multivariate Analysis; Differential Abundance; Function Prediction.","minQuantity":9,"additionalUnitPrice":1115.875852,"minParticipants":null,"additionalParticipantPrice":null,"quantity":1,"samples":0}]</t>
  </si>
  <si>
    <t>2026-02-24T07:34:56.211Z</t>
  </si>
  <si>
    <t>VMENF-Q-2026-348</t>
  </si>
  <si>
    <t>[{"id":"LAB-SVC-001","name":"Spin Column Based Extraction","category":"Nucleic Acid Extraction","type":"laboratory","unit":"per sample","price":940,"quantity":3,"samples":0},{"id":"LAB-SVC-006","name":"Agarose Gel Electrophoresis","category":"Nucleic Acid Quantification","type":"laboratory","unit":"per run (12 samples)","price":590,"quantity":1,"samples":0},{"id":"LAB-SVC-007","name":"MultiSkan Sky Spectrophotometry","category":"Nucleic Acid Quantification","type":"laboratory","unit":"per run (15 samples)","price":300,"quantity":1,"samples":0},{"id":"LAB-SVC-017","name":"Targeted Metagenomics/Metabarcoding","category":"Library Preparation","type":"laboratory","unit":"per sample","price":4750,"quantity":3,"samples":0},{"id":"LAB-SVC-022","name":"i1 Reagent v2 Kit (300 cycles)","category":"Next Generation Sequencing","type":"laboratory","unit":"per run","price":82680,"quantity":0.03,"samples":0},{"id":"BIO-SVC-002","name":"Metabarcoding  with Downstream Analysis","category":"Bioinformatics","type":"bioinformatics","unit":"per run","price":10042.88,"description":"Applicable up to maximum of 9 samples\nPre-processing and downstream analysis results include: FastQC, trimming, denoising, and generate the representative sequences, count table, taxonomic information, and relative abundance plot.; Alpha diversity indices; Beta diversity indices; Univariate and Multivariate Analysis; Differential Abundance; Function Prediction.","minQuantity":9,"additionalUnitPrice":1115.875852,"minParticipants":null,"additionalParticipantPrice":null,"quantity":1,"samples":0}]</t>
  </si>
  <si>
    <t>2026-02-24T07:36:47.176Z</t>
  </si>
  <si>
    <t>VMENF-Q-2026-349</t>
  </si>
  <si>
    <t>["equipment","bioinformatics"]</t>
  </si>
  <si>
    <t>[{"id":"EQP-SVC-034","name":"Storage Freezer, -80C (PHCBi )","category":"Equipment Use (Without Consumables)","type":"equipment","unit":"per cryobox/year","price":3110,"description":"Storage fees per 9x9 (6\") Cryobox","minQuantity":null,"additionalUnitPrice":null,"minParticipants":null,"additionalParticipantPrice":null,"quantity":400,"samples":0},{"id":"BIO-SVC-011","name":"Data Storage - Server Fees","category":"Bioinformatics","type":"bioinformatics","unit":"Per GB/year","price":174,"description":"","minQuantity":null,"additionalUnitPrice":null,"minParticipants":null,"additionalParticipantPrice":null,"quantity":7561,"samples":0}]</t>
  </si>
  <si>
    <t>2026-02-25T06:44:32.073Z</t>
  </si>
  <si>
    <t>VMENF-Q-2026-350</t>
  </si>
  <si>
    <t>[{"id":"LAB-SVC-001","name":"Spin Column Based Extraction","category":"Nucleic Acid Extraction","type":"laboratory","unit":"per sample","price":940,"quantity":1,"samples":0},{"id":"LAB-SVC-006","name":"Agarose Gel Electrophoresis","category":"Nucleic Acid Quantification","type":"laboratory","unit":"per run (12 samples)","price":590,"quantity":1,"samples":0},{"id":"LAB-SVC-007","name":"MultiSkan Sky Spectrophotometry","category":"Nucleic Acid Quantification","type":"laboratory","unit":"per run (15 samples)","price":300,"quantity":1,"samples":0},{"id":"LAB-SVC-017","name":"Targeted Metagenomics/Metabarcoding","category":"Library Preparation","type":"laboratory","unit":"per sample","price":4750,"quantity":1,"samples":0},{"id":"LAB-SVC-022","name":"i1 Reagent v2 Kit (300 cycles)","category":"Next Generation Sequencing","type":"laboratory","unit":"per run","price":82680,"quantity":0.05,"samples":0},{"id":"BIO-SVC-002","name":"Metabarcoding  with Downstream Analysis","category":"Bioinformatics","type":"bioinformatics","unit":"per run","price":10042.88,"description":"Applicable up to maximum of 9 samples\nPre-processing and downstream analysis results include: FastQC, trimming, denoising, and generate the representative sequences, count table, taxonomic information, and relative abundance plot.; Alpha diversity indices; Beta diversity indices; Univariate and Multivariate Analysis; Differential Abundance; Function Prediction.","minQuantity":9,"additionalUnitPrice":1115.875852,"minParticipants":null,"additionalParticipantPrice":null,"quantity":1,"samples":0}]</t>
  </si>
  <si>
    <t>2026-02-26T01:33:18.918Z</t>
  </si>
  <si>
    <t>VMENF-Q-2026-351</t>
  </si>
  <si>
    <t>[{"id":"LAB-SVC-001","name":"Spin Column Based Extraction","category":"Nucleic Acid Extraction","type":"laboratory","unit":"per sample","price":940,"quantity":10,"samples":0},{"id":"LAB-SVC-006","name":"Agarose Gel Electrophoresis","category":"Nucleic Acid Quantification","type":"laboratory","unit":"per run (12 samples)","price":590,"quantity":1,"samples":0},{"id":"LAB-SVC-007","name":"MultiSkan Sky Spectrophotometry","category":"Nucleic Acid Quantification","type":"laboratory","unit":"per run (15 samples)","price":300,"quantity":1,"samples":0},{"id":"EQP-SVC-026","name":"Real-time PCR (CFX 96 Touch) - single channel","category":"Equipment Use (Without Consumables)","type":"equipment","unit":"per hour","price":440,"quantity":3,"samples":0}]</t>
  </si>
  <si>
    <t>2026-02-26T07:18:24.751Z</t>
  </si>
  <si>
    <t>useInternalPrice</t>
  </si>
  <si>
    <t>datePaid</t>
  </si>
  <si>
    <t>approvedBy</t>
  </si>
  <si>
    <t>dvNumber</t>
  </si>
  <si>
    <t>clientInfo</t>
  </si>
  <si>
    <t>project</t>
  </si>
  <si>
    <t>orNumber</t>
  </si>
  <si>
    <t>dateOfOR</t>
  </si>
  <si>
    <t>client</t>
  </si>
  <si>
    <t>chargeSlipNumber</t>
  </si>
  <si>
    <t>projectId</t>
  </si>
  <si>
    <t>CS-2020-12-001</t>
  </si>
  <si>
    <t>{"name":"VICTOR MARCO EMMANUEL N. FERRIOLS, Ph.D","position":"AED, PGC Visayas"}</t>
  </si>
  <si>
    <t>TF-2020-12-09150</t>
  </si>
  <si>
    <t>{"institution":"Institute of Marine Fisheries and Oceanology, College of Fisheries and Ocean Sciences, University of the Philippines Visayas","name":"Dominique P. Mediodia","designation":"","email":""}</t>
  </si>
  <si>
    <t>{"notes":"","iid":"","fundingCategory":"","pid":"P-2020-008","personnelAssigned":"","title":"Marine Fisheries Assessment of Panay: Building Local Fisheries Information through Research Capability Enhancement on Higher Education Insitutions ","fundingInstitution":"","lead":"","clientNames":[],"createdAt":{"_nanoseconds":0,"_seconds":0},"projectTag":"","referenceNumber":"","projectId":"","servicerequested":["Equipment Use"],"sendingInstitution":""}</t>
  </si>
  <si>
    <t>{"createdAt":{"_nanoseconds":0,"_seconds":0},"phoneNumber":"","affiliation":"Institute of Marine Fisheries and Oceanology, College of Fisheries and Ocean Sciences, University of the Philippines Visayas","year":2020,"sex":"","name":"Dominique P. Mediodia","affiliationAddress":"","pid":"P-2020-008","designation":"","email":"","cid":"CL-2020-019"}</t>
  </si>
  <si>
    <t>["Laboratory Service"]</t>
  </si>
  <si>
    <t>PAID</t>
  </si>
  <si>
    <t>CS-2021-03-002</t>
  </si>
  <si>
    <t>TF-2021-04-02791</t>
  </si>
  <si>
    <t>493079</t>
  </si>
  <si>
    <t>April 19, 2021</t>
  </si>
  <si>
    <t>{"createdAt":{"_nanoseconds":0,"_seconds":0},"phoneNumber":"","affiliation":"Institute of Marine Fisheries and Oceanology, College of Fisheries and Ocean Sciences, University of the Philippines Visayas","year":2021,"sex":"","name":"Dominique P. Mediodia","affiliationAddress":"","pid":"P-2020-008","designation":"","email":"","cid":"CL-2020-019"}</t>
  </si>
  <si>
    <t>CS-2021-05-003</t>
  </si>
  <si>
    <t>TF-2021-06-04996</t>
  </si>
  <si>
    <t>495221</t>
  </si>
  <si>
    <t>June 21, 2021</t>
  </si>
  <si>
    <t>CS-2021-07-004</t>
  </si>
  <si>
    <t>TF-2021-07-06176</t>
  </si>
  <si>
    <t>497555</t>
  </si>
  <si>
    <t>July 28, 2021</t>
  </si>
  <si>
    <t>CS-2021-07-005</t>
  </si>
  <si>
    <t>Thru Bank Deposit</t>
  </si>
  <si>
    <t>{"institution":"Room 9, Second Floor (ABBA R&amp;D Center), College of Fisheries and Aquatic Science (CFAS), WPU-Puerto Princesa Campus, Sta. Monica, Puerto Princesa City","name":"Arlene L . Avillanosa","designation":"","email":""}</t>
  </si>
  <si>
    <t>{"notes":"","iid":"","fundingCategory":"","pid":"P-2021-013","personnelAssigned":"","title":"Genetic Characterization of Macrobrachium populations in the Philippines for broodstock development and seed production","fundingInstitution":"","lead":"","clientNames":[],"createdAt":{"_nanoseconds":0,"_seconds":0},"projectTag":"","referenceNumber":"","projectId":"","servicerequested":["Laboratory Service"],"sendingInstitution":""}</t>
  </si>
  <si>
    <t>498868</t>
  </si>
  <si>
    <t>["Extraction to Amplicon Sequencing"]</t>
  </si>
  <si>
    <t>September 20, 2021</t>
  </si>
  <si>
    <t>{"createdAt":{"_nanoseconds":0,"_seconds":0},"phoneNumber":"","affiliation":"Room 9, Second Floor (ABBA R&amp;D Center), College of Fisheries and Aquatic Science (CFAS), WPU-Puerto Princesa Campus, Sta. Monica, Puerto Princesa City","year":2021,"sex":"","name":"Arlene L . Avillanosa","affiliationAddress":"","pid":"P-2021-013","designation":"","email":"","cid":"CL-2021-031"}</t>
  </si>
  <si>
    <t>["R&amp;D"]</t>
  </si>
  <si>
    <t>CS-2021-07-006</t>
  </si>
  <si>
    <t>combined with CS-2021-10-11</t>
  </si>
  <si>
    <t>{"institution":"College of Arts and Sciences (CAS) Buidling, University of the Philippines Visayas, Miagao, Iloilo 5023","name":"Concepcion Ponce","designation":"","email":""}</t>
  </si>
  <si>
    <t>{"notes":"","iid":"","fundingCategory":"","pid":"P-2021-014","personnelAssigned":"","title":"Pre-commercialization of Microwave Extracted Pectin from Waste Calamansi Peels","fundingInstitution":"","lead":"","clientNames":[],"createdAt":{"_nanoseconds":0,"_seconds":0},"projectTag":"","referenceNumber":"","projectId":"","servicerequested":["Retail Sales"],"sendingInstitution":""}</t>
  </si>
  <si>
    <t>["Type II Water"]</t>
  </si>
  <si>
    <t>{"createdAt":{"_nanoseconds":0,"_seconds":0},"phoneNumber":"","affiliation":"College of Arts and Sciences (CAS) Buidling, University of the Philippines Visayas, Miagao, Iloilo 5023","year":2021,"sex":"","name":"Concepcion Ponce","affiliationAddress":"","pid":"P-2021-014","designation":"","email":"","cid":"CL-2021-035"}</t>
  </si>
  <si>
    <t>["Cancelled"]</t>
  </si>
  <si>
    <t>CANCELLED</t>
  </si>
  <si>
    <t>CS-2021-08-007</t>
  </si>
  <si>
    <t>combined with CS-2021-10-12</t>
  </si>
  <si>
    <t>CS-2021-08-008</t>
  </si>
  <si>
    <t>combined with CS-2021-10-13</t>
  </si>
  <si>
    <t>CS-2021-08-009</t>
  </si>
  <si>
    <t>combined with CS-2021-10-14</t>
  </si>
  <si>
    <t>CS-2021-09-010</t>
  </si>
  <si>
    <t>CS-2021-10-011</t>
  </si>
  <si>
    <t>TF-2021-12-10531</t>
  </si>
  <si>
    <t>508210</t>
  </si>
  <si>
    <t>December 23, 2021</t>
  </si>
  <si>
    <t>CS-2021-12-012 CS-2022-07-006</t>
  </si>
  <si>
    <t>Bank Deposit</t>
  </si>
  <si>
    <t>{"institution":"Institute of Aquaculture, College of Fisheries and Ocean Sciences, University of the Philippines Visayas, Miagao, 5023, Iloilo","name":"Angel Queenee D. Dequito","designation":"","email":""}</t>
  </si>
  <si>
    <t>{"notes":"","iid":"","fundingCategory":"","pid":"P-2020-003","personnelAssigned":"","title":"Transcriptome and Gut Metagenome Profile of Penaeus vannamei Exposed to Fluctuating Environmental Temperatures","fundingInstitution":"","lead":"","clientNames":[],"createdAt":{"_nanoseconds":0,"_seconds":0},"projectTag":"","referenceNumber":"","projectId":"","servicerequested":["Laboratory Service"],"sendingInstitution":""}</t>
  </si>
  <si>
    <t>["Extraction to qPCR"]</t>
  </si>
  <si>
    <t>{"createdAt":{"_nanoseconds":0,"_seconds":0},"phoneNumber":"","affiliation":"Institute of Aquaculture, College of Fisheries and Ocean Sciences, University of the Philippines Visayas, Miagao, 5023, Iloilo","year":2022,"sex":"","name":"Angel Queenee D. Dequito","affiliationAddress":"","pid":"P-2020-003","designation":"","email":"","cid":"CL-2020-013"}</t>
  </si>
  <si>
    <t>CS-2022-01-001</t>
  </si>
  <si>
    <t>{"institution":"Division of Biological Sciences, College of Arts and Sciences, University of the Philippines Visayas, Miagao, Iloilo","name":"Kingsley John de los Santos","designation":"","email":""}</t>
  </si>
  <si>
    <t>{"notes":"","iid":"","fundingCategory":"","pid":"P-2022-022","personnelAssigned":"","title":"Assessment of Anthropogenic Marine Debris and Mangrove Forest Health in Iloilo Strait, Western Visayas, Philippines","fundingInstitution":"","lead":"","clientNames":[],"createdAt":{"_nanoseconds":0,"_seconds":0},"projectTag":"","referenceNumber":"","projectId":"","servicerequested":["Retail Sales"],"sendingInstitution":""}</t>
  </si>
  <si>
    <t>512050</t>
  </si>
  <si>
    <t>["Liquid Nitrogen (LN)"]</t>
  </si>
  <si>
    <t>April 22, 2022</t>
  </si>
  <si>
    <t>{"createdAt":{"_nanoseconds":0,"_seconds":0},"phoneNumber":"","affiliation":"Division of Biological Sciences, College of Arts and Sciences, University of the Philippines Visayas, Miagao, Iloilo","year":2022,"sex":"","name":"Kingsley John de los Santos","affiliationAddress":"","pid":"P-2022-022","designation":"","email":"","cid":"CL-2022-044"}</t>
  </si>
  <si>
    <t>CS-2022-01-002</t>
  </si>
  <si>
    <t>TF-2022-05-3955</t>
  </si>
  <si>
    <t>{"institution":"Institute of Aquaculture, College of Fisheries and Ocean Sciences, University of the Philippines Visayas, Miagao, 5023, Iloilo","name":"Karl Angelo P. Tenizo","designation":"","email":""}</t>
  </si>
  <si>
    <t>{"notes":"","iid":"","fundingCategory":"","pid":"P-2020-005","personnelAssigned":"","title":"Transcriptome and metabolome profiling of seaweeds to elucidate \"ice-ice\" disease and epiphyte infestation mechanisms","fundingInstitution":"","lead":"","clientNames":[],"createdAt":{"_nanoseconds":0,"_seconds":0},"projectTag":"","referenceNumber":"","projectId":"","servicerequested":["Laboratory Service"],"sendingInstitution":""}</t>
  </si>
  <si>
    <t>["Extraction to Transcriptomics"]</t>
  </si>
  <si>
    <t>{"createdAt":{"_nanoseconds":0,"_seconds":0},"phoneNumber":"","affiliation":"Institute of Aquaculture, College of Fisheries and Ocean Sciences, University of the Philippines Visayas, Miagao, 5023, Iloilo","year":2022,"sex":"","name":"Karl Angelo P. Tenizo","affiliationAddress":"","pid":"P-2020-005","designation":"","email":"","cid":"CL-2020-015"}</t>
  </si>
  <si>
    <t>CS-2022-05-003</t>
  </si>
  <si>
    <t>{"institution":"Institute of Aquaculture, College of Fisheries and Ocean Sciences, University of the Philippines Visayas, Miagao, 5023, Iloilo","name":"Rema C. Sibonga","designation":"","email":""}</t>
  </si>
  <si>
    <t>{"notes":"","iid":"","fundingCategory":"","pid":"P-2020-001","personnelAssigned":"","title":"Global Seaweed STAR Project","fundingInstitution":"","lead":"","clientNames":[],"createdAt":{"_nanoseconds":0,"_seconds":0},"projectTag":"","referenceNumber":"","projectId":"","servicerequested":["Equipment Use"],"sendingInstitution":""}</t>
  </si>
  <si>
    <t>514345</t>
  </si>
  <si>
    <t>June 10, 2022</t>
  </si>
  <si>
    <t>{"createdAt":{"_nanoseconds":0,"_seconds":0},"phoneNumber":"","affiliation":"Institute of Aquaculture, College of Fisheries and Ocean Sciences, University of the Philippines Visayas, Miagao, 5023, Iloilo","year":2022,"sex":"","name":"Rema C. Sibonga","affiliationAddress":"","pid":"P-2020-001","designation":"","email":"","cid":"CL-2020-010"}</t>
  </si>
  <si>
    <t>CS-2022-05-004</t>
  </si>
  <si>
    <t>512685</t>
  </si>
  <si>
    <t>May 20, 2022</t>
  </si>
  <si>
    <t>CS-2022-06-005</t>
  </si>
  <si>
    <t>0517969</t>
  </si>
  <si>
    <t>August 19, 2022</t>
  </si>
  <si>
    <t>{"createdAt":{"_nanoseconds":0,"_seconds":0},"phoneNumber":"","affiliation":"Room 9, Second Floor (ABBA R&amp;D Center), College of Fisheries and Aquatic Science (CFAS), WPU-Puerto Princesa Campus, Sta. Monica, Puerto Princesa City","year":2022,"sex":"","name":"Arlene L . Avillanosa","affiliationAddress":"","pid":"P-2021-013","designation":"","email":"","cid":"CL-2021-031"}</t>
  </si>
  <si>
    <t>CS-2022-08-007</t>
  </si>
  <si>
    <t>{"institution":"Fisheries and Marine Sciences Department, Aklan State University - New Washington Campus","name":"Beverly T. Jaspe","designation":"","email":""}</t>
  </si>
  <si>
    <t>{"notes":"","iid":"","fundingCategory":"","pid":"P-2022-027","personnelAssigned":"","title":"Genomic variations among different (meta) populations of oriental angelwing clam (Pholas orientalis) in the\r\nWestern Visayas, Philippines: basis for conservation breeding program","fundingInstitution":"","lead":"","clientNames":[],"createdAt":{"_nanoseconds":0,"_seconds":0},"projectTag":"","referenceNumber":"","projectId":"","servicerequested":["Laboratory Service"],"sendingInstitution":""}</t>
  </si>
  <si>
    <t>0520397</t>
  </si>
  <si>
    <t>["Extraction to Bioinformatics Analysis"]</t>
  </si>
  <si>
    <t>September 12, 2022</t>
  </si>
  <si>
    <t>{"createdAt":{"_nanoseconds":0,"_seconds":0},"phoneNumber":"","affiliation":"Fisheries and Marine Sciences Department, Aklan State University - New Washington Campus","year":2022,"sex":"","name":"Beverly T. Jaspe","affiliationAddress":"","pid":"P-2022-027","designation":"","email":"","cid":"CL-2022-051"}</t>
  </si>
  <si>
    <t>CS-2022-09-009</t>
  </si>
  <si>
    <t>Other Payee:_x000D_
MS. KATHERINE P. SANCHEZ_x000D_
MS. JERMAINE RITZCHELLE D. MARQUEZ_x000D_
MS. ELSIE Y. GUIBONE</t>
  </si>
  <si>
    <t>{"institution":"Research and Development Extension, Mindoro State University","name":"Viva Princess A. Basa","designation":"","email":""}</t>
  </si>
  <si>
    <t>{"notes":"","iid":"","fundingCategory":"","pid":"PGCV-BT-2022-001","personnelAssigned":"","title":"","fundingInstitution":"","lead":"","clientNames":[],"createdAt":{"_nanoseconds":0,"_seconds":0},"projectTag":"","referenceNumber":"","projectId":"","servicerequested":["Training"],"sendingInstitution":""}</t>
  </si>
  <si>
    <t>0520474</t>
  </si>
  <si>
    <t>September 13, 2022</t>
  </si>
  <si>
    <t>{"createdAt":{"_nanoseconds":0,"_seconds":0},"phoneNumber":"","affiliation":"Research and Development Extension, Mindoro State University","year":2022,"sex":"","name":"Viva Princess A. Basa","affiliationAddress":"","pid":"PGCV-BT-2022-001","designation":"","email":"","cid":"CL-2022-056"}</t>
  </si>
  <si>
    <t>CS-2022-11-010</t>
  </si>
  <si>
    <t>2022-11-11214</t>
  </si>
  <si>
    <t>{"institution":"Division of Biological Sciences, College of Arts and Sciences, University of the Philippines Visayas, Miagao, Iloilo","name":"Eric Zeus C. Rizo","designation":"","email":""}</t>
  </si>
  <si>
    <t>{"notes":"","iid":"","fundingCategory":"","pid":"P-2022-017","personnelAssigned":"","title":"Development of a Water Quality Biological Monitoring Protocol using Genetic, Phylogenetic and Functional Diversity on Freshwater Zooplankton Communitites in Inland Waters of Panay Island, Philippines","fundingInstitution":"","lead":"","clientNames":[],"createdAt":{"_nanoseconds":0,"_seconds":0},"projectTag":"","referenceNumber":"","projectId":"","servicerequested":["Laboratory Service"],"sendingInstitution":""}</t>
  </si>
  <si>
    <t>Check No: 63422</t>
  </si>
  <si>
    <t>["Extraction to Sequencing"]</t>
  </si>
  <si>
    <t>December 22, 2022</t>
  </si>
  <si>
    <t>{"createdAt":{"_nanoseconds":0,"_seconds":0},"phoneNumber":"","affiliation":"Division of Biological Sciences, College of Arts and Sciences, University of the Philippines Visayas, Miagao, Iloilo","year":2022,"sex":"","name":"Eric Zeus C. Rizo","affiliationAddress":"","pid":"P-2022-017","designation":"","email":"","cid":"CL-2022-038"}</t>
  </si>
  <si>
    <t>CS-2022-12-011</t>
  </si>
  <si>
    <t>PLEASE DISREGARD, updated and final charge slip is CS-2022-12-012</t>
  </si>
  <si>
    <t>{"institution":"Microbiology Laboratory, College of Arts and Sciences, University of the Philippines Visayas, 5023 Miagao, Iloilo","name":"Rhudith Cabulong","designation":"","email":""}</t>
  </si>
  <si>
    <t>{"notes":"","iid":"","fundingCategory":"","pid":"P-2022-032","personnelAssigned":"","title":"Diversity and screening of culturable cellulytic microorganisms from mangrove forests, natural parks, paddy field, and sugar plantation in Panay Island, Philippines","fundingInstitution":"","lead":"","clientNames":[],"createdAt":{"_nanoseconds":0,"_seconds":0},"projectTag":"","referenceNumber":"","projectId":"","servicerequested":["Laboratory Service"],"sendingInstitution":""}</t>
  </si>
  <si>
    <t>{"createdAt":{"_nanoseconds":0,"_seconds":0},"phoneNumber":"","affiliation":"Microbiology Laboratory, College of Arts and Sciences, University of the Philippines Visayas, 5023 Miagao, Iloilo","year":2022,"sex":"","name":"Rhudith Cabulong","affiliationAddress":"","pid":"P-2022-032","designation":"","email":"","cid":"CL-2022-055"}</t>
  </si>
  <si>
    <t>CS-2022-12-012</t>
  </si>
  <si>
    <t>2022-12-12406</t>
  </si>
  <si>
    <t>Check No. 122888</t>
  </si>
  <si>
    <t>December 20, 2022</t>
  </si>
  <si>
    <t>CS-2023-01-001</t>
  </si>
  <si>
    <t>{"createdAt":{"_nanoseconds":0,"_seconds":0},"phoneNumber":"","affiliation":"Institute of Aquaculture, College of Fisheries and Ocean Sciences, University of the Philippines Visayas, Miagao, 5023, Iloilo","year":2023,"sex":"","name":"Karl Angelo P. Tenizo","affiliationAddress":"","pid":"P-2020-005","designation":"","email":"","cid":"CL-2020-015"}</t>
  </si>
  <si>
    <t>CS-2023-01-002</t>
  </si>
  <si>
    <t>{"institution":"Molecular Laboratory, Corazon L. Montelibano Memorial Regional Hospital, Burgos-Lacson St., Bacolod City","name":"Alain C. Juayang","designation":"","email":""}</t>
  </si>
  <si>
    <t>{"notes":"","iid":"","fundingCategory":"","pid":"T-2023-001","personnelAssigned":"","title":"","fundingInstitution":"","lead":"","clientNames":[],"createdAt":{"_nanoseconds":0,"_seconds":0},"projectTag":"","referenceNumber":"","projectId":"","servicerequested":["Training"],"sendingInstitution":""}</t>
  </si>
  <si>
    <t>537350</t>
  </si>
  <si>
    <t>["WGS"]</t>
  </si>
  <si>
    <t>March 01, 2023</t>
  </si>
  <si>
    <t>{"createdAt":{"_nanoseconds":0,"_seconds":0},"phoneNumber":"","affiliation":"Molecular Laboratory, Corazon L. Montelibano Memorial Regional Hospital, Burgos-Lacson St., Bacolod City","year":2023,"sex":"","name":"Alain C. Juayang","affiliationAddress":"","pid":"T-2023-001","designation":"","email":"","cid":"CL-2021-025"}</t>
  </si>
  <si>
    <t>CS-2023-02-003</t>
  </si>
  <si>
    <t>{"institution":"Seaweed Research and Development Center, Mindanao State University in Tawi-Tawi\r\nSanga-Sanga, Bongao, Tawi-Tawi, Philippines","name":"Dr. Sitti Zayda Halun","designation":"","email":""}</t>
  </si>
  <si>
    <t>{"notes":"","iid":"","fundingCategory":"","pid":"P-2023-037","personnelAssigned":"","title":"Amplicon Sequencing of Seaweed","fundingInstitution":"","lead":"","clientNames":[],"createdAt":{"_nanoseconds":0,"_seconds":0},"projectTag":"","referenceNumber":"","projectId":"","servicerequested":["Laboratory Service"],"sendingInstitution":""}</t>
  </si>
  <si>
    <t>538133</t>
  </si>
  <si>
    <t>March 21, 2023</t>
  </si>
  <si>
    <t>{"createdAt":{"_nanoseconds":0,"_seconds":0},"phoneNumber":"","affiliation":"Seaweed Research and Development Center, Mindanao State University in Tawi-Tawi\r\nSanga-Sanga, Bongao, Tawi-Tawi, Philippines","year":2023,"sex":"","name":"Dr. Sitti Zayda Halun","affiliationAddress":"","pid":"P-2023-037","designation":"","email":"","cid":"CL-2023-071"}</t>
  </si>
  <si>
    <t>CS-2023-03-004</t>
  </si>
  <si>
    <t>Cheque to Cash Office</t>
  </si>
  <si>
    <t>{"designation":"","email":"","institution":"ODAA, G/F KOICA (New Administration) Building, Maharlika Highway, Tanghas,\r\nTolosa, Leyte","name":"Shereen A. Merro"}</t>
  </si>
  <si>
    <t>{"notes":"","iid":"","fundingCategory":"","personnelAssigned":"","title":"","fundingInstitution":"","lead":"","clientNames":[],"createdAt":{"_nanoseconds":0,"_seconds":0},"projectTag":"","referenceNumber":"","projectId":"","servicerequested":["Training"],"sendingInstitution":"","pid":"T-2023-003"}</t>
  </si>
  <si>
    <t>538942</t>
  </si>
  <si>
    <t>["16s Metagenomics and Amplicon Sequencing"]</t>
  </si>
  <si>
    <t>April 17, 2023</t>
  </si>
  <si>
    <t>{"createdAt":{"_nanoseconds":0,"_seconds":0},"phoneNumber":"","year":2023,"sex":"","affiliationAddress":"","designation":"","email":"","affiliation":"ODAA, G/F KOICA (New Administration) Building, Maharlika Highway, Tanghas,\r\nTolosa, Leyte","name":"Shereen A. Merro","pid":"T-2023-003","cid":"CL-2023-074"}</t>
  </si>
  <si>
    <t>CS-2023-03-005</t>
  </si>
  <si>
    <t>PLEASE DISREGARD, updated and final charge slip is CS-2023-05-006</t>
  </si>
  <si>
    <t>{"institution":"College of Arts and Sciences Division of Biological Sciences, University of the Philippines Visayas Miagao, 5023, Iloilo","name":"Pauline Anne Lamela","designation":"","email":""}</t>
  </si>
  <si>
    <t>{"notes":"","iid":"","fundingCategory":"","pid":"P-2022-035","personnelAssigned":"","title":"Isolation, Characterization, And Identification of Plastic-Degrading Bacteria From Bago City Landfill, Negros Occidental, Philippines","fundingInstitution":"","lead":"","clientNames":[],"createdAt":{"_nanoseconds":0,"_seconds":0},"projectTag":"","referenceNumber":"","projectId":"","servicerequested":["Equipment Use"],"sendingInstitution":""}</t>
  </si>
  <si>
    <t>{"createdAt":{"_nanoseconds":0,"_seconds":0},"phoneNumber":"","affiliation":"College of Arts and Sciences Division of Biological Sciences, University of the Philippines Visayas Miagao, 5023, Iloilo","year":2023,"sex":"","name":"Pauline Anne Lamela","affiliationAddress":"","pid":"P-2022-035","designation":"","email":"","cid":"CL-2022-066"}</t>
  </si>
  <si>
    <t>CS-2023-04-006</t>
  </si>
  <si>
    <t>544663</t>
  </si>
  <si>
    <t>July 04, 2023</t>
  </si>
  <si>
    <t>CS-2023-05-007</t>
  </si>
  <si>
    <t>{"institution":"Division of Biological Sciences, College of Arts and Sciences, UP Visayas Miagao Iloilo","name":"Trisha Marie Santos","designation":"","email":""}</t>
  </si>
  <si>
    <t>{"notes":"","iid":"","fundingCategory":"","pid":"P-2023-044","personnelAssigned":"","title":"Prebiotic potential of Beta-glucan extracted from macrofungu found in Miagao, Iloilo","fundingInstitution":"","lead":"","clientNames":[],"createdAt":{"_nanoseconds":0,"_seconds":0},"projectTag":"","referenceNumber":"","projectId":"","servicerequested":["Equipment Use"],"sendingInstitution":""}</t>
  </si>
  <si>
    <t>542787</t>
  </si>
  <si>
    <t>June 21, 2023</t>
  </si>
  <si>
    <t>{"createdAt":{"_nanoseconds":0,"_seconds":0},"phoneNumber":"","affiliation":"Division of Biological Sciences, College of Arts and Sciences, UP Visayas Miagao Iloilo","year":2023,"sex":"","name":"Trisha Marie Santos","affiliationAddress":"","pid":"P-2023-044","designation":"","email":"","cid":"CL-2023-083"}</t>
  </si>
  <si>
    <t>CS-2023-06-008</t>
  </si>
  <si>
    <t>{"institution":"College of Arts and Sciences Division of Biological Sciences, University of the Philippines Visayas Miagao, 5023, Iloilo","name":"Beatrice L. Anacita","designation":"","email":""}</t>
  </si>
  <si>
    <t>{"notes":"","iid":"","fundingCategory":"","pid":"P-2023-042","personnelAssigned":"","title":"Bacterial Biofilm Formation and Inhibition Potential of Wild Macrofungi from Miagao, Iloilo","fundingInstitution":"","lead":"","clientNames":[],"createdAt":{"_nanoseconds":0,"_seconds":0},"projectTag":"","referenceNumber":"","projectId":"","servicerequested":["Equipment Use"],"sendingInstitution":""}</t>
  </si>
  <si>
    <t>542525</t>
  </si>
  <si>
    <t>June 16, 2023</t>
  </si>
  <si>
    <t>{"createdAt":{"_nanoseconds":0,"_seconds":0},"phoneNumber":"","affiliation":"College of Arts and Sciences Division of Biological Sciences, University of the Philippines Visayas Miagao, 5023, Iloilo","year":2023,"sex":"","name":"Beatrice L. Anacita","affiliationAddress":"","pid":"P-2023-042","designation":"","email":"","cid":"CL-2023-081"}</t>
  </si>
  <si>
    <t>CS-2023-06-009</t>
  </si>
  <si>
    <t>{"institution":"College of Arts and Sciences Division of Biological Sciences, University of the Philippines Visayas Miagao, 5023, Iloilo","name":"Kyla Julienne P. Talaman","designation":"","email":""}</t>
  </si>
  <si>
    <t>{"notes":"","iid":"","fundingCategory":"","pid":"P-2023-043","personnelAssigned":"","title":"Prebiotic potential of Beta-glucan extracted from macrofungu found in Miagao, Iloilo","fundingInstitution":"","lead":"","clientNames":[],"createdAt":{"_nanoseconds":0,"_seconds":0},"projectTag":"","referenceNumber":"","projectId":"","servicerequested":["Equipment Use"],"sendingInstitution":""}</t>
  </si>
  <si>
    <t>542494</t>
  </si>
  <si>
    <t>June 15, 2023</t>
  </si>
  <si>
    <t>{"createdAt":{"_nanoseconds":0,"_seconds":0},"phoneNumber":"","affiliation":"College of Arts and Sciences Division of Biological Sciences, University of the Philippines Visayas Miagao, 5023, Iloilo","year":2023,"sex":"","name":"Kyla Julienne P. Talaman","affiliationAddress":"","pid":"P-2023-043","designation":"","email":"","cid":"CL-2023-082"}</t>
  </si>
  <si>
    <t>CS-2023-06-010</t>
  </si>
  <si>
    <t>{"institution":"Institute of Marine Fisheries and Oceanology, College of Fisheries and Ocean Sciences, University of the Philippines Visayas","name":"Carlo S. Gregorio","designation":"","email":""}</t>
  </si>
  <si>
    <t>{"notes":"","iid":"","fundingCategory":"","pid":"P-2023-047","personnelAssigned":"","title":"Detection of Vibrio parahaemolyticus and Vibrio cholerae in Oyster using Quantitative Real-Time Polymerase Chain Reaction (qPCR)\r\nCharacterization Of Picophytoplankton Abundance And Distribution In Relation To Varying Environmental Conditions In The Bay Zone Of The Batan Bay Estuary","fundingInstitution":"","lead":"","clientNames":[],"createdAt":{"_nanoseconds":0,"_seconds":0},"projectTag":"","referenceNumber":"","projectId":"","servicerequested":["Retail Sales"],"sendingInstitution":""}</t>
  </si>
  <si>
    <t>545015</t>
  </si>
  <si>
    <t>["LN"]</t>
  </si>
  <si>
    <t>July 11, 2023</t>
  </si>
  <si>
    <t>{"createdAt":{"_nanoseconds":0,"_seconds":0},"phoneNumber":"","affiliation":"Institute of Marine Fisheries and Oceanology, College of Fisheries and Ocean Sciences, University of the Philippines Visayas","year":2023,"sex":"","name":"Carlo S. Gregorio","affiliationAddress":"","pid":"P-2023-047","designation":"","email":"","cid":"CL-2023-086"}</t>
  </si>
  <si>
    <t>CS-2023-06-011</t>
  </si>
  <si>
    <t>{"institution":"Institute of Marine Fisheries and Oceanology, College of Fisheries and Ocean Sciences, University of the Philippines Visayas","name":"Elize Margareth C. Sibulan","designation":"","email":""}</t>
  </si>
  <si>
    <t>545017</t>
  </si>
  <si>
    <t>{"createdAt":{"_nanoseconds":0,"_seconds":0},"phoneNumber":"","affiliation":"Institute of Marine Fisheries and Oceanology, College of Fisheries and Ocean Sciences, University of the Philippines Visayas","year":2023,"sex":"","name":"Elize Margareth C. Sibulan","affiliationAddress":"","pid":"P-2023-047","designation":"","email":"","cid":"CL-2023-087"}</t>
  </si>
  <si>
    <t>CS-2023-06-012</t>
  </si>
  <si>
    <t>{"institution":"WVSU Biotechnology &amp; Biomedical Research Labroatory","name":"Abigail F. Padua","designation":"","email":""}</t>
  </si>
  <si>
    <t>{"notes":"","iid":"","fundingCategory":"","pid":"P-2023-049","personnelAssigned":"","title":"The effect of fermented silage on sperm quality of mixed-breed anglo nubian goats in Romblon","fundingInstitution":"","lead":"","clientNames":[],"createdAt":{"_nanoseconds":0,"_seconds":0},"projectTag":"","referenceNumber":"","projectId":"","servicerequested":["Retail Sales"],"sendingInstitution":""}</t>
  </si>
  <si>
    <t>545023</t>
  </si>
  <si>
    <t>{"createdAt":{"_nanoseconds":0,"_seconds":0},"phoneNumber":"","affiliation":"WVSU Biotechnology &amp; Biomedical Research Labroatory","year":2023,"sex":"","name":"Abigail F. Padua","affiliationAddress":"","pid":"P-2023-049","designation":"","email":"","cid":"CL-2023-088"}</t>
  </si>
  <si>
    <t>CS-2023-06-013</t>
  </si>
  <si>
    <t>545016</t>
  </si>
  <si>
    <t>CS-2023-06-014</t>
  </si>
  <si>
    <t>{"institution":"West Visayas State University, College of Arts and Sciences - Biology Department","name":"Krshna Mahakaola A. Dueñas","designation":"","email":""}</t>
  </si>
  <si>
    <t>{"notes":"","iid":"","fundingCategory":"","pid":"P-2023-054","personnelAssigned":"","title":"Effects of Crown-of-Thorns (Acanthaster planci) Starfish as a Growth Enhacer in White Mice (Mus musculus)","fundingInstitution":"","lead":"","clientNames":[],"createdAt":{"_nanoseconds":0,"_seconds":0},"projectTag":"","referenceNumber":"","projectId":"","servicerequested":["Retail Sales"],"sendingInstitution":""}</t>
  </si>
  <si>
    <t>549227</t>
  </si>
  <si>
    <t>August 11, 2023</t>
  </si>
  <si>
    <t>{"createdAt":{"_nanoseconds":0,"_seconds":0},"phoneNumber":"","affiliation":"West Visayas State University, College of Arts and Sciences - Biology Department","year":2023,"sex":"","name":"Krshna Mahakaola A. Dueñas","affiliationAddress":"","pid":"P-2023-054","designation":"","email":"","cid":"CL-2023-100"}</t>
  </si>
  <si>
    <t>CS-2023-08-015</t>
  </si>
  <si>
    <t>{"institution":"SEAFDEC/AQD, Barangay Buyu-an, Tigbauan, Iloilo","name":"Joseph Faisan Jr.","designation":"","email":""}</t>
  </si>
  <si>
    <t>{"notes":"","iid":"","fundingCategory":"","pid":"P-2023-056","personnelAssigned":"","title":"Fish Species ID","fundingInstitution":"","lead":"","clientNames":[],"createdAt":{"_nanoseconds":0,"_seconds":0},"projectTag":"","referenceNumber":"","projectId":"","servicerequested":["Laboratory Service"],"sendingInstitution":""}</t>
  </si>
  <si>
    <t>552424</t>
  </si>
  <si>
    <t>September 8, 2023</t>
  </si>
  <si>
    <t>{"createdAt":{"_nanoseconds":0,"_seconds":0},"phoneNumber":"","affiliation":"SEAFDEC/AQD, Barangay Buyu-an, Tigbauan, Iloilo","year":2023,"sex":"","name":"Joseph Faisan Jr.","affiliationAddress":"","pid":"P-2023-056","designation":"","email":"","cid":"CL-2023-112"}</t>
  </si>
  <si>
    <t>CS-2023-08-016</t>
  </si>
  <si>
    <t>TF-2023-12-13391</t>
  </si>
  <si>
    <t>{"institution":"Division of Biological Sciences, College of Arts and Sciences, UP Visayas Miagao Iloilo","name":"Mark S. Calabon","designation":"","email":""}</t>
  </si>
  <si>
    <t>{"notes":"","iid":"","fundingCategory":"","pid":"P-2023-052","personnelAssigned":"","title":"Unraveling the Hidden Diversity of Aquatic Fungi from Panay Island, Philippines Project","fundingInstitution":"","lead":"","clientNames":[],"createdAt":{"_nanoseconds":0,"_seconds":0},"projectTag":"","referenceNumber":"","projectId":"","servicerequested":["Laboratory Service"],"sendingInstitution":""}</t>
  </si>
  <si>
    <t>December 14, 2023</t>
  </si>
  <si>
    <t>{"createdAt":{"_nanoseconds":0,"_seconds":0},"phoneNumber":"","affiliation":"Division of Biological Sciences, College of Arts and Sciences, UP Visayas Miagao Iloilo","year":2023,"sex":"","name":"Mark S. Calabon","affiliationAddress":"","pid":"P-2023-052","designation":"","email":"","cid":"CL-2023-096"}</t>
  </si>
  <si>
    <t>CS-2023-09-017</t>
  </si>
  <si>
    <t>{"institution":"","name":"April Joy Monsale","designation":"","email":""}</t>
  </si>
  <si>
    <t>{"notes":"","iid":"","fundingCategory":"","pid":"","personnelAssigned":"","title":"","fundingInstitution":"","lead":"","clientNames":[],"createdAt":{"_nanoseconds":0,"_seconds":0},"projectTag":"","referenceNumber":"","projectId":"","servicerequested":["Training"],"sendingInstitution":""}</t>
  </si>
  <si>
    <t>556948</t>
  </si>
  <si>
    <t>November 16, 2023</t>
  </si>
  <si>
    <t>{"createdAt":{"_nanoseconds":0,"_seconds":0},"phoneNumber":"","affiliation":"","year":2023,"sex":"","name":"April Joy Monsale","affiliationAddress":"","pid":"","designation":"","email":"","cid":""}</t>
  </si>
  <si>
    <t>CS-2023-10-018</t>
  </si>
  <si>
    <t>{"institution":"","name":"Mary Grace Gonzales","designation":"","email":""}</t>
  </si>
  <si>
    <t>556949</t>
  </si>
  <si>
    <t>{"createdAt":{"_nanoseconds":0,"_seconds":0},"phoneNumber":"","affiliation":"","year":2023,"sex":"","name":"Mary Grace Gonzales","affiliationAddress":"","pid":"","designation":"","email":"","cid":""}</t>
  </si>
  <si>
    <t>CS-2023-10-019</t>
  </si>
  <si>
    <t>{"institution":"","name":"Kenneth Wilson A. Si","designation":"","email":""}</t>
  </si>
  <si>
    <t>556952</t>
  </si>
  <si>
    <t>{"createdAt":{"_nanoseconds":0,"_seconds":0},"phoneNumber":"","affiliation":"","year":2023,"sex":"","name":"Kenneth Wilson A. Si","affiliationAddress":"","pid":"","designation":"","email":"","cid":""}</t>
  </si>
  <si>
    <t>CS-2023-10-020</t>
  </si>
  <si>
    <t>{"institution":"","name":"Jay Nolan J. Alonsabe","designation":"","email":""}</t>
  </si>
  <si>
    <t>556951</t>
  </si>
  <si>
    <t>{"createdAt":{"_nanoseconds":0,"_seconds":0},"phoneNumber":"","affiliation":"","year":2023,"sex":"","name":"Jay Nolan J. Alonsabe","affiliationAddress":"","pid":"","designation":"","email":"","cid":""}</t>
  </si>
  <si>
    <t>CS-2023-10-021</t>
  </si>
  <si>
    <t>{"institution":"","name":"Kenneth John C. Chiquito","designation":"","email":""}</t>
  </si>
  <si>
    <t>556950</t>
  </si>
  <si>
    <t>{"createdAt":{"_nanoseconds":0,"_seconds":0},"phoneNumber":"","affiliation":"","year":2023,"sex":"","name":"Kenneth John C. Chiquito","affiliationAddress":"","pid":"","designation":"","email":"","cid":""}</t>
  </si>
  <si>
    <t>CS-2023-10-022</t>
  </si>
  <si>
    <t>{"institution":"Institute of Aquaculutre, College of Fisheries and Ocean Science, University of the Philippines Visayas, Miagao, Iloilo","name":"LC May C. Gasit","designation":"","email":""}</t>
  </si>
  <si>
    <t>{"notes":"","iid":"","fundingCategory":"","pid":"P-2023-062","personnelAssigned":"","title":"Development of spawning and hatchery techniques for the blood cockle (Anadara granosa) for sustainable aquaculture","fundingInstitution":"","lead":"","clientNames":[],"createdAt":{"_nanoseconds":0,"_seconds":0},"projectTag":"","referenceNumber":"","projectId":"","servicerequested":["Laboratory Service"],"sendingInstitution":""}</t>
  </si>
  <si>
    <t>{"createdAt":{"_nanoseconds":0,"_seconds":0},"phoneNumber":"","affiliation":"Institute of Aquaculutre, College of Fisheries and Ocean Science, University of the Philippines Visayas, Miagao, Iloilo","year":2023,"sex":"","name":"LC May C. Gasit","affiliationAddress":"","pid":"P-2023-062","designation":"","email":"","cid":"CL-2023-126"}</t>
  </si>
  <si>
    <t>CS-2023-11-023</t>
  </si>
  <si>
    <t>DMMMSU CHED LAKAS PROJECT</t>
  </si>
  <si>
    <t>{"institution":"DMMMSU Probiotics Research Project, Central Administration Building, Don Mariano Marcos Memorial State University, Sapilang, Bacnotan, La Union 2515","name":"Dianne A. Peralta","designation":"","email":""}</t>
  </si>
  <si>
    <t>{"notes":"","iid":"","fundingCategory":"","pid":"P-2024-071","personnelAssigned":"","title":"Development of Probiotics from roselle (Hibiscus sabdariffa), mulberry (Morus alba), and corn (Zea mays)","fundingInstitution":"","lead":"","clientNames":[],"createdAt":{"_nanoseconds":0,"_seconds":0},"projectTag":"","referenceNumber":"","projectId":"","servicerequested":["Training"],"sendingInstitution":""}</t>
  </si>
  <si>
    <t>580750</t>
  </si>
  <si>
    <t>["16s Metagenomics"]</t>
  </si>
  <si>
    <t>August 21, 2024</t>
  </si>
  <si>
    <t>{"createdAt":{"_nanoseconds":0,"_seconds":0},"phoneNumber":"","affiliation":"DMMMSU Probiotics Research Project, Central Administration Building, Don Mariano Marcos Memorial State University, Sapilang, Bacnotan, La Union 2515","year":2023,"sex":"","name":"Dianne A. Peralta","affiliationAddress":"","pid":"P-2024-071","designation":"","email":"","cid":"CL-2024-131"}</t>
  </si>
  <si>
    <t>CS-2023-11-024</t>
  </si>
  <si>
    <t>{"institution":"DOST-ITDI-VIP, DOST Cmpd., General Santos Avenue, Bicutan, Taguig City, Philippines","name":"Dencee Jean T. Ledesma","designation":"","email":""}</t>
  </si>
  <si>
    <t>{"notes":"","iid":"","fundingCategory":"","pid":"P-2024-093","personnelAssigned":"","title":"Development of a LAMP-Based Detection Kit for Tomato Yellow Leaf Curl\r\nVirus (TYLCV) Philippine Strains","fundingInstitution":"","lead":"","clientNames":[],"createdAt":{"_nanoseconds":0,"_seconds":0},"projectTag":"","referenceNumber":"","projectId":"","servicerequested":["Training"],"sendingInstitution":""}</t>
  </si>
  <si>
    <t>564168</t>
  </si>
  <si>
    <t>February 13, 2024</t>
  </si>
  <si>
    <t>{"createdAt":{"_nanoseconds":0,"_seconds":0},"phoneNumber":"","affiliation":"DOST-ITDI-VIP, DOST Cmpd., General Santos Avenue, Bicutan, Taguig City, Philippines","year":2023,"sex":"","name":"Dencee Jean T. Ledesma","affiliationAddress":"","pid":"P-2024-093","designation":"","email":"","cid":"CL-2023-127"}</t>
  </si>
  <si>
    <t>CS-2023-12-013</t>
  </si>
  <si>
    <t>2022-12-12069</t>
  </si>
  <si>
    <t>Check No: 63513</t>
  </si>
  <si>
    <t>December 28, 2022</t>
  </si>
  <si>
    <t>CS-2023-12-014</t>
  </si>
  <si>
    <t>PLEASE DISREGARD, updated and final charge slip is CS-2023-01-002</t>
  </si>
  <si>
    <t>{"createdAt":{"_nanoseconds":0,"_seconds":0},"phoneNumber":"","affiliation":"Molecular Laboratory, Corazon L. Montelibano Memorial Regional Hospital, Burgos-Lacson St., Bacolod City","year":2022,"sex":"","name":"Alain C. Juayang","affiliationAddress":"","pid":"T-2023-001","designation":"","email":"","cid":"CL-2021-025"}</t>
  </si>
  <si>
    <t>CS-2023-12-025</t>
  </si>
  <si>
    <t>TF-2024-01-00212</t>
  </si>
  <si>
    <t>{"institution":"Division of Biological Sciences, College of Arts and Sciences, UP Visayas Miagao Iloilo","name":"Philip Ian P. Padilla","designation":"","email":""}</t>
  </si>
  <si>
    <t>{"notes":"","iid":"","fundingCategory":"","pid":"P-2023-061","personnelAssigned":"","title":"Integrating early warning systems for community outbreaks using water-based epidemiology during post-COVID-19 pandemic","fundingInstitution":"","lead":"","clientNames":[],"createdAt":{"_nanoseconds":0,"_seconds":0},"projectTag":"","referenceNumber":"","projectId":"","servicerequested":["Equipment Use"],"sendingInstitution":""}</t>
  </si>
  <si>
    <t>January 8, 2024</t>
  </si>
  <si>
    <t>{"createdAt":{"_nanoseconds":0,"_seconds":0},"phoneNumber":"","affiliation":"Division of Biological Sciences, College of Arts and Sciences, UP Visayas Miagao Iloilo","year":2023,"sex":"","name":"Philip Ian P. Padilla","affiliationAddress":"","pid":"P-2023-061","designation":"","email":"","cid":"CL-2023-119"}</t>
  </si>
  <si>
    <t>CS-2024-01-001</t>
  </si>
  <si>
    <t>University of San Carlos, TIN 000-666-548-000.</t>
  </si>
  <si>
    <t>{"designation":"","email":"","institution":"Biology Department, College of Science and Arts, University of San Carlos, Nasipit, Talamban, Cebu City","name":"Jonie C. Yee, Ph.D."}</t>
  </si>
  <si>
    <t>{"notes":"","iid":"","fundingCategory":"","personnelAssigned":"","fundingInstitution":"","lead":"","clientNames":[],"createdAt":{"_nanoseconds":0,"_seconds":0},"projectTag":"","referenceNumber":"","projectId":"","servicerequested":["Laboratory Service"],"sendingInstitution":"","pid":"P-2024-064","title":"Detection of Natural Products Derived from Sediment Microbes in Mangrove"}</t>
  </si>
  <si>
    <t>572780</t>
  </si>
  <si>
    <t>June 14, 2024</t>
  </si>
  <si>
    <t>{"createdAt":{"_nanoseconds":0,"_seconds":0},"phoneNumber":"","year":2024,"sex":"","affiliationAddress":"","designation":"","email":"","affiliation":"Biology Department, College of Science and Arts, University of San Carlos, Nasipit, Talamban, Cebu City","name":"Jonie C. Yee, Ph.D.","pid":"P-2024-064","cid":"CL-2024-128"}</t>
  </si>
  <si>
    <t>CS-2024-02-003</t>
  </si>
  <si>
    <t>Type II Water</t>
  </si>
  <si>
    <t>{"institution":"School of Technology, University of the Philippines Visayas","name":"Kaylen Yvon K. Jalandoni","designation":"","email":""}</t>
  </si>
  <si>
    <t>{"notes":"","iid":"","fundingCategory":"","pid":"P-2024-067","personnelAssigned":"","title":"Mango Leaves-derived Biochar for the Removal of Amoxicillin in Aqueous Solution","fundingInstitution":"","lead":"","clientNames":[],"createdAt":{"_nanoseconds":0,"_seconds":0},"projectTag":"","referenceNumber":"","projectId":"","servicerequested":["Retail Sales"],"sendingInstitution":""}</t>
  </si>
  <si>
    <t>564179</t>
  </si>
  <si>
    <t>February 12, 2024</t>
  </si>
  <si>
    <t>{"createdAt":{"_nanoseconds":0,"_seconds":0},"phoneNumber":"","affiliation":"School of Technology, University of the Philippines Visayas","year":2024,"sex":"","name":"Kaylen Yvon K. Jalandoni","affiliationAddress":"","pid":"P-2024-067","designation":"","email":"","cid":"CL-2024-135"}</t>
  </si>
  <si>
    <t>CS-2024-02-004</t>
  </si>
  <si>
    <t>{"institution":"School of Technology, University of the Philippines Visayas","name":"Ram Nikko U. Delegero","designation":"","email":""}</t>
  </si>
  <si>
    <t>{"notes":"","iid":"","fundingCategory":"","pid":"P-2024-068","personnelAssigned":"","title":"Transesterification of Waste Vegetable Oil from Oil-based Thermal Disinfection Technology using SrO/CaO Bamboo Biochar Composite","fundingInstitution":"","lead":"","clientNames":[],"createdAt":{"_nanoseconds":0,"_seconds":0},"projectTag":"","referenceNumber":"","projectId":"","servicerequested":["Retail Sales"],"sendingInstitution":""}</t>
  </si>
  <si>
    <t>569183</t>
  </si>
  <si>
    <t>April 23, 2024</t>
  </si>
  <si>
    <t>{"createdAt":{"_nanoseconds":0,"_seconds":0},"phoneNumber":"","affiliation":"School of Technology, University of the Philippines Visayas","year":2024,"sex":"","name":"Ram Nikko U. Delegero","affiliationAddress":"","pid":"P-2024-068","designation":"","email":"","cid":"CL-2024-139"}</t>
  </si>
  <si>
    <t>CS-2024-02-005</t>
  </si>
  <si>
    <t>Cancelled. Refer to revised 2024-031</t>
  </si>
  <si>
    <t>{"institution":"","name":"NEED Project, ℅ UPV-SPSO, PR No. NEED-2023-12-1","designation":"","email":""}</t>
  </si>
  <si>
    <t>{"notes":"","iid":"","fundingCategory":"","pid":"","personnelAssigned":"","title":"","fundingInstitution":"","lead":"","clientNames":[],"createdAt":{"_nanoseconds":0,"_seconds":0},"projectTag":"","referenceNumber":"","projectId":"","servicerequested":[],"sendingInstitution":""}</t>
  </si>
  <si>
    <t>{"createdAt":{"_nanoseconds":0,"_seconds":0},"phoneNumber":"","affiliation":"","year":2024,"sex":"","name":"NEED Project, ℅ UPV-SPSO, PR No. NEED-2023-12-1","affiliationAddress":"","pid":"","designation":"","email":"","cid":""}</t>
  </si>
  <si>
    <t>CS-2024-02-006</t>
  </si>
  <si>
    <t>{"institution":"College of Medicine - Biotechnology and Biomedical Research Laboratory, West Visayas State University","name":"Jessette Mary Pauline Garcia","designation":"","email":""}</t>
  </si>
  <si>
    <t>{"notes":"","iid":"","fundingCategory":"","pid":"P-2024-070","personnelAssigned":"","title":"DNA Barcoding and Depuration Protocol of Windowpane oysters (Placuna placenta) from Oton, Iloilo","fundingInstitution":"","lead":"","clientNames":[],"createdAt":{"_nanoseconds":0,"_seconds":0},"projectTag":"","referenceNumber":"","projectId":"","servicerequested":["Laboratory Service"],"sendingInstitution":""}</t>
  </si>
  <si>
    <t>565598</t>
  </si>
  <si>
    <t>March 6, 2024</t>
  </si>
  <si>
    <t>{"createdAt":{"_nanoseconds":0,"_seconds":0},"phoneNumber":"","affiliation":"College of Medicine - Biotechnology and Biomedical Research Laboratory, West Visayas State University","year":2024,"sex":"","name":"Jessette Mary Pauline Garcia","affiliationAddress":"","pid":"P-2024-070","designation":"","email":"","cid":"CL-2024-142"}</t>
  </si>
  <si>
    <t>CS-2024-03-007</t>
  </si>
  <si>
    <t>{"notes":"","iid":"","fundingCategory":"","pid":"P-2024-071","personnelAssigned":"","title":"Development of Probiotics from roselle (Hibiscus sabdariffa), mulberry (Morus alba), and corn (Zea mays)","fundingInstitution":"","lead":"","clientNames":[],"createdAt":{"_nanoseconds":0,"_seconds":0},"projectTag":"","referenceNumber":"","projectId":"","servicerequested":["Laboratory Service"],"sendingInstitution":""}</t>
  </si>
  <si>
    <t>565477</t>
  </si>
  <si>
    <t>["Extraction to 16s Metagenomics Sequencing"]</t>
  </si>
  <si>
    <t>March 5, 2024</t>
  </si>
  <si>
    <t>{"createdAt":{"_nanoseconds":0,"_seconds":0},"phoneNumber":"","affiliation":"DMMMSU Probiotics Research Project, Central Administration Building, Don Mariano Marcos Memorial State University, Sapilang, Bacnotan, La Union 2515","year":2024,"sex":"","name":"Dianne A. Peralta","affiliationAddress":"","pid":"P-2024-071","designation":"","email":"","cid":"CL-2024-131"}</t>
  </si>
  <si>
    <t>CS-2024-03-008</t>
  </si>
  <si>
    <t>{"institution":"Central Mindanao University, University Town, Musuan, Maramag, Bukidnon 8710","name":"Kristina Casandra Pava","designation":"","email":""}</t>
  </si>
  <si>
    <t>{"notes":"","iid":"","fundingCategory":"","pid":"P-2024-079","personnelAssigned":"","title":".","fundingInstitution":"","lead":"","clientNames":[],"createdAt":{"_nanoseconds":0,"_seconds":0},"projectTag":"","referenceNumber":"","projectId":"","servicerequested":["Bioinformatics Analysis"],"sendingInstitution":""}</t>
  </si>
  <si>
    <t>565885</t>
  </si>
  <si>
    <t>["Customized Analysis"]</t>
  </si>
  <si>
    <t>March 14, 2024</t>
  </si>
  <si>
    <t>{"createdAt":{"_nanoseconds":0,"_seconds":0},"phoneNumber":"","affiliation":"Central Mindanao University, University Town, Musuan, Maramag, Bukidnon 8710","year":2024,"sex":"","name":"Kristina Casandra Pava","affiliationAddress":"","pid":"P-2024-079","designation":"","email":"","cid":"CL-2024-144"}</t>
  </si>
  <si>
    <t>CS-2024-03-009</t>
  </si>
  <si>
    <t>{"institution":"University of the Philippines High School in Iloilo, College of Arts and Science","name":"Marielle B. Chu","designation":"","email":""}</t>
  </si>
  <si>
    <t>{"notes":"","iid":"","fundingCategory":"","pid":"P-2024-080","personnelAssigned":"","title":"Isolation and characterization of cellulolytic bacteria from decomposing leaf litter","fundingInstitution":"","lead":"","clientNames":[],"createdAt":{"_nanoseconds":0,"_seconds":0},"projectTag":"","referenceNumber":"","projectId":"","servicerequested":["Laboratory Service"],"sendingInstitution":""}</t>
  </si>
  <si>
    <t>568383</t>
  </si>
  <si>
    <t>March 27, 2024</t>
  </si>
  <si>
    <t>{"createdAt":{"_nanoseconds":0,"_seconds":0},"phoneNumber":"","affiliation":"University of the Philippines High School in Iloilo, College of Arts and Science","year":2024,"sex":"","name":"Marielle B. Chu","affiliationAddress":"","pid":"P-2024-080","designation":"","email":"","cid":"CL-2024-151"}</t>
  </si>
  <si>
    <t>CS-2024-03-011</t>
  </si>
  <si>
    <t>TF-2024-05-04359</t>
  </si>
  <si>
    <t>May 9, 2024</t>
  </si>
  <si>
    <t>{"createdAt":{"_nanoseconds":0,"_seconds":0},"phoneNumber":"","affiliation":"Division of Biological Sciences, College of Arts and Sciences, UP Visayas Miagao Iloilo","year":2024,"sex":"","name":"Mark S. Calabon","affiliationAddress":"","pid":"P-2023-052","designation":"","email":"","cid":"CL-2023-096"}</t>
  </si>
  <si>
    <t>CS-2024-034</t>
  </si>
  <si>
    <t>{"institution":"SOTECH, UP Visayas","name":"Janiela Marie Castaño","designation":"","email":""}</t>
  </si>
  <si>
    <t>{"notes":"","iid":"","fundingCategory":"","pid":"N/A","personnelAssigned":"","title":"","fundingInstitution":"","lead":"","clientNames":[],"createdAt":{"_nanoseconds":0,"_seconds":0},"projectTag":"","referenceNumber":"","projectId":"","servicerequested":["Retail Sales"],"sendingInstitution":""}</t>
  </si>
  <si>
    <t>584828</t>
  </si>
  <si>
    <t>November 14, 2024</t>
  </si>
  <si>
    <t>{"createdAt":{"_nanoseconds":0,"_seconds":0},"phoneNumber":"","affiliation":"SOTECH, UP Visayas","year":2024,"sex":"","name":"Janiela Marie Castaño","affiliationAddress":"","pid":"N/A","designation":"","email":"","cid":"CL-2024-210"}</t>
  </si>
  <si>
    <t>CS-2024-035</t>
  </si>
  <si>
    <t>{"institution":"UPV-IFPT","name":"Jennifer S. Noveda","designation":"","email":""}</t>
  </si>
  <si>
    <t>{"notes":"","iid":"","fundingCategory":"","pid":"P-2024-105","personnelAssigned":"","title":"0","fundingInstitution":"","lead":"","clientNames":[],"createdAt":{"_nanoseconds":0,"_seconds":0},"projectTag":"","referenceNumber":"","projectId":"","servicerequested":["Laboratory Service"],"sendingInstitution":""}</t>
  </si>
  <si>
    <t>584802</t>
  </si>
  <si>
    <t>{"createdAt":{"_nanoseconds":0,"_seconds":0},"phoneNumber":"","affiliation":"UPV-IFPT","year":2024,"sex":"","name":"Jennifer S. Noveda","affiliationAddress":"","pid":"P-2024-105","designation":"","email":"","cid":"CL-2024-219"}</t>
  </si>
  <si>
    <t>CS-2024-036</t>
  </si>
  <si>
    <t>Disregard; See CS-2024-039</t>
  </si>
  <si>
    <t>{"institution":"Ilocos Sur Polytechnic State College","name":"Christian Molina","designation":"","email":""}</t>
  </si>
  <si>
    <t>{"notes":"","iid":"","fundingCategory":"","pid":"T-2024-006","personnelAssigned":"","title":"","fundingInstitution":"","lead":"","clientNames":[],"createdAt":{"_nanoseconds":0,"_seconds":0},"projectTag":"","referenceNumber":"","projectId":"","servicerequested":["Training"],"sendingInstitution":""}</t>
  </si>
  <si>
    <t>{"createdAt":{"_nanoseconds":0,"_seconds":0},"phoneNumber":"","affiliation":"Ilocos Sur Polytechnic State College","year":2024,"sex":"","name":"Christian Molina","affiliationAddress":"","pid":"T-2024-006","designation":"","email":"","cid":"CL-2024-205"}</t>
  </si>
  <si>
    <t>CS-2024-037</t>
  </si>
  <si>
    <t>{"notes":"","iid":"","fundingCategory":"","pid":"P-2022-017","personnelAssigned":"","title":"Development of a Water Quality Biological Monitoring Protocol using Genetic, Phylogenetic and Functional Diversity on Freshwater Zooplankton Communitites in Inland Waters of Panay Island, Philippines","fundingInstitution":"","lead":"","clientNames":[],"createdAt":{"_nanoseconds":0,"_seconds":0},"projectTag":"","referenceNumber":"","projectId":"","servicerequested":[],"sendingInstitution":""}</t>
  </si>
  <si>
    <t>{"createdAt":{"_nanoseconds":0,"_seconds":0},"phoneNumber":"","affiliation":"Division of Biological Sciences, College of Arts and Sciences, University of the Philippines Visayas, Miagao, Iloilo","year":2024,"sex":"","name":"Eric Zeus C. Rizo","affiliationAddress":"","pid":"P-2022-017","designation":"","email":"","cid":"CL-2022-038"}</t>
  </si>
  <si>
    <t>CS-2024-038</t>
  </si>
  <si>
    <t>OR not in file; Deposit slip only</t>
  </si>
  <si>
    <t>{"institution":"Center for Limnological, Aquatic Biodiversity, and Mariculture Studies, Cebu Technological University - San Francisco","name":"Maximino R. Abejo III","designation":"","email":""}</t>
  </si>
  <si>
    <t>{"notes":"","iid":"","fundingCategory":"","pid":"T-2024-007","personnelAssigned":"","title":"","fundingInstitution":"","lead":"","clientNames":[],"createdAt":{"_nanoseconds":0,"_seconds":0},"projectTag":"","referenceNumber":"","projectId":"","servicerequested":["Training"],"sendingInstitution":""}</t>
  </si>
  <si>
    <t>["Basic Mol to NGS"]</t>
  </si>
  <si>
    <t>{"createdAt":{"_nanoseconds":0,"_seconds":0},"phoneNumber":"","affiliation":"Center for Limnological, Aquatic Biodiversity, and Mariculture Studies, Cebu Technological University - San Francisco","year":2024,"sex":"","name":"Maximino R. Abejo III","affiliationAddress":"","pid":"T-2024-007","designation":"","email":"","cid":"CL-2024-221"}</t>
  </si>
  <si>
    <t>CS-2024-039</t>
  </si>
  <si>
    <t>OR Released</t>
  </si>
  <si>
    <t>2024-11-2406</t>
  </si>
  <si>
    <t>0587742</t>
  </si>
  <si>
    <t>December 12, 2024</t>
  </si>
  <si>
    <t>CS-2024-04-010</t>
  </si>
  <si>
    <t>Mary Nia M. Santos, Ph.D.</t>
  </si>
  <si>
    <t>{"institution":"","name":"Clarissa L. Gomez","designation":"","email":""}</t>
  </si>
  <si>
    <t>{"notes":"","iid":"","fundingCategory":"","pid":"P-2024-081","personnelAssigned":"","title":"Role of Type VI Secretion System During Shrimp Infection of Vibrio spp. - Causing Acute Hepatopancreatic Necrosis Disease (AHPND)","fundingInstitution":"","lead":"","clientNames":[],"createdAt":{"_nanoseconds":0,"_seconds":0},"projectTag":"","referenceNumber":"","projectId":"","servicerequested":["Bioinformatics Analysis"],"sendingInstitution":""}</t>
  </si>
  <si>
    <t>568985</t>
  </si>
  <si>
    <t>{"createdAt":{"_nanoseconds":0,"_seconds":0},"phoneNumber":"","affiliation":"","year":2024,"sex":"","name":"Clarissa L. Gomez","affiliationAddress":"","pid":"P-2024-081","designation":"","email":"","cid":""}</t>
  </si>
  <si>
    <t>CS-2024-040</t>
  </si>
  <si>
    <t>Request for OR copy from Mau</t>
  </si>
  <si>
    <t>RF-2024-11-01783</t>
  </si>
  <si>
    <t>{"institution":"Division of Biological Sciences, CAS Bldg., UP Visayas, Miagao, Iloilo 5023","name":"Maureen Emily V. Niño","designation":"","email":""}</t>
  </si>
  <si>
    <t>{"notes":"","iid":"","fundingCategory":"","pid":"P-2023-058","personnelAssigned":"","title":"Diversity assessment of freshwater zooplankton and macroinvertebrates towards identification of centers of biodiversity conservation in the Jalaur River Basin, Iloilo, Philippines","fundingInstitution":"","lead":"","clientNames":[],"createdAt":{"_nanoseconds":0,"_seconds":0},"projectTag":"","referenceNumber":"","projectId":"","servicerequested":["Laboratory Service"],"sendingInstitution":""}</t>
  </si>
  <si>
    <t>587978</t>
  </si>
  <si>
    <t>December 20, 2024</t>
  </si>
  <si>
    <t>{"createdAt":{"_nanoseconds":0,"_seconds":0},"phoneNumber":"","affiliation":"Division of Biological Sciences, CAS Bldg., UP Visayas, Miagao, Iloilo 5023","year":2024,"sex":"","name":"Maureen Emily V. Niño","affiliationAddress":"","pid":"P-2023-058","designation":"","email":"","cid":"CL-2023-114"}</t>
  </si>
  <si>
    <t>CS-2024-041</t>
  </si>
  <si>
    <t>Follow up</t>
  </si>
  <si>
    <t>{"institution":"School of Technology, UPV","name":"Jihan Santanina Alumbro","designation":"","email":""}</t>
  </si>
  <si>
    <t>{"notes":"","iid":"","fundingCategory":"","pid":"T-2024-005","personnelAssigned":"","title":"","fundingInstitution":"","lead":"","clientNames":[],"createdAt":{"_nanoseconds":0,"_seconds":0},"projectTag":"","referenceNumber":"","projectId":"","servicerequested":["Training"],"sendingInstitution":""}</t>
  </si>
  <si>
    <t>["Extraction and PCR"]</t>
  </si>
  <si>
    <t>{"createdAt":{"_nanoseconds":0,"_seconds":0},"phoneNumber":"","affiliation":"School of Technology, UPV","year":2024,"sex":"","name":"Jihan Santanina Alumbro","affiliationAddress":"","pid":"T-2024-005","designation":"","email":"","cid":"CL-2024-201"}</t>
  </si>
  <si>
    <t>PROCESSING</t>
  </si>
  <si>
    <t>CS-2024-042</t>
  </si>
  <si>
    <t>Requested change of date to Dec. 6, 2024; Original CS sent</t>
  </si>
  <si>
    <t>{"institution":"Institute of Aquaculutre, College of Fisheries and Ocean Science, University of the Philippines Visayas, Miagao, Iloilo","name":"Dr. Mary Jane S. Apines-Amar","designation":"","email":""}</t>
  </si>
  <si>
    <t>{"notes":"","iid":"","fundingCategory":"","pid":"P-2024-109","personnelAssigned":"","title":"Developing insect-based feed using traditional and molecular approaches for sustainable production of Nile Tilapia in the Philippines","fundingInstitution":"","lead":"","clientNames":[],"createdAt":{"_nanoseconds":0,"_seconds":0},"projectTag":"","referenceNumber":"","projectId":"","servicerequested":["Laboratory Service"],"sendingInstitution":""}</t>
  </si>
  <si>
    <t>["Extraction","16s Metagenomics","Bioinformatics Analysis"]</t>
  </si>
  <si>
    <t>{"createdAt":{"_nanoseconds":0,"_seconds":0},"phoneNumber":"","affiliation":"Institute of Aquaculutre, College of Fisheries and Ocean Science, University of the Philippines Visayas, Miagao, Iloilo","year":2024,"sex":"","name":"Dr. Mary Jane S. Apines-Amar","affiliationAddress":"","pid":"P-2024-109","designation":"","email":"","cid":"CL-2024-224"}</t>
  </si>
  <si>
    <t>CS-2024-043</t>
  </si>
  <si>
    <t>4 Liters remaining ao Feb 10</t>
  </si>
  <si>
    <t>{"institution":"College of Science, University of the Philippines Visayas","name":"Christian Jay Rosal","designation":"","email":""}</t>
  </si>
  <si>
    <t>{"notes":"","iid":"","fundingCategory":"","pid":"P-2024-110","personnelAssigned":"","title":"Seasonal Variability of Ingested Microplastics in Stolephorus indicus (van Hasselt,1823) in Tangalan, Aklan Philippines","fundingInstitution":"","lead":"","clientNames":[],"createdAt":{"_nanoseconds":0,"_seconds":0},"projectTag":"","referenceNumber":"","projectId":"","servicerequested":["Retail Sales"],"sendingInstitution":""}</t>
  </si>
  <si>
    <t>0587319</t>
  </si>
  <si>
    <t>["Type 1 Water"]</t>
  </si>
  <si>
    <t>November 29, 2024</t>
  </si>
  <si>
    <t>{"createdAt":{"_nanoseconds":0,"_seconds":0},"phoneNumber":"","affiliation":"College of Science, University of the Philippines Visayas","year":2024,"sex":"","name":"Christian Jay Rosal","affiliationAddress":"","pid":"P-2024-110","designation":"","email":"","cid":"CL-2024-225"}</t>
  </si>
  <si>
    <t>CS-2024-044</t>
  </si>
  <si>
    <t>Waiting for DV from client for OR Request</t>
  </si>
  <si>
    <t>2024-12-2618</t>
  </si>
  <si>
    <t>{"notes":"","iid":"","fundingCategory":"","pid":"P-2024-112","personnelAssigned":"","title":"Probiotics Project","fundingInstitution":"","lead":"","clientNames":[],"createdAt":{"_nanoseconds":0,"_seconds":0},"projectTag":"","referenceNumber":"","projectId":"","servicerequested":["Omics + Bioinfo"],"sendingInstitution":""}</t>
  </si>
  <si>
    <t>["16s and WGS"]</t>
  </si>
  <si>
    <t>{"createdAt":{"_nanoseconds":0,"_seconds":0},"phoneNumber":"","affiliation":"Ilocos Sur Polytechnic State College","year":2024,"sex":"","name":"Christian Molina","affiliationAddress":"","pid":"P-2024-112","designation":"","email":"","cid":"CL-2024-205"}</t>
  </si>
  <si>
    <t>CS-2024-05-012</t>
  </si>
  <si>
    <t>{"institution":"Animal Ecology Laboratory, PRISM 2nd Floor, Mindanao State University - Iligan Institute of Technology, Andres Bonifacio Ave., Tibanga, Iligan City 9200, Philippines","name":"Anne-Nora N. Sabirin","designation":"","email":""}</t>
  </si>
  <si>
    <t>{"notes":"","iid":"","fundingCategory":"","pid":"P-2024-086","personnelAssigned":"","title":"Metabarcoding of Goat feces for Gastrointestinal nematode identification","fundingInstitution":"","lead":"","clientNames":[],"createdAt":{"_nanoseconds":0,"_seconds":0},"projectTag":"","referenceNumber":"","projectId":"","servicerequested":["Laboratory Service"],"sendingInstitution":""}</t>
  </si>
  <si>
    <t>572084</t>
  </si>
  <si>
    <t>["Extraction to Metabarcoding"]</t>
  </si>
  <si>
    <t>June 4, 2024</t>
  </si>
  <si>
    <t>{"createdAt":{"_nanoseconds":0,"_seconds":0},"phoneNumber":"","affiliation":"Animal Ecology Laboratory, PRISM 2nd Floor, Mindanao State University - Iligan Institute of Technology, Andres Bonifacio Ave., Tibanga, Iligan City 9200, Philippines","year":2024,"sex":"","name":"Anne-Nora N. Sabirin","affiliationAddress":"","pid":"P-2024-086","designation":"","email":"","cid":"CL-2024-167"}</t>
  </si>
  <si>
    <t>CS-2024-05-013</t>
  </si>
  <si>
    <t>{"institution":"Aklan State University","name":"John Paul Resano","designation":"","email":""}</t>
  </si>
  <si>
    <t>{"notes":"","iid":"","fundingCategory":"","pid":"P-2024-089","personnelAssigned":"","title":"Detection of Salmonella in Barn Swallow (Hirundu rustica) in Banga, Aklan","fundingInstitution":"","lead":"","clientNames":[],"createdAt":{"_nanoseconds":0,"_seconds":0},"projectTag":"","referenceNumber":"","projectId":"","servicerequested":["Laboratory Service"],"sendingInstitution":""}</t>
  </si>
  <si>
    <t>570950</t>
  </si>
  <si>
    <t>June 3, 2024</t>
  </si>
  <si>
    <t>{"createdAt":{"_nanoseconds":0,"_seconds":0},"phoneNumber":"","affiliation":"Aklan State University","year":2024,"sex":"","name":"John Paul Resano","affiliationAddress":"","pid":"P-2024-089","designation":"","email":"","cid":"CL-2024-171"}</t>
  </si>
  <si>
    <t>CS-2024-06-014</t>
  </si>
  <si>
    <t>{"institution":"Siargao National High School, Barangay 6, Dapa, Surigao del Norte 8417","name":"Gavin Louie M. Amolo","designation":"","email":""}</t>
  </si>
  <si>
    <t>{"notes":"","iid":"","fundingCategory":"","pid":"P-2024-088","personnelAssigned":"","title":"Microbes Beneath the Surface: Exploring Diversity and Distribution of Microbial Species on Different Soil Samples in Siargao Island","fundingInstitution":"","lead":"","clientNames":[],"createdAt":{"_nanoseconds":0,"_seconds":0},"projectTag":"","referenceNumber":"","projectId":"","servicerequested":["Laboratory Service"],"sendingInstitution":""}</t>
  </si>
  <si>
    <t>574342</t>
  </si>
  <si>
    <t>{"createdAt":{"_nanoseconds":0,"_seconds":0},"phoneNumber":"","affiliation":"Siargao National High School, Barangay 6, Dapa, Surigao del Norte 8417","year":2024,"sex":"","name":"Gavin Louie M. Amolo","affiliationAddress":"","pid":"P-2024-088","designation":"","email":"","cid":"CL-2024-170"}</t>
  </si>
  <si>
    <t>CS-2024-06-015</t>
  </si>
  <si>
    <t>{"institution":"Japan International Research Center for Agricultural Sciences (JIRCAS)","name":"Ryuya Matsuda","designation":"","email":""}</t>
  </si>
  <si>
    <t>{"notes":"","iid":"","fundingCategory":"","pid":"P-2024-092","personnelAssigned":"","title":"Identification of seaweed species using DNA\r\nsequence","fundingInstitution":"","lead":"","clientNames":[],"createdAt":{"_nanoseconds":0,"_seconds":0},"projectTag":"","referenceNumber":"","projectId":"","servicerequested":["Laboratory Service"],"sendingInstitution":""}</t>
  </si>
  <si>
    <t>572622</t>
  </si>
  <si>
    <t>June 13, 2024</t>
  </si>
  <si>
    <t>{"createdAt":{"_nanoseconds":0,"_seconds":0},"phoneNumber":"","affiliation":"Japan International Research Center for Agricultural Sciences (JIRCAS)","year":2024,"sex":"","name":"Ryuya Matsuda","affiliationAddress":"","pid":"P-2024-092","designation":"","email":"","cid":"CL-2024-175"}</t>
  </si>
  <si>
    <t>CS-2024-07-016</t>
  </si>
  <si>
    <t>2025</t>
  </si>
  <si>
    <t xml:space="preserve">2024-07-06932 </t>
  </si>
  <si>
    <t>{"institution":"Institute of Aquaculutre, College of Fisheries and Ocean Science, University of the Philippines Visayas, Miagao, Iloilo","name":"Josie Mar G. Cabalo","designation":"","email":""}</t>
  </si>
  <si>
    <t>{"notes":"","iid":"","fundingCategory":"","pid":"P-2024-084","personnelAssigned":"","title":"Improvement of Milkfish Larval Rearing and Nursery Culture through Gut Metagenome, Transcriptome Analysis, and Gut Microbial Community Manipulations","fundingInstitution":"","lead":"","clientNames":[],"createdAt":{"_nanoseconds":0,"_seconds":0},"projectTag":"","referenceNumber":"","projectId":"","servicerequested":["Laboratory Service"],"sendingInstitution":""}</t>
  </si>
  <si>
    <t xml:space="preserve"> 71003</t>
  </si>
  <si>
    <t>["Extraction to WGS"]</t>
  </si>
  <si>
    <t>November 27, 2025</t>
  </si>
  <si>
    <t>{"createdAt":{"_nanoseconds":0,"_seconds":0},"phoneNumber":"","affiliation":"Institute of Aquaculutre, College of Fisheries and Ocean Science, University of the Philippines Visayas, Miagao, Iloilo","year":2024,"sex":"","name":"Josie Mar G. Cabalo","affiliationAddress":"","pid":"P-2024-084","designation":"","email":"","cid":"CL-2023-085"}</t>
  </si>
  <si>
    <t>CS-2024-07-017</t>
  </si>
  <si>
    <t>{"institution":"Passi National High School","name":"Jhianaly Erestingcol","designation":"","email":""}</t>
  </si>
  <si>
    <t>{"notes":"","iid":"","fundingCategory":"","pid":"","personnelAssigned":"","title":"","fundingInstitution":"","lead":"","clientNames":[],"createdAt":{"_nanoseconds":0,"_seconds":0},"projectTag":"","referenceNumber":"","projectId":"","servicerequested":["Equipment Use"],"sendingInstitution":""}</t>
  </si>
  <si>
    <t>579984</t>
  </si>
  <si>
    <t>August 14, 2024</t>
  </si>
  <si>
    <t>{"createdAt":{"_nanoseconds":0,"_seconds":0},"phoneNumber":"","affiliation":"Passi National High School","year":2024,"sex":"","name":"Jhianaly Erestingcol","affiliationAddress":"","pid":"","designation":"","email":"","cid":"CL-2024-178"}</t>
  </si>
  <si>
    <t>CS-2024-09-019</t>
  </si>
  <si>
    <t>{"institution":"Iloilo State University of Fisheries Science and Technology ","name":"Fausto dela Cruz","designation":"","email":""}</t>
  </si>
  <si>
    <t>{"notes":"","iid":"","fundingCategory":"","pid":"P-2024-096","personnelAssigned":"","title":"Growth Performance and Genetic Characterization of Tilapia Strains in Culasi, Antique, Phiippines","fundingInstitution":"","lead":"","clientNames":[],"createdAt":{"_nanoseconds":0,"_seconds":0},"projectTag":"","referenceNumber":"","projectId":"","servicerequested":["Laboratory Service"],"sendingInstitution":""}</t>
  </si>
  <si>
    <t>581654</t>
  </si>
  <si>
    <t>September 14, 2024</t>
  </si>
  <si>
    <t>{"createdAt":{"_nanoseconds":0,"_seconds":0},"phoneNumber":"","affiliation":"Iloilo State University of Fisheries Science and Technology ","year":2024,"sex":"","name":"Fausto dela Cruz","affiliationAddress":"","pid":"P-2024-096","designation":"","email":"","cid":"CL-2024-181"}</t>
  </si>
  <si>
    <t>CS-2024-09-020</t>
  </si>
  <si>
    <t>VMENF-SOA-2024-003_56k.png</t>
  </si>
  <si>
    <t>1075-2024</t>
  </si>
  <si>
    <t>0593484</t>
  </si>
  <si>
    <t>February 24, 2025</t>
  </si>
  <si>
    <t>CS-2024-09-021</t>
  </si>
  <si>
    <t>{"institution":"UP HSI","name":"Josh Emmanuel Castro","designation":"","email":""}</t>
  </si>
  <si>
    <t>{"createdAt":{"_nanoseconds":0,"_seconds":0},"phoneNumber":"","affiliation":"UP HSI","year":2024,"sex":"","name":"Josh Emmanuel Castro","affiliationAddress":"","pid":"","designation":"","email":"","cid":"CL-2024-186"}</t>
  </si>
  <si>
    <t>CS-2024-09-022</t>
  </si>
  <si>
    <t>11/15/24- charge slip sent to itdi</t>
  </si>
  <si>
    <t>{"notes":"","iid":"","fundingCategory":"","pid":"P-2024-093","personnelAssigned":"","title":"Development of a LAMP-Based Detection Kit for Tomato Yellow Leaf Curl\r\nVirus (TYLCV) Philippine Strains","fundingInstitution":"","lead":"","clientNames":[],"createdAt":{"_nanoseconds":0,"_seconds":0},"projectTag":"","referenceNumber":"","projectId":"","servicerequested":[],"sendingInstitution":""}</t>
  </si>
  <si>
    <t>{"createdAt":{"_nanoseconds":0,"_seconds":0},"phoneNumber":"","affiliation":"DOST-ITDI-VIP, DOST Cmpd., General Santos Avenue, Bicutan, Taguig City, Philippines","year":2024,"sex":"","name":"Dencee Jean T. Ledesma","affiliationAddress":"","pid":"P-2024-093","designation":"","email":"","cid":"CL-2023-127"}</t>
  </si>
  <si>
    <t>CS-2024-09-023</t>
  </si>
  <si>
    <t>CS-2024-09-023_206k</t>
  </si>
  <si>
    <t>{"institution":"Biological Sciences Department, West Visayas State University, Luna Street, Lapaz, Iloilo City 5001","name":"Laura Elyse J. Cambel","designation":"","email":""}</t>
  </si>
  <si>
    <t>{"notes":"","iid":"","fundingCategory":"","pid":"P-2024-090","personnelAssigned":"","title":"Understanding Endophytic Fungi in Medicinal Plants and their Antibacterial Potential on Common and Antibiotic-Resistant Bacteria (ESKAPE pathogens)","fundingInstitution":"","lead":"","clientNames":[],"createdAt":{"_nanoseconds":0,"_seconds":0},"projectTag":"","referenceNumber":"","projectId":"","servicerequested":["Laboratory Service"],"sendingInstitution":""}</t>
  </si>
  <si>
    <t>589222</t>
  </si>
  <si>
    <t>["Extraction to WGS and Amplicon Sequencing"]</t>
  </si>
  <si>
    <t>January 8, 2025</t>
  </si>
  <si>
    <t>{"createdAt":{"_nanoseconds":0,"_seconds":0},"phoneNumber":"","affiliation":"Biological Sciences Department, West Visayas State University, Luna Street, Lapaz, Iloilo City 5001","year":2024,"sex":"","name":"Laura Elyse J. Cambel","affiliationAddress":"","pid":"P-2024-090","designation":"","email":"","cid":"CL-2024-172"}</t>
  </si>
  <si>
    <t>CS-2024-09-024</t>
  </si>
  <si>
    <t>PO #: GIA-WO-2024-03-0034</t>
  </si>
  <si>
    <t>{"notes":"","iid":"","fundingCategory":"","pid":"P-2024-093","personnelAssigned":"","title":"Development of a LAMP-Based Detection Kit for Tomato Yellow Leaf Curl\r\nVirus (TYLCV) Philippine Strains","fundingInstitution":"","lead":"","clientNames":[],"createdAt":{"_nanoseconds":0,"_seconds":0},"projectTag":"","referenceNumber":"","projectId":"","servicerequested":["Laboratory Service"],"sendingInstitution":""}</t>
  </si>
  <si>
    <t>CS-2024-09-025</t>
  </si>
  <si>
    <t>PO #: GIA-WO-2024-03-0033</t>
  </si>
  <si>
    <t>{"notes":"","iid":"","fundingCategory":"","pid":"P-2024-093","personnelAssigned":"","title":"Development of a LAMP-Based Detection Kit for Tomato Yellow Leaf Curl\r\nVirus (TYLCV) Philippine Strains","fundingInstitution":"","lead":"","clientNames":[],"createdAt":{"_nanoseconds":0,"_seconds":0},"projectTag":"","referenceNumber":"","projectId":"","servicerequested":["Bioinformatics Analysis"],"sendingInstitution":""}</t>
  </si>
  <si>
    <t>["WGS Assembly"]</t>
  </si>
  <si>
    <t>CS-2024-09-026</t>
  </si>
  <si>
    <t>CS-2024-09-027</t>
  </si>
  <si>
    <t>{"notes":"","iid":"","fundingCategory":"","pid":"P-2024-071","personnelAssigned":"","title":"Development of Probiotics from roselle (Hibiscus sabdariffa), mulberry (Morus alba), and corn (Zea mays)","fundingInstitution":"","lead":"","clientNames":[],"createdAt":{"_nanoseconds":0,"_seconds":0},"projectTag":"","referenceNumber":"","projectId":"","servicerequested":["Bioinformatics Analysis"],"sendingInstitution":""}</t>
  </si>
  <si>
    <t>O582579</t>
  </si>
  <si>
    <t>October 4, 2024</t>
  </si>
  <si>
    <t>CS-2024-09-028</t>
  </si>
  <si>
    <t>Request OR</t>
  </si>
  <si>
    <t>CS-2024-09-028_47k.pdf</t>
  </si>
  <si>
    <t>["16s rRNA Metagenomics Analysis"]</t>
  </si>
  <si>
    <t>CS-2024-09-029</t>
  </si>
  <si>
    <t>{"institution":"Institute of Aquaculture, College of Fisheries and Ocean Sciences, University of the Philippines Visayas, Miagao, 5023, Iloilo","name":"Carmelo del Castillo","designation":"","email":""}</t>
  </si>
  <si>
    <t>{"notes":"","iid":"","fundingCategory":"","pid":"P-2024-101","personnelAssigned":"","title":"Field Testing of Hatchery &amp; Nursery Production &amp; Development of Broodstock Transport Protocols for the Native Catfish Clarias macrocephalus","fundingInstitution":"","lead":"","clientNames":[],"createdAt":{"_nanoseconds":0,"_seconds":0},"projectTag":"","referenceNumber":"","projectId":"","servicerequested":[],"sendingInstitution":""}</t>
  </si>
  <si>
    <t>{"createdAt":{"_nanoseconds":0,"_seconds":0},"phoneNumber":"","affiliation":"Institute of Aquaculture, College of Fisheries and Ocean Sciences, University of the Philippines Visayas, Miagao, 5023, Iloilo","year":2024,"sex":"","name":"Carmelo del Castillo","affiliationAddress":"","pid":"P-2024-101","designation":"","email":"","cid":"CL-2020-021"}</t>
  </si>
  <si>
    <t>CS-2024-09-030</t>
  </si>
  <si>
    <t>CS-2024-09-031</t>
  </si>
  <si>
    <t>NEED Project, ℅ UPV-SPSO, PR No. NEED-2023-12-1</t>
  </si>
  <si>
    <t>TF-2024-10-0610</t>
  </si>
  <si>
    <t>{"institution":"CFOS-IA, University of the Philippines Visayas","name":"Fredson H. Huervana","designation":"","email":""}</t>
  </si>
  <si>
    <t>{"notes":"","iid":"","fundingCategory":"","pid":"P-2024-104","personnelAssigned":"","title":"Development of Brackishwater Nursery Culturing Systems for Tropical Anguilid Eel, Anguilla marmorata, in the Philippines","fundingInstitution":"","lead":"","clientNames":[],"createdAt":{"_nanoseconds":0,"_seconds":0},"projectTag":"","referenceNumber":"","projectId":"","servicerequested":["Laboratory Service"],"sendingInstitution":""}</t>
  </si>
  <si>
    <t>584484</t>
  </si>
  <si>
    <t>November 5, 2024</t>
  </si>
  <si>
    <t>{"createdAt":{"_nanoseconds":0,"_seconds":0},"phoneNumber":"","affiliation":"CFOS-IA, University of the Philippines Visayas","year":2024,"sex":"","name":"Fredson H. Huervana","affiliationAddress":"","pid":"P-2024-104","designation":"","email":"","cid":"CL-2024-202"}</t>
  </si>
  <si>
    <t>CS-2024-09-032</t>
  </si>
  <si>
    <t>{"institution":"IMFO, University of the Philippines Visayas","name":"Jessa Cortes","designation":"","email":""}</t>
  </si>
  <si>
    <t>{"notes":"","iid":"","fundingCategory":"","pid":"P-2024-100","personnelAssigned":"","title":"Equipment Use","fundingInstitution":"","lead":"","clientNames":[],"createdAt":{"_nanoseconds":0,"_seconds":0},"projectTag":"","referenceNumber":"","projectId":"","servicerequested":["Bioinformatics Analysis"],"sendingInstitution":""}</t>
  </si>
  <si>
    <t>{"createdAt":{"_nanoseconds":0,"_seconds":0},"phoneNumber":"","affiliation":"IMFO, University of the Philippines Visayas","year":2024,"sex":"","name":"Jessa Cortes","affiliationAddress":"","pid":"P-2024-100","designation":"","email":"","cid":"CL-2024-185"}</t>
  </si>
  <si>
    <t>CS-2024-09-033</t>
  </si>
  <si>
    <t>Disregard; See CS-2024-033</t>
  </si>
  <si>
    <t>{"notes":"","iid":"","fundingCategory":"","pid":"T-2024-006","personnelAssigned":"","title":"","fundingInstitution":"","lead":"","clientNames":[],"createdAt":{"_nanoseconds":0,"_seconds":0},"projectTag":"","referenceNumber":"","projectId":"","servicerequested":[],"sendingInstitution":""}</t>
  </si>
  <si>
    <t>CS-2024-09-033b</t>
  </si>
  <si>
    <t>Disregard; See CS-2024-036</t>
  </si>
  <si>
    <t>CS-2025-001</t>
  </si>
  <si>
    <t>waiting for OR from Cash Office</t>
  </si>
  <si>
    <t>{"institution":"Colegio delas Hijas","name":"Sabrina Gatdula","designation":"","email":""}</t>
  </si>
  <si>
    <t>{"notes":"","iid":"","fundingCategory":"","pid":"N/A","personnelAssigned":"","title":"Equipment Use","fundingInstitution":"","lead":"","clientNames":[],"createdAt":{"_nanoseconds":0,"_seconds":0},"projectTag":"","referenceNumber":"","projectId":"","servicerequested":["Equipment Use"],"sendingInstitution":""}</t>
  </si>
  <si>
    <t>["spectro and micropipette"]</t>
  </si>
  <si>
    <t>{"createdAt":{"_nanoseconds":0,"_seconds":0},"phoneNumber":"","affiliation":"Colegio delas Hijas","year":2025,"sex":"","name":"Sabrina Gatdula","affiliationAddress":"","pid":"N/A","designation":"","email":"","cid":"CL-2025-235"}</t>
  </si>
  <si>
    <t>CS-2025-002</t>
  </si>
  <si>
    <t>["WGS (1 sample)"]</t>
  </si>
  <si>
    <t>{"createdAt":{"_nanoseconds":0,"_seconds":0},"phoneNumber":"","affiliation":"DMMMSU Probiotics Research Project, Central Administration Building, Don Mariano Marcos Memorial State University, Sapilang, Bacnotan, La Union 2515","year":2025,"sex":"","name":"Dianne A. Peralta","affiliationAddress":"","pid":"P-2024-071","designation":"","email":"","cid":"CL-2024-131"}</t>
  </si>
  <si>
    <t>CS-2025-003</t>
  </si>
  <si>
    <t xml:space="preserve">thru Bank Transfer </t>
  </si>
  <si>
    <t>{"institution":"MSU Tawi Tawi","name":"Albaris Tahiluddin","designation":"","email":""}</t>
  </si>
  <si>
    <t>{"notes":"","iid":"","fundingCategory":"","pid":"P-2024-106","personnelAssigned":"","title":"Amplicon Sequencing of Bacterial and Fungal Isolates ","fundingInstitution":"","lead":"","clientNames":[],"createdAt":{"_nanoseconds":0,"_seconds":0},"projectTag":"","referenceNumber":"","projectId":"","servicerequested":["Laboratory Service"],"sendingInstitution":""}</t>
  </si>
  <si>
    <t>waiting for cash office</t>
  </si>
  <si>
    <t>["20 samples"]</t>
  </si>
  <si>
    <t>February 5, 2025</t>
  </si>
  <si>
    <t>{"createdAt":{"_nanoseconds":0,"_seconds":0},"phoneNumber":"","affiliation":"MSU Tawi Tawi","year":2025,"sex":"","name":"Albaris Tahiluddin","affiliationAddress":"","pid":"P-2024-106","designation":"","email":"","cid":"CL-2024-220"}</t>
  </si>
  <si>
    <t>CS-2025-004</t>
  </si>
  <si>
    <t>{"institution":"SOTECH, UP Visayas","name":"Bhea Olga de Panay","designation":"","email":""}</t>
  </si>
  <si>
    <t>{"notes":"","iid":"","fundingCategory":"","pid":"N/A","personnelAssigned":"","title":"Purchase of Type 2 water/distilled","fundingInstitution":"","lead":"","clientNames":[],"createdAt":{"_nanoseconds":0,"_seconds":0},"projectTag":"","referenceNumber":"","projectId":"","servicerequested":["Retail Sales"],"sendingInstitution":""}</t>
  </si>
  <si>
    <t>["4 liters water"]</t>
  </si>
  <si>
    <t>{"createdAt":{"_nanoseconds":0,"_seconds":0},"phoneNumber":"","affiliation":"SOTECH, UP Visayas","year":2025,"sex":"","name":"Bhea Olga de Panay","affiliationAddress":"","pid":"N/A","designation":"","email":"","cid":"CL-2025-252"}</t>
  </si>
  <si>
    <t>CS-2025-005</t>
  </si>
  <si>
    <t>{"notes":"","iid":"","fundingCategory":"","pid":"P-2024-084","personnelAssigned":"","title":"Improvement of Milkfish Larval Rearing and Nursery Culture through Gut Metagenome, Transcriptome Analysis, and Gut Microbial Community Manipulations","fundingInstitution":"","lead":"","clientNames":[],"createdAt":{"_nanoseconds":0,"_seconds":0},"projectTag":"","referenceNumber":"","projectId":"","servicerequested":["Omics + Bioinfo"],"sendingInstitution":""}</t>
  </si>
  <si>
    <t>["6 samples\r\nWGS\r\nExtraction to Bioinformatics Analysis"]</t>
  </si>
  <si>
    <t>{"createdAt":{"_nanoseconds":0,"_seconds":0},"phoneNumber":"","affiliation":"Institute of Aquaculutre, College of Fisheries and Ocean Science, University of the Philippines Visayas, Miagao, Iloilo","year":2025,"sex":"","name":"Josie Mar G. Cabalo","affiliationAddress":"","pid":"P-2024-084","designation":"","email":"","cid":"CL-2023-085"}</t>
  </si>
  <si>
    <t>CS-2025-006</t>
  </si>
  <si>
    <t>{"notes":"","iid":"","fundingCategory":"","pid":"N/A","personnelAssigned":"","title":"3 Liters Type II Water","fundingInstitution":"","lead":"","clientNames":[],"createdAt":{"_nanoseconds":0,"_seconds":0},"projectTag":"","referenceNumber":"","projectId":"","servicerequested":["Retail Sales"],"sendingInstitution":""}</t>
  </si>
  <si>
    <t>{"createdAt":{"_nanoseconds":0,"_seconds":0},"phoneNumber":"","affiliation":"SOTECH, UP Visayas","year":2025,"sex":"","name":"Janiela Marie Castaño","affiliationAddress":"","pid":"N/A","designation":"","email":"","cid":"CL-2024-210"}</t>
  </si>
  <si>
    <t>CS-2025-007</t>
  </si>
  <si>
    <t>{"notes":"","iid":"","fundingCategory":"","pid":"P-2024-105","personnelAssigned":"","title":"Fish Sauce","fundingInstitution":"","lead":"","clientNames":[],"createdAt":{"_nanoseconds":0,"_seconds":0},"projectTag":"","referenceNumber":"","projectId":"","servicerequested":["Bioinformatics Analysis"],"sendingInstitution":""}</t>
  </si>
  <si>
    <t>0593061</t>
  </si>
  <si>
    <t>February 13, 2025</t>
  </si>
  <si>
    <t>{"createdAt":{"_nanoseconds":0,"_seconds":0},"phoneNumber":"","affiliation":"UPV-IFPT","year":2025,"sex":"","name":"Jennifer S. Noveda","affiliationAddress":"","pid":"P-2024-105","designation":"","email":"","cid":"CL-2024-219"}</t>
  </si>
  <si>
    <t>CS-2025-008</t>
  </si>
  <si>
    <t>For Pick up on Wedenesday (Feb 12); waiting for OR</t>
  </si>
  <si>
    <t>CS-2025-009</t>
  </si>
  <si>
    <t>{"institution":"NRCP Sediment Project, Biology Department University of San Carlos","name":"Harold V. Pena","designation":"","email":""}</t>
  </si>
  <si>
    <t>{"notes":"","iid":"","fundingCategory":"","pid":"T-2025-001","personnelAssigned":"","title":"Hands-on Training on Whole Genome Sequencing and Bioinformatics Analysis","fundingInstitution":"","lead":"","clientNames":[],"createdAt":{"_nanoseconds":0,"_seconds":0},"projectTag":"","referenceNumber":"","projectId":"","servicerequested":["Training"],"sendingInstitution":""}</t>
  </si>
  <si>
    <t>["4 days Training Lecture + Hands-on\r\nWith Meals"]</t>
  </si>
  <si>
    <t>{"createdAt":{"_nanoseconds":0,"_seconds":0},"phoneNumber":"","affiliation":"NRCP Sediment Project, Biology Department University of San Carlos","year":2025,"sex":"","name":"Harold V. Pena","affiliationAddress":"","pid":"T-2025-001","designation":"","email":"","cid":"CL-2025-253"}</t>
  </si>
  <si>
    <t>CS-2025-010</t>
  </si>
  <si>
    <t>["Extraction - Amplicon Sequencing"]</t>
  </si>
  <si>
    <t>{"createdAt":{"_nanoseconds":0,"_seconds":0},"phoneNumber":"","affiliation":"Division of Biological Sciences, CAS Bldg., UP Visayas, Miagao, Iloilo 5023","year":2025,"sex":"","name":"Maureen Emily V. Niño","affiliationAddress":"","pid":"P-2023-058","designation":"","email":"","cid":"CL-2023-114"}</t>
  </si>
  <si>
    <t>CS-2025-011</t>
  </si>
  <si>
    <t>{"notes":"","iid":"","fundingCategory":"","pid":"P-2024-071","personnelAssigned":"","title":"Development of Probiotics from roselle (Hibiscus sabdariffa), mulberry (Morus alba), and corn (Zea mays)","fundingInstitution":"","lead":"","clientNames":[],"createdAt":{"_nanoseconds":0,"_seconds":0},"projectTag":"","referenceNumber":"","projectId":"","servicerequested":["Omics + Bioinfo"],"sendingInstitution":""}</t>
  </si>
  <si>
    <t>["16s Metagenomics Workflow - 15 Samples"]</t>
  </si>
  <si>
    <t>CS-2025-012</t>
  </si>
  <si>
    <t>{"institution":"College of Medical Technology, Velez College 41 F. Ramos St., Cebu City","name":"Lordiel M. Miasco","designation":"","email":""}</t>
  </si>
  <si>
    <t>{"notes":"","iid":"","fundingCategory":"","pid":"T-2025-002","personnelAssigned":"","title":"Fundamentals of Molecular Techniques: From RT-PCR Testing for COVID-19 to Next Generation Sequencing and Bioinformatics","fundingInstitution":"","lead":"","clientNames":[],"createdAt":{"_nanoseconds":0,"_seconds":0},"projectTag":"","referenceNumber":"","projectId":"","servicerequested":["Training"],"sendingInstitution":""}</t>
  </si>
  <si>
    <t>0594050</t>
  </si>
  <si>
    <t>["COVID-19 Workflow\r\nNo Meals"]</t>
  </si>
  <si>
    <t>March 11, 2025</t>
  </si>
  <si>
    <t>{"createdAt":{"_nanoseconds":0,"_seconds":0},"phoneNumber":"","affiliation":"College of Medical Technology, Velez College 41 F. Ramos St., Cebu City","year":2025,"sex":"","name":"Lordiel M. Miasco","affiliationAddress":"","pid":"T-2025-002","designation":"","email":"","cid":"CL-2025-257"}</t>
  </si>
  <si>
    <t>CS-2025-013</t>
  </si>
  <si>
    <t>waiting for OR from Cash Office, proof of payment cc'ed to bioinfo mail</t>
  </si>
  <si>
    <t>{"institution":"Department of Agriculture-National Fisheries Research and Development Institute (DA-NFRDI)","name":"Mary Nia M. Santos","designation":"","email":""}</t>
  </si>
  <si>
    <t>{"notes":"","iid":"","fundingCategory":"","pid":"","personnelAssigned":"","title":"","fundingInstitution":"","lead":"","clientNames":[],"createdAt":{"_nanoseconds":0,"_seconds":0},"projectTag":"","referenceNumber":"","projectId":"","servicerequested":["Bioinformatics Analysis"],"sendingInstitution":""}</t>
  </si>
  <si>
    <t>["Phylogenetic Tree"]</t>
  </si>
  <si>
    <t>{"createdAt":{"_nanoseconds":0,"_seconds":0},"phoneNumber":"","affiliation":"Department of Agriculture-National Fisheries Research and Development Institute (DA-NFRDI)","year":2025,"sex":"","name":"Mary Nia M. Santos","affiliationAddress":"","pid":"","designation":"","email":"","cid":"CL-2024-152"}</t>
  </si>
  <si>
    <t>CS-2025-014</t>
  </si>
  <si>
    <t>Training</t>
  </si>
  <si>
    <t>thru Cash Office</t>
  </si>
  <si>
    <t>0594730</t>
  </si>
  <si>
    <t>["4 days Training Lecture + Hands-on\r\nNo meals"]</t>
  </si>
  <si>
    <t>April 2, 2025</t>
  </si>
  <si>
    <t>CS-2025-015</t>
  </si>
  <si>
    <t>{"institution":"Regional Research Center Building, University of the Philippines Visayas Miagao, 5023, Iloilo","name":"Jade G. Pahila","designation":"","email":""}</t>
  </si>
  <si>
    <t>{"notes":"","iid":"","fundingCategory":"","pid":"P-2022-034","personnelAssigned":"","title":"Production and evaluation of Dried Microalgal Biomass for improved shelf life and product diversification","fundingInstitution":"","lead":"","clientNames":[],"createdAt":{"_nanoseconds":0,"_seconds":0},"projectTag":"","referenceNumber":"","projectId":"","servicerequested":["Equipment Use"],"sendingInstitution":""}</t>
  </si>
  <si>
    <t>["Use of Equipment"]</t>
  </si>
  <si>
    <t>{"createdAt":{"_nanoseconds":0,"_seconds":0},"phoneNumber":"","affiliation":"Regional Research Center Building, University of the Philippines Visayas Miagao, 5023, Iloilo","year":2025,"sex":"","name":"Jade G. Pahila","affiliationAddress":"","pid":"P-2022-034","designation":"","email":"","cid":"CL-2022-062"}</t>
  </si>
  <si>
    <t>CS-2025-016</t>
  </si>
  <si>
    <t>{"institution":"Institute of Aquaculutre, College of Fisheries and Ocean Science, University of the Philippines Visayas, Miagao, Iloilo","name":"Sanny David Lumayno","designation":"","email":""}</t>
  </si>
  <si>
    <t>{"notes":"","iid":"","fundingCategory":"","pid":"P-2024-087","personnelAssigned":"","title":"Molecular Guided Techniques for Improvement of Reproduction Performance of Saline-Tolerant Tilapia","fundingInstitution":"","lead":"","clientNames":[],"createdAt":{"_nanoseconds":0,"_seconds":0},"projectTag":"","referenceNumber":"","projectId":"","servicerequested":["Laboratory Service"],"sendingInstitution":""}</t>
  </si>
  <si>
    <t>["Transcriptomics and Amplicon Sequencing and Bioinformatics Analysis"]</t>
  </si>
  <si>
    <t>{"createdAt":{"_nanoseconds":0,"_seconds":0},"phoneNumber":"","affiliation":"Institute of Aquaculutre, College of Fisheries and Ocean Science, University of the Philippines Visayas, Miagao, Iloilo","year":2025,"sex":"","name":"Sanny David Lumayno","affiliationAddress":"","pid":"P-2024-087","designation":"","email":"","cid":"CL-2024-168a"}</t>
  </si>
  <si>
    <t>CS-2025-017</t>
  </si>
  <si>
    <t>{"createdAt":{"_nanoseconds":0,"_seconds":0},"phoneNumber":"","affiliation":"Division of Biological Sciences, College of Arts and Sciences, UP Visayas Miagao Iloilo","year":2025,"sex":"","name":"Mark S. Calabon","affiliationAddress":"","pid":"P-2023-052","designation":"","email":"","cid":"CL-2023-096"}</t>
  </si>
  <si>
    <t>CS-2025-018</t>
  </si>
  <si>
    <t>{"institution":"IMFO, University of the Philippines Visayas","name":"Grace C. Guanzon","designation":"","email":""}</t>
  </si>
  <si>
    <t>{"notes":"","iid":"","fundingCategory":"","pid":"-","personnelAssigned":"","title":"","fundingInstitution":"","lead":"","clientNames":[],"createdAt":{"_nanoseconds":0,"_seconds":0},"projectTag":"","referenceNumber":"","projectId":"","servicerequested":["Laboratory Service"],"sendingInstitution":""}</t>
  </si>
  <si>
    <t>["Extraction","PCR","amplicon Seq"]</t>
  </si>
  <si>
    <t>{"createdAt":{"_nanoseconds":0,"_seconds":0},"phoneNumber":"","affiliation":"IMFO, University of the Philippines Visayas","year":2025,"sex":"","name":"Grace C. Guanzon","affiliationAddress":"","pid":"-","designation":"","email":"","cid":"CL-2025-262"}</t>
  </si>
  <si>
    <t>CS-2025-019</t>
  </si>
  <si>
    <t>revised</t>
  </si>
  <si>
    <t>{"institution":"Iloilo DOctors College","name":"Ma. Ardelia Bagona","designation":"","email":""}</t>
  </si>
  <si>
    <t>{"notes":"","iid":"","fundingCategory":"","pid":"-","personnelAssigned":"","title":"Lab Service- Plant ID","fundingInstitution":"","lead":"","clientNames":[],"createdAt":{"_nanoseconds":0,"_seconds":0},"projectTag":"","referenceNumber":"","projectId":"","servicerequested":["Laboratory Service"],"sendingInstitution":""}</t>
  </si>
  <si>
    <t>{"createdAt":{"_nanoseconds":0,"_seconds":0},"phoneNumber":"","affiliation":"Iloilo DOctors College","year":2025,"sex":"","name":"Ma. Ardelia Bagona","affiliationAddress":"","pid":"-","designation":"","email":"","cid":"CL-2025-267"}</t>
  </si>
  <si>
    <t>CS-2025-020 VMENF-SOA-2025-002</t>
  </si>
  <si>
    <t>{"institution":"CLSU","name":"Gene Seneris","designation":"","email":""}</t>
  </si>
  <si>
    <t>{"notes":"","iid":"","fundingCategory":"","pid":"P-2025-113","personnelAssigned":"","title":"Characterization of Abaca cultivars in the Province of Aklan; Morphological, Tensile Strength and genomic analysis","fundingInstitution":"","lead":"","clientNames":[],"createdAt":{"_nanoseconds":0,"_seconds":0},"projectTag":"","referenceNumber":"","projectId":"","servicerequested":["Laboratory Service"],"sendingInstitution":""}</t>
  </si>
  <si>
    <t>0596001</t>
  </si>
  <si>
    <t>April 10, 2025</t>
  </si>
  <si>
    <t>{"createdAt":{"_nanoseconds":0,"_seconds":0},"phoneNumber":"","affiliation":"CLSU","year":2025,"sex":"","name":"Gene Seneris","affiliationAddress":"","pid":"P-2025-113","designation":"","email":"","cid":"CL-2025-242"}</t>
  </si>
  <si>
    <t>CS-2025-021</t>
  </si>
  <si>
    <t>{"institution":"Division of Biological Sciences, College of Arts and Sciences, UP Visayas Miagao Iloilo","name":"Erica Victoria Diaz","designation":"","email":""}</t>
  </si>
  <si>
    <t>{"notes":"","iid":"","fundingCategory":"","pid":"P-2024-107","personnelAssigned":"","title":"“Morpho-Functional Traits and eDNA Metabarcoding of Freshwater Fishes and Invertebrate Communities in Panay Island”. ","fundingInstitution":"","lead":"","clientNames":[],"createdAt":{"_nanoseconds":0,"_seconds":0},"projectTag":"","referenceNumber":"","projectId":"","servicerequested":["Laboratory Service"],"sendingInstitution":""}</t>
  </si>
  <si>
    <t>{"createdAt":{"_nanoseconds":0,"_seconds":0},"phoneNumber":"","affiliation":"Division of Biological Sciences, College of Arts and Sciences, UP Visayas Miagao Iloilo","year":2025,"sex":"","name":"Erica Victoria Diaz","affiliationAddress":"","pid":"P-2024-107","designation":"","email":"","cid":"CL-2024-187"}</t>
  </si>
  <si>
    <t>CS-2025-022</t>
  </si>
  <si>
    <t>CS-2025-022.jpg</t>
  </si>
  <si>
    <t>{"institution":"Institute of Environmental &amp; Marine Science, Silliman University","name":"Mary Claire Gatucao","designation":"","email":""}</t>
  </si>
  <si>
    <t>{"notes":"","iid":"","fundingCategory":"","pid":"P-2025-124","personnelAssigned":"","title":"Molecular Identification of Shipworm Species from Different Mangrove Species in Palawan, Philippines","fundingInstitution":"","lead":"","clientNames":[],"createdAt":{"_nanoseconds":0,"_seconds":0},"projectTag":"","referenceNumber":"","projectId":"","servicerequested":["Laboratory Service"],"sendingInstitution":""}</t>
  </si>
  <si>
    <t>0596552</t>
  </si>
  <si>
    <t>April 24, 2025</t>
  </si>
  <si>
    <t>{"createdAt":{"_nanoseconds":0,"_seconds":0},"phoneNumber":"","affiliation":"Institute of Environmental &amp; Marine Science, Silliman University","year":2025,"sex":"","name":"Mary Claire Gatucao","affiliationAddress":"","pid":"P-2025-124","designation":"","email":"","cid":"CL-2025-275"}</t>
  </si>
  <si>
    <t>CS-2025-023</t>
  </si>
  <si>
    <t>{"institution":"School of Marine Fisheries and Technology,\r\nMindanao State University at Naawan,\r\nPedro Pagalan St. Poblacion, Naawan Misamis Oriental 9023","name":"Cheeny A. Honcada","designation":"","email":""}</t>
  </si>
  <si>
    <t>{"notes":"","iid":"","fundingCategory":"","pid":"P-2025-126","personnelAssigned":"","title":"Potential Application of Liquid Fermented Pineapple Silage to Enhance Growth, Gut Microbiota\r\nand Water Quality in Tilapia spp.","fundingInstitution":"","lead":"","clientNames":[],"createdAt":{"_nanoseconds":0,"_seconds":0},"projectTag":"","referenceNumber":"","projectId":"","servicerequested":["Laboratory Service"],"sendingInstitution":""}</t>
  </si>
  <si>
    <t>["Extraction to Amplicon and 16s Metagenomics Sequencing\r\n3 samples"]</t>
  </si>
  <si>
    <t>{"createdAt":{"_nanoseconds":0,"_seconds":0},"phoneNumber":"","affiliation":"School of Marine Fisheries and Technology,\r\nMindanao State University at Naawan,\r\nPedro Pagalan St. Poblacion, Naawan Misamis Oriental 9023","year":2025,"sex":"","name":"Cheeny A. Honcada","affiliationAddress":"","pid":"P-2025-126","designation":"","email":"","cid":"CL-2025-277"}</t>
  </si>
  <si>
    <t>CS-2025-024</t>
  </si>
  <si>
    <t>CS-2025-024.jpg</t>
  </si>
  <si>
    <t>{"notes":"","iid":"","fundingCategory":"","pid":"P-2024-105","personnelAssigned":"","title":"DNA Extraction and PCR of bacterial isolates","fundingInstitution":"","lead":"","clientNames":[],"createdAt":{"_nanoseconds":0,"_seconds":0},"projectTag":"","referenceNumber":"","projectId":"","servicerequested":["Laboratory Service"],"sendingInstitution":""}</t>
  </si>
  <si>
    <t>0596852</t>
  </si>
  <si>
    <t>["Extraction and 16S PCR"]</t>
  </si>
  <si>
    <t>May 2, 2025</t>
  </si>
  <si>
    <t>CS-2025-025</t>
  </si>
  <si>
    <t>{"notes":"","iid":"","fundingCategory":"","pid":"-","personnelAssigned":"","title":"DNA Extraction, PCR and Amplicon Sequencing","fundingInstitution":"","lead":"","clientNames":[],"createdAt":{"_nanoseconds":0,"_seconds":0},"projectTag":"","referenceNumber":"","projectId":"","servicerequested":[],"sendingInstitution":""}</t>
  </si>
  <si>
    <t>["DNA Extraction","PCR and Amplicon Sequencing"]</t>
  </si>
  <si>
    <t>CS-2025-026</t>
  </si>
  <si>
    <t>{"institution":"UP Visayas","name":"Honnie Joy Balauro","designation":"","email":""}</t>
  </si>
  <si>
    <t>{"notes":"","iid":"","fundingCategory":"","pid":"P-2025-118","personnelAssigned":"","title":"Metagenomic Sequencing of Yeast sp. from Plant sample","fundingInstitution":"","lead":"","clientNames":[],"createdAt":{"_nanoseconds":0,"_seconds":0},"projectTag":"","referenceNumber":"","projectId":"","servicerequested":["Laboratory Service"],"sendingInstitution":""}</t>
  </si>
  <si>
    <t>0596930</t>
  </si>
  <si>
    <t>["DNA extraction","PCR and Metagenomics"]</t>
  </si>
  <si>
    <t>May 5, 2025</t>
  </si>
  <si>
    <t>{"createdAt":{"_nanoseconds":0,"_seconds":0},"phoneNumber":"","affiliation":"UP Visayas","year":2025,"sex":"","name":"Honnie Joy Balauro","affiliationAddress":"","pid":"P-2025-118","designation":"","email":"","cid":"CL-2025-255"}</t>
  </si>
  <si>
    <t>CS-2025-027</t>
  </si>
  <si>
    <t>0596857</t>
  </si>
  <si>
    <t>["6 samples\r\nAmplicon Sequencing"]</t>
  </si>
  <si>
    <t>{"createdAt":{"_nanoseconds":0,"_seconds":0},"phoneNumber":"","affiliation":"Japan International Research Center for Agricultural Sciences (JIRCAS)","year":2025,"sex":"","name":"Ryuya Matsuda","affiliationAddress":"","pid":"P-2024-092","designation":"","email":"","cid":"CL-2024-175"}</t>
  </si>
  <si>
    <t>CS-2025-028</t>
  </si>
  <si>
    <t>{"institution":"Dept. of Chemistry, CAS, UP Visayas","name":"Maria Isabel Layson","designation":"","email":""}</t>
  </si>
  <si>
    <t>{"notes":"","iid":"","fundingCategory":"","pid":"P-2025-125","personnelAssigned":"","title":"Unveiling the Microbiome Profile of Muntingia calabura Roots and Bark: Linking Microbial Diversity to Secondary Metabolite Production","fundingInstitution":"","lead":"","clientNames":[],"createdAt":{"_nanoseconds":0,"_seconds":0},"projectTag":"","referenceNumber":"","projectId":"","servicerequested":["Laboratory Service"],"sendingInstitution":""}</t>
  </si>
  <si>
    <t>["2 samples\r\n16s Metagenomics\r\nExtraction to Bioinformatics Analysis"]</t>
  </si>
  <si>
    <t>{"createdAt":{"_nanoseconds":0,"_seconds":0},"phoneNumber":"","affiliation":"Dept. of Chemistry, CAS, UP Visayas","year":2025,"sex":"","name":"Maria Isabel Layson","affiliationAddress":"","pid":"P-2025-125","designation":"","email":"","cid":"CL-2025-276"}</t>
  </si>
  <si>
    <t>CS-2025-029</t>
  </si>
  <si>
    <t>CS-2025-029.jpg</t>
  </si>
  <si>
    <t>{"institution":"Institute of Marine Fisheries and Oceanology, College of Fisheries and Ocean Sciences, University of the Philippines Visayas","name":"Ferlyn Legarde","designation":"","email":""}</t>
  </si>
  <si>
    <t>{"notes":"","iid":"","fundingCategory":"","pid":"P-2025-119","personnelAssigned":"","title":"Microbial and Meiofaunal Successional Shifts in Biofilm on Pearl Farm Structures","fundingInstitution":"","lead":"","clientNames":[],"createdAt":{"_nanoseconds":0,"_seconds":0},"projectTag":"","referenceNumber":"","projectId":"","servicerequested":["Laboratory Service"],"sendingInstitution":""}</t>
  </si>
  <si>
    <t>0598697</t>
  </si>
  <si>
    <t>["DNA extraction","DNA Quant"]</t>
  </si>
  <si>
    <t>May 23, 2025</t>
  </si>
  <si>
    <t>{"createdAt":{"_nanoseconds":0,"_seconds":0},"phoneNumber":"","affiliation":"Institute of Marine Fisheries and Oceanology, College of Fisheries and Ocean Sciences, University of the Philippines Visayas","year":2025,"sex":"","name":"Ferlyn Legarde","affiliationAddress":"","pid":"P-2025-119","designation":"","email":"","cid":"CL-2024-138"}</t>
  </si>
  <si>
    <t>CS-2025-030</t>
  </si>
  <si>
    <t>{"institution":"Medical Biophysics Group, University of San Carlos Talamban Campus","name":"Mary Jean R. Lozano","designation":"","email":""}</t>
  </si>
  <si>
    <t>{"notes":"","iid":"","fundingCategory":"","pid":"T-2025-003","personnelAssigned":"","title":"Hands-on Training on Whole Genome Sequencing and Bioinformatics Analysis","fundingInstitution":"","lead":"","clientNames":[],"createdAt":{"_nanoseconds":0,"_seconds":0},"projectTag":"","referenceNumber":"","projectId":"","servicerequested":["Training"],"sendingInstitution":""}</t>
  </si>
  <si>
    <t>["Amplicon Sequencing &amp; Bioinformatics Analysis"]</t>
  </si>
  <si>
    <t>{"createdAt":{"_nanoseconds":0,"_seconds":0},"phoneNumber":"","affiliation":"Medical Biophysics Group, University of San Carlos Talamban Campus","year":2025,"sex":"","name":"Mary Jean R. Lozano","affiliationAddress":"","pid":"T-2025-003","designation":"","email":"","cid":"CL-2025-281"}</t>
  </si>
  <si>
    <t>CS-2025-031</t>
  </si>
  <si>
    <t>CS-2025-031.png</t>
  </si>
  <si>
    <t>{"institution":"University of San Agustin","name":"Louie Altamia","designation":"","email":""}</t>
  </si>
  <si>
    <t>{"notes":"","iid":"","fundingCategory":"","pid":"P-2025-128","personnelAssigned":"","title":"Zoonotic Potential of Blastocystis among pigs in Oton, Iloilo","fundingInstitution":"","lead":"","clientNames":[],"createdAt":{"_nanoseconds":0,"_seconds":0},"projectTag":"","referenceNumber":"","projectId":"","servicerequested":["Laboratory Service"],"sendingInstitution":""}</t>
  </si>
  <si>
    <t>0598981</t>
  </si>
  <si>
    <t>["Basic Mol"]</t>
  </si>
  <si>
    <t>May 29, 2025</t>
  </si>
  <si>
    <t>{"createdAt":{"_nanoseconds":0,"_seconds":0},"phoneNumber":"","affiliation":"University of San Agustin","year":2025,"sex":"","name":"Louie Altamia","affiliationAddress":"","pid":"P-2025-128","designation":"","email":"","cid":"CL-2025-279"}</t>
  </si>
  <si>
    <t>CS-2025-032</t>
  </si>
  <si>
    <t>CS-2025-032.png</t>
  </si>
  <si>
    <t>{"notes":"","iid":"","fundingCategory":"","pid":"NA","personnelAssigned":"","title":"DNA Extraction and PCR of plants","fundingInstitution":"","lead":"","clientNames":[],"createdAt":{"_nanoseconds":0,"_seconds":0},"projectTag":"","referenceNumber":"","projectId":"","servicerequested":["Laboratory Service"],"sendingInstitution":""}</t>
  </si>
  <si>
    <t>0601655</t>
  </si>
  <si>
    <t>June 25, 2025</t>
  </si>
  <si>
    <t>{"createdAt":{"_nanoseconds":0,"_seconds":0},"phoneNumber":"","affiliation":"Iloilo DOctors College","year":2025,"sex":"","name":"Ma. Ardelia Bagona","affiliationAddress":"","pid":"NA","designation":"","email":"","cid":"CL-2025-267"}</t>
  </si>
  <si>
    <t>CS-2025-033</t>
  </si>
  <si>
    <t>CS-2025-033.jpg</t>
  </si>
  <si>
    <t>0601658</t>
  </si>
  <si>
    <t>July 22, 2025</t>
  </si>
  <si>
    <t>CS-2025-034</t>
  </si>
  <si>
    <t>{"institution":"Aklan State University","name":"Dionie S. Barrientos","designation":"","email":""}</t>
  </si>
  <si>
    <t>{"notes":"","iid":"","fundingCategory":"","pid":"NA","personnelAssigned":"","title":"DNA Extraction, PCR and Amplicon Sequencing, WGS and Bioinformatics Analysis","fundingInstitution":"","lead":"","clientNames":[],"createdAt":{"_nanoseconds":0,"_seconds":0},"projectTag":"","referenceNumber":"","projectId":"","servicerequested":["Laboratory Service"],"sendingInstitution":""}</t>
  </si>
  <si>
    <t>{"createdAt":{"_nanoseconds":0,"_seconds":0},"phoneNumber":"","affiliation":"Aklan State University","year":2025,"sex":"","name":"Dionie S. Barrientos","affiliationAddress":"","pid":"NA","designation":"","email":"","cid":"CL-2025-270"}</t>
  </si>
  <si>
    <t>CS-2025-035</t>
  </si>
  <si>
    <t>["Amplicon Sequencing"]</t>
  </si>
  <si>
    <t>CS-2025-036</t>
  </si>
  <si>
    <t>Thru bank transfer</t>
  </si>
  <si>
    <t>{"institution":"Northern Iloilo State University (Estancia)","name":"Jelly D. Layda","designation":"","email":""}</t>
  </si>
  <si>
    <t>{"notes":"","iid":"","fundingCategory":"","pid":"P-2025-129","personnelAssigned":"","title":"Metagenomics Analysis of Microbial Shifts, Functional Pathways and Probiotic-Pathogen Dynamics in Fermented Saccostrea spp. Insights into Microbial Ecology, Metabolism &amp; Food Safety","fundingInstitution":"","lead":"","clientNames":[],"createdAt":{"_nanoseconds":0,"_seconds":0},"projectTag":"","referenceNumber":"","projectId":"","servicerequested":["Laboratory Service"],"sendingInstitution":""}</t>
  </si>
  <si>
    <t>["16s Metagenomics Sequencing &amp; Bioinformatics Analysis"]</t>
  </si>
  <si>
    <t>{"createdAt":{"_nanoseconds":0,"_seconds":0},"phoneNumber":"","affiliation":"Northern Iloilo State University (Estancia)","year":2025,"sex":"","name":"Jelly D. Layda","affiliationAddress":"","pid":"P-2025-129","designation":"","email":"","cid":"CL-2025-280"}</t>
  </si>
  <si>
    <t>CS-2025-037</t>
  </si>
  <si>
    <t>{"institution":"ASU","name":"Marian Cris P. Danoy","designation":"","email":""}</t>
  </si>
  <si>
    <t>{"notes":"","iid":"","fundingCategory":"","pid":"NA","personnelAssigned":"","title":"Tetracycline Residues in Chicken Meat Sold in Passi City, Iloilo","fundingInstitution":"","lead":"","clientNames":[],"createdAt":{"_nanoseconds":0,"_seconds":0},"projectTag":"","referenceNumber":"","projectId":"","servicerequested":["Equipment Use"],"sendingInstitution":""}</t>
  </si>
  <si>
    <t>0609581</t>
  </si>
  <si>
    <t>September 19, 2025</t>
  </si>
  <si>
    <t>{"createdAt":{"_nanoseconds":0,"_seconds":0},"phoneNumber":"","affiliation":"ASU","year":2025,"sex":"","name":"Marian Cris P. Danoy","affiliationAddress":"","pid":"NA","designation":"","email":"","cid":"CL-2025-293"}</t>
  </si>
  <si>
    <t>CS-2025-038</t>
  </si>
  <si>
    <t>{"institution":"Division of Biological Sciences, College of Arts and Sciences, UP Visayas Miagao Iloilo","name":"James Nim","designation":"","email":""}</t>
  </si>
  <si>
    <t>{"notes":"","iid":"","fundingCategory":"","pid":"NA","personnelAssigned":"","title":"DNA Extraction, PCR, Amplicon Sequencing","fundingInstitution":"","lead":"","clientNames":[],"createdAt":{"_nanoseconds":0,"_seconds":0},"projectTag":"","referenceNumber":"","projectId":"","servicerequested":["Laboratory Service"],"sendingInstitution":""}</t>
  </si>
  <si>
    <t>Ref number: MBADD25082816424553026710</t>
  </si>
  <si>
    <t>["Basic Mol;Amplicon Sequencing"]</t>
  </si>
  <si>
    <t>{"createdAt":{"_nanoseconds":0,"_seconds":0},"phoneNumber":"","affiliation":"Division of Biological Sciences, College of Arts and Sciences, UP Visayas Miagao Iloilo","year":2025,"sex":"","name":"James Nim","affiliationAddress":"","pid":"NA","designation":"","email":"","cid":"CL-2023-097"}</t>
  </si>
  <si>
    <t>CS-2025-039</t>
  </si>
  <si>
    <t>2026-02-12T03:58:10.110Z</t>
  </si>
  <si>
    <t>TF-2025-09-05035</t>
  </si>
  <si>
    <t>{"institution":"UPV CFOS IA","name":"Kayla Marie F Parreño","designation":"","email":""}</t>
  </si>
  <si>
    <t>{"notes":"","iid":"","fundingCategory":"","pid":"P-2025-127","personnelAssigned":"","title":"Development of locally-available essential oil as a growth promoting and anti-microbial feed additive for saline tolerant tilapia Oreochromis niloticus","fundingInstitution":"","lead":"","clientNames":[],"createdAt":{"_nanoseconds":0,"_seconds":0},"projectTag":"","referenceNumber":"","projectId":"","servicerequested":["Laboratory Service"],"sendingInstitution":""}</t>
  </si>
  <si>
    <t>0611330</t>
  </si>
  <si>
    <t>["16s Metagenomics Sequencing"]</t>
  </si>
  <si>
    <t>2025-10-14T00:00:00.000Z</t>
  </si>
  <si>
    <t>{"createdAt":{"_nanoseconds":0,"_seconds":0},"phoneNumber":"","affiliation":"UPV CFOS IA","year":2025,"sex":"","name":"Kayla Marie F Parreño","affiliationAddress":"","pid":"P-2025-127","designation":"","email":"","cid":"CL-2025-278"}</t>
  </si>
  <si>
    <t>paid</t>
  </si>
  <si>
    <t>CS-2025-040</t>
  </si>
  <si>
    <t>{"notes":"","iid":"","fundingCategory":"","pid":"P-2024-112","personnelAssigned":"","title":"Probiotics Project","fundingInstitution":"","lead":"","clientNames":[],"createdAt":{"_nanoseconds":0,"_seconds":0},"projectTag":"","referenceNumber":"","projectId":"","servicerequested":["Laboratory Service"],"sendingInstitution":""}</t>
  </si>
  <si>
    <t>{"createdAt":{"_nanoseconds":0,"_seconds":0},"phoneNumber":"","affiliation":"Ilocos Sur Polytechnic State College","year":2025,"sex":"","name":"Christian Molina","affiliationAddress":"","pid":"P-2024-112","designation":"","email":"","cid":"CL-2024-205"}</t>
  </si>
  <si>
    <t>CS-2025-041</t>
  </si>
  <si>
    <t>{"notes":"","iid":"","fundingCategory":"","pid":"P-2024-109","personnelAssigned":"","title":"Developing insect-based feed using traditional and molecular approaches for sustainable production of Nile Tilapia in the Philippines","fundingInstitution":"","lead":"","clientNames":[],"createdAt":{"_nanoseconds":0,"_seconds":0},"projectTag":"","referenceNumber":"","projectId":"","servicerequested":["Laboratory Service","Bioinformatics Analysis"],"sendingInstitution":""}</t>
  </si>
  <si>
    <t>["Extraction to Bioinformatics Analysis (16S Meta)"]</t>
  </si>
  <si>
    <t>{"createdAt":{"_nanoseconds":0,"_seconds":0},"phoneNumber":"","affiliation":"Institute of Aquaculutre, College of Fisheries and Ocean Science, University of the Philippines Visayas, Miagao, Iloilo","year":2025,"sex":"","name":"Dr. Mary Jane S. Apines-Amar","affiliationAddress":"","pid":"P-2024-109","designation":"","email":"","cid":"CL-2024-224"}</t>
  </si>
  <si>
    <t>CS-2025-042</t>
  </si>
  <si>
    <t>thru cash office</t>
  </si>
  <si>
    <t>{"institution":"University of San Carlos","name":"Virgie Celestial","designation":"","email":""}</t>
  </si>
  <si>
    <t>{"notes":"","iid":"","fundingCategory":"","pid":"P-2025-137","personnelAssigned":"","title":"In-Vitro Characterization, Sequencing &amp; Greenhouse Evaluation of Endophytic Bacteria for Sugarcane Stress Tolerance","fundingInstitution":"","lead":"","clientNames":[],"createdAt":{"_nanoseconds":0,"_seconds":0},"projectTag":"","referenceNumber":"","projectId":"","servicerequested":["Laboratory Service","Bioinformatics Analysis"],"sendingInstitution":""}</t>
  </si>
  <si>
    <t>0608996</t>
  </si>
  <si>
    <t>["Extraction to Bioinformatics Analysis (WGS)"]</t>
  </si>
  <si>
    <t>September 9, 2025</t>
  </si>
  <si>
    <t>{"createdAt":{"_nanoseconds":0,"_seconds":0},"phoneNumber":"","affiliation":"University of San Carlos","year":2025,"sex":"","name":"Virgie Celestial","affiliationAddress":"","pid":"P-2025-137","designation":"","email":"","cid":"CL-2025-298"}</t>
  </si>
  <si>
    <t>CS-2025-043</t>
  </si>
  <si>
    <t>{"institution":"Fisheries Division, JIRCAS","name":"Sanda Tetsuya","designation":"","email":""}</t>
  </si>
  <si>
    <t>{"notes":"","iid":"","fundingCategory":"","pid":"P-2025-136","personnelAssigned":"","title":"Diatoms Genetic Analysis Services","fundingInstitution":"","lead":"","clientNames":[],"createdAt":{"_nanoseconds":0,"_seconds":0},"projectTag":"","referenceNumber":"","projectId":"","servicerequested":["Laboratory Service"],"sendingInstitution":""}</t>
  </si>
  <si>
    <t>0609004</t>
  </si>
  <si>
    <t>{"createdAt":{"_nanoseconds":0,"_seconds":0},"phoneNumber":"","affiliation":"Fisheries Division, JIRCAS","year":2025,"sex":"","name":"Sanda Tetsuya","affiliationAddress":"","pid":"P-2025-136","designation":"","email":"","cid":"CL-2025-295"}</t>
  </si>
  <si>
    <t>CS-2025-044</t>
  </si>
  <si>
    <t>{"notes":"","iid":"","fundingCategory":"","pid":"N/A","personnelAssigned":"","title":"","fundingInstitution":"","lead":"","clientNames":[],"createdAt":{"_nanoseconds":0,"_seconds":0},"projectTag":"","referenceNumber":"","projectId":"","servicerequested":["Laboratory Service"],"sendingInstitution":""}</t>
  </si>
  <si>
    <t>["Extraction toSequencing (WGS)"]</t>
  </si>
  <si>
    <t>{"createdAt":{"_nanoseconds":0,"_seconds":0},"phoneNumber":"","affiliation":"Department of Agriculture-National Fisheries Research and Development Institute (DA-NFRDI)","year":2025,"sex":"","name":"Mary Nia M. Santos","affiliationAddress":"","pid":"N/A","designation":"","email":"","cid":"CL-2024-152"}</t>
  </si>
  <si>
    <t>CS-2025-045</t>
  </si>
  <si>
    <t>{"notes":"","iid":"","fundingCategory":"","pid":"N/A","personnelAssigned":"","title":"","fundingInstitution":"","lead":"","clientNames":[],"createdAt":{"_nanoseconds":0,"_seconds":0},"projectTag":"","referenceNumber":"","projectId":"","servicerequested":["Bioinformatics Analysis"],"sendingInstitution":""}</t>
  </si>
  <si>
    <t>["WGS Analysis"]</t>
  </si>
  <si>
    <t>CS-2025-046</t>
  </si>
  <si>
    <t>thru bank deposit</t>
  </si>
  <si>
    <t>{"institution":"Biology Department, Siliman University, Dumaguete City Negros Oriental","name":"Aye Mee Bartocillo","designation":"","email":""}</t>
  </si>
  <si>
    <t>{"notes":"","iid":"","fundingCategory":"","pid":"","personnelAssigned":"","title":"Training Workshop on Microsatellite Analysis and DNA Barcoding of Microbial Species","fundingInstitution":"","lead":"","clientNames":[],"createdAt":{"_nanoseconds":0,"_seconds":0},"projectTag":"","referenceNumber":"","projectId":"","servicerequested":["Training"],"sendingInstitution":""}</t>
  </si>
  <si>
    <t>0609510</t>
  </si>
  <si>
    <t>["Basic Mol &amp; Bioinformatics"]</t>
  </si>
  <si>
    <t>September 18, 2025</t>
  </si>
  <si>
    <t>{"createdAt":{"_nanoseconds":0,"_seconds":0},"phoneNumber":"","affiliation":"Biology Department, Siliman University, Dumaguete City Negros Oriental","year":2025,"sex":"","name":"Aye Mee Bartocillo","affiliationAddress":"","pid":"","designation":"","email":"","cid":"CL-2025-297"}</t>
  </si>
  <si>
    <t>CS-2025-047</t>
  </si>
  <si>
    <t>{"institution":"CFOS-IA, University of the Philippines Visayas","name":"Mary Grace Sedanza","designation":"","email":""}</t>
  </si>
  <si>
    <t>{"notes":"","iid":"","fundingCategory":"","pid":"P-2025-135","personnelAssigned":"","title":"Environmental Genetic Analysis of Shellfish and Digitization of Harmful Algal Bloom (HAB) Patterns in WV","fundingInstitution":"","lead":"","clientNames":[],"createdAt":{"_nanoseconds":0,"_seconds":0},"projectTag":"","referenceNumber":"","projectId":"","servicerequested":["Laboratory Service"],"sendingInstitution":""}</t>
  </si>
  <si>
    <t>{"createdAt":{"_nanoseconds":0,"_seconds":0},"phoneNumber":"","affiliation":"CFOS-IA, University of the Philippines Visayas","year":2025,"sex":"","name":"Mary Grace Sedanza","affiliationAddress":"","pid":"P-2025-135","designation":"","email":"","cid":"CL-2025-291"}</t>
  </si>
  <si>
    <t>CS-2025-048</t>
  </si>
  <si>
    <t>OR on file</t>
  </si>
  <si>
    <t>{"institution":"Department of Chemical Engineering, School of Technology, University\r\nof the Philippines Visayas, 5023 Miagao, Iloilo","name":"JOSHUA ADRIAN A. VALDEZ","designation":"","email":""}</t>
  </si>
  <si>
    <t>{"notes":"","iid":"","fundingCategory":"","pid":"P-2025-141","personnelAssigned":"","title":"Evaluation of Synergistic Effects of the Extracts from Peacock Flowers and Cadena de AMor Leaves for TiO2-Based Dye Sensitized Solar Cell Application","fundingInstitution":"","lead":"","clientNames":[],"createdAt":{"_nanoseconds":0,"_seconds":0},"projectTag":"","referenceNumber":"","projectId":"","servicerequested":["Equipment Use"],"sendingInstitution":""}</t>
  </si>
  <si>
    <t>0611601</t>
  </si>
  <si>
    <t>["Hot Plate Stirrer"]</t>
  </si>
  <si>
    <t>October 22, 2025</t>
  </si>
  <si>
    <t>{"createdAt":{"_nanoseconds":0,"_seconds":0},"phoneNumber":"","affiliation":"Department of Chemical Engineering, School of Technology, University\r\nof the Philippines Visayas, 5023 Miagao, Iloilo","year":2025,"sex":"","name":"JOSHUA ADRIAN A. VALDEZ","affiliationAddress":"","pid":"P-2025-141","designation":"","email":"","cid":"CL-2025-305"}</t>
  </si>
  <si>
    <t>CS-2025-049</t>
  </si>
  <si>
    <t>{"institution":"Division of Biological Sciences, CAS Bldg., UP Visayas, Miagao, Iloilo 5023","name":"Adrienne Marrie S. Bugayon-Janagap","designation":"","email":""}</t>
  </si>
  <si>
    <t>{"notes":"","iid":"","fundingCategory":"","pid":"P-2025-140","personnelAssigned":"","title":"Surveillance of Antimicrobial resistant bacteria and genes in Iloilo River","fundingInstitution":"","lead":"","clientNames":[],"createdAt":{"_nanoseconds":0,"_seconds":0},"projectTag":"","referenceNumber":"","projectId":"","servicerequested":[],"sendingInstitution":""}</t>
  </si>
  <si>
    <t>{"createdAt":{"_nanoseconds":0,"_seconds":0},"phoneNumber":"","affiliation":"Division of Biological Sciences, CAS Bldg., UP Visayas, Miagao, Iloilo 5023","year":2025,"sex":"","name":"Adrienne Marrie S. Bugayon-Janagap","affiliationAddress":"","pid":"P-2025-140","designation":"","email":"","cid":"CL-2023-111"}</t>
  </si>
  <si>
    <t>CS-2025-050</t>
  </si>
  <si>
    <t>{"notes":"","iid":"","fundingCategory":"","pid":"P-2025-119","personnelAssigned":"","title":"Microbial and Meiofaunal Successional Shifts in Biofilm on Pearl Farm Structures","fundingInstitution":"","lead":"","clientNames":[],"createdAt":{"_nanoseconds":0,"_seconds":0},"projectTag":"","referenceNumber":"","projectId":"","servicerequested":[],"sendingInstitution":""}</t>
  </si>
  <si>
    <t>CS-2025-051</t>
  </si>
  <si>
    <t>{"institution":"CFOS IFPT","name":"Ma. Clarissa Tamon","designation":"","email":""}</t>
  </si>
  <si>
    <t>{"notes":"","iid":"","fundingCategory":"","pid":"P-2025-142","personnelAssigned":"","title":"AMR and Whole Genome Sequencing of Blood Cockle Pathogens","fundingInstitution":"","lead":"","clientNames":[],"createdAt":{"_nanoseconds":0,"_seconds":0},"projectTag":"","referenceNumber":"","projectId":"","servicerequested":[],"sendingInstitution":""}</t>
  </si>
  <si>
    <t>{"createdAt":{"_nanoseconds":0,"_seconds":0},"phoneNumber":"","affiliation":"CFOS IFPT","year":2025,"sex":"","name":"Ma. Clarissa Tamon","affiliationAddress":"","pid":"P-2025-142","designation":"","email":"","cid":"CL-2025-304"}</t>
  </si>
  <si>
    <t>CS-2025-052</t>
  </si>
  <si>
    <t>0615117</t>
  </si>
  <si>
    <t>["various equipment"]</t>
  </si>
  <si>
    <t>November 13, 2025</t>
  </si>
  <si>
    <t>{"createdAt":{"_nanoseconds":0,"_seconds":0},"phoneNumber":"","affiliation":"ASU","year":2025,"sex":"","name":"Marian Cris P. Danoy","affiliationAddress":"","pid":"","designation":"","email":"","cid":"CL-2025-293"}</t>
  </si>
  <si>
    <t>CS-2025-053</t>
  </si>
  <si>
    <t>{"notes":"","iid":"","fundingCategory":"","pid":"P-2024-112","personnelAssigned":"","title":"Probiotics Project","fundingInstitution":"","lead":"","clientNames":[],"createdAt":{"_nanoseconds":0,"_seconds":0},"projectTag":"","referenceNumber":"","projectId":"","servicerequested":[],"sendingInstitution":""}</t>
  </si>
  <si>
    <t>processing</t>
  </si>
  <si>
    <t>CS-2025-054</t>
  </si>
  <si>
    <t>{"institution":"Department of Biology, Caraga State University, Butuan City","name":"Jana Marie P. Dompor","designation":"","email":""}</t>
  </si>
  <si>
    <t>{"notes":"","iid":"","fundingCategory":"","pid":"P-2025-145","personnelAssigned":"","title":"DNA METABARCODING ANALYSIS OF PLANT-BASED DIET COMPOSITION IN LONG-TAILED MACAQUES (Macaca fascicularis Raffles, 1821) IN BARANGAY SUMILE, BUTUAN CITY, PHILIPPINES","fundingInstitution":"","lead":"","clientNames":[],"createdAt":{"_nanoseconds":0,"_seconds":0},"projectTag":"","referenceNumber":"","projectId":"","servicerequested":["Laboratory Service","Bioinformatics Analysis"],"sendingInstitution":""}</t>
  </si>
  <si>
    <t>{"createdAt":{"_nanoseconds":0,"_seconds":0},"phoneNumber":"","affiliation":"Department of Biology, Caraga State University, Butuan City","year":2025,"sex":"","name":"Jana Marie P. Dompor","affiliationAddress":"","pid":"P-2025-145","designation":"","email":"","cid":"CL-2025-308"}</t>
  </si>
  <si>
    <t>CS-2026-001</t>
  </si>
  <si>
    <t>2026-01-13T08:50:17.614Z</t>
  </si>
  <si>
    <t>{"name":"Unknown","institution":"N/A","designation":"N/A","email":""}</t>
  </si>
  <si>
    <t>{"pid":"P-2025-144","iid":"","year":2025,"startDate":"2025-11-11","createdAt":{"_seconds":1755187200,"_nanoseconds":0},"lead":"Abolais Ampa Jr.","clientNames":["Francis Legario"],"title":"OSMAC Project","projectTag":"OSMAC","sendingInstitution":"SUC/HEI","fundingCategory":"External","fundingInstitution":"DOST-NRCP","serviceRequested":["Laboratory Services"],"personnelAssigned":"xemenesmeiservidadsecondes@gmail.com","notes":""}</t>
  </si>
  <si>
    <t>[{"price":940,"unit":"per sample","name":"Spin Column Based Extraction","type":"laboratory","id":"LAB-SVC-001","category":"Nucleic Acid Extraction","quantity":4},{"type":"laboratory","price":590,"name":"Agarose Gel Electrophoresis","unit":"per run (12 samples)","id":"LAB-SVC-006","category":"Nucleic Acid Quantification","quantity":1},{"price":300,"type":"laboratory","id":"LAB-SVC-010","name":"End-point PCR","category":"PCR/Real-Time PCR","unit":"per sample","quantity":4},{"type":"laboratory","unit":"per run","id":"LAB-SVC-022","price":82680,"name":"i1 Reagent v2 Kit (300 cycles)","category":"Next Generation Sequencing","quantity":0.01},{"price":2184,"unit":"per sample","type":"laboratory","name":"Amplicon Sequencing Lib Prep","id":"LAB-SVC-018","category":"Library Preparation","quantity":4}]</t>
  </si>
  <si>
    <t>2026-01-13T08:50:17.544Z</t>
  </si>
  <si>
    <t>{"createdAt":{"_seconds":1768294217,"_nanoseconds":544000000}}</t>
  </si>
  <si>
    <t>["nucleic acid extraction","nucleic acid quantification","pcr/real-time pcr","next generation sequencing","library preparation"]</t>
  </si>
  <si>
    <t>CS-2026-002</t>
  </si>
  <si>
    <t>2026-01-13T08:52:30.895Z</t>
  </si>
  <si>
    <t>2026-01-14T04:19:33.067Z</t>
  </si>
  <si>
    <t>{"name":"Noeme D. Pajarillo","institution":"Institute of Aquaculutre, College of Fisheries and Ocean Science, University of the Philippines Visayas, Miagao, Iloilo","designation":"MS Student","email":"ndpajarillo@up.edu.ph"}</t>
  </si>
  <si>
    <t>{"pid":"P-2024-094","iid":"","year":2024,"startDate":"2024-07-17","createdAt":{"_seconds":1755187200,"_nanoseconds":0},"lead":"Noeme D. Pajarillo","clientNames":[],"title":"Evaluation of the Reproductive Condition and Environmental DNA of Green Mussel Culture in Samar, Philippines","projectTag":"Mussel eDNA","status":"Completed","sendingInstitution":"UP System","fundingCategory":"External","fundingInstitution":"DOST-ASTHRDP","serviceRequested":["Laboratory Services"],"personnelAssigned":"Jasmine Velo","notes":""}</t>
  </si>
  <si>
    <t>0618015</t>
  </si>
  <si>
    <t>[{"name":"Real-time PCR (CFX 96 Touch) - single channel","type":"equipment","price":440,"id":"EQP-SVC-026","category":"Equipment Use (Without Consumables)","unit":"per hour","quantity":3},{"id":"LAB-SVC-011","price":230,"type":"laboratory","unit":"per sample","name":"Real-Time PCR (single channel)","category":"PCR/Real-Time PCR","quantity":180}]</t>
  </si>
  <si>
    <t>2026-01-13T00:00:00.000Z</t>
  </si>
  <si>
    <t>2026-01-13T08:52:30.274Z</t>
  </si>
  <si>
    <t>{"affiliation":"Institute of Aquaculutre, College of Fisheries and Ocean Science, University of the Philippines Visayas, Miagao, Iloilo","affiliationAddress":"University of the Philippines Visayas, Miagao, Iloilo\"","cid":"CL-2024-177","createdAt":{"_seconds":1704071425,"_nanoseconds":738000000},"designation":"MS Student","email":"ndpajarillo@up.edu.ph","haveSubmitted":false,"isContactPerson":true,"name":"Noeme D. Pajarillo","phoneNumber":"9952372850","pid":"P-2024-094","sex":"F","year":2024}</t>
  </si>
  <si>
    <t>["equipment","pcr/real-time pcr"]</t>
  </si>
  <si>
    <t>CS-2026-003</t>
  </si>
  <si>
    <t>2026-01-13T08:56:38.696Z</t>
  </si>
  <si>
    <t>2026-01-30T05:45:29.118Z</t>
  </si>
  <si>
    <t>{"name":"Rene Jane Alesna-Saripada","institution":"Cebu Technological Institute - Argao Campus","designation":"Faculty","email":"renejane.alesna@ctu.edu.ph"}</t>
  </si>
  <si>
    <t>{"pid":"P-2026-002","iid":"K5532K7Y4gIFDrjLdCUi","year":2026,"startDate":"2026-01-09","createdAt":{"_seconds":1767945676,"_nanoseconds":477000000},"lead":"N/A","clientNames":["","Rene Jane A. Saripada","Christine Faye O. Gonzaga","Rene Jane Alesna-Saripada"],"title":"Microbial Assessment of Tree Planted Areas and Final Benches of the Solid Earth Development Corporation (SEDC) Mining Site in San Fernando Cebu, Ph","projectTag":"Saripada","status":"Ongoing","sendingInstitution":"SUC/HEI","fundingCategory":"External","fundingInstitution":"Taiheiyo","serviceRequested":["Laboratory Services","Bioinformatics Analysis"],"personnelAssigned":"","notes":""}</t>
  </si>
  <si>
    <t>0617854</t>
  </si>
  <si>
    <t>[{"price":940,"unit":"per sample","name":"Spin Column Based Extraction","type":"laboratory","id":"LAB-SVC-001","category":"Nucleic Acid Extraction","quantity":4},{"type":"laboratory","price":590,"name":"Agarose Gel Electrophoresis","unit":"per run (12 samples)","id":"LAB-SVC-006","category":"Nucleic Acid Quantification","quantity":1},{"price":300,"category":"Nucleic Acid Quantification","unit":"per run (15 samples)","name":"MultiSkan Sky Spectrophotometry","id":"LAB-SVC-007","type":"laboratory","quantity":1},{"name":"Targeted Metagenomics/Metabarcoding","id":"LAB-SVC-017","type":"laboratory","category":"Library Preparation","price":4750,"unit":"per sample","quantity":8},{"type":"laboratory","unit":"per run","id":"LAB-SVC-022","price":82680,"name":"i1 Reagent v2 Kit (300 cycles)","category":"Next Generation Sequencing","quantity":0.05}]</t>
  </si>
  <si>
    <t>2026-01-09T00:00:00.000Z</t>
  </si>
  <si>
    <t>2026-01-13T08:56:38.951Z</t>
  </si>
  <si>
    <t>{"affiliation":"Cebu Technological Institute - Argao Campus","affiliationAddress":"Argao, Cebu Philippines","cid":"CL-2026-005","createdAt":{"_seconds":1768292889,"_nanoseconds":772000000},"designation":"Faculty","email":"renejane.alesna@ctu.edu.ph","haveSubmitted":false,"isContactPerson":false,"name":"Rene Jane Alesna-Saripada","phoneNumber":"09511311903","pid":"P-2026-002","sex":"F","year":2026}</t>
  </si>
  <si>
    <t>["nucleic acid extraction","nucleic acid quantification","library preparation","next generation sequencing"]</t>
  </si>
  <si>
    <t>CS-2026-004</t>
  </si>
  <si>
    <t>2026-01-13T08:58:05.450Z</t>
  </si>
  <si>
    <t>{"createdAt":{"_seconds":1768294685,"_nanoseconds":286000000}}</t>
  </si>
  <si>
    <t>[{"price":940,"unit":"per sample","name":"Spin Column Based Extraction","type":"laboratory","id":"LAB-SVC-001","category":"Nucleic Acid Extraction","quantity":158},{"type":"laboratory","price":590,"name":"Agarose Gel Electrophoresis","unit":"per run (12 samples)","id":"LAB-SVC-006","category":"Nucleic Acid Quantification","quantity":25},{"price":300,"type":"laboratory","id":"LAB-SVC-010","name":"End-point PCR","category":"PCR/Real-Time PCR","unit":"per sample","quantity":213}]</t>
  </si>
  <si>
    <t>2026-01-13T08:58:05.286Z</t>
  </si>
  <si>
    <t>["nucleic acid extraction","nucleic acid quantification","pcr/real-time pcr"]</t>
  </si>
  <si>
    <t>cancelled</t>
  </si>
  <si>
    <t>CS-2026-005</t>
  </si>
  <si>
    <t>2026-01-13T13:13:52.287Z</t>
  </si>
  <si>
    <t>2026-01-28T04:29:46.655Z</t>
  </si>
  <si>
    <t>Partial Payment</t>
  </si>
  <si>
    <t>{"name":"Eunice Lee O. Maribao","institution":"Biology Program, Department of Natural Sciences, University of St. La Salle - Bacolod","designation":"Student","email":"s2200462@usls.edu.ph"}</t>
  </si>
  <si>
    <t>{"pid":"P-2026-001","iid":"9ySJ4vZOZFAwTi9DmF3R","year":2026,"startDate":"2026-01-08","createdAt":{"_seconds":1767859511,"_nanoseconds":917000000},"lead":"N/A","clientNames":["Clients:","Leazar James V. David","Eunice Lee O. Maribao","Earl Francine A. Vallota","Deborah Zane G. Suyao","Deborah Zane G. Suyao"],"title":"Impacts of Black Soldier Fly Frass on Soil Biota and Functional Ecological Indicators in Urban Soils of Bacolod City","projectTag":"USLS-David","status":"Ongoing","sendingInstitution":"Government","fundingCategory":"External","fundingInstitution":"External","serviceRequested":["Laboratory Services"],"personnelAssigned":"","notes":""}</t>
  </si>
  <si>
    <t>0619760</t>
  </si>
  <si>
    <t>[{"name":"Spin Column Based Extraction","type":"laboratory","category":"Nucleic Acid Extraction","price":940,"unit":"per sample","id":"LAB-SVC-001","quantity":3},{"id":"LAB-SVC-006","category":"Nucleic Acid Quantification","type":"laboratory","name":"Agarose Gel Electrophoresis","unit":"per run (12 samples)","price":590,"quantity":1},{"price":300,"type":"laboratory","category":"Nucleic Acid Quantification","id":"LAB-SVC-007","name":"MultiSkan Sky Spectrophotometry","unit":"per run (15 samples)","quantity":1},{"price":4750,"type":"laboratory","category":"Library Preparation","name":"Targeted Metagenomics/Metabarcoding","id":"LAB-SVC-017","unit":"per sample","quantity":3},{"name":"i1 Reagent v2 Kit (300 cycles)","category":"Next Generation Sequencing","type":"laboratory","id":"LAB-SVC-022","price":82680,"unit":"per run","quantity":0.05}]</t>
  </si>
  <si>
    <t>2026-01-13T13:12:52.780Z</t>
  </si>
  <si>
    <t>{"affiliation":"Biology Program, Department of Natural Sciences, University of St. La Salle - Bacolod","affiliationAddress":"Bacolod City, Negros Occidental","cid":"CL-2026-002","createdAt":{"_seconds":1768291901,"_nanoseconds":410000000},"designation":"Student","email":"s2200462@usls.edu.ph","haveSubmitted":false,"isContactPerson":false,"name":"Eunice Lee O. Maribao","phoneNumber":"09773802697","pid":"P-2026-001","sex":"F","year":2026}</t>
  </si>
  <si>
    <t>CS-2026-006</t>
  </si>
  <si>
    <t>2026-01-13T14:02:21.257Z</t>
  </si>
  <si>
    <t>2026-02-12T06:38:00.114Z</t>
  </si>
  <si>
    <t>{"name":"Aina Marie Pilarta","institution":"University of St. La Salle - Bacolod","designation":"Student","email":"s2010593@usls.edu.ph"}</t>
  </si>
  <si>
    <t>{"pid":"P-2026-003","iid":"uSdvzunW8ZvVHdmqscFi","year":2026,"startDate":"2026-01-13","createdAt":{"_seconds":1768311513,"_nanoseconds":107000000},"lead":"N/A","clientNames":["","Aina Marie Pilarta"],"title":"Evaluation of the Biological Control Potential of Potential of Phyllosphere Endophytes from Theobroma Cacao against Black Pod Rot Disease caused by Phytophthora palmivora","projectTag":"USLS-Pilarta","status":"Ongoing","sendingInstitution":"SUC/HEI","fundingCategory":"External","fundingInstitution":"N/A","serviceRequested":["Laboratory Services"],"personnelAssigned":"","notes":""}</t>
  </si>
  <si>
    <t>0620729</t>
  </si>
  <si>
    <t>[{"name":"Spin Column Based Extraction","category":"Nucleic Acid Extraction","unit":"per sample","price":940,"type":"laboratory","id":"LAB-SVC-001","quantity":4},{"type":"laboratory","price":590,"id":"LAB-SVC-006","category":"Nucleic Acid Quantification","name":"Agarose Gel Electrophoresis","unit":"per run (12 samples)","quantity":1},{"category":"Nucleic Acid Quantification","price":300,"id":"LAB-SVC-007","unit":"per run (15 samples)","name":"MultiSkan Sky Spectrophotometry","type":"laboratory","quantity":1},{"unit":"per sample","id":"LAB-SVC-010","price":300,"name":"End-point PCR","type":"laboratory","category":"PCR/Real-Time PCR","quantity":4},{"type":"laboratory","name":"Amplicon Sequencing Lib Prep","category":"Library Preparation","unit":"per sample","id":"LAB-SVC-018","price":2184,"quantity":4},{"category":"Next Generation Sequencing","type":"laboratory","name":"i1 Reagent v2 Kit (300 cycles)","unit":"per run","price":82680,"id":"LAB-SVC-022","quantity":0.01}]</t>
  </si>
  <si>
    <t>2026-01-13T14:02:22.867Z</t>
  </si>
  <si>
    <t>{"affiliation":"University of St. La Salle - Bacolod","affiliationAddress":"Bacolod City, Negros Occidental","cid":"CL-2026-007","createdAt":{"_seconds":1768311884,"_nanoseconds":629000000},"designation":"Student","email":"s2010593@usls.edu.ph","haveSubmitted":false,"isContactPerson":false,"name":"Aina Marie Pilarta","phoneNumber":"09278313640","pid":"P-2026-003","sex":"F","year":2026}</t>
  </si>
  <si>
    <t>["nucleic acid extraction","nucleic acid quantification","pcr/real-time pcr","library preparation","next generation sequencing"]</t>
  </si>
  <si>
    <t>CS-2026-007</t>
  </si>
  <si>
    <t>2026-01-15T01:49:23.221Z</t>
  </si>
  <si>
    <t>2026-01-28T04:30:42.286Z</t>
  </si>
  <si>
    <t>{"name":"Eunice Raiza Panagsagan","institution":"DOST VI","designation":"Researcher/Technical Assistant","email":"euniceraiza.repizo@ro6.dost.gov.ph"}</t>
  </si>
  <si>
    <t>{"pid":"P-2025-143","iid":"","year":2025,"startDate":"2025-10-29","createdAt":{"_seconds":1755187200,"_nanoseconds":0},"lead":"Eunice Raiza Panagsagan","clientNames":[],"title":"","projectTag":"Panagsagan","status":"Ongoing","fundingCategory":"External","fundingInstitution":"DOST-ASTHRDP","serviceRequested":["Laboratory Services"],"personnelAssigned":"jeeeaquino@up.edu.ph ","notes":""}</t>
  </si>
  <si>
    <t>0618773</t>
  </si>
  <si>
    <t>[{"category":"Nucleic Acid Extraction","price":940,"unit":"per sample","id":"LAB-SVC-001","name":"Spin Column Based Extraction","type":"laboratory","quantity":27},{"category":"Nucleic Acid Quantification","id":"LAB-SVC-006","unit":"per run (12 samples)","type":"laboratory","price":590,"name":"Agarose Gel Electrophoresis","quantity":3},{"category":"Nucleic Acid Quantification","type":"laboratory","price":300,"id":"LAB-SVC-007","unit":"per run (15 samples)","name":"MultiSkan Sky Spectrophotometry","quantity":2},{"type":"equipment","name":"Real-time PCR (CFX 96 Touch) - single channel","price":440,"category":"Equipment Use (Without Consumables)","id":"EQP-SVC-026","unit":"per hour","quantity":10},{"id":"EQP-SVC-015","unit":"per hour","category":"Equipment Use (Without Consumables)","name":"Gradient Thermal Cycler (Bio-Rad T100)","price":190,"type":"equipment","quantity":1.5}]</t>
  </si>
  <si>
    <t>{"affiliation":"DOST VI","affiliationAddress":"","cid":"CL-2024-207","designation":"Researcher/Technical Assistant","email":"euniceraiza.repizo@ro6.dost.gov.ph","haveSubmitted":false,"isContactPerson":true,"name":"Eunice Raiza Panagsagan","phoneNumber":"9176247084","pid":"P-2025-143","sex":"F","year":2024,"createdAt":{"_seconds":1768441763,"_nanoseconds":221000000}}</t>
  </si>
  <si>
    <t>["nucleic acid extraction","nucleic acid quantification","equipment"]</t>
  </si>
  <si>
    <t>CS-2026-008</t>
  </si>
  <si>
    <t>2026-01-19T04:37:40.470Z</t>
  </si>
  <si>
    <t>{"name":"SOPHIA ISABEL B. PEDIONGCO","institution":"UNIVERSITY OF ST. LA SALLE – BACOLOD ","designation":"Student","email":"s2202444@usls.edu.ph"}</t>
  </si>
  <si>
    <t>{"pid":"P-2026-005","iid":"8rltwfawIwhYCcXVoL48","year":2026,"startDate":"2026-01-19","createdAt":{"_seconds":1768797106,"_nanoseconds":986000000},"lead":"N/A","clientNames":["","SOPHIA ISABEL B. PEDIONGCO"],"title":"Identification and Molecular Characterization of Colletotrichum spp. causing Anthracnose in Mangifera spp. in Negros Occidental","projectTag":"USLS-Pediongco","status":"Ongoing","sendingInstitution":"SUC/HEI","fundingCategory":"External","fundingInstitution":"N/A","serviceRequested":["Laboratory Services"],"personnelAssigned":"PJ Jareno","notes":""}</t>
  </si>
  <si>
    <t>[{"price":940,"type":"laboratory","id":"LAB-SVC-001","unit":"per sample","category":"Nucleic Acid Extraction","name":"Spin Column Based Extraction","quantity":5,"samples":0},{"id":"LAB-SVC-010","name":"End-point PCR","unit":"per sample","price":300,"type":"laboratory","category":"PCR/Real-Time PCR","quantity":10,"samples":0},{"id":"LAB-SVC-018","name":"Amplicon Sequencing Lib Prep","category":"Library Preparation","unit":"per sample","price":2184,"type":"laboratory","quantity":10,"samples":0}]</t>
  </si>
  <si>
    <t>{"affiliation":"UNIVERSITY OF ST. LA SALLE – BACOLOD ","affiliationAddress":"Bacolod, Negros Occidental","cid":"CL-2026-009","createdAt":{"_seconds":1768797429,"_nanoseconds":916000000},"designation":"Student","email":"s2202444@usls.edu.ph","haveSubmitted":false,"isContactPerson":false,"name":"SOPHIA ISABEL B. PEDIONGCO","phoneNumber":"09322324143","pid":"P-2026-005","sex":"F","year":2026}</t>
  </si>
  <si>
    <t>["nucleic acid extraction","pcr/real-time pcr","library preparation"]</t>
  </si>
  <si>
    <t>CS-2026-009</t>
  </si>
  <si>
    <t>2026-01-19T04:55:30.987Z</t>
  </si>
  <si>
    <t>[{"price":940,"type":"laboratory","id":"LAB-SVC-001","unit":"per sample","category":"Nucleic Acid Extraction","name":"Spin Column Based Extraction","quantity":5,"samples":0},{"id":"LAB-SVC-010","name":"End-point PCR","unit":"per sample","price":300,"type":"laboratory","category":"PCR/Real-Time PCR","quantity":10,"samples":0},{"id":"LAB-SVC-018","name":"Amplicon Sequencing Lib Prep","category":"Library Preparation","unit":"per sample","price":2184,"type":"laboratory","quantity":6,"samples":0}]</t>
  </si>
  <si>
    <t>2026-01-19T04:55:30.988Z</t>
  </si>
  <si>
    <t>CS-2026-010</t>
  </si>
  <si>
    <t>2026-01-22T07:05:55.993Z</t>
  </si>
  <si>
    <t>{"name":"Mark S. Calabon","institution":"Division of Biological Sciences, College of Arts and Sciences, UP Visayas Miagao Iloilo","designation":"No Designation","email":"mscalabon@up.edu.ph"}</t>
  </si>
  <si>
    <t>{"createdAt":{"_seconds":1769065555,"_nanoseconds":993000000},"startDate":null}</t>
  </si>
  <si>
    <t>[{"id":"LAB-SVC-001","name":"Spin Column Based Extraction","category":"Nucleic Acid Extraction","type":"laboratory","unit":"per sample","price":940,"quantity":120,"samples":0},{"id":"LAB-SVC-006","name":"Agarose Gel Electrophoresis","category":"Nucleic Acid Quantification","type":"laboratory","unit":"per run (12 samples)","price":590,"quantity":24,"samples":0},{"id":"LAB-SVC-007","name":"MultiSkan Sky Spectrophotometry","category":"Nucleic Acid Quantification","type":"laboratory","unit":"per run (15 samples)","price":300,"quantity":25,"samples":0},{"id":"LAB-SVC-010","name":"End-point PCR","category":"PCR/Real-Time PCR","type":"laboratory","unit":"per sample","price":300,"quantity":120,"samples":0}]</t>
  </si>
  <si>
    <t>{"affiliation":"Division of Biological Sciences, College of Arts and Sciences, UP Visayas Miagao Iloilo","affiliationAddress":"","cid":"CL-2023-096","createdAt":{"_seconds":1769065555,"_nanoseconds":993000000},"designation":"","email":"mscalabon@up.edu.ph","haveSubmitted":false,"isContactPerson":true,"name":"Mark S. Calabon","phoneNumber":"","pid":"P-2023-052","sex":"M","year":2023}</t>
  </si>
  <si>
    <t>CS-2026-011</t>
  </si>
  <si>
    <t>2026-01-23T01:06:26.720Z</t>
  </si>
  <si>
    <t>2026-01-28T04:28:24.855Z</t>
  </si>
  <si>
    <t>{"name":"Orland Philip Salvador","institution":"Forestry Department, College Of Forestry And Environmental Studies, Mindanao State University – Main Campus","designation":"Student","email":"salvador.ol224@s.msumain.edu.ph"}</t>
  </si>
  <si>
    <t>{"pid":"P-2026-004","iid":"DQIQMsaNSwqciI9Rt2Dh","year":2026,"startDate":{"_seconds":1768348800,"_nanoseconds":0},"lead":"N/A","clientNames":["Orland Philip Salvador"],"title":"Molecular Characterization of Bamboo Shoots Sold in Marawi City Markets for Food Traceability and Conservation","projectTag":"Salvador","status":"Ongoing","sendingInstitution":"SUC/HEI","fundingCategory":"External","fundingInstitution":"N/A","serviceRequested":["Laboratory Services"],"personnelAssigned":"","notes":"","createdAt":{"_seconds":1769130386,"_nanoseconds":720000000}}</t>
  </si>
  <si>
    <t>0619954</t>
  </si>
  <si>
    <t>[{"id":"LAB-SVC-001","name":"Spin Column Based Extraction","category":"Nucleic Acid Extraction","type":"laboratory","unit":"per sample","price":940,"quantity":5,"samples":0},{"id":"LAB-SVC-006","name":"Agarose Gel Electrophoresis","category":"Nucleic Acid Quantification","type":"laboratory","unit":"per run (12 samples)","price":590,"quantity":1,"samples":0},{"id":"LAB-SVC-007","name":"MultiSkan Sky Spectrophotometry","category":"Nucleic Acid Quantification","type":"laboratory","unit":"per run (15 samples)","price":300,"quantity":1,"samples":0},{"id":"LAB-SVC-010","name":"End-point PCR","category":"PCR/Real-Time PCR","type":"laboratory","unit":"per sample","price":300,"quantity":5,"samples":0},{"id":"LAB-SVC-018","name":"Amplicon Sequencing Lib Prep","category":"Library Preparation","type":"laboratory","unit":"per sample","price":2184,"quantity":5,"samples":0},{"id":"LAB-SVC-022","name":"i1 Reagent v2 Kit (300 cycles)","category":"Next Generation Sequencing","type":"laboratory","unit":"per run","price":82680,"quantity":0.01,"samples":0}]</t>
  </si>
  <si>
    <t>2026-01-27T00:00:00.000Z</t>
  </si>
  <si>
    <t>{"affiliation":"Forestry Department, College Of Forestry And Environmental Studies, Mindanao State University – Main Campus","affiliationAddress":" Marawi City, Lanao Del Sur","cid":"CL-2026-008","createdAt":{"_seconds":1769130386,"_nanoseconds":720000000},"designation":"Student","email":"salvador.ol224@s.msumain.edu.ph","haveSubmitted":false,"isContactPerson":false,"name":"Orland Philip Salvador","phoneNumber":"09674413765","pid":"P-2026-004","sex":"M","year":2026}</t>
  </si>
  <si>
    <t>CS-2026-012</t>
  </si>
  <si>
    <t>2026-02-04T02:27:48.167Z</t>
  </si>
  <si>
    <t>2026-02-12T06:26:12.375Z</t>
  </si>
  <si>
    <t>{"pid":"P-2026-001","iid":"9ySJ4vZOZFAwTi9DmF3R","year":2026,"startDate":{"_seconds":1767744000,"_nanoseconds":0},"createdAt":{"_seconds":1770172068,"_nanoseconds":170000000},"lead":"N/A","clientNames":["Leazar James V. David","Earl Francine A. Vallota","Deborah Zane G. Suyao","Eunice Lee O. Maribao"],"title":"Impacts of Black Soldier Fly Frass on Soil Biota and Functional Ecological Indicators in Urban Soils of Bacolod City","projectTag":"USLS-David","status":"Ongoing","sendingInstitution":"Government","fundingCategory":"External","fundingInstitution":"External","serviceRequested":["Laboratory Services"],"personnelAssigned":"Xemenes Secondes","notes":""}</t>
  </si>
  <si>
    <t>0620815</t>
  </si>
  <si>
    <t>[{"id":"LAB-SVC-001","name":"Spin Column Based Extraction","category":"Nucleic Acid Extraction","type":"laboratory","unit":"per sample","price":940,"quantity":3,"samples":0,"participants":0},{"id":"LAB-SVC-017","name":"Targeted Metagenomics/Metabarcoding","category":"Library Preparation","type":"laboratory","unit":"per sample","price":4750,"quantity":3,"samples":0,"participants":0}]</t>
  </si>
  <si>
    <t>2026-02-12T06:25:52.521Z</t>
  </si>
  <si>
    <t>2026-02-04T02:27:48.169Z</t>
  </si>
  <si>
    <t>{"affiliation":"Biology Program, Department of Natural Sciences, University of St. La Salle - Bacolod","affiliationAddress":"Bacolod City, Negros Occidental","cid":"CL-2026-002","createdAt":{"_seconds":1770172068,"_nanoseconds":169000000},"designation":"Student","email":"s2200462@usls.edu.ph","haveSubmitted":false,"isContactPerson":false,"name":"Eunice Lee O. Maribao","phoneNumber":"09773802697","pid":["P-2026-001"],"sex":"F","year":2026}</t>
  </si>
  <si>
    <t>["nucleic acid extraction","library preparation"]</t>
  </si>
  <si>
    <t>CS-2026-013</t>
  </si>
  <si>
    <t>2026-02-05T05:32:50.498Z</t>
  </si>
  <si>
    <t>2026-02-06T07:36:54.553Z</t>
  </si>
  <si>
    <t>{"name":"Joana Joy Huervana","institution":"SEAFDEC/AQD - Breeding and Seed Production Section, Research Division ","designation":"Project Leader/Head","email":"jjdlcruz@seafdec.org.ph"}</t>
  </si>
  <si>
    <t>{"pid":"P-2026-010","iid":"zGU2GE1Ro8lEcQKOPAhJ","year":2026,"startDate":{"_seconds":1770249600,"_nanoseconds":0},"createdAt":{"_seconds":1770269570,"_nanoseconds":498000000},"lead":"Joana Joy Huervana","clientNames":["Joana Joy Huervana"],"title":"Development of Seedling Mass Production System for Slipper Lobster","projectTag":"SEAFDEC-Lobster","status":"Ongoing","sendingInstitution":"International","fundingCategory":"External","fundingInstitution":"Japan Trust Fund","serviceRequested":["Laboratory Services"],"personnelAssigned":"Dianne Frances A. Penuela","notes":""}</t>
  </si>
  <si>
    <t>0620610</t>
  </si>
  <si>
    <t>[{"id":"LAB-SVC-001","name":"Spin Column Based Extraction","category":"Nucleic Acid Extraction","type":"laboratory","unit":"per sample","price":940,"quantity":1,"samples":0,"participants":0},{"id":"LAB-SVC-006","name":"Agarose Gel Electrophoresis","category":"Nucleic Acid Quantification","type":"laboratory","unit":"per run (12 samples)","price":590,"quantity":1,"samples":0,"participants":0},{"id":"LAB-SVC-007","name":"MultiSkan Sky Spectrophotometry","category":"Nucleic Acid Quantification","type":"laboratory","unit":"per run (15 samples)","price":300,"quantity":1,"samples":0,"participants":0},{"id":"LAB-SVC-010","name":"End-point PCR","category":"PCR/Real-Time PCR","type":"laboratory","unit":"per sample","price":300,"quantity":1,"samples":0,"participants":0},{"id":"LAB-SVC-018","name":"Amplicon Sequencing Lib Prep","category":"Library Preparation","type":"laboratory","unit":"per sample","price":2184,"quantity":1,"samples":0,"participants":0},{"id":"LAB-SVC-022","name":"i1 Reagent v2 Kit (300 cycles)","category":"Next Generation Sequencing","type":"laboratory","unit":"per run","price":82680,"quantity":0.01,"samples":0,"participants":0}]</t>
  </si>
  <si>
    <t>2026-02-06T07:36:41.042Z</t>
  </si>
  <si>
    <t>{"affiliation":"SEAFDEC/AQD - Breeding and Seed Production Section, Research Division ","affiliationAddress":"Buyuan Tigbauan Iloilo","cid":"CL-2026-014","createdAt":{"_seconds":1770269570,"_nanoseconds":498000000},"designation":"Project Leader/Head","email":"jjdlcruz@seafdec.org.ph","haveSubmitted":false,"isContactPerson":false,"name":"Joana Joy Huervana","phoneNumber":"09395535504","pid":["P-2026-010"],"sex":"F","year":2026}</t>
  </si>
  <si>
    <t>CS-2026-014</t>
  </si>
  <si>
    <t>2026-02-09T07:30:19.450Z</t>
  </si>
  <si>
    <t>{"name":"Sophia Isabel B. Pediongco","institution":"University of St. La Salle - Bacolod ","designation":"Student","email":"s2202444@usls.edu.ph"}</t>
  </si>
  <si>
    <t>{"pid":"P-2026-005","iid":"8rltwfawIwhYCcXVoL48","year":2026,"startDate":{"_seconds":1768780800,"_nanoseconds":0},"createdAt":{"_seconds":1770622219,"_nanoseconds":450000000},"lead":"N/A","clientNames":["Roshaine Shawtel T. Medel","Christine John R. Cayetano","Sophia Isabel B. Pediongco"],"title":"Identification and Molecular Characterization of Colletotrichum spp. causing Anthracnose in Mangifera spp. in Negros Occidental","projectTag":"USLS-Pediongco","status":"Ongoing","sendingInstitution":"SUC/HEI","fundingCategory":"External","fundingInstitution":"N/A","serviceRequested":["Laboratory Services"],"personnelAssigned":"PJ Jareno","notes":""}</t>
  </si>
  <si>
    <t>[{"id":"LAB-SVC-018","name":"Amplicon Sequencing Lib Prep","category":"Library Preparation","type":"laboratory","unit":"per sample","price":2184,"quantity":4,"samples":0,"participants":0}]</t>
  </si>
  <si>
    <t>{"affiliation":"University of St. La Salle - Bacolod ","affiliationAddress":"Bacolod, Negros Occidental","cid":"CL-2026-009","createdAt":{"_seconds":1770622219,"_nanoseconds":450000000},"designation":"Student","email":"s2202444@usls.edu.ph","haveSubmitted":false,"isContactPerson":false,"name":"Sophia Isabel B. Pediongco","phoneNumber":"09322324143","pid":["P-2026-005"],"sex":"F","year":2026}</t>
  </si>
  <si>
    <t>["library preparation"]</t>
  </si>
  <si>
    <t>CS-2026-015</t>
  </si>
  <si>
    <t>2026-02-10T06:06:47.206Z</t>
  </si>
  <si>
    <t>2026-03-02T07:12:49.725Z</t>
  </si>
  <si>
    <t>{"pid":"P-2026-001","iid":"9ySJ4vZOZFAwTi9DmF3R","year":2026,"startDate":{"_seconds":1767744000,"_nanoseconds":0},"createdAt":{"_seconds":1770703607,"_nanoseconds":207000000},"lead":"N/A","clientNames":["Leazar James V. David","Earl Francine A. Vallota","Deborah Zane G. Suyao","Eunice Lee O. Maribao"],"title":"Impacts of Black Soldier Fly Frass on Soil Biota and Functional Ecological Indicators in Urban Soils of Bacolod City","projectTag":"USLS-David","status":"Ongoing","sendingInstitution":"Government","fundingCategory":"External","fundingInstitution":"External","serviceRequested":["Laboratory Services"],"personnelAssigned":"Xemenes Secondes","notes":""}</t>
  </si>
  <si>
    <t>0620957</t>
  </si>
  <si>
    <t>[{"id":"BIO-SVC-003","name":"Metabarcoding  with Pre-processing only","category":"Bioinformatics","type":"bioinformatics","unit":"per run","price":3954.62,"description":"Pre-processing results include: FastQC, trimming, denoising, and generate the representative sequences, count table, taxonomic information, and relative abundance plot.\napplicable up to maximum of 9 samples","minQuantity":null,"additionalUnitPrice":null,"minParticipants":null,"additionalParticipantPrice":null,"quantity":1,"samples":0,"participants":0}]</t>
  </si>
  <si>
    <t>2026-02-16T00:00:00.000Z</t>
  </si>
  <si>
    <t>2026-02-10T06:06:47.207Z</t>
  </si>
  <si>
    <t>{"affiliation":"Biology Program, Department of Natural Sciences, University of St. La Salle - Bacolod","affiliationAddress":"Bacolod City, Negros Occidental","cid":"CL-2026-002","createdAt":{"_seconds":1770703607,"_nanoseconds":207000000},"designation":"Student","email":"s2200462@usls.edu.ph","haveSubmitted":false,"isContactPerson":false,"name":"Eunice Lee O. Maribao","phoneNumber":"09773802697","pid":["P-2026-001"],"sex":"F","year":2026}</t>
  </si>
  <si>
    <t>{"name":"Micah Danielle Lojera","position":"Senior Research Associate"}</t>
  </si>
  <si>
    <t>CS-2026-016</t>
  </si>
  <si>
    <t>2026-02-25T06:46:37.120Z</t>
  </si>
  <si>
    <t>{"name":"DOH-PGC Genomic Biosurveillance efforts in Luzon, Visayas and Mindanao Project","institution":"DOH-EB, UP-PGC NETWORK","designation":"N/A","email":"pgc.upvisayas@up.edu.ph"}</t>
  </si>
  <si>
    <t>{"pid":"P-2026-013","iid":["OryArvyB82Mzp8TMMq0q"],"year":2026,"startDate":{"_seconds":1771891200,"_nanoseconds":0},"createdAt":{"_seconds":1772001997,"_nanoseconds":120000000},"lead":"PGC Visayas","clientNames":["DOH-PGC Genomic Biosurveillance efforts in Luzon, Visayas and Mindanao Project"],"title":"DOH-PGC Genomic Biosurveillance efforts in Luzon, Visayas and Mindanao Project","projectTag":"Biosurveillance","status":"Ongoing","sendingInstitution":"Government","fundingCategory":"External","fundingInstitution":"A0004323-GF101 Direct Expense - GAA FY 2025 Additional Program For DOH-PGC (MOOE)","serviceRequested":["Equipment Use","Bioinformatics Analysis"],"personnelAssigned":"Ma. Carmel F. Javier","notes":""}</t>
  </si>
  <si>
    <t>[{"description":"Storage fees per 9x9 (6\") Cryobox","price":3110,"samples":0,"minParticipants":null,"unit":"per cryobox/year","additionalUnitPrice":null,"type":"equipment","quantity":400,"name":"Storage Freezer, -80C (PHCBi )","id":"EQP-SVC-034","minQuantity":null,"category":"Equipment Use (Without Consumables)","additionalParticipantPrice":null,"participants":0,"sourceQuotation":"VMENF-Q-2026-349"},{"additionalUnitPrice":null,"type":"bioinformatics","id":"BIO-SVC-011","name":"Data Storage - Server Fees","quantity":7561,"additionalParticipantPrice":null,"category":"Bioinformatics","minQuantity":null,"price":174,"description":"","minParticipants":null,"samples":0,"unit":"Per GB/year","participants":0,"sourceQuotation":"VMENF-Q-2026-349"}]</t>
  </si>
  <si>
    <t>{"affiliation":"DOH-EB, UP-PGC NETWORK","affiliationAddress":"N/A","cid":"CL-2026-022","createdAt":{"_seconds":1772001997,"_nanoseconds":120000000},"designation":"N/A","email":"pgc.upvisayas@up.edu.ph","haveSubmitted":false,"isContactPerson":false,"name":"DOH-PGC Genomic Biosurveillance efforts in Luzon, Visayas and Mindanao Project","phoneNumber":"00000000000","pid":["P-2026-013"],"sex":"Other","year":2026}</t>
  </si>
  <si>
    <t>CS-2026-017</t>
  </si>
  <si>
    <t>2026-03-02T06:59:40.216Z</t>
  </si>
  <si>
    <t>{"pid":"P-2026-004","iid":"DQIQMsaNSwqciI9Rt2Dh","year":2026,"startDate":{"_seconds":1768348800,"_nanoseconds":0},"createdAt":{"_seconds":1772434780,"_nanoseconds":216000000},"lead":"N/A","clientNames":["Orland Philip Salvador"],"title":"Molecular Characterization of Bamboo Shoots Sold in Marawi City Markets for Food Traceability and Conservation","projectTag":"Salvador","status":"Ongoing","sendingInstitution":"SUC/HEI","fundingCategory":"External","fundingInstitution":"N/A","serviceRequested":["Laboratory Services"],"personnelAssigned":"","notes":""}</t>
  </si>
  <si>
    <t>[{"id":"LAB-SVC-001","name":"Spin Column Based Extraction","category":"Nucleic Acid Extraction","type":"laboratory","unit":"per sample","price":940,"quantity":5,"samples":0,"participants":0},{"id":"LAB-SVC-010","name":"End-point PCR","category":"PCR/Real-Time PCR","type":"laboratory","unit":"per sample","price":300,"quantity":5,"samples":0,"participants":0},{"id":"LAB-SVC-018","name":"Amplicon Sequencing Lib Prep","category":"Library Preparation","type":"laboratory","unit":"per sample","price":2184,"quantity":5,"samples":0,"participants":0}]</t>
  </si>
  <si>
    <t>{"affiliation":"Forestry Department, College Of Forestry And Environmental Studies, Mindanao State University – Main Campus","affiliationAddress":" Marawi City, Lanao Del Sur","cid":"CL-2026-008","createdAt":{"_seconds":1772434780,"_nanoseconds":216000000},"designation":"Student","email":"salvador.ol224@s.msumain.edu.ph","haveSubmitted":false,"isContactPerson":false,"name":"Orland Philip Salvador","phoneNumber":"09674413765","pid":["P-2026-004"],"sex":"M","year":2026}</t>
  </si>
  <si>
    <t>Date</t>
  </si>
  <si>
    <t xml:space="preserve"> Jezel D. Alcantara</t>
  </si>
  <si>
    <t xml:space="preserve">  Ma Jowina Galarion</t>
  </si>
  <si>
    <t xml:space="preserve"> James Buray</t>
  </si>
  <si>
    <t>Clean Names</t>
  </si>
  <si>
    <t>Proper Names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</si>
</sst>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4" fontId="0" fillId="0" borderId="0" xfId="0" applyNumberFormat="1"/>
    <xf numFmtId="2" fontId="0" fillId="0" borderId="0" xfId="0" applyNumberFormat="1"/>
  </cellXfs>
  <cellStyles count="1">
    <cellStyle name="Normal" xfId="0" builtinId="0"/>
  </cellStyles>
  <dxfs count="9">
    <dxf>
      <fill>
        <patternFill>
          <bgColor theme="9"/>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1"/>
  <sheetViews>
    <sheetView topLeftCell="C1" workbookViewId="0">
      <selection activeCell="D2" sqref="D2"/>
    </sheetView>
  </sheetViews>
  <sheetFormatPr defaultRowHeight="15.6" x14ac:dyDescent="0.3"/>
  <cols>
    <col min="1" max="1" width="24.69921875" bestFit="1" customWidth="1"/>
    <col min="2" max="2" width="80" customWidth="1"/>
    <col min="3" max="3" width="22.796875" bestFit="1" customWidth="1"/>
    <col min="4" max="4" width="16.796875" customWidth="1"/>
    <col min="5" max="5" width="23.3984375" customWidth="1"/>
    <col min="6" max="6" width="17.5" customWidth="1"/>
    <col min="7" max="7" width="8.796875" customWidth="1"/>
    <col min="9" max="11" width="24" customWidth="1"/>
    <col min="12" max="12" width="17.09765625" bestFit="1" customWidth="1"/>
  </cols>
  <sheetData>
    <row r="1" spans="1:12" x14ac:dyDescent="0.3">
      <c r="A1" t="s">
        <v>0</v>
      </c>
      <c r="B1" t="s">
        <v>1</v>
      </c>
      <c r="C1" t="s">
        <v>2</v>
      </c>
      <c r="D1" t="s">
        <v>4768</v>
      </c>
      <c r="E1" t="s">
        <v>3</v>
      </c>
      <c r="F1" t="s">
        <v>4</v>
      </c>
      <c r="G1" t="s">
        <v>5</v>
      </c>
      <c r="H1" t="s">
        <v>6</v>
      </c>
      <c r="I1" t="s">
        <v>7</v>
      </c>
      <c r="J1" t="s">
        <v>4772</v>
      </c>
      <c r="K1" t="s">
        <v>4773</v>
      </c>
      <c r="L1" t="s">
        <v>8</v>
      </c>
    </row>
    <row r="2" spans="1:12" x14ac:dyDescent="0.3">
      <c r="A2" t="s">
        <v>10</v>
      </c>
      <c r="B2" t="s">
        <v>11</v>
      </c>
      <c r="C2" s="1" t="s">
        <v>12</v>
      </c>
      <c r="D2" s="1">
        <f>DATEVALUE(LEFT(C2,10))</f>
        <v>45762</v>
      </c>
      <c r="E2" t="s">
        <v>13</v>
      </c>
      <c r="F2" t="s">
        <v>14</v>
      </c>
      <c r="G2" t="b">
        <v>1</v>
      </c>
      <c r="H2" t="b">
        <v>0</v>
      </c>
      <c r="I2" t="s">
        <v>4769</v>
      </c>
      <c r="J2" t="str">
        <f>TRIM(I2)</f>
        <v>Jezel D. Alcantara</v>
      </c>
      <c r="K2" t="str">
        <f>PROPER(J2)</f>
        <v>Jezel D. Alcantara</v>
      </c>
      <c r="L2" t="s">
        <v>16</v>
      </c>
    </row>
    <row r="3" spans="1:12" x14ac:dyDescent="0.3">
      <c r="A3" t="s">
        <v>17</v>
      </c>
      <c r="B3" t="s">
        <v>18</v>
      </c>
      <c r="C3" t="s">
        <v>19</v>
      </c>
      <c r="D3" s="1">
        <f t="shared" ref="D3:D65" si="0">DATEVALUE(LEFT(C3,10))</f>
        <v>45867</v>
      </c>
      <c r="E3" t="s">
        <v>20</v>
      </c>
      <c r="F3" t="s">
        <v>21</v>
      </c>
      <c r="G3" t="b">
        <v>1</v>
      </c>
      <c r="H3" t="b">
        <v>0</v>
      </c>
      <c r="I3" t="s">
        <v>22</v>
      </c>
      <c r="J3" t="str">
        <f>TRIM(I3)</f>
        <v>Mary Grace Sedanza</v>
      </c>
      <c r="K3" t="str">
        <f t="shared" ref="K3:K66" si="1">PROPER(J3)</f>
        <v>Mary Grace Sedanza</v>
      </c>
      <c r="L3" t="s">
        <v>16</v>
      </c>
    </row>
    <row r="4" spans="1:12" x14ac:dyDescent="0.3">
      <c r="A4" t="s">
        <v>23</v>
      </c>
      <c r="B4" t="s">
        <v>24</v>
      </c>
      <c r="C4" t="s">
        <v>25</v>
      </c>
      <c r="D4" s="1">
        <f t="shared" si="0"/>
        <v>44216</v>
      </c>
      <c r="E4" t="s">
        <v>26</v>
      </c>
      <c r="F4" t="s">
        <v>27</v>
      </c>
      <c r="G4" t="b">
        <v>1</v>
      </c>
      <c r="H4" t="b">
        <v>1</v>
      </c>
      <c r="I4" t="s">
        <v>28</v>
      </c>
      <c r="J4" t="str">
        <f>TRIM(I4)</f>
        <v>Alain C. Juayang</v>
      </c>
      <c r="K4" t="str">
        <f t="shared" si="1"/>
        <v>Alain C. Juayang</v>
      </c>
      <c r="L4" t="s">
        <v>29</v>
      </c>
    </row>
    <row r="5" spans="1:12" x14ac:dyDescent="0.3">
      <c r="A5" t="s">
        <v>30</v>
      </c>
      <c r="B5" t="s">
        <v>31</v>
      </c>
      <c r="C5" t="s">
        <v>32</v>
      </c>
      <c r="D5" s="1">
        <f t="shared" si="0"/>
        <v>45554</v>
      </c>
      <c r="E5" t="s">
        <v>13</v>
      </c>
      <c r="F5" t="s">
        <v>33</v>
      </c>
      <c r="G5" t="b">
        <v>1</v>
      </c>
      <c r="H5" t="b">
        <v>1</v>
      </c>
      <c r="I5" t="s">
        <v>34</v>
      </c>
      <c r="J5" t="str">
        <f>TRIM(I5)</f>
        <v>Erica Victoria Diaz</v>
      </c>
      <c r="K5" t="str">
        <f t="shared" si="1"/>
        <v>Erica Victoria Diaz</v>
      </c>
      <c r="L5" t="s">
        <v>29</v>
      </c>
    </row>
    <row r="6" spans="1:12" x14ac:dyDescent="0.3">
      <c r="A6" t="s">
        <v>40</v>
      </c>
      <c r="B6" t="s">
        <v>41</v>
      </c>
      <c r="C6" t="s">
        <v>42</v>
      </c>
      <c r="D6" s="1">
        <f t="shared" si="0"/>
        <v>44869</v>
      </c>
      <c r="E6" t="s">
        <v>13</v>
      </c>
      <c r="F6" t="s">
        <v>43</v>
      </c>
      <c r="G6" t="b">
        <v>1</v>
      </c>
      <c r="H6" t="b">
        <v>0</v>
      </c>
      <c r="I6" t="s">
        <v>44</v>
      </c>
      <c r="J6" t="str">
        <f>TRIM(I6)</f>
        <v>Frenche B. Hechanova</v>
      </c>
      <c r="K6" t="str">
        <f t="shared" si="1"/>
        <v>Frenche B. Hechanova</v>
      </c>
      <c r="L6" t="s">
        <v>16</v>
      </c>
    </row>
    <row r="7" spans="1:12" x14ac:dyDescent="0.3">
      <c r="A7" t="s">
        <v>45</v>
      </c>
      <c r="B7" t="s">
        <v>46</v>
      </c>
      <c r="C7" t="s">
        <v>47</v>
      </c>
      <c r="D7" s="1">
        <f t="shared" si="0"/>
        <v>45091</v>
      </c>
      <c r="E7" t="s">
        <v>48</v>
      </c>
      <c r="F7" t="s">
        <v>49</v>
      </c>
      <c r="G7" t="b">
        <v>1</v>
      </c>
      <c r="H7" t="b">
        <v>0</v>
      </c>
      <c r="I7" t="s">
        <v>4770</v>
      </c>
      <c r="J7" t="str">
        <f>TRIM(I7)</f>
        <v>Ma Jowina Galarion</v>
      </c>
      <c r="K7" t="str">
        <f t="shared" si="1"/>
        <v>Ma Jowina Galarion</v>
      </c>
      <c r="L7" t="s">
        <v>16</v>
      </c>
    </row>
    <row r="8" spans="1:12" x14ac:dyDescent="0.3">
      <c r="A8" t="s">
        <v>51</v>
      </c>
      <c r="B8" t="s">
        <v>52</v>
      </c>
      <c r="C8" t="s">
        <v>53</v>
      </c>
      <c r="D8" s="1">
        <f t="shared" si="0"/>
        <v>45885</v>
      </c>
      <c r="E8" t="s">
        <v>54</v>
      </c>
      <c r="F8" t="s">
        <v>55</v>
      </c>
      <c r="G8" t="b">
        <v>0</v>
      </c>
      <c r="H8" t="b">
        <v>0</v>
      </c>
      <c r="I8" t="s">
        <v>56</v>
      </c>
      <c r="J8" t="str">
        <f>TRIM(I8)</f>
        <v>MARIELLE BANDALAN</v>
      </c>
      <c r="K8" t="str">
        <f t="shared" si="1"/>
        <v>Marielle Bandalan</v>
      </c>
      <c r="L8" t="s">
        <v>16</v>
      </c>
    </row>
    <row r="9" spans="1:12" x14ac:dyDescent="0.3">
      <c r="A9" t="s">
        <v>57</v>
      </c>
      <c r="B9" t="s">
        <v>58</v>
      </c>
      <c r="C9" t="s">
        <v>59</v>
      </c>
      <c r="D9" s="1">
        <f t="shared" si="0"/>
        <v>46051</v>
      </c>
      <c r="E9" t="s">
        <v>60</v>
      </c>
      <c r="F9" t="s">
        <v>61</v>
      </c>
      <c r="G9" t="b">
        <v>0</v>
      </c>
      <c r="H9" t="b">
        <v>1</v>
      </c>
      <c r="I9" t="s">
        <v>62</v>
      </c>
      <c r="J9" t="str">
        <f>TRIM(I9)</f>
        <v>Rene Jane Alesna-Saripada</v>
      </c>
      <c r="K9" t="str">
        <f t="shared" si="1"/>
        <v>Rene Jane Alesna-Saripada</v>
      </c>
      <c r="L9" t="s">
        <v>29</v>
      </c>
    </row>
    <row r="10" spans="1:12" x14ac:dyDescent="0.3">
      <c r="A10" t="s">
        <v>63</v>
      </c>
      <c r="B10" t="s">
        <v>64</v>
      </c>
      <c r="C10" t="s">
        <v>65</v>
      </c>
      <c r="D10" s="1">
        <f t="shared" si="0"/>
        <v>46051</v>
      </c>
      <c r="E10" t="s">
        <v>66</v>
      </c>
      <c r="F10" t="s">
        <v>67</v>
      </c>
      <c r="G10" t="b">
        <v>0</v>
      </c>
      <c r="H10" t="b">
        <v>1</v>
      </c>
      <c r="I10" t="s">
        <v>68</v>
      </c>
      <c r="J10" t="str">
        <f>TRIM(I10)</f>
        <v>Chris Armand Santiana</v>
      </c>
      <c r="K10" t="str">
        <f t="shared" si="1"/>
        <v>Chris Armand Santiana</v>
      </c>
      <c r="L10" t="s">
        <v>29</v>
      </c>
    </row>
    <row r="11" spans="1:12" x14ac:dyDescent="0.3">
      <c r="A11" t="s">
        <v>69</v>
      </c>
      <c r="B11" t="s">
        <v>70</v>
      </c>
      <c r="C11" t="s">
        <v>71</v>
      </c>
      <c r="D11" s="1">
        <f t="shared" si="0"/>
        <v>44785</v>
      </c>
      <c r="E11" t="s">
        <v>60</v>
      </c>
      <c r="F11" t="s">
        <v>72</v>
      </c>
      <c r="G11" t="b">
        <v>1</v>
      </c>
      <c r="H11" t="b">
        <v>0</v>
      </c>
      <c r="I11" t="s">
        <v>73</v>
      </c>
      <c r="J11" t="str">
        <f>TRIM(I11)</f>
        <v>Katherine P. Sanchez</v>
      </c>
      <c r="K11" t="str">
        <f t="shared" si="1"/>
        <v>Katherine P. Sanchez</v>
      </c>
      <c r="L11" t="s">
        <v>16</v>
      </c>
    </row>
    <row r="12" spans="1:12" x14ac:dyDescent="0.3">
      <c r="A12" t="s">
        <v>74</v>
      </c>
      <c r="B12" t="s">
        <v>75</v>
      </c>
      <c r="C12" t="s">
        <v>76</v>
      </c>
      <c r="D12" s="1">
        <f t="shared" si="0"/>
        <v>45884</v>
      </c>
      <c r="E12" t="s">
        <v>77</v>
      </c>
      <c r="F12" t="s">
        <v>55</v>
      </c>
      <c r="G12" t="b">
        <v>0</v>
      </c>
      <c r="H12" t="b">
        <v>0</v>
      </c>
      <c r="I12" t="s">
        <v>78</v>
      </c>
      <c r="J12" t="str">
        <f>TRIM(I12)</f>
        <v>Joy Raso</v>
      </c>
      <c r="K12" t="str">
        <f t="shared" si="1"/>
        <v>Joy Raso</v>
      </c>
      <c r="L12" t="s">
        <v>16</v>
      </c>
    </row>
    <row r="13" spans="1:12" x14ac:dyDescent="0.3">
      <c r="A13" t="s">
        <v>79</v>
      </c>
      <c r="B13" t="s">
        <v>80</v>
      </c>
      <c r="C13" t="s">
        <v>81</v>
      </c>
      <c r="D13" s="1">
        <f t="shared" si="0"/>
        <v>44705</v>
      </c>
      <c r="E13" t="s">
        <v>13</v>
      </c>
      <c r="F13" t="s">
        <v>82</v>
      </c>
      <c r="G13" t="b">
        <v>1</v>
      </c>
      <c r="H13" t="b">
        <v>0</v>
      </c>
      <c r="I13" t="s">
        <v>83</v>
      </c>
      <c r="J13" t="str">
        <f>TRIM(I13)</f>
        <v>Isabel Grace Gatpatan</v>
      </c>
      <c r="K13" t="str">
        <f t="shared" si="1"/>
        <v>Isabel Grace Gatpatan</v>
      </c>
      <c r="L13" t="s">
        <v>16</v>
      </c>
    </row>
    <row r="14" spans="1:12" x14ac:dyDescent="0.3">
      <c r="A14" t="s">
        <v>84</v>
      </c>
      <c r="B14" t="s">
        <v>85</v>
      </c>
      <c r="C14" t="s">
        <v>86</v>
      </c>
      <c r="D14" s="1">
        <f t="shared" si="0"/>
        <v>45250</v>
      </c>
      <c r="E14" t="s">
        <v>13</v>
      </c>
      <c r="F14" t="s">
        <v>87</v>
      </c>
      <c r="G14" t="b">
        <v>1</v>
      </c>
      <c r="H14" t="b">
        <v>1</v>
      </c>
      <c r="I14" t="s">
        <v>88</v>
      </c>
      <c r="J14" t="str">
        <f>TRIM(I14)</f>
        <v>LC May C. Gasit</v>
      </c>
      <c r="K14" t="str">
        <f t="shared" si="1"/>
        <v>Lc May C. Gasit</v>
      </c>
      <c r="L14" t="s">
        <v>29</v>
      </c>
    </row>
    <row r="15" spans="1:12" x14ac:dyDescent="0.3">
      <c r="A15" t="s">
        <v>89</v>
      </c>
      <c r="B15" t="s">
        <v>90</v>
      </c>
      <c r="C15" t="s">
        <v>91</v>
      </c>
      <c r="D15" s="1">
        <f t="shared" si="0"/>
        <v>45890</v>
      </c>
      <c r="E15" t="s">
        <v>66</v>
      </c>
      <c r="F15" t="s">
        <v>55</v>
      </c>
      <c r="G15" t="b">
        <v>0</v>
      </c>
      <c r="H15" t="b">
        <v>0</v>
      </c>
      <c r="I15" t="s">
        <v>92</v>
      </c>
      <c r="J15" t="str">
        <f>TRIM(I15)</f>
        <v>Aeo Christian Coo</v>
      </c>
      <c r="K15" t="str">
        <f t="shared" si="1"/>
        <v>Aeo Christian Coo</v>
      </c>
      <c r="L15" t="s">
        <v>16</v>
      </c>
    </row>
    <row r="16" spans="1:12" x14ac:dyDescent="0.3">
      <c r="A16" t="s">
        <v>93</v>
      </c>
      <c r="B16" t="s">
        <v>94</v>
      </c>
      <c r="C16" t="s">
        <v>95</v>
      </c>
      <c r="D16" s="1">
        <f t="shared" si="0"/>
        <v>45890</v>
      </c>
      <c r="E16" t="s">
        <v>96</v>
      </c>
      <c r="F16" t="s">
        <v>55</v>
      </c>
      <c r="G16" t="b">
        <v>0</v>
      </c>
      <c r="H16" t="b">
        <v>0</v>
      </c>
      <c r="I16" t="s">
        <v>97</v>
      </c>
      <c r="J16" t="str">
        <f>TRIM(I16)</f>
        <v>Mary Rose V. Zabala</v>
      </c>
      <c r="K16" t="str">
        <f t="shared" si="1"/>
        <v>Mary Rose V. Zabala</v>
      </c>
      <c r="L16" t="s">
        <v>16</v>
      </c>
    </row>
    <row r="17" spans="1:12" x14ac:dyDescent="0.3">
      <c r="A17" t="s">
        <v>98</v>
      </c>
      <c r="B17" t="s">
        <v>99</v>
      </c>
      <c r="C17" t="s">
        <v>100</v>
      </c>
      <c r="D17" s="1">
        <f t="shared" si="0"/>
        <v>46051</v>
      </c>
      <c r="E17" t="s">
        <v>101</v>
      </c>
      <c r="F17" t="s">
        <v>102</v>
      </c>
      <c r="G17" t="b">
        <v>0</v>
      </c>
      <c r="H17" t="b">
        <v>1</v>
      </c>
      <c r="I17" t="s">
        <v>103</v>
      </c>
      <c r="J17" t="str">
        <f>TRIM(I17)</f>
        <v>Josie Mar G. Cabalo</v>
      </c>
      <c r="K17" t="str">
        <f t="shared" si="1"/>
        <v>Josie Mar G. Cabalo</v>
      </c>
      <c r="L17" t="s">
        <v>29</v>
      </c>
    </row>
    <row r="18" spans="1:12" x14ac:dyDescent="0.3">
      <c r="A18" t="s">
        <v>104</v>
      </c>
      <c r="B18" t="s">
        <v>105</v>
      </c>
      <c r="C18" t="s">
        <v>106</v>
      </c>
      <c r="D18" s="1">
        <f t="shared" si="0"/>
        <v>43902</v>
      </c>
      <c r="E18" t="s">
        <v>13</v>
      </c>
      <c r="F18" t="s">
        <v>107</v>
      </c>
      <c r="G18" t="b">
        <v>1</v>
      </c>
      <c r="H18" t="b">
        <v>1</v>
      </c>
      <c r="I18" t="s">
        <v>108</v>
      </c>
      <c r="J18" t="str">
        <f>TRIM(I18)</f>
        <v>Rema C. Sibonga</v>
      </c>
      <c r="K18" t="str">
        <f t="shared" si="1"/>
        <v>Rema C. Sibonga</v>
      </c>
      <c r="L18" t="s">
        <v>29</v>
      </c>
    </row>
    <row r="19" spans="1:12" x14ac:dyDescent="0.3">
      <c r="A19" t="s">
        <v>109</v>
      </c>
      <c r="B19" t="s">
        <v>110</v>
      </c>
      <c r="C19" t="s">
        <v>111</v>
      </c>
      <c r="D19" s="1">
        <f t="shared" si="0"/>
        <v>45498</v>
      </c>
      <c r="E19" t="s">
        <v>112</v>
      </c>
      <c r="F19" t="s">
        <v>113</v>
      </c>
      <c r="G19" t="b">
        <v>1</v>
      </c>
      <c r="H19" t="b">
        <v>1</v>
      </c>
      <c r="I19" t="s">
        <v>114</v>
      </c>
      <c r="J19" t="str">
        <f>TRIM(I19)</f>
        <v>Jhianaly Erestingcol</v>
      </c>
      <c r="K19" t="str">
        <f t="shared" si="1"/>
        <v>Jhianaly Erestingcol</v>
      </c>
      <c r="L19" t="s">
        <v>29</v>
      </c>
    </row>
    <row r="20" spans="1:12" x14ac:dyDescent="0.3">
      <c r="A20" t="s">
        <v>115</v>
      </c>
      <c r="B20" t="s">
        <v>116</v>
      </c>
      <c r="C20" t="s">
        <v>117</v>
      </c>
      <c r="D20" s="1">
        <f t="shared" si="0"/>
        <v>45434</v>
      </c>
      <c r="E20" t="s">
        <v>60</v>
      </c>
      <c r="F20" t="s">
        <v>118</v>
      </c>
      <c r="G20" t="b">
        <v>1</v>
      </c>
      <c r="H20" t="b">
        <v>0</v>
      </c>
      <c r="I20" t="s">
        <v>119</v>
      </c>
      <c r="J20" t="str">
        <f>TRIM(I20)</f>
        <v>Dr. Jeannemar Genevive Y. Figueras</v>
      </c>
      <c r="K20" t="str">
        <f t="shared" si="1"/>
        <v>Dr. Jeannemar Genevive Y. Figueras</v>
      </c>
      <c r="L20" t="s">
        <v>16</v>
      </c>
    </row>
    <row r="21" spans="1:12" x14ac:dyDescent="0.3">
      <c r="A21" t="s">
        <v>120</v>
      </c>
      <c r="B21" t="s">
        <v>85</v>
      </c>
      <c r="C21" t="s">
        <v>121</v>
      </c>
      <c r="D21" s="1">
        <f t="shared" si="0"/>
        <v>45476</v>
      </c>
      <c r="E21" t="s">
        <v>122</v>
      </c>
      <c r="F21" t="s">
        <v>123</v>
      </c>
      <c r="G21" t="b">
        <v>1</v>
      </c>
      <c r="H21" t="b">
        <v>0</v>
      </c>
      <c r="I21" t="s">
        <v>124</v>
      </c>
      <c r="J21" t="str">
        <f>TRIM(I21)</f>
        <v>Junelou B. Hinautan</v>
      </c>
      <c r="K21" t="str">
        <f t="shared" si="1"/>
        <v>Junelou B. Hinautan</v>
      </c>
      <c r="L21" t="s">
        <v>16</v>
      </c>
    </row>
    <row r="22" spans="1:12" x14ac:dyDescent="0.3">
      <c r="A22" t="s">
        <v>125</v>
      </c>
      <c r="B22" t="s">
        <v>126</v>
      </c>
      <c r="C22" t="s">
        <v>127</v>
      </c>
      <c r="D22" s="1">
        <f t="shared" si="0"/>
        <v>45887</v>
      </c>
      <c r="E22" t="s">
        <v>128</v>
      </c>
      <c r="F22" t="s">
        <v>55</v>
      </c>
      <c r="G22" t="b">
        <v>0</v>
      </c>
      <c r="H22" t="b">
        <v>0</v>
      </c>
      <c r="I22" t="s">
        <v>129</v>
      </c>
      <c r="J22" t="str">
        <f>TRIM(I22)</f>
        <v>Prency Yerro</v>
      </c>
      <c r="K22" t="str">
        <f t="shared" si="1"/>
        <v>Prency Yerro</v>
      </c>
      <c r="L22" t="s">
        <v>16</v>
      </c>
    </row>
    <row r="23" spans="1:12" x14ac:dyDescent="0.3">
      <c r="A23" t="s">
        <v>130</v>
      </c>
      <c r="B23" t="s">
        <v>131</v>
      </c>
      <c r="C23" t="s">
        <v>132</v>
      </c>
      <c r="D23" s="1">
        <f t="shared" si="0"/>
        <v>45154</v>
      </c>
      <c r="E23" t="s">
        <v>60</v>
      </c>
      <c r="F23" t="s">
        <v>133</v>
      </c>
      <c r="G23" t="b">
        <v>1</v>
      </c>
      <c r="H23" t="b">
        <v>0</v>
      </c>
      <c r="I23" t="s">
        <v>134</v>
      </c>
      <c r="J23" t="str">
        <f>TRIM(I23)</f>
        <v>Adrienne Marrie S. Bugayon-Janagap</v>
      </c>
      <c r="K23" t="str">
        <f t="shared" si="1"/>
        <v>Adrienne Marrie S. Bugayon-Janagap</v>
      </c>
      <c r="L23" t="s">
        <v>16</v>
      </c>
    </row>
    <row r="24" spans="1:12" x14ac:dyDescent="0.3">
      <c r="A24" t="s">
        <v>135</v>
      </c>
      <c r="B24" t="s">
        <v>136</v>
      </c>
      <c r="C24" t="s">
        <v>137</v>
      </c>
      <c r="D24" s="1">
        <f t="shared" si="0"/>
        <v>43990</v>
      </c>
      <c r="E24" t="s">
        <v>13</v>
      </c>
      <c r="F24" t="s">
        <v>138</v>
      </c>
      <c r="G24" t="b">
        <v>1</v>
      </c>
      <c r="H24" t="b">
        <v>0</v>
      </c>
      <c r="I24" t="s">
        <v>139</v>
      </c>
      <c r="J24" t="str">
        <f>TRIM(I24)</f>
        <v>Kyle R. Castañares</v>
      </c>
      <c r="K24" t="str">
        <f t="shared" si="1"/>
        <v>Kyle R. Castañares</v>
      </c>
      <c r="L24" t="s">
        <v>16</v>
      </c>
    </row>
    <row r="25" spans="1:12" x14ac:dyDescent="0.3">
      <c r="A25" t="s">
        <v>140</v>
      </c>
      <c r="B25" t="s">
        <v>141</v>
      </c>
      <c r="C25" t="s">
        <v>142</v>
      </c>
      <c r="D25" s="1">
        <f t="shared" si="0"/>
        <v>45671</v>
      </c>
      <c r="E25" t="s">
        <v>143</v>
      </c>
      <c r="F25" t="s">
        <v>144</v>
      </c>
      <c r="G25" t="b">
        <v>1</v>
      </c>
      <c r="H25" t="b">
        <v>0</v>
      </c>
      <c r="I25" t="s">
        <v>145</v>
      </c>
      <c r="J25" t="str">
        <f>TRIM(I25)</f>
        <v>Jasmine Velo</v>
      </c>
      <c r="K25" t="str">
        <f t="shared" si="1"/>
        <v>Jasmine Velo</v>
      </c>
      <c r="L25" t="s">
        <v>16</v>
      </c>
    </row>
    <row r="26" spans="1:12" x14ac:dyDescent="0.3">
      <c r="A26" t="s">
        <v>146</v>
      </c>
      <c r="B26" t="s">
        <v>147</v>
      </c>
      <c r="C26" t="s">
        <v>132</v>
      </c>
      <c r="D26" s="1">
        <f t="shared" si="0"/>
        <v>45154</v>
      </c>
      <c r="E26" t="s">
        <v>148</v>
      </c>
      <c r="F26" t="s">
        <v>149</v>
      </c>
      <c r="G26" t="b">
        <v>1</v>
      </c>
      <c r="H26" t="b">
        <v>0</v>
      </c>
      <c r="I26" t="s">
        <v>150</v>
      </c>
      <c r="J26" t="str">
        <f>TRIM(I26)</f>
        <v>Angel Mae T. Malones</v>
      </c>
      <c r="K26" t="str">
        <f t="shared" si="1"/>
        <v>Angel Mae T. Malones</v>
      </c>
      <c r="L26" t="s">
        <v>16</v>
      </c>
    </row>
    <row r="27" spans="1:12" x14ac:dyDescent="0.3">
      <c r="A27" t="s">
        <v>151</v>
      </c>
      <c r="B27" t="s">
        <v>152</v>
      </c>
      <c r="C27" t="s">
        <v>153</v>
      </c>
      <c r="D27" s="1">
        <f t="shared" si="0"/>
        <v>45890</v>
      </c>
      <c r="E27" t="s">
        <v>152</v>
      </c>
      <c r="F27" t="s">
        <v>55</v>
      </c>
      <c r="G27" t="b">
        <v>0</v>
      </c>
      <c r="H27" t="b">
        <v>0</v>
      </c>
      <c r="I27" t="s">
        <v>152</v>
      </c>
      <c r="J27" t="str">
        <f>TRIM(I27)</f>
        <v>--</v>
      </c>
      <c r="K27" t="str">
        <f t="shared" si="1"/>
        <v>--</v>
      </c>
      <c r="L27" t="s">
        <v>16</v>
      </c>
    </row>
    <row r="28" spans="1:12" x14ac:dyDescent="0.3">
      <c r="A28" t="s">
        <v>154</v>
      </c>
      <c r="B28" t="s">
        <v>31</v>
      </c>
      <c r="C28" t="s">
        <v>155</v>
      </c>
      <c r="D28" s="1">
        <f t="shared" si="0"/>
        <v>45036</v>
      </c>
      <c r="E28" t="s">
        <v>112</v>
      </c>
      <c r="F28" t="s">
        <v>156</v>
      </c>
      <c r="G28" t="b">
        <v>1</v>
      </c>
      <c r="H28" t="b">
        <v>1</v>
      </c>
      <c r="I28" t="s">
        <v>157</v>
      </c>
      <c r="J28" t="str">
        <f>TRIM(I28)</f>
        <v>Trisha Marie Santos</v>
      </c>
      <c r="K28" t="str">
        <f t="shared" si="1"/>
        <v>Trisha Marie Santos</v>
      </c>
      <c r="L28" t="s">
        <v>29</v>
      </c>
    </row>
    <row r="29" spans="1:12" x14ac:dyDescent="0.3">
      <c r="A29" t="s">
        <v>158</v>
      </c>
      <c r="B29" t="s">
        <v>159</v>
      </c>
      <c r="C29" t="s">
        <v>160</v>
      </c>
      <c r="D29" s="1">
        <f t="shared" si="0"/>
        <v>44280</v>
      </c>
      <c r="E29" t="s">
        <v>13</v>
      </c>
      <c r="F29" t="s">
        <v>161</v>
      </c>
      <c r="G29" t="b">
        <v>1</v>
      </c>
      <c r="H29" t="b">
        <v>0</v>
      </c>
      <c r="I29" t="s">
        <v>162</v>
      </c>
      <c r="J29" t="str">
        <f>TRIM(I29)</f>
        <v>Roxanne Cabebe</v>
      </c>
      <c r="K29" t="str">
        <f t="shared" si="1"/>
        <v>Roxanne Cabebe</v>
      </c>
      <c r="L29" t="s">
        <v>16</v>
      </c>
    </row>
    <row r="30" spans="1:12" x14ac:dyDescent="0.3">
      <c r="A30" t="s">
        <v>163</v>
      </c>
      <c r="B30" t="s">
        <v>164</v>
      </c>
      <c r="C30" t="s">
        <v>165</v>
      </c>
      <c r="D30" s="1">
        <f t="shared" si="0"/>
        <v>45637</v>
      </c>
      <c r="E30" t="s">
        <v>60</v>
      </c>
      <c r="F30" t="s">
        <v>166</v>
      </c>
      <c r="G30" t="b">
        <v>1</v>
      </c>
      <c r="H30" t="b">
        <v>0</v>
      </c>
      <c r="I30" t="s">
        <v>167</v>
      </c>
      <c r="J30" t="str">
        <f>TRIM(I30)</f>
        <v>Daniel Juan B. Ramirez</v>
      </c>
      <c r="K30" t="str">
        <f t="shared" si="1"/>
        <v>Daniel Juan B. Ramirez</v>
      </c>
      <c r="L30" t="s">
        <v>16</v>
      </c>
    </row>
    <row r="31" spans="1:12" x14ac:dyDescent="0.3">
      <c r="A31" t="s">
        <v>168</v>
      </c>
      <c r="B31" t="s">
        <v>164</v>
      </c>
      <c r="C31" t="s">
        <v>165</v>
      </c>
      <c r="D31" s="1">
        <f t="shared" si="0"/>
        <v>45637</v>
      </c>
      <c r="E31" t="s">
        <v>13</v>
      </c>
      <c r="F31" t="s">
        <v>169</v>
      </c>
      <c r="G31" t="b">
        <v>1</v>
      </c>
      <c r="H31" t="b">
        <v>0</v>
      </c>
      <c r="I31" t="s">
        <v>170</v>
      </c>
      <c r="J31" t="str">
        <f>TRIM(I31)</f>
        <v>Peter Paul L. Lazo</v>
      </c>
      <c r="K31" t="str">
        <f t="shared" si="1"/>
        <v>Peter Paul L. Lazo</v>
      </c>
      <c r="L31" t="s">
        <v>16</v>
      </c>
    </row>
    <row r="32" spans="1:12" x14ac:dyDescent="0.3">
      <c r="A32" t="s">
        <v>171</v>
      </c>
      <c r="B32" t="s">
        <v>152</v>
      </c>
      <c r="C32" t="s">
        <v>172</v>
      </c>
      <c r="D32" s="1">
        <f t="shared" si="0"/>
        <v>45885</v>
      </c>
      <c r="E32" t="s">
        <v>152</v>
      </c>
      <c r="F32" t="s">
        <v>55</v>
      </c>
      <c r="G32" t="b">
        <v>0</v>
      </c>
      <c r="H32" t="b">
        <v>0</v>
      </c>
      <c r="I32" t="s">
        <v>173</v>
      </c>
      <c r="J32" t="str">
        <f>TRIM(I32)</f>
        <v>Wilson Laranang</v>
      </c>
      <c r="K32" t="str">
        <f t="shared" si="1"/>
        <v>Wilson Laranang</v>
      </c>
      <c r="L32" t="s">
        <v>16</v>
      </c>
    </row>
    <row r="33" spans="1:12" x14ac:dyDescent="0.3">
      <c r="A33" t="s">
        <v>174</v>
      </c>
      <c r="B33" t="s">
        <v>175</v>
      </c>
      <c r="C33" t="s">
        <v>176</v>
      </c>
      <c r="D33" s="1">
        <f t="shared" si="0"/>
        <v>46037</v>
      </c>
      <c r="E33" t="s">
        <v>66</v>
      </c>
      <c r="F33" t="s">
        <v>177</v>
      </c>
      <c r="G33" t="b">
        <v>0</v>
      </c>
      <c r="H33" t="b">
        <v>1</v>
      </c>
      <c r="I33" t="s">
        <v>178</v>
      </c>
      <c r="J33" t="str">
        <f>TRIM(I33)</f>
        <v>Sophia Isabel Pediongco</v>
      </c>
      <c r="K33" t="str">
        <f t="shared" si="1"/>
        <v>Sophia Isabel Pediongco</v>
      </c>
      <c r="L33" t="s">
        <v>29</v>
      </c>
    </row>
    <row r="34" spans="1:12" x14ac:dyDescent="0.3">
      <c r="A34" t="s">
        <v>179</v>
      </c>
      <c r="B34" t="s">
        <v>180</v>
      </c>
      <c r="C34" t="s">
        <v>181</v>
      </c>
      <c r="D34" s="1">
        <f t="shared" si="0"/>
        <v>45888</v>
      </c>
      <c r="E34" t="s">
        <v>182</v>
      </c>
      <c r="F34" t="s">
        <v>183</v>
      </c>
      <c r="G34" t="b">
        <v>0</v>
      </c>
      <c r="H34" t="b">
        <v>0</v>
      </c>
      <c r="I34" t="s">
        <v>184</v>
      </c>
      <c r="J34" t="str">
        <f>TRIM(I34)</f>
        <v>Junel F. Fiestada</v>
      </c>
      <c r="K34" t="str">
        <f t="shared" si="1"/>
        <v>Junel F. Fiestada</v>
      </c>
      <c r="L34" t="s">
        <v>16</v>
      </c>
    </row>
    <row r="35" spans="1:12" x14ac:dyDescent="0.3">
      <c r="A35" t="s">
        <v>185</v>
      </c>
      <c r="B35" t="s">
        <v>186</v>
      </c>
      <c r="C35" t="s">
        <v>187</v>
      </c>
      <c r="D35" s="1">
        <f t="shared" si="0"/>
        <v>43873</v>
      </c>
      <c r="E35" t="s">
        <v>60</v>
      </c>
      <c r="F35" t="s">
        <v>188</v>
      </c>
      <c r="G35" t="b">
        <v>1</v>
      </c>
      <c r="H35" t="b">
        <v>0</v>
      </c>
      <c r="I35" t="s">
        <v>189</v>
      </c>
      <c r="J35" t="str">
        <f>TRIM(I35)</f>
        <v>Shirleen Grace Brillantes</v>
      </c>
      <c r="K35" t="str">
        <f t="shared" si="1"/>
        <v>Shirleen Grace Brillantes</v>
      </c>
      <c r="L35" t="s">
        <v>16</v>
      </c>
    </row>
    <row r="36" spans="1:12" x14ac:dyDescent="0.3">
      <c r="A36" t="s">
        <v>190</v>
      </c>
      <c r="B36" t="s">
        <v>191</v>
      </c>
      <c r="C36" t="s">
        <v>192</v>
      </c>
      <c r="D36" s="1">
        <f t="shared" si="0"/>
        <v>45886</v>
      </c>
      <c r="E36" t="s">
        <v>152</v>
      </c>
      <c r="F36" t="s">
        <v>55</v>
      </c>
      <c r="G36" t="b">
        <v>0</v>
      </c>
      <c r="H36" t="b">
        <v>0</v>
      </c>
      <c r="I36" t="s">
        <v>193</v>
      </c>
      <c r="J36" t="str">
        <f>TRIM(I36)</f>
        <v>Joanna Mae Mong</v>
      </c>
      <c r="K36" t="str">
        <f t="shared" si="1"/>
        <v>Joanna Mae Mong</v>
      </c>
      <c r="L36" t="s">
        <v>16</v>
      </c>
    </row>
    <row r="37" spans="1:12" x14ac:dyDescent="0.3">
      <c r="A37" t="s">
        <v>194</v>
      </c>
      <c r="B37" t="s">
        <v>31</v>
      </c>
      <c r="C37" t="s">
        <v>195</v>
      </c>
      <c r="D37" s="1">
        <f t="shared" si="0"/>
        <v>45240</v>
      </c>
      <c r="E37" t="s">
        <v>112</v>
      </c>
      <c r="F37" t="s">
        <v>21</v>
      </c>
      <c r="G37" t="b">
        <v>1</v>
      </c>
      <c r="H37" t="b">
        <v>0</v>
      </c>
      <c r="I37" t="s">
        <v>196</v>
      </c>
      <c r="J37" t="str">
        <f>TRIM(I37)</f>
        <v>Carl Jester Caldito</v>
      </c>
      <c r="K37" t="str">
        <f t="shared" si="1"/>
        <v>Carl Jester Caldito</v>
      </c>
      <c r="L37" t="s">
        <v>16</v>
      </c>
    </row>
    <row r="38" spans="1:12" x14ac:dyDescent="0.3">
      <c r="A38" t="s">
        <v>197</v>
      </c>
      <c r="B38" t="s">
        <v>147</v>
      </c>
      <c r="C38" t="s">
        <v>132</v>
      </c>
      <c r="D38" s="1">
        <f t="shared" si="0"/>
        <v>45154</v>
      </c>
      <c r="E38" t="s">
        <v>148</v>
      </c>
      <c r="F38" t="s">
        <v>198</v>
      </c>
      <c r="G38" t="b">
        <v>1</v>
      </c>
      <c r="H38" t="b">
        <v>0</v>
      </c>
      <c r="I38" t="s">
        <v>199</v>
      </c>
      <c r="J38" t="str">
        <f>TRIM(I38)</f>
        <v>Danielle L. Elevado</v>
      </c>
      <c r="K38" t="str">
        <f t="shared" si="1"/>
        <v>Danielle L. Elevado</v>
      </c>
      <c r="L38" t="s">
        <v>16</v>
      </c>
    </row>
    <row r="39" spans="1:12" x14ac:dyDescent="0.3">
      <c r="A39" t="s">
        <v>200</v>
      </c>
      <c r="B39" t="s">
        <v>201</v>
      </c>
      <c r="C39" t="s">
        <v>202</v>
      </c>
      <c r="D39" s="1">
        <f t="shared" si="0"/>
        <v>45887</v>
      </c>
      <c r="E39" t="s">
        <v>203</v>
      </c>
      <c r="F39" t="s">
        <v>55</v>
      </c>
      <c r="G39" t="b">
        <v>0</v>
      </c>
      <c r="H39" t="b">
        <v>0</v>
      </c>
      <c r="I39" t="s">
        <v>204</v>
      </c>
      <c r="J39" t="str">
        <f>TRIM(I39)</f>
        <v>DR. ANGELINA T. GONZALES</v>
      </c>
      <c r="K39" t="str">
        <f t="shared" si="1"/>
        <v>Dr. Angelina T. Gonzales</v>
      </c>
      <c r="L39" t="s">
        <v>16</v>
      </c>
    </row>
    <row r="40" spans="1:12" x14ac:dyDescent="0.3">
      <c r="A40" t="s">
        <v>205</v>
      </c>
      <c r="B40" t="s">
        <v>141</v>
      </c>
      <c r="C40" t="s">
        <v>206</v>
      </c>
      <c r="D40" s="1">
        <f t="shared" si="0"/>
        <v>45807</v>
      </c>
      <c r="E40" t="s">
        <v>13</v>
      </c>
      <c r="F40" t="s">
        <v>21</v>
      </c>
      <c r="G40" t="b">
        <v>1</v>
      </c>
      <c r="H40" t="b">
        <v>0</v>
      </c>
      <c r="I40" t="s">
        <v>207</v>
      </c>
      <c r="J40" t="str">
        <f>TRIM(I40)</f>
        <v>Pee Jee Jareno</v>
      </c>
      <c r="K40" t="str">
        <f t="shared" si="1"/>
        <v>Pee Jee Jareno</v>
      </c>
      <c r="L40" t="s">
        <v>16</v>
      </c>
    </row>
    <row r="41" spans="1:12" x14ac:dyDescent="0.3">
      <c r="A41" t="s">
        <v>208</v>
      </c>
      <c r="B41" t="s">
        <v>209</v>
      </c>
      <c r="C41" t="s">
        <v>210</v>
      </c>
      <c r="D41" s="1">
        <f t="shared" si="0"/>
        <v>45385</v>
      </c>
      <c r="E41" t="s">
        <v>112</v>
      </c>
      <c r="F41" t="s">
        <v>211</v>
      </c>
      <c r="G41" t="b">
        <v>1</v>
      </c>
      <c r="H41" t="b">
        <v>0</v>
      </c>
      <c r="I41" t="s">
        <v>212</v>
      </c>
      <c r="J41" t="str">
        <f>TRIM(I41)</f>
        <v>Lesther G. Tadeña</v>
      </c>
      <c r="K41" t="str">
        <f t="shared" si="1"/>
        <v>Lesther G. Tadeña</v>
      </c>
      <c r="L41" t="s">
        <v>16</v>
      </c>
    </row>
    <row r="42" spans="1:12" x14ac:dyDescent="0.3">
      <c r="A42" t="s">
        <v>213</v>
      </c>
      <c r="B42" t="s">
        <v>214</v>
      </c>
      <c r="C42" t="s">
        <v>215</v>
      </c>
      <c r="D42" s="1">
        <f t="shared" si="0"/>
        <v>45224</v>
      </c>
      <c r="E42" t="s">
        <v>26</v>
      </c>
      <c r="F42" t="s">
        <v>21</v>
      </c>
      <c r="G42" t="b">
        <v>1</v>
      </c>
      <c r="H42" t="b">
        <v>0</v>
      </c>
      <c r="I42" t="s">
        <v>216</v>
      </c>
      <c r="J42" t="str">
        <f>TRIM(I42)</f>
        <v>Dianne Peralta</v>
      </c>
      <c r="K42" t="str">
        <f t="shared" si="1"/>
        <v>Dianne Peralta</v>
      </c>
      <c r="L42" t="s">
        <v>16</v>
      </c>
    </row>
    <row r="43" spans="1:12" x14ac:dyDescent="0.3">
      <c r="A43" t="s">
        <v>217</v>
      </c>
      <c r="B43" t="s">
        <v>218</v>
      </c>
      <c r="C43" t="s">
        <v>219</v>
      </c>
      <c r="D43" s="1">
        <f t="shared" si="0"/>
        <v>45884</v>
      </c>
      <c r="E43" t="s">
        <v>220</v>
      </c>
      <c r="F43" t="s">
        <v>55</v>
      </c>
      <c r="G43" t="b">
        <v>0</v>
      </c>
      <c r="H43" t="b">
        <v>0</v>
      </c>
      <c r="I43" t="s">
        <v>221</v>
      </c>
      <c r="J43" t="str">
        <f>TRIM(I43)</f>
        <v>DR. NADIA PALOMAR-ABESAMIS</v>
      </c>
      <c r="K43" t="str">
        <f t="shared" si="1"/>
        <v>Dr. Nadia Palomar-Abesamis</v>
      </c>
      <c r="L43" t="s">
        <v>16</v>
      </c>
    </row>
    <row r="44" spans="1:12" x14ac:dyDescent="0.3">
      <c r="A44" t="s">
        <v>222</v>
      </c>
      <c r="B44" t="s">
        <v>223</v>
      </c>
      <c r="C44" t="s">
        <v>224</v>
      </c>
      <c r="D44" s="1">
        <f t="shared" si="0"/>
        <v>46083</v>
      </c>
      <c r="E44" t="s">
        <v>66</v>
      </c>
      <c r="F44" t="s">
        <v>225</v>
      </c>
      <c r="G44" t="b">
        <v>0</v>
      </c>
      <c r="H44" t="b">
        <v>0</v>
      </c>
      <c r="I44" t="s">
        <v>226</v>
      </c>
      <c r="J44" t="str">
        <f>TRIM(I44)</f>
        <v>Jasmine Joy U. Panes</v>
      </c>
      <c r="K44" t="str">
        <f t="shared" si="1"/>
        <v>Jasmine Joy U. Panes</v>
      </c>
      <c r="L44" t="s">
        <v>227</v>
      </c>
    </row>
    <row r="45" spans="1:12" x14ac:dyDescent="0.3">
      <c r="A45" t="s">
        <v>228</v>
      </c>
      <c r="B45" t="s">
        <v>52</v>
      </c>
      <c r="C45" t="s">
        <v>229</v>
      </c>
      <c r="D45" s="1">
        <f>DATEVALUE(LEFT(C45,10))</f>
        <v>45513</v>
      </c>
      <c r="E45" t="s">
        <v>13</v>
      </c>
      <c r="F45" t="s">
        <v>230</v>
      </c>
      <c r="G45" t="b">
        <v>1</v>
      </c>
      <c r="H45" t="b">
        <v>0</v>
      </c>
      <c r="I45" t="s">
        <v>231</v>
      </c>
      <c r="J45" t="str">
        <f>TRIM(I45)</f>
        <v>Mary Ann B. Madeja</v>
      </c>
      <c r="K45" t="str">
        <f t="shared" si="1"/>
        <v>Mary Ann B. Madeja</v>
      </c>
      <c r="L45" t="s">
        <v>16</v>
      </c>
    </row>
    <row r="46" spans="1:12" x14ac:dyDescent="0.3">
      <c r="A46" t="s">
        <v>232</v>
      </c>
      <c r="B46" t="s">
        <v>233</v>
      </c>
      <c r="C46" t="s">
        <v>234</v>
      </c>
      <c r="D46" s="1">
        <f t="shared" si="0"/>
        <v>45885</v>
      </c>
      <c r="E46" t="s">
        <v>235</v>
      </c>
      <c r="F46" t="s">
        <v>55</v>
      </c>
      <c r="G46" t="b">
        <v>0</v>
      </c>
      <c r="H46" t="b">
        <v>0</v>
      </c>
      <c r="I46" t="s">
        <v>236</v>
      </c>
      <c r="J46" t="str">
        <f>TRIM(I46)</f>
        <v>Ann Gelanie Tarrayo</v>
      </c>
      <c r="K46" t="str">
        <f t="shared" si="1"/>
        <v>Ann Gelanie Tarrayo</v>
      </c>
      <c r="L46" t="s">
        <v>16</v>
      </c>
    </row>
    <row r="47" spans="1:12" x14ac:dyDescent="0.3">
      <c r="A47" t="s">
        <v>237</v>
      </c>
      <c r="B47" t="s">
        <v>238</v>
      </c>
      <c r="C47" t="s">
        <v>239</v>
      </c>
      <c r="D47" s="1">
        <f t="shared" si="0"/>
        <v>45890</v>
      </c>
      <c r="E47" t="s">
        <v>66</v>
      </c>
      <c r="F47" t="s">
        <v>55</v>
      </c>
      <c r="G47" t="b">
        <v>0</v>
      </c>
      <c r="H47" t="b">
        <v>0</v>
      </c>
      <c r="I47" t="s">
        <v>240</v>
      </c>
      <c r="J47" t="str">
        <f>TRIM(I47)</f>
        <v>Ritz Lloyd Ogatis</v>
      </c>
      <c r="K47" t="str">
        <f t="shared" si="1"/>
        <v>Ritz Lloyd Ogatis</v>
      </c>
      <c r="L47" t="s">
        <v>16</v>
      </c>
    </row>
    <row r="48" spans="1:12" x14ac:dyDescent="0.3">
      <c r="A48" t="s">
        <v>241</v>
      </c>
      <c r="B48" t="s">
        <v>152</v>
      </c>
      <c r="C48" t="s">
        <v>242</v>
      </c>
      <c r="D48" s="1">
        <f t="shared" si="0"/>
        <v>45890</v>
      </c>
      <c r="E48" t="s">
        <v>66</v>
      </c>
      <c r="F48" t="s">
        <v>55</v>
      </c>
      <c r="G48" t="b">
        <v>0</v>
      </c>
      <c r="H48" t="b">
        <v>0</v>
      </c>
      <c r="I48" t="s">
        <v>243</v>
      </c>
      <c r="J48" t="str">
        <f>TRIM(I48)</f>
        <v>Nielvin Cansejo</v>
      </c>
      <c r="K48" t="str">
        <f t="shared" si="1"/>
        <v>Nielvin Cansejo</v>
      </c>
      <c r="L48" t="s">
        <v>16</v>
      </c>
    </row>
    <row r="49" spans="1:12" x14ac:dyDescent="0.3">
      <c r="A49" t="s">
        <v>244</v>
      </c>
      <c r="B49" t="s">
        <v>245</v>
      </c>
      <c r="C49" t="s">
        <v>246</v>
      </c>
      <c r="D49" s="1">
        <f t="shared" si="0"/>
        <v>45518</v>
      </c>
      <c r="E49" t="s">
        <v>60</v>
      </c>
      <c r="F49" t="s">
        <v>247</v>
      </c>
      <c r="G49" t="b">
        <v>1</v>
      </c>
      <c r="H49" t="b">
        <v>0</v>
      </c>
      <c r="I49" t="s">
        <v>248</v>
      </c>
      <c r="J49" t="str">
        <f>TRIM(I49)</f>
        <v>Fermina Genson</v>
      </c>
      <c r="K49" t="str">
        <f t="shared" si="1"/>
        <v>Fermina Genson</v>
      </c>
      <c r="L49" t="s">
        <v>16</v>
      </c>
    </row>
    <row r="50" spans="1:12" x14ac:dyDescent="0.3">
      <c r="A50" t="s">
        <v>249</v>
      </c>
      <c r="B50" t="s">
        <v>250</v>
      </c>
      <c r="C50" t="s">
        <v>251</v>
      </c>
      <c r="D50" s="1">
        <f t="shared" si="0"/>
        <v>43903</v>
      </c>
      <c r="E50" t="s">
        <v>13</v>
      </c>
      <c r="F50" t="s">
        <v>252</v>
      </c>
      <c r="G50" t="b">
        <v>1</v>
      </c>
      <c r="H50" t="b">
        <v>0</v>
      </c>
      <c r="I50" t="s">
        <v>253</v>
      </c>
      <c r="J50" t="str">
        <f>TRIM(I50)</f>
        <v>Karen Claire S. Ebreo</v>
      </c>
      <c r="K50" t="str">
        <f t="shared" si="1"/>
        <v>Karen Claire S. Ebreo</v>
      </c>
      <c r="L50" t="s">
        <v>16</v>
      </c>
    </row>
    <row r="51" spans="1:12" x14ac:dyDescent="0.3">
      <c r="A51" t="s">
        <v>254</v>
      </c>
      <c r="B51" t="s">
        <v>64</v>
      </c>
      <c r="C51" t="s">
        <v>255</v>
      </c>
      <c r="D51" s="1">
        <f t="shared" si="0"/>
        <v>45885</v>
      </c>
      <c r="E51" t="s">
        <v>60</v>
      </c>
      <c r="F51" t="s">
        <v>55</v>
      </c>
      <c r="G51" t="b">
        <v>0</v>
      </c>
      <c r="H51" t="b">
        <v>0</v>
      </c>
      <c r="I51" t="s">
        <v>256</v>
      </c>
      <c r="J51" t="str">
        <f>TRIM(I51)</f>
        <v>Romagne John Palmos</v>
      </c>
      <c r="K51" t="str">
        <f t="shared" si="1"/>
        <v>Romagne John Palmos</v>
      </c>
      <c r="L51" t="s">
        <v>16</v>
      </c>
    </row>
    <row r="52" spans="1:12" x14ac:dyDescent="0.3">
      <c r="A52" t="s">
        <v>257</v>
      </c>
      <c r="B52" t="s">
        <v>258</v>
      </c>
      <c r="C52" t="s">
        <v>259</v>
      </c>
      <c r="D52" s="1">
        <f t="shared" si="0"/>
        <v>45316</v>
      </c>
      <c r="E52" t="s">
        <v>203</v>
      </c>
      <c r="F52" t="s">
        <v>260</v>
      </c>
      <c r="G52" t="b">
        <v>1</v>
      </c>
      <c r="H52" t="b">
        <v>1</v>
      </c>
      <c r="I52" t="s">
        <v>261</v>
      </c>
      <c r="J52" t="str">
        <f>TRIM(I52)</f>
        <v>Dianne A. Peralta</v>
      </c>
      <c r="K52" t="str">
        <f t="shared" si="1"/>
        <v>Dianne A. Peralta</v>
      </c>
      <c r="L52" t="s">
        <v>29</v>
      </c>
    </row>
    <row r="53" spans="1:12" x14ac:dyDescent="0.3">
      <c r="A53" t="s">
        <v>262</v>
      </c>
      <c r="B53" t="s">
        <v>263</v>
      </c>
      <c r="C53" t="s">
        <v>264</v>
      </c>
      <c r="D53" s="1">
        <f t="shared" si="0"/>
        <v>44859</v>
      </c>
      <c r="E53" t="s">
        <v>13</v>
      </c>
      <c r="F53" t="s">
        <v>265</v>
      </c>
      <c r="G53" t="b">
        <v>1</v>
      </c>
      <c r="H53" t="b">
        <v>1</v>
      </c>
      <c r="I53" t="s">
        <v>266</v>
      </c>
      <c r="J53" t="str">
        <f>TRIM(I53)</f>
        <v>Jade G. Pahila</v>
      </c>
      <c r="K53" t="str">
        <f t="shared" si="1"/>
        <v>Jade G. Pahila</v>
      </c>
      <c r="L53" t="s">
        <v>29</v>
      </c>
    </row>
    <row r="54" spans="1:12" x14ac:dyDescent="0.3">
      <c r="A54" t="s">
        <v>267</v>
      </c>
      <c r="B54" t="s">
        <v>159</v>
      </c>
      <c r="C54" t="s">
        <v>268</v>
      </c>
      <c r="D54" s="1">
        <f t="shared" si="0"/>
        <v>45364</v>
      </c>
      <c r="E54" t="s">
        <v>112</v>
      </c>
      <c r="F54" t="s">
        <v>269</v>
      </c>
      <c r="G54" t="b">
        <v>1</v>
      </c>
      <c r="H54" t="b">
        <v>0</v>
      </c>
      <c r="I54" t="s">
        <v>270</v>
      </c>
      <c r="J54" t="str">
        <f>TRIM(I54)</f>
        <v>Princess Sarah Gabiota</v>
      </c>
      <c r="K54" t="str">
        <f t="shared" si="1"/>
        <v>Princess Sarah Gabiota</v>
      </c>
      <c r="L54" t="s">
        <v>16</v>
      </c>
    </row>
    <row r="55" spans="1:12" x14ac:dyDescent="0.3">
      <c r="A55" t="s">
        <v>271</v>
      </c>
      <c r="B55" t="s">
        <v>272</v>
      </c>
      <c r="C55" t="s">
        <v>273</v>
      </c>
      <c r="D55" s="1">
        <f t="shared" si="0"/>
        <v>45735</v>
      </c>
      <c r="E55" t="s">
        <v>112</v>
      </c>
      <c r="F55" t="s">
        <v>274</v>
      </c>
      <c r="G55" t="b">
        <v>1</v>
      </c>
      <c r="H55" t="b">
        <v>0</v>
      </c>
      <c r="I55" t="s">
        <v>275</v>
      </c>
      <c r="J55" t="str">
        <f>TRIM(I55)</f>
        <v>Alexander N. Nufuar</v>
      </c>
      <c r="K55" t="str">
        <f t="shared" si="1"/>
        <v>Alexander N. Nufuar</v>
      </c>
      <c r="L55" t="s">
        <v>16</v>
      </c>
    </row>
    <row r="56" spans="1:12" x14ac:dyDescent="0.3">
      <c r="A56" t="s">
        <v>276</v>
      </c>
      <c r="B56" t="s">
        <v>277</v>
      </c>
      <c r="C56" t="s">
        <v>278</v>
      </c>
      <c r="D56" s="1">
        <f t="shared" si="0"/>
        <v>45887</v>
      </c>
      <c r="E56" t="s">
        <v>279</v>
      </c>
      <c r="F56" t="s">
        <v>55</v>
      </c>
      <c r="G56" t="b">
        <v>0</v>
      </c>
      <c r="H56" t="b">
        <v>0</v>
      </c>
      <c r="I56" t="s">
        <v>280</v>
      </c>
      <c r="J56" t="str">
        <f>TRIM(I56)</f>
        <v>EMILIZA C. LOZADA</v>
      </c>
      <c r="K56" t="str">
        <f t="shared" si="1"/>
        <v>Emiliza C. Lozada</v>
      </c>
      <c r="L56" t="s">
        <v>16</v>
      </c>
    </row>
    <row r="57" spans="1:12" x14ac:dyDescent="0.3">
      <c r="A57" t="s">
        <v>281</v>
      </c>
      <c r="B57" t="s">
        <v>263</v>
      </c>
      <c r="C57" t="s">
        <v>264</v>
      </c>
      <c r="D57" s="1">
        <f t="shared" si="0"/>
        <v>44859</v>
      </c>
      <c r="E57" t="s">
        <v>282</v>
      </c>
      <c r="F57" t="s">
        <v>283</v>
      </c>
      <c r="G57" t="b">
        <v>1</v>
      </c>
      <c r="H57" t="b">
        <v>0</v>
      </c>
      <c r="I57" t="s">
        <v>284</v>
      </c>
      <c r="J57" t="str">
        <f>TRIM(I57)</f>
        <v>Cezarie L. Golingay</v>
      </c>
      <c r="K57" t="str">
        <f t="shared" si="1"/>
        <v>Cezarie L. Golingay</v>
      </c>
      <c r="L57" t="s">
        <v>16</v>
      </c>
    </row>
    <row r="58" spans="1:12" x14ac:dyDescent="0.3">
      <c r="A58" t="s">
        <v>285</v>
      </c>
      <c r="B58" t="s">
        <v>286</v>
      </c>
      <c r="C58" t="s">
        <v>287</v>
      </c>
      <c r="D58" s="1">
        <f t="shared" si="0"/>
        <v>45533</v>
      </c>
      <c r="E58" t="s">
        <v>148</v>
      </c>
      <c r="F58" t="s">
        <v>288</v>
      </c>
      <c r="G58" t="b">
        <v>1</v>
      </c>
      <c r="H58" t="b">
        <v>0</v>
      </c>
      <c r="I58" t="s">
        <v>289</v>
      </c>
      <c r="J58" t="str">
        <f>TRIM(I58)</f>
        <v>Dr Keyur Doolabh</v>
      </c>
      <c r="K58" t="str">
        <f t="shared" si="1"/>
        <v>Dr Keyur Doolabh</v>
      </c>
      <c r="L58" t="s">
        <v>16</v>
      </c>
    </row>
    <row r="59" spans="1:12" x14ac:dyDescent="0.3">
      <c r="A59" t="s">
        <v>290</v>
      </c>
      <c r="B59" t="s">
        <v>291</v>
      </c>
      <c r="C59" t="s">
        <v>292</v>
      </c>
      <c r="D59" s="1">
        <f t="shared" si="0"/>
        <v>46058</v>
      </c>
      <c r="E59" t="s">
        <v>66</v>
      </c>
      <c r="F59" t="s">
        <v>293</v>
      </c>
      <c r="G59" t="b">
        <v>0</v>
      </c>
      <c r="H59" t="b">
        <v>0</v>
      </c>
      <c r="I59" t="s">
        <v>294</v>
      </c>
      <c r="J59" t="str">
        <f>TRIM(I59)</f>
        <v>Kevin C. Gonzales</v>
      </c>
      <c r="K59" t="str">
        <f t="shared" si="1"/>
        <v>Kevin C. Gonzales</v>
      </c>
      <c r="L59" t="s">
        <v>16</v>
      </c>
    </row>
    <row r="60" spans="1:12" x14ac:dyDescent="0.3">
      <c r="A60" t="s">
        <v>295</v>
      </c>
      <c r="B60" t="s">
        <v>296</v>
      </c>
      <c r="C60" t="s">
        <v>297</v>
      </c>
      <c r="D60" s="1">
        <f t="shared" si="0"/>
        <v>45805</v>
      </c>
      <c r="E60" t="s">
        <v>60</v>
      </c>
      <c r="F60" t="s">
        <v>298</v>
      </c>
      <c r="G60" t="b">
        <v>1</v>
      </c>
      <c r="H60" t="b">
        <v>0</v>
      </c>
      <c r="I60" t="s">
        <v>299</v>
      </c>
      <c r="J60" t="str">
        <f>TRIM(I60)</f>
        <v>Gardel Xyza Silvederio</v>
      </c>
      <c r="K60" t="str">
        <f t="shared" si="1"/>
        <v>Gardel Xyza Silvederio</v>
      </c>
      <c r="L60" t="s">
        <v>16</v>
      </c>
    </row>
    <row r="61" spans="1:12" x14ac:dyDescent="0.3">
      <c r="A61" t="s">
        <v>300</v>
      </c>
      <c r="B61" t="s">
        <v>301</v>
      </c>
      <c r="C61" t="s">
        <v>302</v>
      </c>
      <c r="D61" s="1">
        <f t="shared" si="0"/>
        <v>45572</v>
      </c>
      <c r="E61" t="s">
        <v>60</v>
      </c>
      <c r="F61" t="s">
        <v>230</v>
      </c>
      <c r="G61" t="b">
        <v>1</v>
      </c>
      <c r="H61" t="b">
        <v>0</v>
      </c>
      <c r="I61" t="s">
        <v>303</v>
      </c>
      <c r="J61" t="str">
        <f>TRIM(I61)</f>
        <v>Marietta B. Albina</v>
      </c>
      <c r="K61" t="str">
        <f t="shared" si="1"/>
        <v>Marietta B. Albina</v>
      </c>
      <c r="L61" t="s">
        <v>16</v>
      </c>
    </row>
    <row r="62" spans="1:12" x14ac:dyDescent="0.3">
      <c r="A62" t="s">
        <v>304</v>
      </c>
      <c r="B62" t="s">
        <v>305</v>
      </c>
      <c r="C62" t="s">
        <v>306</v>
      </c>
      <c r="D62" s="1">
        <f t="shared" si="0"/>
        <v>46076</v>
      </c>
      <c r="E62" t="s">
        <v>77</v>
      </c>
      <c r="F62" t="s">
        <v>307</v>
      </c>
      <c r="G62" t="b">
        <v>1</v>
      </c>
      <c r="H62" t="b">
        <v>1</v>
      </c>
      <c r="I62" t="s">
        <v>308</v>
      </c>
      <c r="J62" t="str">
        <f>TRIM(I62)</f>
        <v>Audrey Mae V. Orillaza</v>
      </c>
      <c r="K62" t="str">
        <f t="shared" si="1"/>
        <v>Audrey Mae V. Orillaza</v>
      </c>
      <c r="L62" t="s">
        <v>29</v>
      </c>
    </row>
    <row r="63" spans="1:12" x14ac:dyDescent="0.3">
      <c r="A63" t="s">
        <v>310</v>
      </c>
      <c r="B63" t="s">
        <v>311</v>
      </c>
      <c r="C63" t="s">
        <v>312</v>
      </c>
      <c r="D63" s="1">
        <f t="shared" si="0"/>
        <v>46078</v>
      </c>
      <c r="E63" t="s">
        <v>77</v>
      </c>
      <c r="F63" t="s">
        <v>313</v>
      </c>
      <c r="G63" t="b">
        <v>1</v>
      </c>
      <c r="H63" t="b">
        <v>1</v>
      </c>
      <c r="I63" t="s">
        <v>314</v>
      </c>
      <c r="J63" t="str">
        <f>TRIM(I63)</f>
        <v>Arielle Estrella</v>
      </c>
      <c r="K63" t="str">
        <f t="shared" si="1"/>
        <v>Arielle Estrella</v>
      </c>
      <c r="L63" t="s">
        <v>29</v>
      </c>
    </row>
    <row r="64" spans="1:12" x14ac:dyDescent="0.3">
      <c r="A64" t="s">
        <v>315</v>
      </c>
      <c r="B64" t="s">
        <v>316</v>
      </c>
      <c r="C64" t="s">
        <v>317</v>
      </c>
      <c r="D64" s="1">
        <f t="shared" si="0"/>
        <v>45573</v>
      </c>
      <c r="E64" t="s">
        <v>112</v>
      </c>
      <c r="F64" t="s">
        <v>318</v>
      </c>
      <c r="G64" t="b">
        <v>1</v>
      </c>
      <c r="H64" t="b">
        <v>0</v>
      </c>
      <c r="I64" t="s">
        <v>319</v>
      </c>
      <c r="J64" t="str">
        <f>TRIM(I64)</f>
        <v>Jerna Mae Pabilona</v>
      </c>
      <c r="K64" t="str">
        <f t="shared" si="1"/>
        <v>Jerna Mae Pabilona</v>
      </c>
      <c r="L64" t="s">
        <v>16</v>
      </c>
    </row>
    <row r="65" spans="1:12" x14ac:dyDescent="0.3">
      <c r="A65" t="s">
        <v>320</v>
      </c>
      <c r="B65" t="s">
        <v>159</v>
      </c>
      <c r="C65" t="s">
        <v>321</v>
      </c>
      <c r="D65" s="1">
        <f t="shared" si="0"/>
        <v>45335</v>
      </c>
      <c r="E65" t="s">
        <v>122</v>
      </c>
      <c r="F65" t="s">
        <v>21</v>
      </c>
      <c r="G65" t="b">
        <v>1</v>
      </c>
      <c r="H65" t="b">
        <v>1</v>
      </c>
      <c r="I65" t="s">
        <v>322</v>
      </c>
      <c r="J65" t="str">
        <f>TRIM(I65)</f>
        <v>Ferlyn Legarde</v>
      </c>
      <c r="K65" t="str">
        <f t="shared" si="1"/>
        <v>Ferlyn Legarde</v>
      </c>
      <c r="L65" t="s">
        <v>29</v>
      </c>
    </row>
    <row r="66" spans="1:12" x14ac:dyDescent="0.3">
      <c r="A66" t="s">
        <v>323</v>
      </c>
      <c r="B66" t="s">
        <v>324</v>
      </c>
      <c r="C66" t="s">
        <v>325</v>
      </c>
      <c r="D66" s="1">
        <f t="shared" ref="D66:D129" si="2">DATEVALUE(LEFT(C66,10))</f>
        <v>46035</v>
      </c>
      <c r="E66" t="s">
        <v>66</v>
      </c>
      <c r="F66" t="s">
        <v>177</v>
      </c>
      <c r="G66" t="b">
        <v>0</v>
      </c>
      <c r="H66" t="b">
        <v>1</v>
      </c>
      <c r="I66" t="s">
        <v>326</v>
      </c>
      <c r="J66" t="str">
        <f>TRIM(I66)</f>
        <v>Sophia Isabel B. Pediongco</v>
      </c>
      <c r="K66" t="str">
        <f t="shared" si="1"/>
        <v>Sophia Isabel B. Pediongco</v>
      </c>
      <c r="L66" t="s">
        <v>29</v>
      </c>
    </row>
    <row r="67" spans="1:12" x14ac:dyDescent="0.3">
      <c r="A67" t="s">
        <v>327</v>
      </c>
      <c r="B67" t="s">
        <v>85</v>
      </c>
      <c r="C67" t="s">
        <v>328</v>
      </c>
      <c r="D67" s="1">
        <f t="shared" si="2"/>
        <v>45712</v>
      </c>
      <c r="E67" t="s">
        <v>13</v>
      </c>
      <c r="F67" t="s">
        <v>329</v>
      </c>
      <c r="G67" t="b">
        <v>1</v>
      </c>
      <c r="H67" t="b">
        <v>0</v>
      </c>
      <c r="I67" t="s">
        <v>330</v>
      </c>
      <c r="J67" t="str">
        <f>TRIM(I67)</f>
        <v>Kyle Anthony C. Salinas</v>
      </c>
      <c r="K67" t="str">
        <f t="shared" ref="K67:K130" si="3">PROPER(J67)</f>
        <v>Kyle Anthony C. Salinas</v>
      </c>
      <c r="L67" t="s">
        <v>16</v>
      </c>
    </row>
    <row r="68" spans="1:12" x14ac:dyDescent="0.3">
      <c r="A68" t="s">
        <v>331</v>
      </c>
      <c r="B68" t="s">
        <v>332</v>
      </c>
      <c r="C68" t="s">
        <v>333</v>
      </c>
      <c r="D68" s="1">
        <f t="shared" si="2"/>
        <v>45887</v>
      </c>
      <c r="E68" t="s">
        <v>60</v>
      </c>
      <c r="F68" t="s">
        <v>55</v>
      </c>
      <c r="G68" t="b">
        <v>0</v>
      </c>
      <c r="H68" t="b">
        <v>0</v>
      </c>
      <c r="I68" t="s">
        <v>334</v>
      </c>
      <c r="J68" t="str">
        <f>TRIM(I68)</f>
        <v>Stephen Dave Dupo</v>
      </c>
      <c r="K68" t="str">
        <f t="shared" si="3"/>
        <v>Stephen Dave Dupo</v>
      </c>
      <c r="L68" t="s">
        <v>16</v>
      </c>
    </row>
    <row r="69" spans="1:12" x14ac:dyDescent="0.3">
      <c r="A69" t="s">
        <v>335</v>
      </c>
      <c r="B69" t="s">
        <v>80</v>
      </c>
      <c r="C69" t="s">
        <v>206</v>
      </c>
      <c r="D69" s="1">
        <f t="shared" si="2"/>
        <v>45807</v>
      </c>
      <c r="E69" t="s">
        <v>112</v>
      </c>
      <c r="F69" t="s">
        <v>336</v>
      </c>
      <c r="G69" t="b">
        <v>1</v>
      </c>
      <c r="H69" t="b">
        <v>0</v>
      </c>
      <c r="I69" t="s">
        <v>337</v>
      </c>
      <c r="J69" t="str">
        <f>TRIM(I69)</f>
        <v>Carlos Anthony Henry Cortes</v>
      </c>
      <c r="K69" t="str">
        <f t="shared" si="3"/>
        <v>Carlos Anthony Henry Cortes</v>
      </c>
      <c r="L69" t="s">
        <v>16</v>
      </c>
    </row>
    <row r="70" spans="1:12" x14ac:dyDescent="0.3">
      <c r="A70" t="s">
        <v>338</v>
      </c>
      <c r="B70" t="s">
        <v>339</v>
      </c>
      <c r="C70" t="s">
        <v>317</v>
      </c>
      <c r="D70" s="1">
        <f t="shared" si="2"/>
        <v>45573</v>
      </c>
      <c r="E70" t="s">
        <v>60</v>
      </c>
      <c r="F70" t="s">
        <v>21</v>
      </c>
      <c r="G70" t="b">
        <v>1</v>
      </c>
      <c r="H70" t="b">
        <v>1</v>
      </c>
      <c r="I70" t="s">
        <v>340</v>
      </c>
      <c r="J70" t="str">
        <f>TRIM(I70)</f>
        <v>Jihan Santanina Alumbro</v>
      </c>
      <c r="K70" t="str">
        <f t="shared" si="3"/>
        <v>Jihan Santanina Alumbro</v>
      </c>
      <c r="L70" t="s">
        <v>29</v>
      </c>
    </row>
    <row r="71" spans="1:12" x14ac:dyDescent="0.3">
      <c r="A71" t="s">
        <v>341</v>
      </c>
      <c r="B71" t="s">
        <v>342</v>
      </c>
      <c r="C71" t="s">
        <v>343</v>
      </c>
      <c r="D71" s="1">
        <f t="shared" si="2"/>
        <v>45664</v>
      </c>
      <c r="E71" t="s">
        <v>143</v>
      </c>
      <c r="F71" t="s">
        <v>344</v>
      </c>
      <c r="G71" t="b">
        <v>1</v>
      </c>
      <c r="H71" t="b">
        <v>0</v>
      </c>
      <c r="I71" t="s">
        <v>345</v>
      </c>
      <c r="J71" t="str">
        <f>TRIM(I71)</f>
        <v>Hannah Tajolosa</v>
      </c>
      <c r="K71" t="str">
        <f t="shared" si="3"/>
        <v>Hannah Tajolosa</v>
      </c>
      <c r="L71" t="s">
        <v>16</v>
      </c>
    </row>
    <row r="72" spans="1:12" x14ac:dyDescent="0.3">
      <c r="A72" t="s">
        <v>346</v>
      </c>
      <c r="B72" t="s">
        <v>31</v>
      </c>
      <c r="C72" t="s">
        <v>347</v>
      </c>
      <c r="D72" s="1">
        <f t="shared" si="2"/>
        <v>45608</v>
      </c>
      <c r="E72" t="s">
        <v>13</v>
      </c>
      <c r="F72" t="s">
        <v>348</v>
      </c>
      <c r="G72" t="b">
        <v>1</v>
      </c>
      <c r="H72" t="b">
        <v>0</v>
      </c>
      <c r="I72" t="s">
        <v>349</v>
      </c>
      <c r="J72" t="str">
        <f>TRIM(I72)</f>
        <v>Kenn G. Nombre</v>
      </c>
      <c r="K72" t="str">
        <f t="shared" si="3"/>
        <v>Kenn G. Nombre</v>
      </c>
      <c r="L72" t="s">
        <v>16</v>
      </c>
    </row>
    <row r="73" spans="1:12" x14ac:dyDescent="0.3">
      <c r="A73" t="s">
        <v>350</v>
      </c>
      <c r="B73" t="s">
        <v>105</v>
      </c>
      <c r="C73" t="s">
        <v>351</v>
      </c>
      <c r="D73" s="1">
        <f t="shared" si="2"/>
        <v>44168</v>
      </c>
      <c r="E73" t="s">
        <v>13</v>
      </c>
      <c r="F73" t="s">
        <v>352</v>
      </c>
      <c r="G73" t="b">
        <v>1</v>
      </c>
      <c r="H73" t="b">
        <v>0</v>
      </c>
      <c r="I73" t="s">
        <v>353</v>
      </c>
      <c r="J73" t="str">
        <f>TRIM(I73)</f>
        <v>Denise V. Miranda</v>
      </c>
      <c r="K73" t="str">
        <f t="shared" si="3"/>
        <v>Denise V. Miranda</v>
      </c>
      <c r="L73" t="s">
        <v>16</v>
      </c>
    </row>
    <row r="74" spans="1:12" x14ac:dyDescent="0.3">
      <c r="A74" t="s">
        <v>354</v>
      </c>
      <c r="B74" t="s">
        <v>355</v>
      </c>
      <c r="C74" t="s">
        <v>356</v>
      </c>
      <c r="D74" s="1">
        <f t="shared" si="2"/>
        <v>45035</v>
      </c>
      <c r="E74" t="s">
        <v>112</v>
      </c>
      <c r="F74" t="s">
        <v>357</v>
      </c>
      <c r="G74" t="b">
        <v>1</v>
      </c>
      <c r="H74" t="b">
        <v>1</v>
      </c>
      <c r="I74" t="s">
        <v>358</v>
      </c>
      <c r="J74" t="str">
        <f>TRIM(I74)</f>
        <v>Kyla Julienne P. Talaman</v>
      </c>
      <c r="K74" t="str">
        <f t="shared" si="3"/>
        <v>Kyla Julienne P. Talaman</v>
      </c>
      <c r="L74" t="s">
        <v>29</v>
      </c>
    </row>
    <row r="75" spans="1:12" x14ac:dyDescent="0.3">
      <c r="A75" t="s">
        <v>359</v>
      </c>
      <c r="B75" t="s">
        <v>175</v>
      </c>
      <c r="C75" t="s">
        <v>360</v>
      </c>
      <c r="D75" s="1">
        <f t="shared" si="2"/>
        <v>46030</v>
      </c>
      <c r="E75" t="s">
        <v>66</v>
      </c>
      <c r="F75" t="s">
        <v>361</v>
      </c>
      <c r="G75" t="b">
        <v>0</v>
      </c>
      <c r="H75" t="b">
        <v>1</v>
      </c>
      <c r="I75" t="s">
        <v>362</v>
      </c>
      <c r="J75" t="str">
        <f>TRIM(I75)</f>
        <v>Leazar James V. David</v>
      </c>
      <c r="K75" t="str">
        <f t="shared" si="3"/>
        <v>Leazar James V. David</v>
      </c>
      <c r="L75" t="s">
        <v>29</v>
      </c>
    </row>
    <row r="76" spans="1:12" x14ac:dyDescent="0.3">
      <c r="A76" t="s">
        <v>363</v>
      </c>
      <c r="B76" t="s">
        <v>364</v>
      </c>
      <c r="C76" t="s">
        <v>365</v>
      </c>
      <c r="D76" s="1">
        <f t="shared" si="2"/>
        <v>45887</v>
      </c>
      <c r="E76" t="s">
        <v>66</v>
      </c>
      <c r="F76" t="s">
        <v>55</v>
      </c>
      <c r="G76" t="b">
        <v>0</v>
      </c>
      <c r="H76" t="b">
        <v>0</v>
      </c>
      <c r="I76" t="s">
        <v>366</v>
      </c>
      <c r="J76" t="str">
        <f>TRIM(I76)</f>
        <v>Gianna Victoria Catalan</v>
      </c>
      <c r="K76" t="str">
        <f t="shared" si="3"/>
        <v>Gianna Victoria Catalan</v>
      </c>
      <c r="L76" t="s">
        <v>16</v>
      </c>
    </row>
    <row r="77" spans="1:12" x14ac:dyDescent="0.3">
      <c r="A77" t="s">
        <v>367</v>
      </c>
      <c r="B77" t="s">
        <v>368</v>
      </c>
      <c r="C77" t="s">
        <v>369</v>
      </c>
      <c r="D77" s="1">
        <f t="shared" si="2"/>
        <v>45885</v>
      </c>
      <c r="E77" t="s">
        <v>370</v>
      </c>
      <c r="F77" t="s">
        <v>55</v>
      </c>
      <c r="G77" t="b">
        <v>0</v>
      </c>
      <c r="H77" t="b">
        <v>0</v>
      </c>
      <c r="I77" t="s">
        <v>371</v>
      </c>
      <c r="J77" t="str">
        <f>TRIM(I77)</f>
        <v>Royce Arcigal</v>
      </c>
      <c r="K77" t="str">
        <f t="shared" si="3"/>
        <v>Royce Arcigal</v>
      </c>
      <c r="L77" t="s">
        <v>16</v>
      </c>
    </row>
    <row r="78" spans="1:12" x14ac:dyDescent="0.3">
      <c r="A78" t="s">
        <v>372</v>
      </c>
      <c r="B78" t="s">
        <v>159</v>
      </c>
      <c r="C78" t="s">
        <v>373</v>
      </c>
      <c r="D78" s="1">
        <f t="shared" si="2"/>
        <v>45062</v>
      </c>
      <c r="E78" t="s">
        <v>122</v>
      </c>
      <c r="F78" t="s">
        <v>374</v>
      </c>
      <c r="G78" t="b">
        <v>1</v>
      </c>
      <c r="H78" t="b">
        <v>1</v>
      </c>
      <c r="I78" t="s">
        <v>375</v>
      </c>
      <c r="J78" t="str">
        <f>TRIM(I78)</f>
        <v>Carlo S. Gregorio</v>
      </c>
      <c r="K78" t="str">
        <f t="shared" si="3"/>
        <v>Carlo S. Gregorio</v>
      </c>
      <c r="L78" t="s">
        <v>29</v>
      </c>
    </row>
    <row r="79" spans="1:12" x14ac:dyDescent="0.3">
      <c r="A79" t="s">
        <v>376</v>
      </c>
      <c r="B79" t="s">
        <v>18</v>
      </c>
      <c r="C79" t="s">
        <v>377</v>
      </c>
      <c r="D79" s="1">
        <f t="shared" si="2"/>
        <v>45579</v>
      </c>
      <c r="E79" t="s">
        <v>13</v>
      </c>
      <c r="F79" t="s">
        <v>378</v>
      </c>
      <c r="G79" t="b">
        <v>1</v>
      </c>
      <c r="H79" t="b">
        <v>0</v>
      </c>
      <c r="I79" t="s">
        <v>379</v>
      </c>
      <c r="J79" t="str">
        <f>TRIM(I79)</f>
        <v>Kelee Ira B. Noque</v>
      </c>
      <c r="K79" t="str">
        <f t="shared" si="3"/>
        <v>Kelee Ira B. Noque</v>
      </c>
      <c r="L79" t="s">
        <v>16</v>
      </c>
    </row>
    <row r="80" spans="1:12" x14ac:dyDescent="0.3">
      <c r="A80" t="s">
        <v>380</v>
      </c>
      <c r="B80" t="s">
        <v>381</v>
      </c>
      <c r="C80" t="s">
        <v>382</v>
      </c>
      <c r="D80" s="1">
        <f t="shared" si="2"/>
        <v>45609</v>
      </c>
      <c r="E80" t="s">
        <v>122</v>
      </c>
      <c r="F80" t="s">
        <v>383</v>
      </c>
      <c r="G80" t="b">
        <v>1</v>
      </c>
      <c r="H80" t="b">
        <v>1</v>
      </c>
      <c r="I80" t="s">
        <v>384</v>
      </c>
      <c r="J80" t="str">
        <f>TRIM(I80)</f>
        <v>Jennifer S. Noveda</v>
      </c>
      <c r="K80" t="str">
        <f t="shared" si="3"/>
        <v>Jennifer S. Noveda</v>
      </c>
      <c r="L80" t="s">
        <v>29</v>
      </c>
    </row>
    <row r="81" spans="1:12" x14ac:dyDescent="0.3">
      <c r="A81" t="s">
        <v>385</v>
      </c>
      <c r="B81" t="s">
        <v>277</v>
      </c>
      <c r="C81" t="s">
        <v>386</v>
      </c>
      <c r="D81" s="1">
        <f t="shared" si="2"/>
        <v>45889</v>
      </c>
      <c r="E81" t="s">
        <v>387</v>
      </c>
      <c r="F81" t="s">
        <v>55</v>
      </c>
      <c r="G81" t="b">
        <v>0</v>
      </c>
      <c r="H81" t="b">
        <v>0</v>
      </c>
      <c r="I81" t="s">
        <v>388</v>
      </c>
      <c r="J81" t="str">
        <f>TRIM(I81)</f>
        <v>Jana Jalbuna</v>
      </c>
      <c r="K81" t="str">
        <f t="shared" si="3"/>
        <v>Jana Jalbuna</v>
      </c>
      <c r="L81" t="s">
        <v>16</v>
      </c>
    </row>
    <row r="82" spans="1:12" x14ac:dyDescent="0.3">
      <c r="A82" t="s">
        <v>389</v>
      </c>
      <c r="B82" t="s">
        <v>64</v>
      </c>
      <c r="C82" t="s">
        <v>390</v>
      </c>
      <c r="D82" s="1">
        <f t="shared" si="2"/>
        <v>45796</v>
      </c>
      <c r="E82" t="s">
        <v>112</v>
      </c>
      <c r="F82" t="s">
        <v>391</v>
      </c>
      <c r="G82" t="b">
        <v>1</v>
      </c>
      <c r="H82" t="b">
        <v>1</v>
      </c>
      <c r="I82" t="s">
        <v>392</v>
      </c>
      <c r="J82" t="str">
        <f>TRIM(I82)</f>
        <v>Louie Altamia</v>
      </c>
      <c r="K82" t="str">
        <f t="shared" si="3"/>
        <v>Louie Altamia</v>
      </c>
      <c r="L82" t="s">
        <v>29</v>
      </c>
    </row>
    <row r="83" spans="1:12" x14ac:dyDescent="0.3">
      <c r="A83" t="s">
        <v>393</v>
      </c>
      <c r="B83" t="s">
        <v>394</v>
      </c>
      <c r="C83" t="s">
        <v>395</v>
      </c>
      <c r="D83" s="1">
        <f t="shared" si="2"/>
        <v>45083</v>
      </c>
      <c r="E83" t="s">
        <v>112</v>
      </c>
      <c r="F83" t="s">
        <v>396</v>
      </c>
      <c r="G83" t="b">
        <v>1</v>
      </c>
      <c r="H83" t="b">
        <v>1</v>
      </c>
      <c r="I83" t="s">
        <v>397</v>
      </c>
      <c r="J83" t="str">
        <f>TRIM(I83)</f>
        <v>Abigail F. Padua</v>
      </c>
      <c r="K83" t="str">
        <f t="shared" si="3"/>
        <v>Abigail F. Padua</v>
      </c>
      <c r="L83" t="s">
        <v>29</v>
      </c>
    </row>
    <row r="84" spans="1:12" x14ac:dyDescent="0.3">
      <c r="A84" t="s">
        <v>398</v>
      </c>
      <c r="B84" t="s">
        <v>52</v>
      </c>
      <c r="C84" t="s">
        <v>229</v>
      </c>
      <c r="D84" s="1">
        <f t="shared" si="2"/>
        <v>45513</v>
      </c>
      <c r="E84" t="s">
        <v>60</v>
      </c>
      <c r="F84" t="s">
        <v>230</v>
      </c>
      <c r="G84" t="b">
        <v>1</v>
      </c>
      <c r="H84" t="b">
        <v>0</v>
      </c>
      <c r="I84" t="s">
        <v>399</v>
      </c>
      <c r="J84" t="str">
        <f>TRIM(I84)</f>
        <v>Brandon Briggs Cobacha Silvano</v>
      </c>
      <c r="K84" t="str">
        <f t="shared" si="3"/>
        <v>Brandon Briggs Cobacha Silvano</v>
      </c>
      <c r="L84" t="s">
        <v>16</v>
      </c>
    </row>
    <row r="85" spans="1:12" x14ac:dyDescent="0.3">
      <c r="A85" t="s">
        <v>400</v>
      </c>
      <c r="B85" t="s">
        <v>31</v>
      </c>
      <c r="C85" t="s">
        <v>401</v>
      </c>
      <c r="D85" s="1">
        <f t="shared" si="2"/>
        <v>45125</v>
      </c>
      <c r="E85" t="s">
        <v>48</v>
      </c>
      <c r="F85" t="s">
        <v>21</v>
      </c>
      <c r="G85" t="b">
        <v>1</v>
      </c>
      <c r="H85" t="b">
        <v>0</v>
      </c>
      <c r="I85" t="s">
        <v>402</v>
      </c>
      <c r="J85" t="str">
        <f>TRIM(I85)</f>
        <v>Ivanne Guillermo</v>
      </c>
      <c r="K85" t="str">
        <f t="shared" si="3"/>
        <v>Ivanne Guillermo</v>
      </c>
      <c r="L85" t="s">
        <v>16</v>
      </c>
    </row>
    <row r="86" spans="1:12" x14ac:dyDescent="0.3">
      <c r="A86" t="s">
        <v>403</v>
      </c>
      <c r="B86" t="s">
        <v>277</v>
      </c>
      <c r="C86" t="s">
        <v>404</v>
      </c>
      <c r="D86" s="1">
        <f t="shared" si="2"/>
        <v>45674</v>
      </c>
      <c r="E86" t="s">
        <v>112</v>
      </c>
      <c r="F86" t="s">
        <v>405</v>
      </c>
      <c r="G86" t="b">
        <v>1</v>
      </c>
      <c r="H86" t="b">
        <v>0</v>
      </c>
      <c r="I86" t="s">
        <v>406</v>
      </c>
      <c r="J86" t="str">
        <f>TRIM(I86)</f>
        <v>Thony Steven Buriel</v>
      </c>
      <c r="K86" t="str">
        <f t="shared" si="3"/>
        <v>Thony Steven Buriel</v>
      </c>
      <c r="L86" t="s">
        <v>16</v>
      </c>
    </row>
    <row r="87" spans="1:12" x14ac:dyDescent="0.3">
      <c r="A87" t="s">
        <v>407</v>
      </c>
      <c r="B87" t="s">
        <v>85</v>
      </c>
      <c r="C87" t="s">
        <v>408</v>
      </c>
      <c r="D87" s="1">
        <f t="shared" si="2"/>
        <v>45663</v>
      </c>
      <c r="E87" t="s">
        <v>13</v>
      </c>
      <c r="F87" t="s">
        <v>409</v>
      </c>
      <c r="G87" t="b">
        <v>1</v>
      </c>
      <c r="H87" t="b">
        <v>0</v>
      </c>
      <c r="I87" t="s">
        <v>410</v>
      </c>
      <c r="J87" t="str">
        <f>TRIM(I87)</f>
        <v>Clarnic A. Berbegal</v>
      </c>
      <c r="K87" t="str">
        <f t="shared" si="3"/>
        <v>Clarnic A. Berbegal</v>
      </c>
      <c r="L87" t="s">
        <v>16</v>
      </c>
    </row>
    <row r="88" spans="1:12" x14ac:dyDescent="0.3">
      <c r="A88" t="s">
        <v>411</v>
      </c>
      <c r="B88" t="s">
        <v>263</v>
      </c>
      <c r="C88" t="s">
        <v>264</v>
      </c>
      <c r="D88" s="1">
        <f t="shared" si="2"/>
        <v>44859</v>
      </c>
      <c r="E88" t="s">
        <v>13</v>
      </c>
      <c r="F88" t="s">
        <v>412</v>
      </c>
      <c r="G88" t="b">
        <v>1</v>
      </c>
      <c r="H88" t="b">
        <v>0</v>
      </c>
      <c r="I88" t="s">
        <v>413</v>
      </c>
      <c r="J88" t="str">
        <f>TRIM(I88)</f>
        <v>Antoniette Lorain Z. Dimaano</v>
      </c>
      <c r="K88" t="str">
        <f t="shared" si="3"/>
        <v>Antoniette Lorain Z. Dimaano</v>
      </c>
      <c r="L88" t="s">
        <v>16</v>
      </c>
    </row>
    <row r="89" spans="1:12" x14ac:dyDescent="0.3">
      <c r="A89" t="s">
        <v>414</v>
      </c>
      <c r="B89" t="s">
        <v>415</v>
      </c>
      <c r="C89" t="s">
        <v>259</v>
      </c>
      <c r="D89" s="1">
        <f t="shared" si="2"/>
        <v>45316</v>
      </c>
      <c r="E89" t="s">
        <v>60</v>
      </c>
      <c r="F89" t="s">
        <v>416</v>
      </c>
      <c r="G89" t="b">
        <v>1</v>
      </c>
      <c r="H89" t="b">
        <v>0</v>
      </c>
      <c r="I89" t="s">
        <v>417</v>
      </c>
      <c r="J89" t="str">
        <f>TRIM(I89)</f>
        <v>Glennadi R. Rualo</v>
      </c>
      <c r="K89" t="str">
        <f t="shared" si="3"/>
        <v>Glennadi R. Rualo</v>
      </c>
      <c r="L89" t="s">
        <v>16</v>
      </c>
    </row>
    <row r="90" spans="1:12" x14ac:dyDescent="0.3">
      <c r="A90" t="s">
        <v>418</v>
      </c>
      <c r="B90" t="s">
        <v>419</v>
      </c>
      <c r="C90" t="s">
        <v>420</v>
      </c>
      <c r="D90" s="1">
        <f t="shared" si="2"/>
        <v>45890</v>
      </c>
      <c r="E90" t="s">
        <v>60</v>
      </c>
      <c r="F90" t="s">
        <v>55</v>
      </c>
      <c r="G90" t="b">
        <v>0</v>
      </c>
      <c r="H90" t="b">
        <v>0</v>
      </c>
      <c r="I90" t="s">
        <v>421</v>
      </c>
      <c r="J90" t="str">
        <f>TRIM(I90)</f>
        <v>Jam Zymon Tefrio</v>
      </c>
      <c r="K90" t="str">
        <f t="shared" si="3"/>
        <v>Jam Zymon Tefrio</v>
      </c>
      <c r="L90" t="s">
        <v>16</v>
      </c>
    </row>
    <row r="91" spans="1:12" x14ac:dyDescent="0.3">
      <c r="A91" t="s">
        <v>422</v>
      </c>
      <c r="B91" t="s">
        <v>423</v>
      </c>
      <c r="C91" t="s">
        <v>424</v>
      </c>
      <c r="D91" s="1">
        <f t="shared" si="2"/>
        <v>45748</v>
      </c>
      <c r="E91" t="s">
        <v>13</v>
      </c>
      <c r="F91" t="s">
        <v>425</v>
      </c>
      <c r="G91" t="b">
        <v>1</v>
      </c>
      <c r="H91" t="b">
        <v>0</v>
      </c>
      <c r="I91" t="s">
        <v>426</v>
      </c>
      <c r="J91" t="str">
        <f>TRIM(I91)</f>
        <v>Reyna Marie Therese S. Sanchez</v>
      </c>
      <c r="K91" t="str">
        <f t="shared" si="3"/>
        <v>Reyna Marie Therese S. Sanchez</v>
      </c>
      <c r="L91" t="s">
        <v>16</v>
      </c>
    </row>
    <row r="92" spans="1:12" x14ac:dyDescent="0.3">
      <c r="A92" t="s">
        <v>427</v>
      </c>
      <c r="B92" t="s">
        <v>209</v>
      </c>
      <c r="C92" t="s">
        <v>210</v>
      </c>
      <c r="D92" s="1">
        <f t="shared" si="2"/>
        <v>45385</v>
      </c>
      <c r="E92" t="s">
        <v>112</v>
      </c>
      <c r="F92" t="s">
        <v>428</v>
      </c>
      <c r="G92" t="b">
        <v>1</v>
      </c>
      <c r="H92" t="b">
        <v>0</v>
      </c>
      <c r="I92" t="s">
        <v>429</v>
      </c>
      <c r="J92" t="str">
        <f>TRIM(I92)</f>
        <v>Briane S. Deo</v>
      </c>
      <c r="K92" t="str">
        <f t="shared" si="3"/>
        <v>Briane S. Deo</v>
      </c>
      <c r="L92" t="s">
        <v>16</v>
      </c>
    </row>
    <row r="93" spans="1:12" x14ac:dyDescent="0.3">
      <c r="A93" t="s">
        <v>430</v>
      </c>
      <c r="B93" t="s">
        <v>431</v>
      </c>
      <c r="C93" t="s">
        <v>432</v>
      </c>
      <c r="D93" s="1">
        <f t="shared" si="2"/>
        <v>46042</v>
      </c>
      <c r="E93" t="s">
        <v>66</v>
      </c>
      <c r="F93" t="s">
        <v>433</v>
      </c>
      <c r="G93" t="b">
        <v>0</v>
      </c>
      <c r="H93" t="b">
        <v>0</v>
      </c>
      <c r="I93" t="s">
        <v>434</v>
      </c>
      <c r="J93" t="str">
        <f>TRIM(I93)</f>
        <v>Khryss Dale Ryve Lumaday</v>
      </c>
      <c r="K93" t="str">
        <f t="shared" si="3"/>
        <v>Khryss Dale Ryve Lumaday</v>
      </c>
      <c r="L93" t="s">
        <v>16</v>
      </c>
    </row>
    <row r="94" spans="1:12" x14ac:dyDescent="0.3">
      <c r="A94" t="s">
        <v>435</v>
      </c>
      <c r="B94" t="s">
        <v>436</v>
      </c>
      <c r="C94" t="s">
        <v>259</v>
      </c>
      <c r="D94" s="1">
        <f t="shared" si="2"/>
        <v>45316</v>
      </c>
      <c r="E94" t="s">
        <v>60</v>
      </c>
      <c r="F94" t="s">
        <v>437</v>
      </c>
      <c r="G94" t="b">
        <v>1</v>
      </c>
      <c r="H94" t="b">
        <v>0</v>
      </c>
      <c r="I94" t="s">
        <v>438</v>
      </c>
      <c r="J94" t="str">
        <f>TRIM(I94)</f>
        <v>Reiner Jan A. Castelo</v>
      </c>
      <c r="K94" t="str">
        <f t="shared" si="3"/>
        <v>Reiner Jan A. Castelo</v>
      </c>
      <c r="L94" t="s">
        <v>16</v>
      </c>
    </row>
    <row r="95" spans="1:12" x14ac:dyDescent="0.3">
      <c r="A95" t="s">
        <v>439</v>
      </c>
      <c r="B95" t="s">
        <v>440</v>
      </c>
      <c r="C95" t="s">
        <v>441</v>
      </c>
      <c r="D95" s="1">
        <f t="shared" si="2"/>
        <v>46080</v>
      </c>
      <c r="E95" t="s">
        <v>35</v>
      </c>
      <c r="F95" t="s">
        <v>36</v>
      </c>
      <c r="G95" t="b">
        <v>0</v>
      </c>
      <c r="H95" t="b">
        <v>0</v>
      </c>
      <c r="I95" t="s">
        <v>442</v>
      </c>
      <c r="J95" t="str">
        <f>TRIM(I95)</f>
        <v>Carmel</v>
      </c>
      <c r="K95" t="str">
        <f t="shared" si="3"/>
        <v>Carmel</v>
      </c>
      <c r="L95" t="s">
        <v>38</v>
      </c>
    </row>
    <row r="96" spans="1:12" x14ac:dyDescent="0.3">
      <c r="A96" t="s">
        <v>443</v>
      </c>
      <c r="B96" t="s">
        <v>444</v>
      </c>
      <c r="C96" t="s">
        <v>445</v>
      </c>
      <c r="D96" s="1">
        <f t="shared" si="2"/>
        <v>46037</v>
      </c>
      <c r="E96" t="s">
        <v>66</v>
      </c>
      <c r="F96" t="s">
        <v>446</v>
      </c>
      <c r="G96" t="b">
        <v>0</v>
      </c>
      <c r="H96" t="b">
        <v>0</v>
      </c>
      <c r="I96" t="s">
        <v>447</v>
      </c>
      <c r="J96" t="str">
        <f>TRIM(I96)</f>
        <v>Natania Kiden P. Ricablanca</v>
      </c>
      <c r="K96" t="str">
        <f t="shared" si="3"/>
        <v>Natania Kiden P. Ricablanca</v>
      </c>
      <c r="L96" t="s">
        <v>16</v>
      </c>
    </row>
    <row r="97" spans="1:12" x14ac:dyDescent="0.3">
      <c r="A97" t="s">
        <v>448</v>
      </c>
      <c r="B97" t="s">
        <v>277</v>
      </c>
      <c r="C97" t="s">
        <v>449</v>
      </c>
      <c r="D97" s="1">
        <f t="shared" si="2"/>
        <v>45677</v>
      </c>
      <c r="E97" t="s">
        <v>112</v>
      </c>
      <c r="F97" t="s">
        <v>450</v>
      </c>
      <c r="G97" t="b">
        <v>1</v>
      </c>
      <c r="H97" t="b">
        <v>0</v>
      </c>
      <c r="I97" t="s">
        <v>451</v>
      </c>
      <c r="J97" t="str">
        <f>TRIM(I97)</f>
        <v>Fred Mc Sapa</v>
      </c>
      <c r="K97" t="str">
        <f t="shared" si="3"/>
        <v>Fred Mc Sapa</v>
      </c>
      <c r="L97" t="s">
        <v>16</v>
      </c>
    </row>
    <row r="98" spans="1:12" x14ac:dyDescent="0.3">
      <c r="A98" t="s">
        <v>452</v>
      </c>
      <c r="B98" t="s">
        <v>453</v>
      </c>
      <c r="C98" t="s">
        <v>454</v>
      </c>
      <c r="D98" s="1">
        <f t="shared" si="2"/>
        <v>45887</v>
      </c>
      <c r="E98" t="s">
        <v>455</v>
      </c>
      <c r="F98" t="s">
        <v>55</v>
      </c>
      <c r="G98" t="b">
        <v>0</v>
      </c>
      <c r="H98" t="b">
        <v>0</v>
      </c>
      <c r="I98" t="s">
        <v>456</v>
      </c>
      <c r="J98" t="str">
        <f>TRIM(I98)</f>
        <v>Jhona Shyll Adorio</v>
      </c>
      <c r="K98" t="str">
        <f t="shared" si="3"/>
        <v>Jhona Shyll Adorio</v>
      </c>
      <c r="L98" t="s">
        <v>16</v>
      </c>
    </row>
    <row r="99" spans="1:12" x14ac:dyDescent="0.3">
      <c r="A99" t="s">
        <v>457</v>
      </c>
      <c r="B99" t="s">
        <v>159</v>
      </c>
      <c r="C99" t="s">
        <v>268</v>
      </c>
      <c r="D99" s="1">
        <f t="shared" si="2"/>
        <v>45364</v>
      </c>
      <c r="E99" t="s">
        <v>112</v>
      </c>
      <c r="F99" t="s">
        <v>21</v>
      </c>
      <c r="G99" t="b">
        <v>1</v>
      </c>
      <c r="H99" t="b">
        <v>0</v>
      </c>
      <c r="I99" t="s">
        <v>458</v>
      </c>
      <c r="J99" t="str">
        <f>TRIM(I99)</f>
        <v>Stephanie Faith Apines</v>
      </c>
      <c r="K99" t="str">
        <f t="shared" si="3"/>
        <v>Stephanie Faith Apines</v>
      </c>
      <c r="L99" t="s">
        <v>16</v>
      </c>
    </row>
    <row r="100" spans="1:12" x14ac:dyDescent="0.3">
      <c r="A100" t="s">
        <v>459</v>
      </c>
      <c r="B100" t="s">
        <v>180</v>
      </c>
      <c r="C100" t="s">
        <v>460</v>
      </c>
      <c r="D100" s="1">
        <f t="shared" si="2"/>
        <v>44733</v>
      </c>
      <c r="E100" t="s">
        <v>60</v>
      </c>
      <c r="F100" t="s">
        <v>21</v>
      </c>
      <c r="G100" t="b">
        <v>1</v>
      </c>
      <c r="H100" t="b">
        <v>0</v>
      </c>
      <c r="I100" t="s">
        <v>461</v>
      </c>
      <c r="J100" t="str">
        <f>TRIM(I100)</f>
        <v>Leogiver G. Mañosca</v>
      </c>
      <c r="K100" t="str">
        <f t="shared" si="3"/>
        <v>Leogiver G. Mañosca</v>
      </c>
      <c r="L100" t="s">
        <v>16</v>
      </c>
    </row>
    <row r="101" spans="1:12" x14ac:dyDescent="0.3">
      <c r="A101" t="s">
        <v>462</v>
      </c>
      <c r="B101" t="s">
        <v>463</v>
      </c>
      <c r="C101" t="s">
        <v>464</v>
      </c>
      <c r="D101" s="1">
        <f t="shared" si="2"/>
        <v>45719</v>
      </c>
      <c r="E101" t="s">
        <v>60</v>
      </c>
      <c r="F101" t="s">
        <v>465</v>
      </c>
      <c r="G101" t="b">
        <v>1</v>
      </c>
      <c r="H101" t="b">
        <v>0</v>
      </c>
      <c r="I101" t="s">
        <v>466</v>
      </c>
      <c r="J101" t="str">
        <f>TRIM(I101)</f>
        <v>John Ryan L. Quijote</v>
      </c>
      <c r="K101" t="str">
        <f t="shared" si="3"/>
        <v>John Ryan L. Quijote</v>
      </c>
      <c r="L101" t="s">
        <v>16</v>
      </c>
    </row>
    <row r="102" spans="1:12" x14ac:dyDescent="0.3">
      <c r="A102" t="s">
        <v>467</v>
      </c>
      <c r="B102" t="s">
        <v>70</v>
      </c>
      <c r="C102" t="s">
        <v>71</v>
      </c>
      <c r="D102" s="1">
        <f t="shared" si="2"/>
        <v>44785</v>
      </c>
      <c r="E102" t="s">
        <v>13</v>
      </c>
      <c r="F102" t="s">
        <v>468</v>
      </c>
      <c r="G102" t="b">
        <v>1</v>
      </c>
      <c r="H102" t="b">
        <v>1</v>
      </c>
      <c r="I102" t="s">
        <v>469</v>
      </c>
      <c r="J102" t="str">
        <f>TRIM(I102)</f>
        <v>Viva Princess A. Basa</v>
      </c>
      <c r="K102" t="str">
        <f t="shared" si="3"/>
        <v>Viva Princess A. Basa</v>
      </c>
      <c r="L102" t="s">
        <v>29</v>
      </c>
    </row>
    <row r="103" spans="1:12" x14ac:dyDescent="0.3">
      <c r="A103" t="s">
        <v>470</v>
      </c>
      <c r="B103" t="s">
        <v>471</v>
      </c>
      <c r="C103" t="s">
        <v>472</v>
      </c>
      <c r="D103" s="1">
        <f t="shared" si="2"/>
        <v>46036</v>
      </c>
      <c r="E103" t="s">
        <v>66</v>
      </c>
      <c r="F103" t="s">
        <v>473</v>
      </c>
      <c r="G103" t="b">
        <v>0</v>
      </c>
      <c r="H103" t="b">
        <v>1</v>
      </c>
      <c r="I103" t="s">
        <v>474</v>
      </c>
      <c r="J103" t="str">
        <f>TRIM(I103)</f>
        <v>Orland Philip Salvador</v>
      </c>
      <c r="K103" t="str">
        <f t="shared" si="3"/>
        <v>Orland Philip Salvador</v>
      </c>
      <c r="L103" t="s">
        <v>29</v>
      </c>
    </row>
    <row r="104" spans="1:12" x14ac:dyDescent="0.3">
      <c r="A104" t="s">
        <v>475</v>
      </c>
      <c r="B104" t="s">
        <v>31</v>
      </c>
      <c r="C104" t="s">
        <v>476</v>
      </c>
      <c r="D104" s="1">
        <f t="shared" si="2"/>
        <v>45405</v>
      </c>
      <c r="E104" t="s">
        <v>112</v>
      </c>
      <c r="F104" t="s">
        <v>21</v>
      </c>
      <c r="G104" t="b">
        <v>1</v>
      </c>
      <c r="H104" t="b">
        <v>0</v>
      </c>
      <c r="I104" t="s">
        <v>477</v>
      </c>
      <c r="J104" t="str">
        <f>TRIM(I104)</f>
        <v>Jann Alyanna Toledo</v>
      </c>
      <c r="K104" t="str">
        <f t="shared" si="3"/>
        <v>Jann Alyanna Toledo</v>
      </c>
      <c r="L104" t="s">
        <v>16</v>
      </c>
    </row>
    <row r="105" spans="1:12" x14ac:dyDescent="0.3">
      <c r="A105" t="s">
        <v>478</v>
      </c>
      <c r="B105" t="s">
        <v>423</v>
      </c>
      <c r="C105" t="s">
        <v>479</v>
      </c>
      <c r="D105" s="1">
        <f t="shared" si="2"/>
        <v>45740</v>
      </c>
      <c r="E105" t="s">
        <v>13</v>
      </c>
      <c r="F105" t="s">
        <v>480</v>
      </c>
      <c r="G105" t="b">
        <v>1</v>
      </c>
      <c r="H105" t="b">
        <v>0</v>
      </c>
      <c r="I105" t="s">
        <v>481</v>
      </c>
      <c r="J105" t="str">
        <f>TRIM(I105)</f>
        <v>Carl Raymiond D. Consuegra</v>
      </c>
      <c r="K105" t="str">
        <f t="shared" si="3"/>
        <v>Carl Raymiond D. Consuegra</v>
      </c>
      <c r="L105" t="s">
        <v>16</v>
      </c>
    </row>
    <row r="106" spans="1:12" x14ac:dyDescent="0.3">
      <c r="A106" t="s">
        <v>482</v>
      </c>
      <c r="B106" t="s">
        <v>483</v>
      </c>
      <c r="C106" t="s">
        <v>484</v>
      </c>
      <c r="D106" s="1">
        <f t="shared" si="2"/>
        <v>45140</v>
      </c>
      <c r="E106" t="s">
        <v>48</v>
      </c>
      <c r="F106" t="s">
        <v>485</v>
      </c>
      <c r="G106" t="b">
        <v>1</v>
      </c>
      <c r="H106" t="b">
        <v>1</v>
      </c>
      <c r="I106" t="s">
        <v>486</v>
      </c>
      <c r="J106" t="str">
        <f>TRIM(I106)</f>
        <v>Krshna Mahakaola A. Dueñas</v>
      </c>
      <c r="K106" t="str">
        <f t="shared" si="3"/>
        <v>Krshna Mahakaola A. Dueñas</v>
      </c>
      <c r="L106" t="s">
        <v>29</v>
      </c>
    </row>
    <row r="107" spans="1:12" x14ac:dyDescent="0.3">
      <c r="A107" t="s">
        <v>487</v>
      </c>
      <c r="B107" t="s">
        <v>488</v>
      </c>
      <c r="C107" t="s">
        <v>187</v>
      </c>
      <c r="D107" s="1">
        <f t="shared" si="2"/>
        <v>43873</v>
      </c>
      <c r="E107" t="s">
        <v>60</v>
      </c>
      <c r="F107" t="s">
        <v>489</v>
      </c>
      <c r="G107" t="b">
        <v>1</v>
      </c>
      <c r="H107" t="b">
        <v>0</v>
      </c>
      <c r="I107" t="s">
        <v>490</v>
      </c>
      <c r="J107" t="str">
        <f>TRIM(I107)</f>
        <v>Marissa C. Naorbe</v>
      </c>
      <c r="K107" t="str">
        <f t="shared" si="3"/>
        <v>Marissa C. Naorbe</v>
      </c>
      <c r="L107" t="s">
        <v>16</v>
      </c>
    </row>
    <row r="108" spans="1:12" x14ac:dyDescent="0.3">
      <c r="A108" t="s">
        <v>491</v>
      </c>
      <c r="B108" t="s">
        <v>492</v>
      </c>
      <c r="C108" t="s">
        <v>493</v>
      </c>
      <c r="D108" s="1">
        <f t="shared" si="2"/>
        <v>45885</v>
      </c>
      <c r="E108" t="s">
        <v>494</v>
      </c>
      <c r="F108" t="s">
        <v>55</v>
      </c>
      <c r="G108" t="b">
        <v>0</v>
      </c>
      <c r="H108" t="b">
        <v>0</v>
      </c>
      <c r="I108" t="s">
        <v>495</v>
      </c>
      <c r="J108" t="str">
        <f>TRIM(I108)</f>
        <v>MA. MICHELLE PEÑOL</v>
      </c>
      <c r="K108" t="str">
        <f t="shared" si="3"/>
        <v>Ma. Michelle Peñol</v>
      </c>
      <c r="L108" t="s">
        <v>16</v>
      </c>
    </row>
    <row r="109" spans="1:12" x14ac:dyDescent="0.3">
      <c r="A109" t="s">
        <v>496</v>
      </c>
      <c r="B109" t="s">
        <v>497</v>
      </c>
      <c r="C109" t="s">
        <v>498</v>
      </c>
      <c r="D109" s="1">
        <f t="shared" si="2"/>
        <v>45890</v>
      </c>
      <c r="E109" t="s">
        <v>499</v>
      </c>
      <c r="F109" t="s">
        <v>55</v>
      </c>
      <c r="G109" t="b">
        <v>0</v>
      </c>
      <c r="H109" t="b">
        <v>0</v>
      </c>
      <c r="I109" t="s">
        <v>500</v>
      </c>
      <c r="J109" t="str">
        <f>TRIM(I109)</f>
        <v>Albert Senit</v>
      </c>
      <c r="K109" t="str">
        <f t="shared" si="3"/>
        <v>Albert Senit</v>
      </c>
      <c r="L109" t="s">
        <v>16</v>
      </c>
    </row>
    <row r="110" spans="1:12" x14ac:dyDescent="0.3">
      <c r="A110" t="s">
        <v>501</v>
      </c>
      <c r="B110" t="s">
        <v>85</v>
      </c>
      <c r="C110" t="s">
        <v>502</v>
      </c>
      <c r="D110" s="1">
        <f t="shared" si="2"/>
        <v>45545</v>
      </c>
      <c r="E110" t="s">
        <v>60</v>
      </c>
      <c r="F110" t="s">
        <v>21</v>
      </c>
      <c r="G110" t="b">
        <v>1</v>
      </c>
      <c r="H110" t="b">
        <v>0</v>
      </c>
      <c r="I110" t="s">
        <v>503</v>
      </c>
      <c r="J110" t="str">
        <f>TRIM(I110)</f>
        <v>Vince Fuertes</v>
      </c>
      <c r="K110" t="str">
        <f t="shared" si="3"/>
        <v>Vince Fuertes</v>
      </c>
      <c r="L110" t="s">
        <v>16</v>
      </c>
    </row>
    <row r="111" spans="1:12" x14ac:dyDescent="0.3">
      <c r="A111" t="s">
        <v>504</v>
      </c>
      <c r="B111" t="s">
        <v>505</v>
      </c>
      <c r="C111" t="s">
        <v>297</v>
      </c>
      <c r="D111" s="1">
        <f t="shared" si="2"/>
        <v>45805</v>
      </c>
      <c r="E111" t="s">
        <v>13</v>
      </c>
      <c r="F111" t="s">
        <v>506</v>
      </c>
      <c r="G111" t="b">
        <v>1</v>
      </c>
      <c r="H111" t="b">
        <v>0</v>
      </c>
      <c r="I111" t="s">
        <v>507</v>
      </c>
      <c r="J111" t="str">
        <f>TRIM(I111)</f>
        <v>Alexis L. Poliquit</v>
      </c>
      <c r="K111" t="str">
        <f t="shared" si="3"/>
        <v>Alexis L. Poliquit</v>
      </c>
      <c r="L111" t="s">
        <v>16</v>
      </c>
    </row>
    <row r="112" spans="1:12" x14ac:dyDescent="0.3">
      <c r="A112" t="s">
        <v>508</v>
      </c>
      <c r="B112" t="s">
        <v>509</v>
      </c>
      <c r="C112" t="s">
        <v>510</v>
      </c>
      <c r="D112" s="1">
        <f t="shared" si="2"/>
        <v>45481</v>
      </c>
      <c r="E112" t="s">
        <v>60</v>
      </c>
      <c r="F112" t="s">
        <v>230</v>
      </c>
      <c r="G112" t="b">
        <v>1</v>
      </c>
      <c r="H112" t="b">
        <v>0</v>
      </c>
      <c r="I112" t="s">
        <v>511</v>
      </c>
      <c r="J112" t="str">
        <f>TRIM(I112)</f>
        <v>Nico Adam L. Antipala</v>
      </c>
      <c r="K112" t="str">
        <f t="shared" si="3"/>
        <v>Nico Adam L. Antipala</v>
      </c>
      <c r="L112" t="s">
        <v>16</v>
      </c>
    </row>
    <row r="113" spans="1:12" x14ac:dyDescent="0.3">
      <c r="A113" t="s">
        <v>512</v>
      </c>
      <c r="B113" t="s">
        <v>80</v>
      </c>
      <c r="C113" t="s">
        <v>513</v>
      </c>
      <c r="D113" s="1">
        <f t="shared" si="2"/>
        <v>44622</v>
      </c>
      <c r="E113" t="s">
        <v>514</v>
      </c>
      <c r="F113" t="s">
        <v>515</v>
      </c>
      <c r="G113" t="b">
        <v>1</v>
      </c>
      <c r="H113" t="b">
        <v>1</v>
      </c>
      <c r="I113" t="s">
        <v>516</v>
      </c>
      <c r="J113" t="str">
        <f>TRIM(I113)</f>
        <v>Eric Zeus C. Rizo</v>
      </c>
      <c r="K113" t="str">
        <f t="shared" si="3"/>
        <v>Eric Zeus C. Rizo</v>
      </c>
      <c r="L113" t="s">
        <v>29</v>
      </c>
    </row>
    <row r="114" spans="1:12" x14ac:dyDescent="0.3">
      <c r="A114" t="s">
        <v>517</v>
      </c>
      <c r="B114" t="s">
        <v>518</v>
      </c>
      <c r="C114" t="s">
        <v>519</v>
      </c>
      <c r="D114" s="1">
        <f t="shared" si="2"/>
        <v>46072</v>
      </c>
      <c r="E114" t="s">
        <v>66</v>
      </c>
      <c r="F114" t="s">
        <v>520</v>
      </c>
      <c r="G114" t="b">
        <v>1</v>
      </c>
      <c r="H114" t="b">
        <v>1</v>
      </c>
      <c r="I114" t="s">
        <v>521</v>
      </c>
      <c r="J114" t="str">
        <f>TRIM(I114)</f>
        <v>Ashley Godwin Kennah Polinio</v>
      </c>
      <c r="K114" t="str">
        <f t="shared" si="3"/>
        <v>Ashley Godwin Kennah Polinio</v>
      </c>
      <c r="L114" t="s">
        <v>29</v>
      </c>
    </row>
    <row r="115" spans="1:12" x14ac:dyDescent="0.3">
      <c r="A115" t="s">
        <v>522</v>
      </c>
      <c r="B115" t="s">
        <v>523</v>
      </c>
      <c r="C115" t="s">
        <v>401</v>
      </c>
      <c r="D115" s="1">
        <f t="shared" si="2"/>
        <v>45125</v>
      </c>
      <c r="E115" t="s">
        <v>48</v>
      </c>
      <c r="F115" t="s">
        <v>524</v>
      </c>
      <c r="G115" t="b">
        <v>1</v>
      </c>
      <c r="H115" t="b">
        <v>0</v>
      </c>
      <c r="I115" t="s">
        <v>525</v>
      </c>
      <c r="J115" t="str">
        <f>TRIM(I115)</f>
        <v>Sheryll Mesa</v>
      </c>
      <c r="K115" t="str">
        <f t="shared" si="3"/>
        <v>Sheryll Mesa</v>
      </c>
      <c r="L115" t="s">
        <v>16</v>
      </c>
    </row>
    <row r="116" spans="1:12" x14ac:dyDescent="0.3">
      <c r="A116" t="s">
        <v>526</v>
      </c>
      <c r="B116" t="s">
        <v>250</v>
      </c>
      <c r="C116" t="s">
        <v>527</v>
      </c>
      <c r="D116" s="1">
        <f t="shared" si="2"/>
        <v>44131</v>
      </c>
      <c r="E116" t="s">
        <v>13</v>
      </c>
      <c r="F116" t="s">
        <v>528</v>
      </c>
      <c r="G116" t="b">
        <v>1</v>
      </c>
      <c r="H116" t="b">
        <v>0</v>
      </c>
      <c r="I116" t="s">
        <v>529</v>
      </c>
      <c r="J116" t="str">
        <f>TRIM(I116)</f>
        <v>Loina Henzel A. Delgado</v>
      </c>
      <c r="K116" t="str">
        <f t="shared" si="3"/>
        <v>Loina Henzel A. Delgado</v>
      </c>
      <c r="L116" t="s">
        <v>16</v>
      </c>
    </row>
    <row r="117" spans="1:12" x14ac:dyDescent="0.3">
      <c r="A117" t="s">
        <v>530</v>
      </c>
      <c r="B117" t="s">
        <v>531</v>
      </c>
      <c r="C117" t="s">
        <v>532</v>
      </c>
      <c r="D117" s="1">
        <f t="shared" si="2"/>
        <v>45771</v>
      </c>
      <c r="E117" t="s">
        <v>122</v>
      </c>
      <c r="F117" t="s">
        <v>533</v>
      </c>
      <c r="G117" t="b">
        <v>1</v>
      </c>
      <c r="H117" t="b">
        <v>1</v>
      </c>
      <c r="I117" t="s">
        <v>534</v>
      </c>
      <c r="J117" t="str">
        <f>TRIM(I117)</f>
        <v>Cheeny A. Honcada</v>
      </c>
      <c r="K117" t="str">
        <f t="shared" si="3"/>
        <v>Cheeny A. Honcada</v>
      </c>
      <c r="L117" t="s">
        <v>29</v>
      </c>
    </row>
    <row r="118" spans="1:12" x14ac:dyDescent="0.3">
      <c r="A118" t="s">
        <v>535</v>
      </c>
      <c r="B118" t="s">
        <v>31</v>
      </c>
      <c r="C118" t="s">
        <v>195</v>
      </c>
      <c r="D118" s="1">
        <f t="shared" si="2"/>
        <v>45240</v>
      </c>
      <c r="E118" t="s">
        <v>112</v>
      </c>
      <c r="F118" t="s">
        <v>536</v>
      </c>
      <c r="G118" t="b">
        <v>1</v>
      </c>
      <c r="H118" t="b">
        <v>0</v>
      </c>
      <c r="I118" t="s">
        <v>537</v>
      </c>
      <c r="J118" t="str">
        <f>TRIM(I118)</f>
        <v>Kristine Ann Medina</v>
      </c>
      <c r="K118" t="str">
        <f t="shared" si="3"/>
        <v>Kristine Ann Medina</v>
      </c>
      <c r="L118" t="s">
        <v>16</v>
      </c>
    </row>
    <row r="119" spans="1:12" x14ac:dyDescent="0.3">
      <c r="A119" t="s">
        <v>538</v>
      </c>
      <c r="B119" t="s">
        <v>209</v>
      </c>
      <c r="C119" t="s">
        <v>210</v>
      </c>
      <c r="D119" s="1">
        <f t="shared" si="2"/>
        <v>45385</v>
      </c>
      <c r="E119" t="s">
        <v>112</v>
      </c>
      <c r="F119" t="s">
        <v>539</v>
      </c>
      <c r="G119" t="b">
        <v>1</v>
      </c>
      <c r="H119" t="b">
        <v>0</v>
      </c>
      <c r="I119" t="s">
        <v>540</v>
      </c>
      <c r="J119" t="str">
        <f>TRIM(I119)</f>
        <v>Arlz Dominic E. Libanan</v>
      </c>
      <c r="K119" t="str">
        <f t="shared" si="3"/>
        <v>Arlz Dominic E. Libanan</v>
      </c>
      <c r="L119" t="s">
        <v>16</v>
      </c>
    </row>
    <row r="120" spans="1:12" x14ac:dyDescent="0.3">
      <c r="A120" t="s">
        <v>541</v>
      </c>
      <c r="B120" t="s">
        <v>85</v>
      </c>
      <c r="C120" t="s">
        <v>513</v>
      </c>
      <c r="D120" s="1">
        <f t="shared" si="2"/>
        <v>44622</v>
      </c>
      <c r="E120" t="s">
        <v>122</v>
      </c>
      <c r="F120" t="s">
        <v>542</v>
      </c>
      <c r="G120" t="b">
        <v>1</v>
      </c>
      <c r="H120" t="b">
        <v>0</v>
      </c>
      <c r="I120" t="s">
        <v>543</v>
      </c>
      <c r="J120" t="str">
        <f>TRIM(I120)</f>
        <v>Rother M. Gaudiel</v>
      </c>
      <c r="K120" t="str">
        <f t="shared" si="3"/>
        <v>Rother M. Gaudiel</v>
      </c>
      <c r="L120" t="s">
        <v>16</v>
      </c>
    </row>
    <row r="121" spans="1:12" x14ac:dyDescent="0.3">
      <c r="A121" t="s">
        <v>544</v>
      </c>
      <c r="B121" t="s">
        <v>18</v>
      </c>
      <c r="C121" t="s">
        <v>545</v>
      </c>
      <c r="D121" s="1">
        <f t="shared" si="2"/>
        <v>45827</v>
      </c>
      <c r="E121" t="s">
        <v>13</v>
      </c>
      <c r="F121" t="s">
        <v>546</v>
      </c>
      <c r="G121" t="b">
        <v>1</v>
      </c>
      <c r="H121" t="b">
        <v>0</v>
      </c>
      <c r="I121" t="s">
        <v>547</v>
      </c>
      <c r="J121" t="str">
        <f>TRIM(I121)</f>
        <v>Sheila G. Untalan</v>
      </c>
      <c r="K121" t="str">
        <f t="shared" si="3"/>
        <v>Sheila G. Untalan</v>
      </c>
      <c r="L121" t="s">
        <v>16</v>
      </c>
    </row>
    <row r="122" spans="1:12" x14ac:dyDescent="0.3">
      <c r="A122" t="s">
        <v>548</v>
      </c>
      <c r="B122" t="s">
        <v>48</v>
      </c>
      <c r="C122" t="s">
        <v>549</v>
      </c>
      <c r="D122" s="1">
        <f t="shared" si="2"/>
        <v>46051</v>
      </c>
      <c r="E122" t="s">
        <v>101</v>
      </c>
      <c r="F122" t="s">
        <v>550</v>
      </c>
      <c r="G122" t="b">
        <v>0</v>
      </c>
      <c r="H122" t="b">
        <v>0</v>
      </c>
      <c r="I122" t="s">
        <v>551</v>
      </c>
      <c r="J122" t="str">
        <f>TRIM(I122)</f>
        <v>Kian Dave C. Caldito</v>
      </c>
      <c r="K122" t="str">
        <f t="shared" si="3"/>
        <v>Kian Dave C. Caldito</v>
      </c>
      <c r="L122" t="s">
        <v>16</v>
      </c>
    </row>
    <row r="123" spans="1:12" x14ac:dyDescent="0.3">
      <c r="A123" t="s">
        <v>552</v>
      </c>
      <c r="B123" t="s">
        <v>553</v>
      </c>
      <c r="C123" t="s">
        <v>554</v>
      </c>
      <c r="D123" s="1">
        <f t="shared" si="2"/>
        <v>46079</v>
      </c>
      <c r="E123" t="s">
        <v>553</v>
      </c>
      <c r="F123" t="s">
        <v>555</v>
      </c>
      <c r="G123" t="b">
        <v>1</v>
      </c>
      <c r="H123" t="b">
        <v>0</v>
      </c>
      <c r="I123" t="s">
        <v>553</v>
      </c>
      <c r="J123" t="str">
        <f>TRIM(I123)</f>
        <v>Merlito Dayon Jr 2</v>
      </c>
      <c r="K123" t="str">
        <f t="shared" si="3"/>
        <v>Merlito Dayon Jr 2</v>
      </c>
      <c r="L123" t="s">
        <v>38</v>
      </c>
    </row>
    <row r="124" spans="1:12" x14ac:dyDescent="0.3">
      <c r="A124" t="s">
        <v>556</v>
      </c>
      <c r="B124" t="s">
        <v>436</v>
      </c>
      <c r="C124" t="s">
        <v>259</v>
      </c>
      <c r="D124" s="1">
        <f t="shared" si="2"/>
        <v>45316</v>
      </c>
      <c r="E124" t="s">
        <v>60</v>
      </c>
      <c r="F124" t="s">
        <v>557</v>
      </c>
      <c r="G124" t="b">
        <v>1</v>
      </c>
      <c r="H124" t="b">
        <v>0</v>
      </c>
      <c r="I124" t="s">
        <v>558</v>
      </c>
      <c r="J124" t="str">
        <f>TRIM(I124)</f>
        <v>Ma. Theresa P. Crispino-Cachero</v>
      </c>
      <c r="K124" t="str">
        <f t="shared" si="3"/>
        <v>Ma. Theresa P. Crispino-Cachero</v>
      </c>
      <c r="L124" t="s">
        <v>16</v>
      </c>
    </row>
    <row r="125" spans="1:12" x14ac:dyDescent="0.3">
      <c r="A125" t="s">
        <v>559</v>
      </c>
      <c r="B125" t="s">
        <v>18</v>
      </c>
      <c r="C125" t="s">
        <v>545</v>
      </c>
      <c r="D125" s="1">
        <f t="shared" si="2"/>
        <v>45827</v>
      </c>
      <c r="E125" t="s">
        <v>560</v>
      </c>
      <c r="F125" t="s">
        <v>561</v>
      </c>
      <c r="G125" t="b">
        <v>1</v>
      </c>
      <c r="H125" t="b">
        <v>0</v>
      </c>
      <c r="I125" t="s">
        <v>562</v>
      </c>
      <c r="J125" t="str">
        <f>TRIM(I125)</f>
        <v>Allena Esther D. Arteta</v>
      </c>
      <c r="K125" t="str">
        <f t="shared" si="3"/>
        <v>Allena Esther D. Arteta</v>
      </c>
      <c r="L125" t="s">
        <v>16</v>
      </c>
    </row>
    <row r="126" spans="1:12" x14ac:dyDescent="0.3">
      <c r="A126" t="s">
        <v>563</v>
      </c>
      <c r="B126" t="s">
        <v>564</v>
      </c>
      <c r="C126" t="s">
        <v>565</v>
      </c>
      <c r="D126" s="1">
        <f t="shared" si="2"/>
        <v>45770</v>
      </c>
      <c r="E126" t="s">
        <v>112</v>
      </c>
      <c r="F126" t="s">
        <v>566</v>
      </c>
      <c r="G126" t="b">
        <v>1</v>
      </c>
      <c r="H126" t="b">
        <v>1</v>
      </c>
      <c r="I126" t="s">
        <v>567</v>
      </c>
      <c r="J126" t="str">
        <f>TRIM(I126)</f>
        <v>Maria Isabel Layson</v>
      </c>
      <c r="K126" t="str">
        <f t="shared" si="3"/>
        <v>Maria Isabel Layson</v>
      </c>
      <c r="L126" t="s">
        <v>29</v>
      </c>
    </row>
    <row r="127" spans="1:12" x14ac:dyDescent="0.3">
      <c r="A127" t="s">
        <v>568</v>
      </c>
      <c r="B127" t="s">
        <v>31</v>
      </c>
      <c r="C127" t="s">
        <v>569</v>
      </c>
      <c r="D127" s="1">
        <f t="shared" si="2"/>
        <v>45119</v>
      </c>
      <c r="E127" t="s">
        <v>48</v>
      </c>
      <c r="F127" t="s">
        <v>570</v>
      </c>
      <c r="G127" t="b">
        <v>1</v>
      </c>
      <c r="H127" t="b">
        <v>0</v>
      </c>
      <c r="I127" t="s">
        <v>571</v>
      </c>
      <c r="J127" t="str">
        <f>TRIM(I127)</f>
        <v>James Nim</v>
      </c>
      <c r="K127" t="str">
        <f t="shared" si="3"/>
        <v>James Nim</v>
      </c>
      <c r="L127" t="s">
        <v>16</v>
      </c>
    </row>
    <row r="128" spans="1:12" x14ac:dyDescent="0.3">
      <c r="A128" t="s">
        <v>572</v>
      </c>
      <c r="B128" t="s">
        <v>573</v>
      </c>
      <c r="C128" t="s">
        <v>574</v>
      </c>
      <c r="D128" s="1">
        <f t="shared" si="2"/>
        <v>45540</v>
      </c>
      <c r="E128" t="s">
        <v>13</v>
      </c>
      <c r="F128" t="s">
        <v>575</v>
      </c>
      <c r="G128" t="b">
        <v>1</v>
      </c>
      <c r="H128" t="b">
        <v>0</v>
      </c>
      <c r="I128" t="s">
        <v>576</v>
      </c>
      <c r="J128" t="str">
        <f>TRIM(I128)</f>
        <v>Graziele Ann S. Taclas</v>
      </c>
      <c r="K128" t="str">
        <f t="shared" si="3"/>
        <v>Graziele Ann S. Taclas</v>
      </c>
      <c r="L128" t="s">
        <v>16</v>
      </c>
    </row>
    <row r="129" spans="1:12" x14ac:dyDescent="0.3">
      <c r="A129" t="s">
        <v>577</v>
      </c>
      <c r="B129" t="s">
        <v>578</v>
      </c>
      <c r="C129" t="s">
        <v>187</v>
      </c>
      <c r="D129" s="1">
        <f t="shared" si="2"/>
        <v>43873</v>
      </c>
      <c r="E129" t="s">
        <v>60</v>
      </c>
      <c r="F129" t="s">
        <v>579</v>
      </c>
      <c r="G129" t="b">
        <v>1</v>
      </c>
      <c r="H129" t="b">
        <v>0</v>
      </c>
      <c r="I129" t="s">
        <v>580</v>
      </c>
      <c r="J129" t="str">
        <f>TRIM(I129)</f>
        <v>Jay T. Torrefiel</v>
      </c>
      <c r="K129" t="str">
        <f t="shared" si="3"/>
        <v>Jay T. Torrefiel</v>
      </c>
      <c r="L129" t="s">
        <v>16</v>
      </c>
    </row>
    <row r="130" spans="1:12" x14ac:dyDescent="0.3">
      <c r="A130" t="s">
        <v>581</v>
      </c>
      <c r="B130" t="s">
        <v>277</v>
      </c>
      <c r="C130" t="s">
        <v>582</v>
      </c>
      <c r="D130" s="1">
        <f t="shared" ref="D130:D193" si="4">DATEVALUE(LEFT(C130,10))</f>
        <v>45707</v>
      </c>
      <c r="E130" t="s">
        <v>122</v>
      </c>
      <c r="F130" t="s">
        <v>583</v>
      </c>
      <c r="G130" t="b">
        <v>1</v>
      </c>
      <c r="H130" t="b">
        <v>1</v>
      </c>
      <c r="I130" t="s">
        <v>584</v>
      </c>
      <c r="J130" t="str">
        <f>TRIM(I130)</f>
        <v>Honnie Joy Balauro</v>
      </c>
      <c r="K130" t="str">
        <f t="shared" si="3"/>
        <v>Honnie Joy Balauro</v>
      </c>
      <c r="L130" t="s">
        <v>29</v>
      </c>
    </row>
    <row r="131" spans="1:12" x14ac:dyDescent="0.3">
      <c r="A131" t="s">
        <v>585</v>
      </c>
      <c r="B131" t="s">
        <v>586</v>
      </c>
      <c r="C131" t="s">
        <v>587</v>
      </c>
      <c r="D131" s="1">
        <f t="shared" si="4"/>
        <v>45329</v>
      </c>
      <c r="E131" t="s">
        <v>112</v>
      </c>
      <c r="F131" t="s">
        <v>588</v>
      </c>
      <c r="G131" t="b">
        <v>1</v>
      </c>
      <c r="H131" t="b">
        <v>1</v>
      </c>
      <c r="I131" t="s">
        <v>589</v>
      </c>
      <c r="J131" t="str">
        <f>TRIM(I131)</f>
        <v>Kaylen Yvon K. Jalandoni</v>
      </c>
      <c r="K131" t="str">
        <f t="shared" ref="K131:K194" si="5">PROPER(J131)</f>
        <v>Kaylen Yvon K. Jalandoni</v>
      </c>
      <c r="L131" t="s">
        <v>29</v>
      </c>
    </row>
    <row r="132" spans="1:12" x14ac:dyDescent="0.3">
      <c r="A132" t="s">
        <v>590</v>
      </c>
      <c r="B132" t="s">
        <v>591</v>
      </c>
      <c r="C132" t="s">
        <v>592</v>
      </c>
      <c r="D132" s="1">
        <f t="shared" si="4"/>
        <v>45378</v>
      </c>
      <c r="E132" t="s">
        <v>143</v>
      </c>
      <c r="F132" t="s">
        <v>593</v>
      </c>
      <c r="G132" t="b">
        <v>1</v>
      </c>
      <c r="H132" t="b">
        <v>1</v>
      </c>
      <c r="I132" t="s">
        <v>594</v>
      </c>
      <c r="J132" t="str">
        <f>TRIM(I132)</f>
        <v>Marielle B. Chu</v>
      </c>
      <c r="K132" t="str">
        <f t="shared" si="5"/>
        <v>Marielle B. Chu</v>
      </c>
      <c r="L132" t="s">
        <v>29</v>
      </c>
    </row>
    <row r="133" spans="1:12" x14ac:dyDescent="0.3">
      <c r="A133" t="s">
        <v>595</v>
      </c>
      <c r="B133" t="s">
        <v>31</v>
      </c>
      <c r="C133" t="s">
        <v>195</v>
      </c>
      <c r="D133" s="1">
        <f t="shared" si="4"/>
        <v>45240</v>
      </c>
      <c r="E133" t="s">
        <v>514</v>
      </c>
      <c r="F133" t="s">
        <v>596</v>
      </c>
      <c r="G133" t="b">
        <v>1</v>
      </c>
      <c r="H133" t="b">
        <v>1</v>
      </c>
      <c r="I133" t="s">
        <v>597</v>
      </c>
      <c r="J133" t="str">
        <f>TRIM(I133)</f>
        <v>Philip Ian P. Padilla</v>
      </c>
      <c r="K133" t="str">
        <f t="shared" si="5"/>
        <v>Philip Ian P. Padilla</v>
      </c>
      <c r="L133" t="s">
        <v>29</v>
      </c>
    </row>
    <row r="134" spans="1:12" x14ac:dyDescent="0.3">
      <c r="A134" t="s">
        <v>598</v>
      </c>
      <c r="B134" t="s">
        <v>277</v>
      </c>
      <c r="C134" t="s">
        <v>404</v>
      </c>
      <c r="D134" s="1">
        <f t="shared" si="4"/>
        <v>45674</v>
      </c>
      <c r="E134" t="s">
        <v>13</v>
      </c>
      <c r="F134" t="s">
        <v>21</v>
      </c>
      <c r="G134" t="b">
        <v>1</v>
      </c>
      <c r="H134" t="b">
        <v>0</v>
      </c>
      <c r="I134" t="s">
        <v>599</v>
      </c>
      <c r="J134" t="str">
        <f>TRIM(I134)</f>
        <v>Iñaki Reforma</v>
      </c>
      <c r="K134" t="str">
        <f t="shared" si="5"/>
        <v>Iñaki Reforma</v>
      </c>
      <c r="L134" t="s">
        <v>16</v>
      </c>
    </row>
    <row r="135" spans="1:12" x14ac:dyDescent="0.3">
      <c r="A135" t="s">
        <v>600</v>
      </c>
      <c r="B135" t="s">
        <v>601</v>
      </c>
      <c r="C135" t="s">
        <v>602</v>
      </c>
      <c r="D135" s="1">
        <f t="shared" si="4"/>
        <v>45239</v>
      </c>
      <c r="E135" t="s">
        <v>60</v>
      </c>
      <c r="F135" t="s">
        <v>603</v>
      </c>
      <c r="G135" t="b">
        <v>1</v>
      </c>
      <c r="H135" t="b">
        <v>0</v>
      </c>
      <c r="I135" t="s">
        <v>604</v>
      </c>
      <c r="J135" t="str">
        <f>TRIM(I135)</f>
        <v>Dr. Bemerly Sira</v>
      </c>
      <c r="K135" t="str">
        <f t="shared" si="5"/>
        <v>Dr. Bemerly Sira</v>
      </c>
      <c r="L135" t="s">
        <v>16</v>
      </c>
    </row>
    <row r="136" spans="1:12" x14ac:dyDescent="0.3">
      <c r="A136" t="s">
        <v>605</v>
      </c>
      <c r="B136" t="s">
        <v>316</v>
      </c>
      <c r="C136" t="s">
        <v>317</v>
      </c>
      <c r="D136" s="1">
        <f t="shared" si="4"/>
        <v>45573</v>
      </c>
      <c r="E136" t="s">
        <v>112</v>
      </c>
      <c r="F136" t="s">
        <v>606</v>
      </c>
      <c r="G136" t="b">
        <v>1</v>
      </c>
      <c r="H136" t="b">
        <v>0</v>
      </c>
      <c r="I136" t="s">
        <v>607</v>
      </c>
      <c r="J136" t="str">
        <f>TRIM(I136)</f>
        <v>Kane Janzseen Verayo</v>
      </c>
      <c r="K136" t="str">
        <f t="shared" si="5"/>
        <v>Kane Janzseen Verayo</v>
      </c>
      <c r="L136" t="s">
        <v>16</v>
      </c>
    </row>
    <row r="137" spans="1:12" x14ac:dyDescent="0.3">
      <c r="A137" t="s">
        <v>608</v>
      </c>
      <c r="D137" s="1" t="e">
        <f t="shared" si="4"/>
        <v>#VALUE!</v>
      </c>
      <c r="G137" t="b">
        <v>1</v>
      </c>
      <c r="H137" t="b">
        <v>1</v>
      </c>
      <c r="J137" t="str">
        <f>TRIM(I137)</f>
        <v/>
      </c>
      <c r="K137" t="str">
        <f t="shared" si="5"/>
        <v/>
      </c>
      <c r="L137" t="s">
        <v>29</v>
      </c>
    </row>
    <row r="138" spans="1:12" x14ac:dyDescent="0.3">
      <c r="A138" t="s">
        <v>609</v>
      </c>
      <c r="B138" t="s">
        <v>610</v>
      </c>
      <c r="C138" t="s">
        <v>611</v>
      </c>
      <c r="D138" s="1">
        <f t="shared" si="4"/>
        <v>45886</v>
      </c>
      <c r="E138" t="s">
        <v>612</v>
      </c>
      <c r="F138" t="s">
        <v>55</v>
      </c>
      <c r="G138" t="b">
        <v>0</v>
      </c>
      <c r="H138" t="b">
        <v>0</v>
      </c>
      <c r="I138" t="s">
        <v>613</v>
      </c>
      <c r="J138" t="str">
        <f>TRIM(I138)</f>
        <v>Johndel Remon</v>
      </c>
      <c r="K138" t="str">
        <f t="shared" si="5"/>
        <v>Johndel Remon</v>
      </c>
      <c r="L138" t="s">
        <v>16</v>
      </c>
    </row>
    <row r="139" spans="1:12" x14ac:dyDescent="0.3">
      <c r="A139" t="s">
        <v>614</v>
      </c>
      <c r="B139" t="s">
        <v>615</v>
      </c>
      <c r="C139" t="s">
        <v>616</v>
      </c>
      <c r="D139" s="1">
        <f t="shared" si="4"/>
        <v>46031</v>
      </c>
      <c r="E139" t="s">
        <v>617</v>
      </c>
      <c r="F139" t="s">
        <v>61</v>
      </c>
      <c r="G139" t="b">
        <v>0</v>
      </c>
      <c r="H139" t="b">
        <v>1</v>
      </c>
      <c r="I139" t="s">
        <v>62</v>
      </c>
      <c r="J139" t="str">
        <f>TRIM(I139)</f>
        <v>Rene Jane Alesna-Saripada</v>
      </c>
      <c r="K139" t="str">
        <f t="shared" si="5"/>
        <v>Rene Jane Alesna-Saripada</v>
      </c>
      <c r="L139" t="s">
        <v>29</v>
      </c>
    </row>
    <row r="140" spans="1:12" x14ac:dyDescent="0.3">
      <c r="A140" t="s">
        <v>618</v>
      </c>
      <c r="B140" t="s">
        <v>31</v>
      </c>
      <c r="C140" t="s">
        <v>619</v>
      </c>
      <c r="D140" s="1">
        <f t="shared" si="4"/>
        <v>45401</v>
      </c>
      <c r="E140" t="s">
        <v>112</v>
      </c>
      <c r="F140" t="s">
        <v>620</v>
      </c>
      <c r="G140" t="b">
        <v>1</v>
      </c>
      <c r="H140" t="b">
        <v>0</v>
      </c>
      <c r="I140" t="s">
        <v>621</v>
      </c>
      <c r="J140" t="str">
        <f>TRIM(I140)</f>
        <v>Jewelle Marie S. Mejias</v>
      </c>
      <c r="K140" t="str">
        <f t="shared" si="5"/>
        <v>Jewelle Marie S. Mejias</v>
      </c>
      <c r="L140" t="s">
        <v>16</v>
      </c>
    </row>
    <row r="141" spans="1:12" x14ac:dyDescent="0.3">
      <c r="A141" t="s">
        <v>622</v>
      </c>
      <c r="B141" t="s">
        <v>75</v>
      </c>
      <c r="C141" t="s">
        <v>623</v>
      </c>
      <c r="D141" s="1">
        <f t="shared" si="4"/>
        <v>46051</v>
      </c>
      <c r="E141" t="s">
        <v>66</v>
      </c>
      <c r="F141" t="s">
        <v>624</v>
      </c>
      <c r="G141" t="b">
        <v>1</v>
      </c>
      <c r="H141" t="b">
        <v>1</v>
      </c>
      <c r="I141" t="s">
        <v>625</v>
      </c>
      <c r="J141" t="str">
        <f>TRIM(I141)</f>
        <v>Ellar Jane A. Deysolong</v>
      </c>
      <c r="K141" t="str">
        <f t="shared" si="5"/>
        <v>Ellar Jane A. Deysolong</v>
      </c>
      <c r="L141" t="s">
        <v>29</v>
      </c>
    </row>
    <row r="142" spans="1:12" x14ac:dyDescent="0.3">
      <c r="A142" t="s">
        <v>626</v>
      </c>
      <c r="B142" t="s">
        <v>164</v>
      </c>
      <c r="C142" t="s">
        <v>165</v>
      </c>
      <c r="D142" s="1">
        <f t="shared" si="4"/>
        <v>45637</v>
      </c>
      <c r="E142" t="s">
        <v>60</v>
      </c>
      <c r="F142" t="s">
        <v>627</v>
      </c>
      <c r="G142" t="b">
        <v>1</v>
      </c>
      <c r="H142" t="b">
        <v>0</v>
      </c>
      <c r="I142" t="s">
        <v>628</v>
      </c>
      <c r="J142" t="str">
        <f>TRIM(I142)</f>
        <v>Patrick S. Gasmen</v>
      </c>
      <c r="K142" t="str">
        <f t="shared" si="5"/>
        <v>Patrick S. Gasmen</v>
      </c>
      <c r="L142" t="s">
        <v>16</v>
      </c>
    </row>
    <row r="143" spans="1:12" x14ac:dyDescent="0.3">
      <c r="A143" t="s">
        <v>629</v>
      </c>
      <c r="B143" t="s">
        <v>630</v>
      </c>
      <c r="C143" t="s">
        <v>631</v>
      </c>
      <c r="D143" s="1">
        <f t="shared" si="4"/>
        <v>45885</v>
      </c>
      <c r="E143" t="s">
        <v>632</v>
      </c>
      <c r="F143" t="s">
        <v>55</v>
      </c>
      <c r="G143" t="b">
        <v>0</v>
      </c>
      <c r="H143" t="b">
        <v>0</v>
      </c>
      <c r="I143" t="s">
        <v>633</v>
      </c>
      <c r="J143" t="str">
        <f>TRIM(I143)</f>
        <v>APRIL ROSE B. BARCENAL-MENDOZA</v>
      </c>
      <c r="K143" t="str">
        <f t="shared" si="5"/>
        <v>April Rose B. Barcenal-Mendoza</v>
      </c>
      <c r="L143" t="s">
        <v>16</v>
      </c>
    </row>
    <row r="144" spans="1:12" x14ac:dyDescent="0.3">
      <c r="A144" t="s">
        <v>634</v>
      </c>
      <c r="B144" t="s">
        <v>635</v>
      </c>
      <c r="C144" t="s">
        <v>636</v>
      </c>
      <c r="D144" s="1">
        <f t="shared" si="4"/>
        <v>45885</v>
      </c>
      <c r="E144" t="s">
        <v>152</v>
      </c>
      <c r="F144" t="s">
        <v>55</v>
      </c>
      <c r="G144" t="b">
        <v>0</v>
      </c>
      <c r="H144" t="b">
        <v>0</v>
      </c>
      <c r="I144" t="s">
        <v>637</v>
      </c>
      <c r="J144" t="str">
        <f>TRIM(I144)</f>
        <v>Francis Gideon P. Tagnong</v>
      </c>
      <c r="K144" t="str">
        <f t="shared" si="5"/>
        <v>Francis Gideon P. Tagnong</v>
      </c>
      <c r="L144" t="s">
        <v>16</v>
      </c>
    </row>
    <row r="145" spans="1:12" x14ac:dyDescent="0.3">
      <c r="A145" t="s">
        <v>638</v>
      </c>
      <c r="B145" t="s">
        <v>85</v>
      </c>
      <c r="C145" t="s">
        <v>639</v>
      </c>
      <c r="D145" s="1">
        <f t="shared" si="4"/>
        <v>45623</v>
      </c>
      <c r="E145" t="s">
        <v>13</v>
      </c>
      <c r="F145" t="s">
        <v>640</v>
      </c>
      <c r="G145" t="b">
        <v>1</v>
      </c>
      <c r="H145" t="b">
        <v>1</v>
      </c>
      <c r="I145" t="s">
        <v>641</v>
      </c>
      <c r="J145" t="str">
        <f>TRIM(I145)</f>
        <v>Dr. Mary Jane S. Apines-Amar</v>
      </c>
      <c r="K145" t="str">
        <f t="shared" si="5"/>
        <v>Dr. Mary Jane S. Apines-Amar</v>
      </c>
      <c r="L145" t="s">
        <v>29</v>
      </c>
    </row>
    <row r="146" spans="1:12" x14ac:dyDescent="0.3">
      <c r="A146" t="s">
        <v>642</v>
      </c>
      <c r="B146" t="s">
        <v>18</v>
      </c>
      <c r="C146" t="s">
        <v>643</v>
      </c>
      <c r="D146" s="1">
        <f t="shared" si="4"/>
        <v>45848</v>
      </c>
      <c r="E146" t="s">
        <v>13</v>
      </c>
      <c r="F146" t="s">
        <v>644</v>
      </c>
      <c r="G146" t="b">
        <v>1</v>
      </c>
      <c r="H146" t="b">
        <v>0</v>
      </c>
      <c r="I146" t="s">
        <v>645</v>
      </c>
      <c r="J146" t="str">
        <f>TRIM(I146)</f>
        <v>Jaypee Joy S. Iguales</v>
      </c>
      <c r="K146" t="str">
        <f t="shared" si="5"/>
        <v>Jaypee Joy S. Iguales</v>
      </c>
      <c r="L146" t="s">
        <v>16</v>
      </c>
    </row>
    <row r="147" spans="1:12" x14ac:dyDescent="0.3">
      <c r="A147" t="s">
        <v>646</v>
      </c>
      <c r="B147" t="s">
        <v>75</v>
      </c>
      <c r="C147" t="s">
        <v>647</v>
      </c>
      <c r="D147" s="1">
        <f t="shared" si="4"/>
        <v>45887</v>
      </c>
      <c r="E147" t="s">
        <v>66</v>
      </c>
      <c r="F147" t="s">
        <v>55</v>
      </c>
      <c r="G147" t="b">
        <v>0</v>
      </c>
      <c r="H147" t="b">
        <v>0</v>
      </c>
      <c r="I147" t="s">
        <v>648</v>
      </c>
      <c r="J147" t="str">
        <f>TRIM(I147)</f>
        <v>Joshua E. Alimonsurin</v>
      </c>
      <c r="K147" t="str">
        <f t="shared" si="5"/>
        <v>Joshua E. Alimonsurin</v>
      </c>
      <c r="L147" t="s">
        <v>16</v>
      </c>
    </row>
    <row r="148" spans="1:12" x14ac:dyDescent="0.3">
      <c r="A148" t="s">
        <v>649</v>
      </c>
      <c r="B148" t="s">
        <v>650</v>
      </c>
      <c r="C148" t="s">
        <v>343</v>
      </c>
      <c r="D148" s="1">
        <f t="shared" si="4"/>
        <v>45664</v>
      </c>
      <c r="E148" t="s">
        <v>143</v>
      </c>
      <c r="F148" t="s">
        <v>344</v>
      </c>
      <c r="G148" t="b">
        <v>1</v>
      </c>
      <c r="H148" t="b">
        <v>1</v>
      </c>
      <c r="I148" t="s">
        <v>651</v>
      </c>
      <c r="J148" t="str">
        <f>TRIM(I148)</f>
        <v>Gene Seneris</v>
      </c>
      <c r="K148" t="str">
        <f t="shared" si="5"/>
        <v>Gene Seneris</v>
      </c>
      <c r="L148" t="s">
        <v>29</v>
      </c>
    </row>
    <row r="149" spans="1:12" x14ac:dyDescent="0.3">
      <c r="A149" t="s">
        <v>652</v>
      </c>
      <c r="B149" t="s">
        <v>105</v>
      </c>
      <c r="C149" t="s">
        <v>137</v>
      </c>
      <c r="D149" s="1">
        <f t="shared" si="4"/>
        <v>43990</v>
      </c>
      <c r="E149" t="s">
        <v>514</v>
      </c>
      <c r="F149" t="s">
        <v>653</v>
      </c>
      <c r="G149" t="b">
        <v>1</v>
      </c>
      <c r="H149" t="b">
        <v>1</v>
      </c>
      <c r="I149" t="s">
        <v>654</v>
      </c>
      <c r="J149" t="str">
        <f>TRIM(I149)</f>
        <v>Angel Queenee D. Dequito</v>
      </c>
      <c r="K149" t="str">
        <f t="shared" si="5"/>
        <v>Angel Queenee D. Dequito</v>
      </c>
      <c r="L149" t="s">
        <v>29</v>
      </c>
    </row>
    <row r="150" spans="1:12" x14ac:dyDescent="0.3">
      <c r="A150" t="s">
        <v>655</v>
      </c>
      <c r="B150" t="s">
        <v>152</v>
      </c>
      <c r="C150" t="s">
        <v>656</v>
      </c>
      <c r="D150" s="1">
        <f t="shared" si="4"/>
        <v>45885</v>
      </c>
      <c r="E150" t="s">
        <v>152</v>
      </c>
      <c r="F150" t="s">
        <v>55</v>
      </c>
      <c r="G150" t="b">
        <v>0</v>
      </c>
      <c r="H150" t="b">
        <v>0</v>
      </c>
      <c r="I150" t="s">
        <v>657</v>
      </c>
      <c r="J150" t="str">
        <f>TRIM(I150)</f>
        <v>Rochanne Aira Prietos</v>
      </c>
      <c r="K150" t="str">
        <f t="shared" si="5"/>
        <v>Rochanne Aira Prietos</v>
      </c>
      <c r="L150" t="s">
        <v>16</v>
      </c>
    </row>
    <row r="151" spans="1:12" x14ac:dyDescent="0.3">
      <c r="A151" t="s">
        <v>658</v>
      </c>
      <c r="B151" t="s">
        <v>659</v>
      </c>
      <c r="C151" t="s">
        <v>660</v>
      </c>
      <c r="D151" s="1">
        <f t="shared" si="4"/>
        <v>45885</v>
      </c>
      <c r="E151" t="s">
        <v>617</v>
      </c>
      <c r="F151" t="s">
        <v>55</v>
      </c>
      <c r="G151" t="b">
        <v>0</v>
      </c>
      <c r="H151" t="b">
        <v>0</v>
      </c>
      <c r="I151" t="s">
        <v>661</v>
      </c>
      <c r="J151" t="str">
        <f>TRIM(I151)</f>
        <v>DR. ANJULI MAY JAEN</v>
      </c>
      <c r="K151" t="str">
        <f t="shared" si="5"/>
        <v>Dr. Anjuli May Jaen</v>
      </c>
      <c r="L151" t="s">
        <v>16</v>
      </c>
    </row>
    <row r="152" spans="1:12" x14ac:dyDescent="0.3">
      <c r="A152" t="s">
        <v>662</v>
      </c>
      <c r="B152" t="s">
        <v>663</v>
      </c>
      <c r="C152" t="s">
        <v>664</v>
      </c>
      <c r="D152" s="1">
        <f t="shared" si="4"/>
        <v>44034</v>
      </c>
      <c r="E152" t="s">
        <v>13</v>
      </c>
      <c r="F152" t="s">
        <v>665</v>
      </c>
      <c r="G152" t="b">
        <v>1</v>
      </c>
      <c r="H152" t="b">
        <v>0</v>
      </c>
      <c r="I152" t="s">
        <v>666</v>
      </c>
      <c r="J152" t="str">
        <f>TRIM(I152)</f>
        <v>Wilson F. Medrocillo</v>
      </c>
      <c r="K152" t="str">
        <f t="shared" si="5"/>
        <v>Wilson F. Medrocillo</v>
      </c>
      <c r="L152" t="s">
        <v>16</v>
      </c>
    </row>
    <row r="153" spans="1:12" x14ac:dyDescent="0.3">
      <c r="A153" t="s">
        <v>667</v>
      </c>
      <c r="B153" t="s">
        <v>277</v>
      </c>
      <c r="C153" t="s">
        <v>668</v>
      </c>
      <c r="D153" s="1">
        <f t="shared" si="4"/>
        <v>45684</v>
      </c>
      <c r="E153" t="s">
        <v>122</v>
      </c>
      <c r="F153" t="s">
        <v>669</v>
      </c>
      <c r="G153" t="b">
        <v>1</v>
      </c>
      <c r="H153" t="b">
        <v>0</v>
      </c>
      <c r="I153" t="s">
        <v>670</v>
      </c>
      <c r="J153" t="str">
        <f>TRIM(I153)</f>
        <v>Eunice Valad-on</v>
      </c>
      <c r="K153" t="str">
        <f t="shared" si="5"/>
        <v>Eunice Valad-On</v>
      </c>
      <c r="L153" t="s">
        <v>16</v>
      </c>
    </row>
    <row r="154" spans="1:12" x14ac:dyDescent="0.3">
      <c r="A154" t="s">
        <v>671</v>
      </c>
      <c r="B154" t="s">
        <v>85</v>
      </c>
      <c r="C154" t="s">
        <v>672</v>
      </c>
      <c r="D154" s="1">
        <f t="shared" si="4"/>
        <v>44999</v>
      </c>
      <c r="E154" t="s">
        <v>48</v>
      </c>
      <c r="F154" t="s">
        <v>21</v>
      </c>
      <c r="G154" t="b">
        <v>1</v>
      </c>
      <c r="H154" t="b">
        <v>0</v>
      </c>
      <c r="I154" t="s">
        <v>673</v>
      </c>
      <c r="J154" t="str">
        <f>TRIM(I154)</f>
        <v>Elsie Y. Guibone</v>
      </c>
      <c r="K154" t="str">
        <f t="shared" si="5"/>
        <v>Elsie Y. Guibone</v>
      </c>
      <c r="L154" t="s">
        <v>16</v>
      </c>
    </row>
    <row r="155" spans="1:12" x14ac:dyDescent="0.3">
      <c r="A155" t="s">
        <v>674</v>
      </c>
      <c r="B155" t="s">
        <v>509</v>
      </c>
      <c r="C155" t="s">
        <v>510</v>
      </c>
      <c r="D155" s="1">
        <f t="shared" si="4"/>
        <v>45481</v>
      </c>
      <c r="E155" t="s">
        <v>60</v>
      </c>
      <c r="F155" t="s">
        <v>230</v>
      </c>
      <c r="G155" t="b">
        <v>1</v>
      </c>
      <c r="H155" t="b">
        <v>0</v>
      </c>
      <c r="I155" t="s">
        <v>675</v>
      </c>
      <c r="J155" t="str">
        <f>TRIM(I155)</f>
        <v>Jimmy E. Salamida</v>
      </c>
      <c r="K155" t="str">
        <f t="shared" si="5"/>
        <v>Jimmy E. Salamida</v>
      </c>
      <c r="L155" t="s">
        <v>16</v>
      </c>
    </row>
    <row r="156" spans="1:12" x14ac:dyDescent="0.3">
      <c r="A156" t="s">
        <v>676</v>
      </c>
      <c r="B156" t="s">
        <v>677</v>
      </c>
      <c r="C156" t="s">
        <v>592</v>
      </c>
      <c r="D156" s="1">
        <f t="shared" si="4"/>
        <v>45378</v>
      </c>
      <c r="E156" t="s">
        <v>13</v>
      </c>
      <c r="F156" t="s">
        <v>678</v>
      </c>
      <c r="G156" t="b">
        <v>1</v>
      </c>
      <c r="H156" t="b">
        <v>1</v>
      </c>
      <c r="I156" t="s">
        <v>679</v>
      </c>
      <c r="J156" t="str">
        <f>TRIM(I156)</f>
        <v>Mary Nia M. Santos</v>
      </c>
      <c r="K156" t="str">
        <f t="shared" si="5"/>
        <v>Mary Nia M. Santos</v>
      </c>
      <c r="L156" t="s">
        <v>29</v>
      </c>
    </row>
    <row r="157" spans="1:12" x14ac:dyDescent="0.3">
      <c r="A157" t="s">
        <v>680</v>
      </c>
      <c r="B157" t="s">
        <v>681</v>
      </c>
      <c r="C157" t="s">
        <v>682</v>
      </c>
      <c r="D157" s="1">
        <f t="shared" si="4"/>
        <v>44964</v>
      </c>
      <c r="E157" t="s">
        <v>514</v>
      </c>
      <c r="F157" t="s">
        <v>683</v>
      </c>
      <c r="G157" t="b">
        <v>1</v>
      </c>
      <c r="H157" t="b">
        <v>1</v>
      </c>
      <c r="I157" t="s">
        <v>684</v>
      </c>
      <c r="J157" t="str">
        <f>TRIM(I157)</f>
        <v>Dr. Sitti Zayda Halun</v>
      </c>
      <c r="K157" t="str">
        <f t="shared" si="5"/>
        <v>Dr. Sitti Zayda Halun</v>
      </c>
      <c r="L157" t="s">
        <v>29</v>
      </c>
    </row>
    <row r="158" spans="1:12" x14ac:dyDescent="0.3">
      <c r="A158" t="s">
        <v>685</v>
      </c>
      <c r="B158" t="s">
        <v>423</v>
      </c>
      <c r="C158" t="s">
        <v>479</v>
      </c>
      <c r="D158" s="1">
        <f t="shared" si="4"/>
        <v>45740</v>
      </c>
      <c r="E158" t="s">
        <v>13</v>
      </c>
      <c r="F158" t="s">
        <v>686</v>
      </c>
      <c r="G158" t="b">
        <v>1</v>
      </c>
      <c r="H158" t="b">
        <v>0</v>
      </c>
      <c r="I158" t="s">
        <v>687</v>
      </c>
      <c r="J158" t="str">
        <f>TRIM(I158)</f>
        <v>Joshua Y. Divinagracia</v>
      </c>
      <c r="K158" t="str">
        <f t="shared" si="5"/>
        <v>Joshua Y. Divinagracia</v>
      </c>
      <c r="L158" t="s">
        <v>16</v>
      </c>
    </row>
    <row r="159" spans="1:12" x14ac:dyDescent="0.3">
      <c r="A159" t="s">
        <v>688</v>
      </c>
      <c r="B159" t="s">
        <v>689</v>
      </c>
      <c r="C159" t="s">
        <v>690</v>
      </c>
      <c r="D159" s="1">
        <f t="shared" si="4"/>
        <v>45889</v>
      </c>
      <c r="E159" t="s">
        <v>66</v>
      </c>
      <c r="F159" t="s">
        <v>55</v>
      </c>
      <c r="G159" t="b">
        <v>0</v>
      </c>
      <c r="H159" t="b">
        <v>0</v>
      </c>
      <c r="I159" t="s">
        <v>691</v>
      </c>
      <c r="J159" t="str">
        <f>TRIM(I159)</f>
        <v>MISHLE JOY SARDENG</v>
      </c>
      <c r="K159" t="str">
        <f t="shared" si="5"/>
        <v>Mishle Joy Sardeng</v>
      </c>
      <c r="L159" t="s">
        <v>16</v>
      </c>
    </row>
    <row r="160" spans="1:12" x14ac:dyDescent="0.3">
      <c r="A160" t="s">
        <v>692</v>
      </c>
      <c r="B160" t="s">
        <v>505</v>
      </c>
      <c r="C160" t="s">
        <v>297</v>
      </c>
      <c r="D160" s="1">
        <f t="shared" si="4"/>
        <v>45805</v>
      </c>
      <c r="E160" t="s">
        <v>13</v>
      </c>
      <c r="F160" t="s">
        <v>693</v>
      </c>
      <c r="G160" t="b">
        <v>1</v>
      </c>
      <c r="H160" t="b">
        <v>1</v>
      </c>
      <c r="I160" t="s">
        <v>694</v>
      </c>
      <c r="J160" t="str">
        <f>TRIM(I160)</f>
        <v>Mary Jean R. Lozano</v>
      </c>
      <c r="K160" t="str">
        <f t="shared" si="5"/>
        <v>Mary Jean R. Lozano</v>
      </c>
      <c r="L160" t="s">
        <v>29</v>
      </c>
    </row>
    <row r="161" spans="1:12" x14ac:dyDescent="0.3">
      <c r="A161" t="s">
        <v>695</v>
      </c>
      <c r="B161" t="s">
        <v>147</v>
      </c>
      <c r="C161" t="s">
        <v>132</v>
      </c>
      <c r="D161" s="1">
        <f t="shared" si="4"/>
        <v>45154</v>
      </c>
      <c r="E161" t="s">
        <v>148</v>
      </c>
      <c r="F161" t="s">
        <v>696</v>
      </c>
      <c r="G161" t="b">
        <v>1</v>
      </c>
      <c r="H161" t="b">
        <v>0</v>
      </c>
      <c r="I161" t="s">
        <v>697</v>
      </c>
      <c r="J161" t="str">
        <f>TRIM(I161)</f>
        <v>Leopoldo T. Bacquial II</v>
      </c>
      <c r="K161" t="str">
        <f t="shared" si="5"/>
        <v>Leopoldo T. Bacquial Ii</v>
      </c>
      <c r="L161" t="s">
        <v>16</v>
      </c>
    </row>
    <row r="162" spans="1:12" x14ac:dyDescent="0.3">
      <c r="A162" t="s">
        <v>698</v>
      </c>
      <c r="B162" t="s">
        <v>699</v>
      </c>
      <c r="C162" t="s">
        <v>700</v>
      </c>
      <c r="D162" s="1">
        <f t="shared" si="4"/>
        <v>45886</v>
      </c>
      <c r="E162" t="s">
        <v>66</v>
      </c>
      <c r="F162" t="s">
        <v>55</v>
      </c>
      <c r="G162" t="b">
        <v>0</v>
      </c>
      <c r="H162" t="b">
        <v>0</v>
      </c>
      <c r="I162" t="s">
        <v>701</v>
      </c>
      <c r="J162" t="str">
        <f>TRIM(I162)</f>
        <v>Patrick Bongco</v>
      </c>
      <c r="K162" t="str">
        <f t="shared" si="5"/>
        <v>Patrick Bongco</v>
      </c>
      <c r="L162" t="s">
        <v>16</v>
      </c>
    </row>
    <row r="163" spans="1:12" x14ac:dyDescent="0.3">
      <c r="A163" t="s">
        <v>702</v>
      </c>
      <c r="B163" t="s">
        <v>52</v>
      </c>
      <c r="C163" t="s">
        <v>703</v>
      </c>
      <c r="D163" s="1">
        <f t="shared" si="4"/>
        <v>45885</v>
      </c>
      <c r="E163" t="s">
        <v>152</v>
      </c>
      <c r="F163" t="s">
        <v>55</v>
      </c>
      <c r="G163" t="b">
        <v>0</v>
      </c>
      <c r="H163" t="b">
        <v>0</v>
      </c>
      <c r="I163" t="s">
        <v>704</v>
      </c>
      <c r="J163" t="str">
        <f>TRIM(I163)</f>
        <v>Dr. Marciana B. Galambao</v>
      </c>
      <c r="K163" t="str">
        <f t="shared" si="5"/>
        <v>Dr. Marciana B. Galambao</v>
      </c>
      <c r="L163" t="s">
        <v>16</v>
      </c>
    </row>
    <row r="164" spans="1:12" x14ac:dyDescent="0.3">
      <c r="A164" t="s">
        <v>705</v>
      </c>
      <c r="B164" t="s">
        <v>706</v>
      </c>
      <c r="C164" t="s">
        <v>707</v>
      </c>
      <c r="D164" s="1">
        <f t="shared" si="4"/>
        <v>44725</v>
      </c>
      <c r="E164" t="s">
        <v>122</v>
      </c>
      <c r="F164" t="s">
        <v>708</v>
      </c>
      <c r="G164" t="b">
        <v>1</v>
      </c>
      <c r="H164" t="b">
        <v>0</v>
      </c>
      <c r="I164" t="s">
        <v>709</v>
      </c>
      <c r="J164" t="str">
        <f>TRIM(I164)</f>
        <v>Kneessa Louie G. Dato-on</v>
      </c>
      <c r="K164" t="str">
        <f t="shared" si="5"/>
        <v>Kneessa Louie G. Dato-On</v>
      </c>
      <c r="L164" t="s">
        <v>16</v>
      </c>
    </row>
    <row r="165" spans="1:12" x14ac:dyDescent="0.3">
      <c r="A165" t="s">
        <v>710</v>
      </c>
      <c r="B165" t="s">
        <v>711</v>
      </c>
      <c r="C165" t="s">
        <v>32</v>
      </c>
      <c r="D165" s="1">
        <f t="shared" si="4"/>
        <v>45554</v>
      </c>
      <c r="E165" t="s">
        <v>112</v>
      </c>
      <c r="F165" t="s">
        <v>712</v>
      </c>
      <c r="G165" t="b">
        <v>1</v>
      </c>
      <c r="H165" t="b">
        <v>1</v>
      </c>
      <c r="I165" t="s">
        <v>713</v>
      </c>
      <c r="J165" t="str">
        <f>TRIM(I165)</f>
        <v>Josh Emmanuel Castro</v>
      </c>
      <c r="K165" t="str">
        <f t="shared" si="5"/>
        <v>Josh Emmanuel Castro</v>
      </c>
      <c r="L165" t="s">
        <v>29</v>
      </c>
    </row>
    <row r="166" spans="1:12" x14ac:dyDescent="0.3">
      <c r="A166" t="s">
        <v>714</v>
      </c>
      <c r="B166" t="s">
        <v>715</v>
      </c>
      <c r="C166" t="s">
        <v>716</v>
      </c>
      <c r="D166" s="1">
        <f t="shared" si="4"/>
        <v>45103</v>
      </c>
      <c r="E166" t="s">
        <v>48</v>
      </c>
      <c r="F166" t="s">
        <v>717</v>
      </c>
      <c r="G166" t="b">
        <v>1</v>
      </c>
      <c r="H166" t="b">
        <v>0</v>
      </c>
      <c r="I166" t="s">
        <v>718</v>
      </c>
      <c r="J166" t="str">
        <f>TRIM(I166)</f>
        <v>Dorothy Jade P. Tacuel</v>
      </c>
      <c r="K166" t="str">
        <f t="shared" si="5"/>
        <v>Dorothy Jade P. Tacuel</v>
      </c>
      <c r="L166" t="s">
        <v>16</v>
      </c>
    </row>
    <row r="167" spans="1:12" x14ac:dyDescent="0.3">
      <c r="A167" t="s">
        <v>719</v>
      </c>
      <c r="B167" t="s">
        <v>720</v>
      </c>
      <c r="C167" t="s">
        <v>721</v>
      </c>
      <c r="D167" s="1">
        <f t="shared" si="4"/>
        <v>46083</v>
      </c>
      <c r="E167" t="s">
        <v>101</v>
      </c>
      <c r="F167" t="s">
        <v>722</v>
      </c>
      <c r="G167" t="b">
        <v>0</v>
      </c>
      <c r="H167" t="b">
        <v>0</v>
      </c>
      <c r="I167" t="s">
        <v>723</v>
      </c>
      <c r="J167" t="str">
        <f>TRIM(I167)</f>
        <v>Thea Carmelie Sorilla</v>
      </c>
      <c r="K167" t="str">
        <f t="shared" si="5"/>
        <v>Thea Carmelie Sorilla</v>
      </c>
      <c r="L167" t="s">
        <v>227</v>
      </c>
    </row>
    <row r="168" spans="1:12" x14ac:dyDescent="0.3">
      <c r="A168" t="s">
        <v>725</v>
      </c>
      <c r="B168" t="s">
        <v>488</v>
      </c>
      <c r="C168" t="s">
        <v>187</v>
      </c>
      <c r="D168" s="1">
        <f t="shared" si="4"/>
        <v>43873</v>
      </c>
      <c r="E168" t="s">
        <v>60</v>
      </c>
      <c r="F168" t="s">
        <v>726</v>
      </c>
      <c r="G168" t="b">
        <v>1</v>
      </c>
      <c r="H168" t="b">
        <v>0</v>
      </c>
      <c r="I168" t="s">
        <v>727</v>
      </c>
      <c r="J168" t="str">
        <f>TRIM(I168)</f>
        <v>Nowena S. Solidum</v>
      </c>
      <c r="K168" t="str">
        <f t="shared" si="5"/>
        <v>Nowena S. Solidum</v>
      </c>
      <c r="L168" t="s">
        <v>16</v>
      </c>
    </row>
    <row r="169" spans="1:12" x14ac:dyDescent="0.3">
      <c r="A169" t="s">
        <v>728</v>
      </c>
      <c r="B169" t="s">
        <v>18</v>
      </c>
      <c r="C169" t="s">
        <v>729</v>
      </c>
      <c r="D169" s="1">
        <f t="shared" si="4"/>
        <v>45828</v>
      </c>
      <c r="E169" t="s">
        <v>730</v>
      </c>
      <c r="F169" t="s">
        <v>731</v>
      </c>
      <c r="G169" t="b">
        <v>1</v>
      </c>
      <c r="H169" t="b">
        <v>0</v>
      </c>
      <c r="I169" t="s">
        <v>732</v>
      </c>
      <c r="J169" t="str">
        <f>TRIM(I169)</f>
        <v>Ivy S. Arizapa</v>
      </c>
      <c r="K169" t="str">
        <f t="shared" si="5"/>
        <v>Ivy S. Arizapa</v>
      </c>
      <c r="L169" t="s">
        <v>16</v>
      </c>
    </row>
    <row r="170" spans="1:12" x14ac:dyDescent="0.3">
      <c r="A170" t="s">
        <v>733</v>
      </c>
      <c r="B170" t="s">
        <v>734</v>
      </c>
      <c r="C170" t="s">
        <v>735</v>
      </c>
      <c r="D170" s="1">
        <f t="shared" si="4"/>
        <v>44985</v>
      </c>
      <c r="E170" t="s">
        <v>112</v>
      </c>
      <c r="F170" t="s">
        <v>21</v>
      </c>
      <c r="G170" t="b">
        <v>1</v>
      </c>
      <c r="H170" t="b">
        <v>0</v>
      </c>
      <c r="I170" t="s">
        <v>736</v>
      </c>
      <c r="J170" t="str">
        <f>TRIM(I170)</f>
        <v>Arnel Adrian Rara</v>
      </c>
      <c r="K170" t="str">
        <f t="shared" si="5"/>
        <v>Arnel Adrian Rara</v>
      </c>
      <c r="L170" t="s">
        <v>16</v>
      </c>
    </row>
    <row r="171" spans="1:12" x14ac:dyDescent="0.3">
      <c r="A171" t="s">
        <v>737</v>
      </c>
      <c r="B171" t="s">
        <v>738</v>
      </c>
      <c r="C171" t="s">
        <v>739</v>
      </c>
      <c r="D171" s="1">
        <f t="shared" si="4"/>
        <v>46035</v>
      </c>
      <c r="E171" t="s">
        <v>66</v>
      </c>
      <c r="F171" t="s">
        <v>740</v>
      </c>
      <c r="G171" t="b">
        <v>0</v>
      </c>
      <c r="H171" t="b">
        <v>0</v>
      </c>
      <c r="I171" t="s">
        <v>741</v>
      </c>
      <c r="J171" t="str">
        <f>TRIM(I171)</f>
        <v>BS Medical Laboratory Science Students</v>
      </c>
      <c r="K171" t="str">
        <f t="shared" si="5"/>
        <v>Bs Medical Laboratory Science Students</v>
      </c>
      <c r="L171" t="s">
        <v>16</v>
      </c>
    </row>
    <row r="172" spans="1:12" x14ac:dyDescent="0.3">
      <c r="A172" t="s">
        <v>742</v>
      </c>
      <c r="B172" t="s">
        <v>743</v>
      </c>
      <c r="C172" t="s">
        <v>744</v>
      </c>
      <c r="D172" s="1">
        <f t="shared" si="4"/>
        <v>46078</v>
      </c>
      <c r="E172" t="s">
        <v>48</v>
      </c>
      <c r="F172" t="s">
        <v>745</v>
      </c>
      <c r="G172" t="b">
        <v>0</v>
      </c>
      <c r="H172" t="b">
        <v>1</v>
      </c>
      <c r="I172" t="s">
        <v>746</v>
      </c>
      <c r="J172" t="str">
        <f>TRIM(I172)</f>
        <v>DOH-PGC Genomic Biosurveillance efforts in Luzon, Visayas and Mindanao Project</v>
      </c>
      <c r="K172" t="str">
        <f t="shared" si="5"/>
        <v>Doh-Pgc Genomic Biosurveillance Efforts In Luzon, Visayas And Mindanao Project</v>
      </c>
      <c r="L172" t="s">
        <v>29</v>
      </c>
    </row>
    <row r="173" spans="1:12" x14ac:dyDescent="0.3">
      <c r="A173" t="s">
        <v>747</v>
      </c>
      <c r="B173" t="s">
        <v>159</v>
      </c>
      <c r="C173" t="s">
        <v>268</v>
      </c>
      <c r="D173" s="1">
        <f t="shared" si="4"/>
        <v>45364</v>
      </c>
      <c r="E173" t="s">
        <v>112</v>
      </c>
      <c r="F173" t="s">
        <v>748</v>
      </c>
      <c r="G173" t="b">
        <v>1</v>
      </c>
      <c r="H173" t="b">
        <v>0</v>
      </c>
      <c r="I173" t="s">
        <v>749</v>
      </c>
      <c r="J173" t="str">
        <f>TRIM(I173)</f>
        <v>Jinelyn D. Kapaw-an</v>
      </c>
      <c r="K173" t="str">
        <f t="shared" si="5"/>
        <v>Jinelyn D. Kapaw-An</v>
      </c>
      <c r="L173" t="s">
        <v>16</v>
      </c>
    </row>
    <row r="174" spans="1:12" x14ac:dyDescent="0.3">
      <c r="A174" t="s">
        <v>750</v>
      </c>
      <c r="B174" t="s">
        <v>263</v>
      </c>
      <c r="C174" t="s">
        <v>264</v>
      </c>
      <c r="D174" s="1">
        <f t="shared" si="4"/>
        <v>44859</v>
      </c>
      <c r="E174" t="s">
        <v>13</v>
      </c>
      <c r="F174" t="s">
        <v>751</v>
      </c>
      <c r="G174" t="b">
        <v>1</v>
      </c>
      <c r="H174" t="b">
        <v>0</v>
      </c>
      <c r="I174" t="s">
        <v>752</v>
      </c>
      <c r="J174" t="str">
        <f>TRIM(I174)</f>
        <v>Ella Marie E. Villaruz</v>
      </c>
      <c r="K174" t="str">
        <f t="shared" si="5"/>
        <v>Ella Marie E. Villaruz</v>
      </c>
      <c r="L174" t="s">
        <v>16</v>
      </c>
    </row>
    <row r="175" spans="1:12" x14ac:dyDescent="0.3">
      <c r="A175" t="s">
        <v>753</v>
      </c>
      <c r="B175" t="s">
        <v>754</v>
      </c>
      <c r="C175" t="s">
        <v>755</v>
      </c>
      <c r="D175" s="1">
        <f t="shared" si="4"/>
        <v>45418</v>
      </c>
      <c r="E175" t="s">
        <v>112</v>
      </c>
      <c r="F175" t="s">
        <v>756</v>
      </c>
      <c r="G175" t="b">
        <v>1</v>
      </c>
      <c r="H175" t="b">
        <v>1</v>
      </c>
      <c r="I175" t="s">
        <v>757</v>
      </c>
      <c r="J175" t="str">
        <f>TRIM(I175)</f>
        <v>Gavin Louie M. Amolo</v>
      </c>
      <c r="K175" t="str">
        <f t="shared" si="5"/>
        <v>Gavin Louie M. Amolo</v>
      </c>
      <c r="L175" t="s">
        <v>29</v>
      </c>
    </row>
    <row r="176" spans="1:12" x14ac:dyDescent="0.3">
      <c r="A176" t="s">
        <v>758</v>
      </c>
      <c r="B176" t="s">
        <v>342</v>
      </c>
      <c r="C176" t="s">
        <v>343</v>
      </c>
      <c r="D176" s="1">
        <f t="shared" si="4"/>
        <v>45664</v>
      </c>
      <c r="E176" t="s">
        <v>143</v>
      </c>
      <c r="F176" t="s">
        <v>344</v>
      </c>
      <c r="G176" t="b">
        <v>1</v>
      </c>
      <c r="H176" t="b">
        <v>0</v>
      </c>
      <c r="I176" t="s">
        <v>759</v>
      </c>
      <c r="J176" t="str">
        <f>TRIM(I176)</f>
        <v>Christy Anne Morales</v>
      </c>
      <c r="K176" t="str">
        <f t="shared" si="5"/>
        <v>Christy Anne Morales</v>
      </c>
      <c r="L176" t="s">
        <v>16</v>
      </c>
    </row>
    <row r="177" spans="1:12" x14ac:dyDescent="0.3">
      <c r="A177" t="s">
        <v>760</v>
      </c>
      <c r="B177" t="s">
        <v>31</v>
      </c>
      <c r="C177" t="s">
        <v>569</v>
      </c>
      <c r="D177" s="1">
        <f t="shared" si="4"/>
        <v>45119</v>
      </c>
      <c r="E177" t="s">
        <v>48</v>
      </c>
      <c r="F177" t="s">
        <v>761</v>
      </c>
      <c r="G177" t="b">
        <v>1</v>
      </c>
      <c r="H177" t="b">
        <v>1</v>
      </c>
      <c r="I177" t="s">
        <v>762</v>
      </c>
      <c r="J177" t="str">
        <f>TRIM(I177)</f>
        <v>Mark S. Calabon</v>
      </c>
      <c r="K177" t="str">
        <f t="shared" si="5"/>
        <v>Mark S. Calabon</v>
      </c>
      <c r="L177" t="s">
        <v>29</v>
      </c>
    </row>
    <row r="178" spans="1:12" x14ac:dyDescent="0.3">
      <c r="A178" t="s">
        <v>763</v>
      </c>
      <c r="B178" t="s">
        <v>586</v>
      </c>
      <c r="C178" t="s">
        <v>321</v>
      </c>
      <c r="D178" s="1">
        <f t="shared" si="4"/>
        <v>45335</v>
      </c>
      <c r="E178" t="s">
        <v>112</v>
      </c>
      <c r="F178" t="s">
        <v>764</v>
      </c>
      <c r="G178" t="b">
        <v>1</v>
      </c>
      <c r="H178" t="b">
        <v>1</v>
      </c>
      <c r="I178" t="s">
        <v>765</v>
      </c>
      <c r="J178" t="str">
        <f>TRIM(I178)</f>
        <v>Ram Nikko U. Delegero</v>
      </c>
      <c r="K178" t="str">
        <f t="shared" si="5"/>
        <v>Ram Nikko U. Delegero</v>
      </c>
      <c r="L178" t="s">
        <v>29</v>
      </c>
    </row>
    <row r="179" spans="1:12" x14ac:dyDescent="0.3">
      <c r="A179" t="s">
        <v>766</v>
      </c>
      <c r="B179" t="s">
        <v>767</v>
      </c>
      <c r="C179" t="s">
        <v>768</v>
      </c>
      <c r="D179" s="1">
        <f t="shared" si="4"/>
        <v>45618</v>
      </c>
      <c r="E179" t="s">
        <v>112</v>
      </c>
      <c r="F179" t="s">
        <v>769</v>
      </c>
      <c r="G179" t="b">
        <v>1</v>
      </c>
      <c r="H179" t="b">
        <v>0</v>
      </c>
      <c r="I179" t="s">
        <v>770</v>
      </c>
      <c r="J179" t="str">
        <f>TRIM(I179)</f>
        <v>Cid Jeriko Dadibalos</v>
      </c>
      <c r="K179" t="str">
        <f t="shared" si="5"/>
        <v>Cid Jeriko Dadibalos</v>
      </c>
      <c r="L179" t="s">
        <v>16</v>
      </c>
    </row>
    <row r="180" spans="1:12" x14ac:dyDescent="0.3">
      <c r="A180" t="s">
        <v>771</v>
      </c>
      <c r="B180" t="s">
        <v>772</v>
      </c>
      <c r="C180" t="s">
        <v>773</v>
      </c>
      <c r="D180" s="1">
        <f t="shared" si="4"/>
        <v>45610</v>
      </c>
      <c r="E180" t="s">
        <v>60</v>
      </c>
      <c r="F180" t="s">
        <v>774</v>
      </c>
      <c r="G180" t="b">
        <v>1</v>
      </c>
      <c r="H180" t="b">
        <v>1</v>
      </c>
      <c r="I180" t="s">
        <v>775</v>
      </c>
      <c r="J180" t="str">
        <f>TRIM(I180)</f>
        <v>Albaris Tahiluddin</v>
      </c>
      <c r="K180" t="str">
        <f t="shared" si="5"/>
        <v>Albaris Tahiluddin</v>
      </c>
      <c r="L180" t="s">
        <v>29</v>
      </c>
    </row>
    <row r="181" spans="1:12" x14ac:dyDescent="0.3">
      <c r="A181" t="s">
        <v>776</v>
      </c>
      <c r="B181" t="s">
        <v>777</v>
      </c>
      <c r="C181" t="s">
        <v>778</v>
      </c>
      <c r="D181" s="1">
        <f t="shared" si="4"/>
        <v>44972</v>
      </c>
      <c r="E181" t="s">
        <v>514</v>
      </c>
      <c r="F181" t="s">
        <v>21</v>
      </c>
      <c r="G181" t="b">
        <v>1</v>
      </c>
      <c r="H181" t="b">
        <v>0</v>
      </c>
      <c r="I181" t="s">
        <v>779</v>
      </c>
      <c r="J181" t="str">
        <f>TRIM(I181)</f>
        <v>Reynaldo P. Peja Jr.</v>
      </c>
      <c r="K181" t="str">
        <f t="shared" si="5"/>
        <v>Reynaldo P. Peja Jr.</v>
      </c>
      <c r="L181" t="s">
        <v>16</v>
      </c>
    </row>
    <row r="182" spans="1:12" x14ac:dyDescent="0.3">
      <c r="A182" t="s">
        <v>780</v>
      </c>
      <c r="B182" t="s">
        <v>781</v>
      </c>
      <c r="C182" t="s">
        <v>782</v>
      </c>
      <c r="D182" s="1">
        <f t="shared" si="4"/>
        <v>44435</v>
      </c>
      <c r="E182" t="s">
        <v>60</v>
      </c>
      <c r="F182" t="s">
        <v>783</v>
      </c>
      <c r="G182" t="b">
        <v>1</v>
      </c>
      <c r="H182" t="b">
        <v>0</v>
      </c>
      <c r="I182" t="s">
        <v>784</v>
      </c>
      <c r="J182" t="str">
        <f>TRIM(I182)</f>
        <v>Carolyn T. Mejares</v>
      </c>
      <c r="K182" t="str">
        <f t="shared" si="5"/>
        <v>Carolyn T. Mejares</v>
      </c>
      <c r="L182" t="s">
        <v>16</v>
      </c>
    </row>
    <row r="183" spans="1:12" x14ac:dyDescent="0.3">
      <c r="A183" t="s">
        <v>785</v>
      </c>
      <c r="B183" t="s">
        <v>715</v>
      </c>
      <c r="C183" t="s">
        <v>716</v>
      </c>
      <c r="D183" s="1">
        <f t="shared" si="4"/>
        <v>45103</v>
      </c>
      <c r="E183" t="s">
        <v>48</v>
      </c>
      <c r="F183" t="s">
        <v>786</v>
      </c>
      <c r="G183" t="b">
        <v>1</v>
      </c>
      <c r="H183" t="b">
        <v>0</v>
      </c>
      <c r="I183" t="s">
        <v>787</v>
      </c>
      <c r="J183" t="str">
        <f>TRIM(I183)</f>
        <v>Jemiah Ashelle Grace K. Vasquez</v>
      </c>
      <c r="K183" t="str">
        <f t="shared" si="5"/>
        <v>Jemiah Ashelle Grace K. Vasquez</v>
      </c>
      <c r="L183" t="s">
        <v>16</v>
      </c>
    </row>
    <row r="184" spans="1:12" x14ac:dyDescent="0.3">
      <c r="A184" t="s">
        <v>788</v>
      </c>
      <c r="B184" t="s">
        <v>789</v>
      </c>
      <c r="C184" t="s">
        <v>790</v>
      </c>
      <c r="D184" s="1">
        <f t="shared" si="4"/>
        <v>45885</v>
      </c>
      <c r="E184" t="s">
        <v>152</v>
      </c>
      <c r="F184" t="s">
        <v>55</v>
      </c>
      <c r="G184" t="b">
        <v>0</v>
      </c>
      <c r="H184" t="b">
        <v>0</v>
      </c>
      <c r="I184" t="s">
        <v>791</v>
      </c>
      <c r="J184" t="str">
        <f>TRIM(I184)</f>
        <v>Arkady Tahil</v>
      </c>
      <c r="K184" t="str">
        <f t="shared" si="5"/>
        <v>Arkady Tahil</v>
      </c>
      <c r="L184" t="s">
        <v>16</v>
      </c>
    </row>
    <row r="185" spans="1:12" x14ac:dyDescent="0.3">
      <c r="A185" t="s">
        <v>792</v>
      </c>
      <c r="B185" t="s">
        <v>85</v>
      </c>
      <c r="C185" t="s">
        <v>793</v>
      </c>
      <c r="D185" s="1">
        <f t="shared" si="4"/>
        <v>45390</v>
      </c>
      <c r="E185" t="s">
        <v>13</v>
      </c>
      <c r="F185" t="s">
        <v>794</v>
      </c>
      <c r="G185" t="b">
        <v>1</v>
      </c>
      <c r="H185" t="b">
        <v>0</v>
      </c>
      <c r="I185" t="s">
        <v>795</v>
      </c>
      <c r="J185" t="str">
        <f>TRIM(I185)</f>
        <v>Therese Javellana</v>
      </c>
      <c r="K185" t="str">
        <f t="shared" si="5"/>
        <v>Therese Javellana</v>
      </c>
      <c r="L185" t="s">
        <v>16</v>
      </c>
    </row>
    <row r="186" spans="1:12" x14ac:dyDescent="0.3">
      <c r="A186" t="s">
        <v>796</v>
      </c>
      <c r="B186" t="s">
        <v>797</v>
      </c>
      <c r="C186" t="s">
        <v>798</v>
      </c>
      <c r="D186" s="1">
        <f t="shared" si="4"/>
        <v>45797</v>
      </c>
      <c r="E186" t="s">
        <v>60</v>
      </c>
      <c r="F186" t="s">
        <v>799</v>
      </c>
      <c r="G186" t="b">
        <v>1</v>
      </c>
      <c r="H186" t="b">
        <v>1</v>
      </c>
      <c r="I186" t="s">
        <v>800</v>
      </c>
      <c r="J186" t="str">
        <f>TRIM(I186)</f>
        <v>Jelly D. Layda</v>
      </c>
      <c r="K186" t="str">
        <f t="shared" si="5"/>
        <v>Jelly D. Layda</v>
      </c>
      <c r="L186" t="s">
        <v>29</v>
      </c>
    </row>
    <row r="187" spans="1:12" x14ac:dyDescent="0.3">
      <c r="A187" t="s">
        <v>801</v>
      </c>
      <c r="B187" t="s">
        <v>11</v>
      </c>
      <c r="C187" t="s">
        <v>802</v>
      </c>
      <c r="D187" s="1">
        <f t="shared" si="4"/>
        <v>45772</v>
      </c>
      <c r="E187" t="s">
        <v>13</v>
      </c>
      <c r="F187" t="s">
        <v>803</v>
      </c>
      <c r="G187" t="b">
        <v>1</v>
      </c>
      <c r="H187" t="b">
        <v>0</v>
      </c>
      <c r="I187" t="s">
        <v>804</v>
      </c>
      <c r="J187" t="str">
        <f>TRIM(I187)</f>
        <v>Kayla Marie F Parreño</v>
      </c>
      <c r="K187" t="str">
        <f t="shared" si="5"/>
        <v>Kayla Marie F Parreño</v>
      </c>
      <c r="L187" t="s">
        <v>16</v>
      </c>
    </row>
    <row r="188" spans="1:12" x14ac:dyDescent="0.3">
      <c r="A188" t="s">
        <v>805</v>
      </c>
      <c r="B188" t="s">
        <v>806</v>
      </c>
      <c r="C188" t="s">
        <v>187</v>
      </c>
      <c r="D188" s="1">
        <f t="shared" si="4"/>
        <v>43873</v>
      </c>
      <c r="E188" t="s">
        <v>13</v>
      </c>
      <c r="F188" t="s">
        <v>807</v>
      </c>
      <c r="G188" t="b">
        <v>1</v>
      </c>
      <c r="H188" t="b">
        <v>0</v>
      </c>
      <c r="I188" t="s">
        <v>808</v>
      </c>
      <c r="J188" t="str">
        <f>TRIM(I188)</f>
        <v>Mary Antonette F. Atilano</v>
      </c>
      <c r="K188" t="str">
        <f t="shared" si="5"/>
        <v>Mary Antonette F. Atilano</v>
      </c>
      <c r="L188" t="s">
        <v>16</v>
      </c>
    </row>
    <row r="189" spans="1:12" x14ac:dyDescent="0.3">
      <c r="A189" t="s">
        <v>809</v>
      </c>
      <c r="B189" t="s">
        <v>105</v>
      </c>
      <c r="C189" t="s">
        <v>810</v>
      </c>
      <c r="D189" s="1">
        <f t="shared" si="4"/>
        <v>44015</v>
      </c>
      <c r="E189" t="s">
        <v>122</v>
      </c>
      <c r="F189" t="s">
        <v>811</v>
      </c>
      <c r="G189" t="b">
        <v>1</v>
      </c>
      <c r="H189" t="b">
        <v>0</v>
      </c>
      <c r="I189" t="s">
        <v>812</v>
      </c>
      <c r="J189" t="str">
        <f>TRIM(I189)</f>
        <v>Nadalene Faith N. Cartago</v>
      </c>
      <c r="K189" t="str">
        <f t="shared" si="5"/>
        <v>Nadalene Faith N. Cartago</v>
      </c>
      <c r="L189" t="s">
        <v>16</v>
      </c>
    </row>
    <row r="190" spans="1:12" x14ac:dyDescent="0.3">
      <c r="A190" t="s">
        <v>813</v>
      </c>
      <c r="B190" t="s">
        <v>814</v>
      </c>
      <c r="C190" t="s">
        <v>815</v>
      </c>
      <c r="D190" s="1">
        <f t="shared" si="4"/>
        <v>44628</v>
      </c>
      <c r="E190" t="s">
        <v>13</v>
      </c>
      <c r="F190" t="s">
        <v>816</v>
      </c>
      <c r="G190" t="b">
        <v>1</v>
      </c>
      <c r="H190" t="b">
        <v>0</v>
      </c>
      <c r="I190" t="s">
        <v>817</v>
      </c>
      <c r="J190" t="str">
        <f>TRIM(I190)</f>
        <v>Luke Dranoel D. Atencio</v>
      </c>
      <c r="K190" t="str">
        <f t="shared" si="5"/>
        <v>Luke Dranoel D. Atencio</v>
      </c>
      <c r="L190" t="s">
        <v>16</v>
      </c>
    </row>
    <row r="191" spans="1:12" x14ac:dyDescent="0.3">
      <c r="A191" t="s">
        <v>818</v>
      </c>
      <c r="B191" t="s">
        <v>819</v>
      </c>
      <c r="C191" t="s">
        <v>820</v>
      </c>
      <c r="D191" s="1">
        <f t="shared" si="4"/>
        <v>46066</v>
      </c>
      <c r="E191" t="s">
        <v>66</v>
      </c>
      <c r="F191" t="s">
        <v>821</v>
      </c>
      <c r="G191" t="b">
        <v>0</v>
      </c>
      <c r="H191" t="b">
        <v>1</v>
      </c>
      <c r="I191" t="s">
        <v>822</v>
      </c>
      <c r="J191" t="str">
        <f>TRIM(I191)</f>
        <v>Marianne Lovella KZ Fabella</v>
      </c>
      <c r="K191" t="str">
        <f t="shared" si="5"/>
        <v>Marianne Lovella Kz Fabella</v>
      </c>
      <c r="L191" t="s">
        <v>29</v>
      </c>
    </row>
    <row r="192" spans="1:12" x14ac:dyDescent="0.3">
      <c r="A192" t="s">
        <v>823</v>
      </c>
      <c r="B192" t="s">
        <v>824</v>
      </c>
      <c r="C192" t="s">
        <v>735</v>
      </c>
      <c r="D192" s="1">
        <f t="shared" si="4"/>
        <v>44985</v>
      </c>
      <c r="E192" t="s">
        <v>60</v>
      </c>
      <c r="F192" t="s">
        <v>825</v>
      </c>
      <c r="G192" t="b">
        <v>1</v>
      </c>
      <c r="H192" t="b">
        <v>1</v>
      </c>
      <c r="I192" t="s">
        <v>826</v>
      </c>
      <c r="J192" t="str">
        <f>TRIM(I192)</f>
        <v>Shereen A. Merro</v>
      </c>
      <c r="K192" t="str">
        <f t="shared" si="5"/>
        <v>Shereen A. Merro</v>
      </c>
      <c r="L192" t="s">
        <v>29</v>
      </c>
    </row>
    <row r="193" spans="1:12" x14ac:dyDescent="0.3">
      <c r="A193" t="s">
        <v>827</v>
      </c>
      <c r="B193" t="s">
        <v>715</v>
      </c>
      <c r="C193" t="s">
        <v>716</v>
      </c>
      <c r="D193" s="1">
        <f t="shared" si="4"/>
        <v>45103</v>
      </c>
      <c r="E193" t="s">
        <v>48</v>
      </c>
      <c r="F193" t="s">
        <v>828</v>
      </c>
      <c r="G193" t="b">
        <v>1</v>
      </c>
      <c r="H193" t="b">
        <v>0</v>
      </c>
      <c r="I193" t="s">
        <v>829</v>
      </c>
      <c r="J193" t="str">
        <f>TRIM(I193)</f>
        <v>Harold P. Mediodia</v>
      </c>
      <c r="K193" t="str">
        <f t="shared" si="5"/>
        <v>Harold P. Mediodia</v>
      </c>
      <c r="L193" t="s">
        <v>16</v>
      </c>
    </row>
    <row r="194" spans="1:12" x14ac:dyDescent="0.3">
      <c r="A194" t="s">
        <v>830</v>
      </c>
      <c r="B194" t="s">
        <v>831</v>
      </c>
      <c r="C194" t="s">
        <v>832</v>
      </c>
      <c r="D194" s="1">
        <f t="shared" ref="D194:D257" si="6">DATEVALUE(LEFT(C194,10))</f>
        <v>45890</v>
      </c>
      <c r="E194" t="s">
        <v>833</v>
      </c>
      <c r="F194" t="s">
        <v>55</v>
      </c>
      <c r="G194" t="b">
        <v>0</v>
      </c>
      <c r="H194" t="b">
        <v>0</v>
      </c>
      <c r="I194" t="s">
        <v>834</v>
      </c>
      <c r="J194" t="str">
        <f>TRIM(I194)</f>
        <v>Rian Lorenzo V. Mascariñas</v>
      </c>
      <c r="K194" t="str">
        <f t="shared" si="5"/>
        <v>Rian Lorenzo V. Mascariñas</v>
      </c>
      <c r="L194" t="s">
        <v>16</v>
      </c>
    </row>
    <row r="195" spans="1:12" x14ac:dyDescent="0.3">
      <c r="A195" t="s">
        <v>835</v>
      </c>
      <c r="B195" t="s">
        <v>80</v>
      </c>
      <c r="C195" t="s">
        <v>513</v>
      </c>
      <c r="D195" s="1">
        <f t="shared" si="6"/>
        <v>44622</v>
      </c>
      <c r="E195" t="s">
        <v>13</v>
      </c>
      <c r="F195" t="s">
        <v>836</v>
      </c>
      <c r="G195" t="b">
        <v>1</v>
      </c>
      <c r="H195" t="b">
        <v>0</v>
      </c>
      <c r="I195" t="s">
        <v>837</v>
      </c>
      <c r="J195" t="str">
        <f>TRIM(I195)</f>
        <v>Shea Kathleen P. Guinto</v>
      </c>
      <c r="K195" t="str">
        <f t="shared" ref="K195:K258" si="7">PROPER(J195)</f>
        <v>Shea Kathleen P. Guinto</v>
      </c>
      <c r="L195" t="s">
        <v>16</v>
      </c>
    </row>
    <row r="196" spans="1:12" x14ac:dyDescent="0.3">
      <c r="A196" t="s">
        <v>838</v>
      </c>
      <c r="B196" t="s">
        <v>147</v>
      </c>
      <c r="C196" t="s">
        <v>132</v>
      </c>
      <c r="D196" s="1">
        <f t="shared" si="6"/>
        <v>45154</v>
      </c>
      <c r="E196" t="s">
        <v>148</v>
      </c>
      <c r="F196" t="s">
        <v>839</v>
      </c>
      <c r="G196" t="b">
        <v>1</v>
      </c>
      <c r="H196" t="b">
        <v>0</v>
      </c>
      <c r="I196" t="s">
        <v>840</v>
      </c>
      <c r="J196" t="str">
        <f>TRIM(I196)</f>
        <v>Zeb Jose Joshua C. Cabalfin</v>
      </c>
      <c r="K196" t="str">
        <f t="shared" si="7"/>
        <v>Zeb Jose Joshua C. Cabalfin</v>
      </c>
      <c r="L196" t="s">
        <v>16</v>
      </c>
    </row>
    <row r="197" spans="1:12" x14ac:dyDescent="0.3">
      <c r="A197" t="s">
        <v>841</v>
      </c>
      <c r="B197" t="s">
        <v>316</v>
      </c>
      <c r="C197" t="s">
        <v>317</v>
      </c>
      <c r="D197" s="1">
        <f t="shared" si="6"/>
        <v>45573</v>
      </c>
      <c r="E197" t="s">
        <v>112</v>
      </c>
      <c r="F197" t="s">
        <v>751</v>
      </c>
      <c r="G197" t="b">
        <v>1</v>
      </c>
      <c r="H197" t="b">
        <v>0</v>
      </c>
      <c r="I197" t="s">
        <v>842</v>
      </c>
      <c r="J197" t="str">
        <f>TRIM(I197)</f>
        <v>Ella Marie Villaruz</v>
      </c>
      <c r="K197" t="str">
        <f t="shared" si="7"/>
        <v>Ella Marie Villaruz</v>
      </c>
      <c r="L197" t="s">
        <v>16</v>
      </c>
    </row>
    <row r="198" spans="1:12" x14ac:dyDescent="0.3">
      <c r="A198" t="s">
        <v>843</v>
      </c>
      <c r="B198" t="s">
        <v>844</v>
      </c>
      <c r="C198" t="s">
        <v>845</v>
      </c>
      <c r="D198" s="1">
        <f t="shared" si="6"/>
        <v>45890</v>
      </c>
      <c r="E198" t="s">
        <v>152</v>
      </c>
      <c r="F198" t="s">
        <v>55</v>
      </c>
      <c r="G198" t="b">
        <v>0</v>
      </c>
      <c r="H198" t="b">
        <v>0</v>
      </c>
      <c r="I198" t="s">
        <v>846</v>
      </c>
      <c r="J198" t="str">
        <f>TRIM(I198)</f>
        <v>Jeanette Marie Dua</v>
      </c>
      <c r="K198" t="str">
        <f t="shared" si="7"/>
        <v>Jeanette Marie Dua</v>
      </c>
      <c r="L198" t="s">
        <v>16</v>
      </c>
    </row>
    <row r="199" spans="1:12" x14ac:dyDescent="0.3">
      <c r="A199" t="s">
        <v>847</v>
      </c>
      <c r="B199" t="s">
        <v>431</v>
      </c>
      <c r="C199" t="s">
        <v>848</v>
      </c>
      <c r="D199" s="1">
        <f t="shared" si="6"/>
        <v>46050</v>
      </c>
      <c r="E199" t="s">
        <v>66</v>
      </c>
      <c r="F199" t="s">
        <v>849</v>
      </c>
      <c r="G199" t="b">
        <v>0</v>
      </c>
      <c r="H199" t="b">
        <v>0</v>
      </c>
      <c r="I199" t="s">
        <v>850</v>
      </c>
      <c r="J199" t="str">
        <f>TRIM(I199)</f>
        <v>Lynessa Samel Simbajon</v>
      </c>
      <c r="K199" t="str">
        <f t="shared" si="7"/>
        <v>Lynessa Samel Simbajon</v>
      </c>
      <c r="L199" t="s">
        <v>16</v>
      </c>
    </row>
    <row r="200" spans="1:12" x14ac:dyDescent="0.3">
      <c r="A200" t="s">
        <v>851</v>
      </c>
      <c r="B200" t="s">
        <v>852</v>
      </c>
      <c r="C200" t="s">
        <v>853</v>
      </c>
      <c r="D200" s="1">
        <f t="shared" si="6"/>
        <v>45020</v>
      </c>
      <c r="E200" t="s">
        <v>13</v>
      </c>
      <c r="F200" t="s">
        <v>854</v>
      </c>
      <c r="G200" t="b">
        <v>1</v>
      </c>
      <c r="H200" t="b">
        <v>0</v>
      </c>
      <c r="I200" t="s">
        <v>855</v>
      </c>
      <c r="J200" t="str">
        <f>TRIM(I200)</f>
        <v>Karmelie Jane Monaya</v>
      </c>
      <c r="K200" t="str">
        <f t="shared" si="7"/>
        <v>Karmelie Jane Monaya</v>
      </c>
      <c r="L200" t="s">
        <v>16</v>
      </c>
    </row>
    <row r="201" spans="1:12" x14ac:dyDescent="0.3">
      <c r="A201" t="s">
        <v>856</v>
      </c>
      <c r="B201" t="s">
        <v>857</v>
      </c>
      <c r="C201" t="s">
        <v>858</v>
      </c>
      <c r="D201" s="1">
        <f t="shared" si="6"/>
        <v>45888</v>
      </c>
      <c r="E201" t="s">
        <v>101</v>
      </c>
      <c r="F201" t="s">
        <v>55</v>
      </c>
      <c r="G201" t="b">
        <v>0</v>
      </c>
      <c r="H201" t="b">
        <v>0</v>
      </c>
      <c r="I201" t="s">
        <v>859</v>
      </c>
      <c r="J201" t="str">
        <f>TRIM(I201)</f>
        <v>Elijah Gabrielle Estrada Silverio</v>
      </c>
      <c r="K201" t="str">
        <f t="shared" si="7"/>
        <v>Elijah Gabrielle Estrada Silverio</v>
      </c>
      <c r="L201" t="s">
        <v>16</v>
      </c>
    </row>
    <row r="202" spans="1:12" x14ac:dyDescent="0.3">
      <c r="A202" t="s">
        <v>860</v>
      </c>
      <c r="B202" t="s">
        <v>861</v>
      </c>
      <c r="C202" t="s">
        <v>862</v>
      </c>
      <c r="D202" s="1">
        <f t="shared" si="6"/>
        <v>45085</v>
      </c>
      <c r="E202" t="s">
        <v>48</v>
      </c>
      <c r="F202" t="s">
        <v>21</v>
      </c>
      <c r="G202" t="b">
        <v>1</v>
      </c>
      <c r="H202" t="b">
        <v>0</v>
      </c>
      <c r="I202" t="s">
        <v>863</v>
      </c>
      <c r="J202" t="str">
        <f>TRIM(I202)</f>
        <v>Ella Marie Kristine Baldove</v>
      </c>
      <c r="K202" t="str">
        <f t="shared" si="7"/>
        <v>Ella Marie Kristine Baldove</v>
      </c>
      <c r="L202" t="s">
        <v>16</v>
      </c>
    </row>
    <row r="203" spans="1:12" x14ac:dyDescent="0.3">
      <c r="A203" t="s">
        <v>864</v>
      </c>
      <c r="B203" t="s">
        <v>463</v>
      </c>
      <c r="C203" t="s">
        <v>464</v>
      </c>
      <c r="D203" s="1">
        <f t="shared" si="6"/>
        <v>45719</v>
      </c>
      <c r="E203" t="s">
        <v>60</v>
      </c>
      <c r="F203" t="s">
        <v>865</v>
      </c>
      <c r="G203" t="b">
        <v>1</v>
      </c>
      <c r="H203" t="b">
        <v>0</v>
      </c>
      <c r="I203" t="s">
        <v>866</v>
      </c>
      <c r="J203" t="str">
        <f>TRIM(I203)</f>
        <v>Hazel M. Joyohoy</v>
      </c>
      <c r="K203" t="str">
        <f t="shared" si="7"/>
        <v>Hazel M. Joyohoy</v>
      </c>
      <c r="L203" t="s">
        <v>16</v>
      </c>
    </row>
    <row r="204" spans="1:12" x14ac:dyDescent="0.3">
      <c r="A204" t="s">
        <v>867</v>
      </c>
      <c r="B204" t="s">
        <v>147</v>
      </c>
      <c r="C204" t="s">
        <v>132</v>
      </c>
      <c r="D204" s="1">
        <f t="shared" si="6"/>
        <v>45154</v>
      </c>
      <c r="E204" t="s">
        <v>148</v>
      </c>
      <c r="F204" t="s">
        <v>868</v>
      </c>
      <c r="G204" t="b">
        <v>1</v>
      </c>
      <c r="H204" t="b">
        <v>0</v>
      </c>
      <c r="I204" t="s">
        <v>869</v>
      </c>
      <c r="J204" t="str">
        <f>TRIM(I204)</f>
        <v>Jemma Dawn C. Leonardo</v>
      </c>
      <c r="K204" t="str">
        <f t="shared" si="7"/>
        <v>Jemma Dawn C. Leonardo</v>
      </c>
      <c r="L204" t="s">
        <v>16</v>
      </c>
    </row>
    <row r="205" spans="1:12" x14ac:dyDescent="0.3">
      <c r="A205" t="s">
        <v>870</v>
      </c>
      <c r="B205" t="s">
        <v>31</v>
      </c>
      <c r="C205" t="s">
        <v>871</v>
      </c>
      <c r="D205" s="1">
        <f t="shared" si="6"/>
        <v>45209</v>
      </c>
      <c r="E205" t="s">
        <v>13</v>
      </c>
      <c r="F205" t="s">
        <v>260</v>
      </c>
      <c r="G205" t="b">
        <v>1</v>
      </c>
      <c r="H205" t="b">
        <v>0</v>
      </c>
      <c r="I205" t="s">
        <v>872</v>
      </c>
      <c r="J205" t="str">
        <f>TRIM(I205)</f>
        <v>Jan Felnesh Exe Bagacay</v>
      </c>
      <c r="K205" t="str">
        <f t="shared" si="7"/>
        <v>Jan Felnesh Exe Bagacay</v>
      </c>
      <c r="L205" t="s">
        <v>16</v>
      </c>
    </row>
    <row r="206" spans="1:12" x14ac:dyDescent="0.3">
      <c r="A206" t="s">
        <v>873</v>
      </c>
      <c r="B206" t="s">
        <v>874</v>
      </c>
      <c r="C206" t="s">
        <v>875</v>
      </c>
      <c r="D206" s="1">
        <f t="shared" si="6"/>
        <v>45348</v>
      </c>
      <c r="E206" t="s">
        <v>112</v>
      </c>
      <c r="F206" t="s">
        <v>876</v>
      </c>
      <c r="G206" t="b">
        <v>1</v>
      </c>
      <c r="H206" t="b">
        <v>1</v>
      </c>
      <c r="I206" t="s">
        <v>877</v>
      </c>
      <c r="J206" t="str">
        <f>TRIM(I206)</f>
        <v>Jessette Mary Pauline Garcia</v>
      </c>
      <c r="K206" t="str">
        <f t="shared" si="7"/>
        <v>Jessette Mary Pauline Garcia</v>
      </c>
      <c r="L206" t="s">
        <v>29</v>
      </c>
    </row>
    <row r="207" spans="1:12" x14ac:dyDescent="0.3">
      <c r="A207" t="s">
        <v>878</v>
      </c>
      <c r="B207" t="s">
        <v>110</v>
      </c>
      <c r="C207" t="s">
        <v>879</v>
      </c>
      <c r="D207" s="1">
        <f t="shared" si="6"/>
        <v>45887</v>
      </c>
      <c r="E207" t="s">
        <v>66</v>
      </c>
      <c r="F207" t="s">
        <v>55</v>
      </c>
      <c r="G207" t="b">
        <v>0</v>
      </c>
      <c r="H207" t="b">
        <v>0</v>
      </c>
      <c r="I207" t="s">
        <v>880</v>
      </c>
      <c r="J207" t="str">
        <f>TRIM(I207)</f>
        <v>Jhianaly D. Erestingcol</v>
      </c>
      <c r="K207" t="str">
        <f t="shared" si="7"/>
        <v>Jhianaly D. Erestingcol</v>
      </c>
      <c r="L207" t="s">
        <v>16</v>
      </c>
    </row>
    <row r="208" spans="1:12" x14ac:dyDescent="0.3">
      <c r="A208" t="s">
        <v>881</v>
      </c>
      <c r="B208" t="s">
        <v>882</v>
      </c>
      <c r="C208" t="s">
        <v>883</v>
      </c>
      <c r="D208" s="1">
        <f t="shared" si="6"/>
        <v>46051</v>
      </c>
      <c r="E208" t="s">
        <v>884</v>
      </c>
      <c r="F208" t="s">
        <v>885</v>
      </c>
      <c r="G208" t="b">
        <v>0</v>
      </c>
      <c r="H208" t="b">
        <v>0</v>
      </c>
      <c r="I208" t="s">
        <v>886</v>
      </c>
      <c r="J208" t="str">
        <f>TRIM(I208)</f>
        <v>Arvin Zulueta</v>
      </c>
      <c r="K208" t="str">
        <f t="shared" si="7"/>
        <v>Arvin Zulueta</v>
      </c>
      <c r="L208" t="s">
        <v>16</v>
      </c>
    </row>
    <row r="209" spans="1:12" x14ac:dyDescent="0.3">
      <c r="A209" t="s">
        <v>887</v>
      </c>
      <c r="B209" t="s">
        <v>147</v>
      </c>
      <c r="C209" t="s">
        <v>132</v>
      </c>
      <c r="D209" s="1">
        <f t="shared" si="6"/>
        <v>45154</v>
      </c>
      <c r="E209" t="s">
        <v>148</v>
      </c>
      <c r="F209" t="s">
        <v>888</v>
      </c>
      <c r="G209" t="b">
        <v>1</v>
      </c>
      <c r="H209" t="b">
        <v>0</v>
      </c>
      <c r="I209" t="s">
        <v>889</v>
      </c>
      <c r="J209" t="str">
        <f>TRIM(I209)</f>
        <v>Kathleen Mae V. Donoso</v>
      </c>
      <c r="K209" t="str">
        <f t="shared" si="7"/>
        <v>Kathleen Mae V. Donoso</v>
      </c>
      <c r="L209" t="s">
        <v>16</v>
      </c>
    </row>
    <row r="210" spans="1:12" x14ac:dyDescent="0.3">
      <c r="A210" t="s">
        <v>890</v>
      </c>
      <c r="B210" t="s">
        <v>159</v>
      </c>
      <c r="C210" t="s">
        <v>891</v>
      </c>
      <c r="D210" s="1">
        <f t="shared" si="6"/>
        <v>44048</v>
      </c>
      <c r="E210" t="s">
        <v>514</v>
      </c>
      <c r="F210" t="s">
        <v>892</v>
      </c>
      <c r="G210" t="b">
        <v>1</v>
      </c>
      <c r="H210" t="b">
        <v>1</v>
      </c>
      <c r="I210" t="s">
        <v>893</v>
      </c>
      <c r="J210" t="str">
        <f>TRIM(I210)</f>
        <v>Dominique P. Mediodia</v>
      </c>
      <c r="K210" t="str">
        <f t="shared" si="7"/>
        <v>Dominique P. Mediodia</v>
      </c>
      <c r="L210" t="s">
        <v>29</v>
      </c>
    </row>
    <row r="211" spans="1:12" x14ac:dyDescent="0.3">
      <c r="A211" t="s">
        <v>894</v>
      </c>
      <c r="B211" t="s">
        <v>85</v>
      </c>
      <c r="C211" t="s">
        <v>672</v>
      </c>
      <c r="D211" s="1">
        <f t="shared" si="6"/>
        <v>44999</v>
      </c>
      <c r="E211" t="s">
        <v>730</v>
      </c>
      <c r="F211" t="s">
        <v>895</v>
      </c>
      <c r="G211" t="b">
        <v>1</v>
      </c>
      <c r="H211" t="b">
        <v>0</v>
      </c>
      <c r="I211" t="s">
        <v>896</v>
      </c>
      <c r="J211" t="str">
        <f>TRIM(I211)</f>
        <v>Claire Samantha Juanico</v>
      </c>
      <c r="K211" t="str">
        <f t="shared" si="7"/>
        <v>Claire Samantha Juanico</v>
      </c>
      <c r="L211" t="s">
        <v>16</v>
      </c>
    </row>
    <row r="212" spans="1:12" x14ac:dyDescent="0.3">
      <c r="A212" t="s">
        <v>897</v>
      </c>
      <c r="B212" t="s">
        <v>64</v>
      </c>
      <c r="C212" t="s">
        <v>898</v>
      </c>
      <c r="D212" s="1">
        <f t="shared" si="6"/>
        <v>45885</v>
      </c>
      <c r="E212" t="s">
        <v>899</v>
      </c>
      <c r="F212" t="s">
        <v>55</v>
      </c>
      <c r="G212" t="b">
        <v>0</v>
      </c>
      <c r="H212" t="b">
        <v>0</v>
      </c>
      <c r="I212" t="s">
        <v>900</v>
      </c>
      <c r="J212" t="str">
        <f>TRIM(I212)</f>
        <v>Leonard King Jao</v>
      </c>
      <c r="K212" t="str">
        <f t="shared" si="7"/>
        <v>Leonard King Jao</v>
      </c>
      <c r="L212" t="s">
        <v>16</v>
      </c>
    </row>
    <row r="213" spans="1:12" x14ac:dyDescent="0.3">
      <c r="A213" t="s">
        <v>901</v>
      </c>
      <c r="B213" t="s">
        <v>164</v>
      </c>
      <c r="C213" t="s">
        <v>165</v>
      </c>
      <c r="D213" s="1">
        <f t="shared" si="6"/>
        <v>45637</v>
      </c>
      <c r="E213" t="s">
        <v>13</v>
      </c>
      <c r="F213" t="s">
        <v>902</v>
      </c>
      <c r="G213" t="b">
        <v>1</v>
      </c>
      <c r="H213" t="b">
        <v>0</v>
      </c>
      <c r="I213" t="s">
        <v>903</v>
      </c>
      <c r="J213" t="str">
        <f>TRIM(I213)</f>
        <v>Melizza Jane M. Collo</v>
      </c>
      <c r="K213" t="str">
        <f t="shared" si="7"/>
        <v>Melizza Jane M. Collo</v>
      </c>
      <c r="L213" t="s">
        <v>16</v>
      </c>
    </row>
    <row r="214" spans="1:12" x14ac:dyDescent="0.3">
      <c r="A214" t="s">
        <v>904</v>
      </c>
      <c r="B214" t="s">
        <v>905</v>
      </c>
      <c r="C214" t="s">
        <v>906</v>
      </c>
      <c r="D214" s="1">
        <f t="shared" si="6"/>
        <v>44382</v>
      </c>
      <c r="E214" t="s">
        <v>13</v>
      </c>
      <c r="F214" t="s">
        <v>907</v>
      </c>
      <c r="G214" t="b">
        <v>1</v>
      </c>
      <c r="H214" t="b">
        <v>0</v>
      </c>
      <c r="I214" t="s">
        <v>908</v>
      </c>
      <c r="J214" t="str">
        <f>TRIM(I214)</f>
        <v>Kristina Samantha Lacson</v>
      </c>
      <c r="K214" t="str">
        <f t="shared" si="7"/>
        <v>Kristina Samantha Lacson</v>
      </c>
      <c r="L214" t="s">
        <v>16</v>
      </c>
    </row>
    <row r="215" spans="1:12" x14ac:dyDescent="0.3">
      <c r="A215" t="s">
        <v>909</v>
      </c>
      <c r="B215" t="s">
        <v>131</v>
      </c>
      <c r="C215" t="s">
        <v>910</v>
      </c>
      <c r="D215" s="1">
        <f t="shared" si="6"/>
        <v>45190</v>
      </c>
      <c r="E215" t="s">
        <v>13</v>
      </c>
      <c r="F215" t="s">
        <v>911</v>
      </c>
      <c r="G215" t="b">
        <v>1</v>
      </c>
      <c r="H215" t="b">
        <v>1</v>
      </c>
      <c r="I215" t="s">
        <v>912</v>
      </c>
      <c r="J215" t="str">
        <f>TRIM(I215)</f>
        <v>Maureen Emily V. Niño</v>
      </c>
      <c r="K215" t="str">
        <f t="shared" si="7"/>
        <v>Maureen Emily V. Niño</v>
      </c>
      <c r="L215" t="s">
        <v>29</v>
      </c>
    </row>
    <row r="216" spans="1:12" x14ac:dyDescent="0.3">
      <c r="A216" t="s">
        <v>913</v>
      </c>
      <c r="B216" t="s">
        <v>914</v>
      </c>
      <c r="C216" t="s">
        <v>915</v>
      </c>
      <c r="D216" s="1">
        <f t="shared" si="6"/>
        <v>44663</v>
      </c>
      <c r="E216" t="s">
        <v>60</v>
      </c>
      <c r="F216" t="s">
        <v>916</v>
      </c>
      <c r="G216" t="b">
        <v>1</v>
      </c>
      <c r="H216" t="b">
        <v>0</v>
      </c>
      <c r="I216" t="s">
        <v>917</v>
      </c>
      <c r="J216" t="str">
        <f>TRIM(I216)</f>
        <v>Stephen G. Sabinay</v>
      </c>
      <c r="K216" t="str">
        <f t="shared" si="7"/>
        <v>Stephen G. Sabinay</v>
      </c>
      <c r="L216" t="s">
        <v>16</v>
      </c>
    </row>
    <row r="217" spans="1:12" x14ac:dyDescent="0.3">
      <c r="A217" t="s">
        <v>918</v>
      </c>
      <c r="B217" t="s">
        <v>463</v>
      </c>
      <c r="C217" t="s">
        <v>919</v>
      </c>
      <c r="D217" s="1">
        <f t="shared" si="6"/>
        <v>45716</v>
      </c>
      <c r="E217" t="s">
        <v>60</v>
      </c>
      <c r="F217" t="s">
        <v>920</v>
      </c>
      <c r="G217" t="b">
        <v>1</v>
      </c>
      <c r="H217" t="b">
        <v>1</v>
      </c>
      <c r="I217" t="s">
        <v>921</v>
      </c>
      <c r="J217" t="str">
        <f>TRIM(I217)</f>
        <v>Lordiel M. Miasco</v>
      </c>
      <c r="K217" t="str">
        <f t="shared" si="7"/>
        <v>Lordiel M. Miasco</v>
      </c>
      <c r="L217" t="s">
        <v>29</v>
      </c>
    </row>
    <row r="218" spans="1:12" x14ac:dyDescent="0.3">
      <c r="A218" t="s">
        <v>922</v>
      </c>
      <c r="B218" t="s">
        <v>923</v>
      </c>
      <c r="C218" t="s">
        <v>924</v>
      </c>
      <c r="D218" s="1">
        <f t="shared" si="6"/>
        <v>45742</v>
      </c>
      <c r="E218" t="s">
        <v>60</v>
      </c>
      <c r="F218" t="s">
        <v>925</v>
      </c>
      <c r="G218" t="b">
        <v>1</v>
      </c>
      <c r="H218" t="b">
        <v>1</v>
      </c>
      <c r="I218" t="s">
        <v>926</v>
      </c>
      <c r="J218" t="str">
        <f>TRIM(I218)</f>
        <v>Dionie S. Barrientos</v>
      </c>
      <c r="K218" t="str">
        <f t="shared" si="7"/>
        <v>Dionie S. Barrientos</v>
      </c>
      <c r="L218" t="s">
        <v>29</v>
      </c>
    </row>
    <row r="219" spans="1:12" x14ac:dyDescent="0.3">
      <c r="A219" t="s">
        <v>927</v>
      </c>
      <c r="B219" t="s">
        <v>928</v>
      </c>
      <c r="C219" t="s">
        <v>929</v>
      </c>
      <c r="D219" s="1">
        <f t="shared" si="6"/>
        <v>45889</v>
      </c>
      <c r="E219" t="s">
        <v>66</v>
      </c>
      <c r="F219" t="s">
        <v>55</v>
      </c>
      <c r="G219" t="b">
        <v>0</v>
      </c>
      <c r="H219" t="b">
        <v>0</v>
      </c>
      <c r="I219" t="s">
        <v>930</v>
      </c>
      <c r="J219" t="str">
        <f>TRIM(I219)</f>
        <v>Andoni James Mediodia</v>
      </c>
      <c r="K219" t="str">
        <f t="shared" si="7"/>
        <v>Andoni James Mediodia</v>
      </c>
      <c r="L219" t="s">
        <v>16</v>
      </c>
    </row>
    <row r="220" spans="1:12" x14ac:dyDescent="0.3">
      <c r="A220" t="s">
        <v>931</v>
      </c>
      <c r="B220" t="s">
        <v>932</v>
      </c>
      <c r="C220" t="s">
        <v>735</v>
      </c>
      <c r="D220" s="1">
        <f t="shared" si="6"/>
        <v>44985</v>
      </c>
      <c r="E220" t="s">
        <v>60</v>
      </c>
      <c r="F220" t="s">
        <v>933</v>
      </c>
      <c r="G220" t="b">
        <v>1</v>
      </c>
      <c r="H220" t="b">
        <v>1</v>
      </c>
      <c r="I220" t="s">
        <v>934</v>
      </c>
      <c r="J220" t="str">
        <f>TRIM(I220)</f>
        <v>June Rey A. Montajes</v>
      </c>
      <c r="K220" t="str">
        <f t="shared" si="7"/>
        <v>June Rey A. Montajes</v>
      </c>
      <c r="L220" t="s">
        <v>29</v>
      </c>
    </row>
    <row r="221" spans="1:12" x14ac:dyDescent="0.3">
      <c r="A221" t="s">
        <v>935</v>
      </c>
      <c r="B221" t="s">
        <v>186</v>
      </c>
      <c r="C221" t="s">
        <v>187</v>
      </c>
      <c r="D221" s="1">
        <f t="shared" si="6"/>
        <v>43873</v>
      </c>
      <c r="E221" t="s">
        <v>13</v>
      </c>
      <c r="F221" t="s">
        <v>936</v>
      </c>
      <c r="G221" t="b">
        <v>1</v>
      </c>
      <c r="H221" t="b">
        <v>0</v>
      </c>
      <c r="I221" t="s">
        <v>937</v>
      </c>
      <c r="J221" t="str">
        <f>TRIM(I221)</f>
        <v>Rhodmar D. Panis</v>
      </c>
      <c r="K221" t="str">
        <f t="shared" si="7"/>
        <v>Rhodmar D. Panis</v>
      </c>
      <c r="L221" t="s">
        <v>16</v>
      </c>
    </row>
    <row r="222" spans="1:12" x14ac:dyDescent="0.3">
      <c r="A222" t="s">
        <v>938</v>
      </c>
      <c r="B222" t="s">
        <v>483</v>
      </c>
      <c r="C222" t="s">
        <v>939</v>
      </c>
      <c r="D222" s="1">
        <f t="shared" si="6"/>
        <v>45744</v>
      </c>
      <c r="E222" t="s">
        <v>60</v>
      </c>
      <c r="F222" t="s">
        <v>940</v>
      </c>
      <c r="G222" t="b">
        <v>1</v>
      </c>
      <c r="H222" t="b">
        <v>0</v>
      </c>
      <c r="I222" t="s">
        <v>941</v>
      </c>
      <c r="J222" t="str">
        <f>TRIM(I222)</f>
        <v>Rey Tantiado</v>
      </c>
      <c r="K222" t="str">
        <f t="shared" si="7"/>
        <v>Rey Tantiado</v>
      </c>
      <c r="L222" t="s">
        <v>16</v>
      </c>
    </row>
    <row r="223" spans="1:12" x14ac:dyDescent="0.3">
      <c r="A223" t="s">
        <v>942</v>
      </c>
      <c r="B223" t="s">
        <v>105</v>
      </c>
      <c r="C223" t="s">
        <v>891</v>
      </c>
      <c r="D223" s="1">
        <f t="shared" si="6"/>
        <v>44048</v>
      </c>
      <c r="E223" t="s">
        <v>60</v>
      </c>
      <c r="F223" t="s">
        <v>943</v>
      </c>
      <c r="G223" t="b">
        <v>1</v>
      </c>
      <c r="H223" t="b">
        <v>1</v>
      </c>
      <c r="I223" t="s">
        <v>944</v>
      </c>
      <c r="J223" t="str">
        <f>TRIM(I223)</f>
        <v>Carmelo del Castillo</v>
      </c>
      <c r="K223" t="str">
        <f t="shared" si="7"/>
        <v>Carmelo Del Castillo</v>
      </c>
      <c r="L223" t="s">
        <v>29</v>
      </c>
    </row>
    <row r="224" spans="1:12" x14ac:dyDescent="0.3">
      <c r="A224" t="s">
        <v>945</v>
      </c>
      <c r="B224" t="s">
        <v>164</v>
      </c>
      <c r="C224" t="s">
        <v>946</v>
      </c>
      <c r="D224" s="1">
        <f t="shared" si="6"/>
        <v>45582</v>
      </c>
      <c r="E224" t="s">
        <v>60</v>
      </c>
      <c r="F224" t="s">
        <v>947</v>
      </c>
      <c r="G224" t="b">
        <v>1</v>
      </c>
      <c r="H224" t="b">
        <v>1</v>
      </c>
      <c r="I224" t="s">
        <v>948</v>
      </c>
      <c r="J224" t="str">
        <f>TRIM(I224)</f>
        <v>Christian Molina</v>
      </c>
      <c r="K224" t="str">
        <f t="shared" si="7"/>
        <v>Christian Molina</v>
      </c>
      <c r="L224" t="s">
        <v>29</v>
      </c>
    </row>
    <row r="225" spans="1:12" x14ac:dyDescent="0.3">
      <c r="A225" t="s">
        <v>949</v>
      </c>
      <c r="B225" t="s">
        <v>31</v>
      </c>
      <c r="C225" t="s">
        <v>619</v>
      </c>
      <c r="D225" s="1">
        <f t="shared" si="6"/>
        <v>45401</v>
      </c>
      <c r="E225" t="s">
        <v>112</v>
      </c>
      <c r="F225" t="s">
        <v>950</v>
      </c>
      <c r="G225" t="b">
        <v>1</v>
      </c>
      <c r="H225" t="b">
        <v>0</v>
      </c>
      <c r="I225" t="s">
        <v>951</v>
      </c>
      <c r="J225" t="str">
        <f>TRIM(I225)</f>
        <v>Kimny Claire O. Carmelotes</v>
      </c>
      <c r="K225" t="str">
        <f t="shared" si="7"/>
        <v>Kimny Claire O. Carmelotes</v>
      </c>
      <c r="L225" t="s">
        <v>16</v>
      </c>
    </row>
    <row r="226" spans="1:12" x14ac:dyDescent="0.3">
      <c r="A226" t="s">
        <v>952</v>
      </c>
      <c r="B226" t="s">
        <v>806</v>
      </c>
      <c r="C226" t="s">
        <v>187</v>
      </c>
      <c r="D226" s="1">
        <f t="shared" si="6"/>
        <v>43873</v>
      </c>
      <c r="E226" t="s">
        <v>13</v>
      </c>
      <c r="F226" t="s">
        <v>953</v>
      </c>
      <c r="G226" t="b">
        <v>1</v>
      </c>
      <c r="H226" t="b">
        <v>0</v>
      </c>
      <c r="I226" t="s">
        <v>954</v>
      </c>
      <c r="J226" t="str">
        <f>TRIM(I226)</f>
        <v>Rhyzz Jane Balinos</v>
      </c>
      <c r="K226" t="str">
        <f t="shared" si="7"/>
        <v>Rhyzz Jane Balinos</v>
      </c>
      <c r="L226" t="s">
        <v>16</v>
      </c>
    </row>
    <row r="227" spans="1:12" x14ac:dyDescent="0.3">
      <c r="A227" t="s">
        <v>955</v>
      </c>
      <c r="B227" t="s">
        <v>956</v>
      </c>
      <c r="C227" t="s">
        <v>957</v>
      </c>
      <c r="D227" s="1">
        <f t="shared" si="6"/>
        <v>45885</v>
      </c>
      <c r="E227" t="s">
        <v>958</v>
      </c>
      <c r="F227" t="s">
        <v>55</v>
      </c>
      <c r="G227" t="b">
        <v>0</v>
      </c>
      <c r="H227" t="b">
        <v>0</v>
      </c>
      <c r="I227" t="s">
        <v>959</v>
      </c>
      <c r="J227" t="str">
        <f>TRIM(I227)</f>
        <v>Clarisse Anne Pereira</v>
      </c>
      <c r="K227" t="str">
        <f t="shared" si="7"/>
        <v>Clarisse Anne Pereira</v>
      </c>
      <c r="L227" t="s">
        <v>16</v>
      </c>
    </row>
    <row r="228" spans="1:12" x14ac:dyDescent="0.3">
      <c r="A228" t="s">
        <v>960</v>
      </c>
      <c r="B228" t="s">
        <v>961</v>
      </c>
      <c r="C228" t="s">
        <v>962</v>
      </c>
      <c r="D228" s="1">
        <f t="shared" si="6"/>
        <v>45167</v>
      </c>
      <c r="E228" t="s">
        <v>13</v>
      </c>
      <c r="F228" t="s">
        <v>963</v>
      </c>
      <c r="G228" t="b">
        <v>1</v>
      </c>
      <c r="H228" t="b">
        <v>1</v>
      </c>
      <c r="I228" t="s">
        <v>964</v>
      </c>
      <c r="J228" t="str">
        <f>TRIM(I228)</f>
        <v>Joseph Faisan Jr.</v>
      </c>
      <c r="K228" t="str">
        <f t="shared" si="7"/>
        <v>Joseph Faisan Jr.</v>
      </c>
      <c r="L228" t="s">
        <v>29</v>
      </c>
    </row>
    <row r="229" spans="1:12" x14ac:dyDescent="0.3">
      <c r="A229" t="s">
        <v>965</v>
      </c>
      <c r="B229" t="s">
        <v>159</v>
      </c>
      <c r="C229" t="s">
        <v>966</v>
      </c>
      <c r="D229" s="1">
        <f t="shared" si="6"/>
        <v>45330</v>
      </c>
      <c r="E229" t="s">
        <v>60</v>
      </c>
      <c r="F229" t="s">
        <v>21</v>
      </c>
      <c r="G229" t="b">
        <v>1</v>
      </c>
      <c r="H229" t="b">
        <v>0</v>
      </c>
      <c r="I229" t="s">
        <v>967</v>
      </c>
      <c r="J229" t="str">
        <f>TRIM(I229)</f>
        <v>Sheila Mae S. Santander-de Leon</v>
      </c>
      <c r="K229" t="str">
        <f t="shared" si="7"/>
        <v>Sheila Mae S. Santander-De Leon</v>
      </c>
      <c r="L229" t="s">
        <v>16</v>
      </c>
    </row>
    <row r="230" spans="1:12" x14ac:dyDescent="0.3">
      <c r="A230" t="s">
        <v>968</v>
      </c>
      <c r="B230" t="s">
        <v>164</v>
      </c>
      <c r="C230" t="s">
        <v>165</v>
      </c>
      <c r="D230" s="1">
        <f t="shared" si="6"/>
        <v>45637</v>
      </c>
      <c r="E230" t="s">
        <v>60</v>
      </c>
      <c r="F230" t="s">
        <v>969</v>
      </c>
      <c r="G230" t="b">
        <v>1</v>
      </c>
      <c r="H230" t="b">
        <v>0</v>
      </c>
      <c r="I230" t="s">
        <v>970</v>
      </c>
      <c r="J230" t="str">
        <f>TRIM(I230)</f>
        <v>Robert S. Ablog</v>
      </c>
      <c r="K230" t="str">
        <f t="shared" si="7"/>
        <v>Robert S. Ablog</v>
      </c>
      <c r="L230" t="s">
        <v>16</v>
      </c>
    </row>
    <row r="231" spans="1:12" x14ac:dyDescent="0.3">
      <c r="A231" t="s">
        <v>971</v>
      </c>
      <c r="B231" t="s">
        <v>85</v>
      </c>
      <c r="C231" t="s">
        <v>972</v>
      </c>
      <c r="D231" s="1">
        <f t="shared" si="6"/>
        <v>45491</v>
      </c>
      <c r="E231" t="s">
        <v>122</v>
      </c>
      <c r="F231" t="s">
        <v>973</v>
      </c>
      <c r="G231" t="b">
        <v>1</v>
      </c>
      <c r="H231" t="b">
        <v>0</v>
      </c>
      <c r="I231" t="s">
        <v>974</v>
      </c>
      <c r="J231" t="str">
        <f>TRIM(I231)</f>
        <v>Noeme D. Pajarillo</v>
      </c>
      <c r="K231" t="str">
        <f t="shared" si="7"/>
        <v>Noeme D. Pajarillo</v>
      </c>
      <c r="L231" t="s">
        <v>16</v>
      </c>
    </row>
    <row r="232" spans="1:12" x14ac:dyDescent="0.3">
      <c r="A232" t="s">
        <v>975</v>
      </c>
      <c r="B232" t="s">
        <v>976</v>
      </c>
      <c r="C232" t="s">
        <v>977</v>
      </c>
      <c r="D232" s="1">
        <f t="shared" si="6"/>
        <v>45594</v>
      </c>
      <c r="E232" t="s">
        <v>13</v>
      </c>
      <c r="F232" t="s">
        <v>978</v>
      </c>
      <c r="G232" t="b">
        <v>1</v>
      </c>
      <c r="H232" t="b">
        <v>0</v>
      </c>
      <c r="I232" t="s">
        <v>979</v>
      </c>
      <c r="J232" t="str">
        <f>TRIM(I232)</f>
        <v>Julie Ann Amancio</v>
      </c>
      <c r="K232" t="str">
        <f t="shared" si="7"/>
        <v>Julie Ann Amancio</v>
      </c>
      <c r="L232" t="s">
        <v>16</v>
      </c>
    </row>
    <row r="233" spans="1:12" x14ac:dyDescent="0.3">
      <c r="A233" t="s">
        <v>980</v>
      </c>
      <c r="B233" t="s">
        <v>85</v>
      </c>
      <c r="C233" t="s">
        <v>981</v>
      </c>
      <c r="D233" s="1">
        <f t="shared" si="6"/>
        <v>45415</v>
      </c>
      <c r="E233" t="s">
        <v>13</v>
      </c>
      <c r="F233" t="s">
        <v>982</v>
      </c>
      <c r="G233" t="b">
        <v>1</v>
      </c>
      <c r="H233" t="b">
        <v>0</v>
      </c>
      <c r="I233" t="s">
        <v>983</v>
      </c>
      <c r="J233" t="str">
        <f>TRIM(I233)</f>
        <v>Gleann P. Salido</v>
      </c>
      <c r="K233" t="str">
        <f t="shared" si="7"/>
        <v>Gleann P. Salido</v>
      </c>
      <c r="L233" t="s">
        <v>16</v>
      </c>
    </row>
    <row r="234" spans="1:12" x14ac:dyDescent="0.3">
      <c r="A234" t="s">
        <v>984</v>
      </c>
      <c r="B234" t="s">
        <v>985</v>
      </c>
      <c r="C234" t="s">
        <v>259</v>
      </c>
      <c r="D234" s="1">
        <f t="shared" si="6"/>
        <v>45316</v>
      </c>
      <c r="E234" t="s">
        <v>514</v>
      </c>
      <c r="F234" t="s">
        <v>986</v>
      </c>
      <c r="G234" t="b">
        <v>1</v>
      </c>
      <c r="H234" t="b">
        <v>1</v>
      </c>
      <c r="I234" t="s">
        <v>987</v>
      </c>
      <c r="J234" t="str">
        <f>TRIM(I234)</f>
        <v>Jonie C. Yee, Ph.D.</v>
      </c>
      <c r="K234" t="str">
        <f t="shared" si="7"/>
        <v>Jonie C. Yee, Ph.D.</v>
      </c>
      <c r="L234" t="s">
        <v>29</v>
      </c>
    </row>
    <row r="235" spans="1:12" x14ac:dyDescent="0.3">
      <c r="A235" t="s">
        <v>988</v>
      </c>
      <c r="B235" t="s">
        <v>989</v>
      </c>
      <c r="C235" t="s">
        <v>990</v>
      </c>
      <c r="D235" s="1">
        <f t="shared" si="6"/>
        <v>46031</v>
      </c>
      <c r="E235" t="s">
        <v>991</v>
      </c>
      <c r="F235" t="s">
        <v>885</v>
      </c>
      <c r="G235" t="b">
        <v>0</v>
      </c>
      <c r="H235" t="b">
        <v>0</v>
      </c>
      <c r="I235" t="s">
        <v>992</v>
      </c>
      <c r="J235" t="str">
        <f>TRIM(I235)</f>
        <v>ARVIN C. ZULUETA</v>
      </c>
      <c r="K235" t="str">
        <f t="shared" si="7"/>
        <v>Arvin C. Zulueta</v>
      </c>
      <c r="L235" t="s">
        <v>16</v>
      </c>
    </row>
    <row r="236" spans="1:12" x14ac:dyDescent="0.3">
      <c r="A236" t="s">
        <v>993</v>
      </c>
      <c r="B236" t="s">
        <v>126</v>
      </c>
      <c r="C236" t="s">
        <v>994</v>
      </c>
      <c r="D236" s="1">
        <f t="shared" si="6"/>
        <v>45887</v>
      </c>
      <c r="E236" t="s">
        <v>152</v>
      </c>
      <c r="F236" t="s">
        <v>55</v>
      </c>
      <c r="G236" t="b">
        <v>0</v>
      </c>
      <c r="H236" t="b">
        <v>0</v>
      </c>
      <c r="I236" t="s">
        <v>995</v>
      </c>
      <c r="J236" t="str">
        <f>TRIM(I236)</f>
        <v>Jonalyn Mae G. Lobaton</v>
      </c>
      <c r="K236" t="str">
        <f t="shared" si="7"/>
        <v>Jonalyn Mae G. Lobaton</v>
      </c>
      <c r="L236" t="s">
        <v>16</v>
      </c>
    </row>
    <row r="237" spans="1:12" x14ac:dyDescent="0.3">
      <c r="A237" t="s">
        <v>996</v>
      </c>
      <c r="B237" t="s">
        <v>509</v>
      </c>
      <c r="C237" t="s">
        <v>510</v>
      </c>
      <c r="D237" s="1">
        <f t="shared" si="6"/>
        <v>45481</v>
      </c>
      <c r="E237" t="s">
        <v>60</v>
      </c>
      <c r="F237" t="s">
        <v>230</v>
      </c>
      <c r="G237" t="b">
        <v>1</v>
      </c>
      <c r="H237" t="b">
        <v>0</v>
      </c>
      <c r="I237" t="s">
        <v>997</v>
      </c>
      <c r="J237" t="str">
        <f>TRIM(I237)</f>
        <v>Janine C. Dimzon</v>
      </c>
      <c r="K237" t="str">
        <f t="shared" si="7"/>
        <v>Janine C. Dimzon</v>
      </c>
      <c r="L237" t="s">
        <v>16</v>
      </c>
    </row>
    <row r="238" spans="1:12" x14ac:dyDescent="0.3">
      <c r="A238" t="s">
        <v>998</v>
      </c>
      <c r="B238" t="s">
        <v>999</v>
      </c>
      <c r="C238" t="s">
        <v>1000</v>
      </c>
      <c r="D238" s="1">
        <f t="shared" si="6"/>
        <v>45890</v>
      </c>
      <c r="E238" t="s">
        <v>1001</v>
      </c>
      <c r="F238" t="s">
        <v>55</v>
      </c>
      <c r="G238" t="b">
        <v>0</v>
      </c>
      <c r="H238" t="b">
        <v>0</v>
      </c>
      <c r="I238" t="s">
        <v>1002</v>
      </c>
      <c r="J238" t="str">
        <f>TRIM(I238)</f>
        <v>Mary Claire Villanueva</v>
      </c>
      <c r="K238" t="str">
        <f t="shared" si="7"/>
        <v>Mary Claire Villanueva</v>
      </c>
      <c r="L238" t="s">
        <v>16</v>
      </c>
    </row>
    <row r="239" spans="1:12" x14ac:dyDescent="0.3">
      <c r="A239" t="s">
        <v>1003</v>
      </c>
      <c r="B239" t="s">
        <v>1004</v>
      </c>
      <c r="C239" t="s">
        <v>1005</v>
      </c>
      <c r="D239" s="1">
        <f t="shared" si="6"/>
        <v>45885</v>
      </c>
      <c r="E239" t="s">
        <v>1006</v>
      </c>
      <c r="F239" t="s">
        <v>55</v>
      </c>
      <c r="G239" t="b">
        <v>0</v>
      </c>
      <c r="H239" t="b">
        <v>0</v>
      </c>
      <c r="I239" t="s">
        <v>1007</v>
      </c>
      <c r="J239" t="str">
        <f>TRIM(I239)</f>
        <v>Dr. Aretha Ann Gacutan Liwag</v>
      </c>
      <c r="K239" t="str">
        <f t="shared" si="7"/>
        <v>Dr. Aretha Ann Gacutan Liwag</v>
      </c>
      <c r="L239" t="s">
        <v>16</v>
      </c>
    </row>
    <row r="240" spans="1:12" x14ac:dyDescent="0.3">
      <c r="A240" t="s">
        <v>1008</v>
      </c>
      <c r="B240" t="s">
        <v>85</v>
      </c>
      <c r="C240" t="s">
        <v>981</v>
      </c>
      <c r="D240" s="1">
        <f t="shared" si="6"/>
        <v>45415</v>
      </c>
      <c r="E240" t="s">
        <v>13</v>
      </c>
      <c r="F240" t="s">
        <v>1009</v>
      </c>
      <c r="G240" t="b">
        <v>1</v>
      </c>
      <c r="H240" t="b">
        <v>0</v>
      </c>
      <c r="I240" t="s">
        <v>1010</v>
      </c>
      <c r="J240" t="str">
        <f>TRIM(I240)</f>
        <v>Charles R. Andrade</v>
      </c>
      <c r="K240" t="str">
        <f t="shared" si="7"/>
        <v>Charles R. Andrade</v>
      </c>
      <c r="L240" t="s">
        <v>16</v>
      </c>
    </row>
    <row r="241" spans="1:12" x14ac:dyDescent="0.3">
      <c r="A241" t="s">
        <v>1011</v>
      </c>
      <c r="B241" t="s">
        <v>1012</v>
      </c>
      <c r="C241" t="s">
        <v>1013</v>
      </c>
      <c r="D241" s="1">
        <f t="shared" si="6"/>
        <v>45885</v>
      </c>
      <c r="E241" t="s">
        <v>1014</v>
      </c>
      <c r="F241" t="s">
        <v>55</v>
      </c>
      <c r="G241" t="b">
        <v>0</v>
      </c>
      <c r="H241" t="b">
        <v>0</v>
      </c>
      <c r="I241" t="s">
        <v>1015</v>
      </c>
      <c r="J241" t="str">
        <f>TRIM(I241)</f>
        <v>Christian C. Taba</v>
      </c>
      <c r="K241" t="str">
        <f t="shared" si="7"/>
        <v>Christian C. Taba</v>
      </c>
      <c r="L241" t="s">
        <v>16</v>
      </c>
    </row>
    <row r="242" spans="1:12" x14ac:dyDescent="0.3">
      <c r="A242" t="s">
        <v>1016</v>
      </c>
      <c r="B242" t="s">
        <v>258</v>
      </c>
      <c r="C242" t="s">
        <v>259</v>
      </c>
      <c r="D242" s="1">
        <f t="shared" si="6"/>
        <v>45316</v>
      </c>
      <c r="E242" t="s">
        <v>1017</v>
      </c>
      <c r="F242" t="s">
        <v>1018</v>
      </c>
      <c r="G242" t="b">
        <v>1</v>
      </c>
      <c r="H242" t="b">
        <v>0</v>
      </c>
      <c r="I242" t="s">
        <v>1019</v>
      </c>
      <c r="J242" t="str">
        <f>TRIM(I242)</f>
        <v>Diomer B. Serra</v>
      </c>
      <c r="K242" t="str">
        <f t="shared" si="7"/>
        <v>Diomer B. Serra</v>
      </c>
      <c r="L242" t="s">
        <v>16</v>
      </c>
    </row>
    <row r="243" spans="1:12" x14ac:dyDescent="0.3">
      <c r="A243" t="s">
        <v>1020</v>
      </c>
      <c r="B243" t="s">
        <v>1021</v>
      </c>
      <c r="C243" t="s">
        <v>1022</v>
      </c>
      <c r="D243" s="1">
        <f t="shared" si="6"/>
        <v>45624</v>
      </c>
      <c r="E243" t="s">
        <v>122</v>
      </c>
      <c r="F243" t="s">
        <v>1023</v>
      </c>
      <c r="G243" t="b">
        <v>1</v>
      </c>
      <c r="H243" t="b">
        <v>1</v>
      </c>
      <c r="I243" t="s">
        <v>1024</v>
      </c>
      <c r="J243" t="str">
        <f>TRIM(I243)</f>
        <v>Christian Jay Rosal</v>
      </c>
      <c r="K243" t="str">
        <f t="shared" si="7"/>
        <v>Christian Jay Rosal</v>
      </c>
      <c r="L243" t="s">
        <v>29</v>
      </c>
    </row>
    <row r="244" spans="1:12" x14ac:dyDescent="0.3">
      <c r="A244" t="s">
        <v>1025</v>
      </c>
      <c r="B244" t="s">
        <v>342</v>
      </c>
      <c r="C244" t="s">
        <v>343</v>
      </c>
      <c r="D244" s="1">
        <f t="shared" si="6"/>
        <v>45664</v>
      </c>
      <c r="E244" t="s">
        <v>143</v>
      </c>
      <c r="F244" t="s">
        <v>344</v>
      </c>
      <c r="G244" t="b">
        <v>1</v>
      </c>
      <c r="H244" t="b">
        <v>0</v>
      </c>
      <c r="I244" t="s">
        <v>1026</v>
      </c>
      <c r="J244" t="str">
        <f>TRIM(I244)</f>
        <v>Precious Quissy Casiple</v>
      </c>
      <c r="K244" t="str">
        <f t="shared" si="7"/>
        <v>Precious Quissy Casiple</v>
      </c>
      <c r="L244" t="s">
        <v>16</v>
      </c>
    </row>
    <row r="245" spans="1:12" x14ac:dyDescent="0.3">
      <c r="A245" t="s">
        <v>1027</v>
      </c>
      <c r="B245" t="s">
        <v>342</v>
      </c>
      <c r="C245" t="s">
        <v>343</v>
      </c>
      <c r="D245" s="1">
        <f t="shared" si="6"/>
        <v>45664</v>
      </c>
      <c r="E245" t="s">
        <v>143</v>
      </c>
      <c r="F245" t="s">
        <v>344</v>
      </c>
      <c r="G245" t="b">
        <v>1</v>
      </c>
      <c r="H245" t="b">
        <v>0</v>
      </c>
      <c r="I245" t="s">
        <v>1028</v>
      </c>
      <c r="J245" t="str">
        <f>TRIM(I245)</f>
        <v>Riz Cayelly Sumalapao</v>
      </c>
      <c r="K245" t="str">
        <f t="shared" si="7"/>
        <v>Riz Cayelly Sumalapao</v>
      </c>
      <c r="L245" t="s">
        <v>16</v>
      </c>
    </row>
    <row r="246" spans="1:12" x14ac:dyDescent="0.3">
      <c r="A246" t="s">
        <v>1029</v>
      </c>
      <c r="B246" t="s">
        <v>423</v>
      </c>
      <c r="C246" t="s">
        <v>479</v>
      </c>
      <c r="D246" s="1">
        <f t="shared" si="6"/>
        <v>45740</v>
      </c>
      <c r="E246" t="s">
        <v>13</v>
      </c>
      <c r="F246" t="s">
        <v>1030</v>
      </c>
      <c r="G246" t="b">
        <v>1</v>
      </c>
      <c r="H246" t="b">
        <v>0</v>
      </c>
      <c r="I246" t="s">
        <v>1031</v>
      </c>
      <c r="J246" t="str">
        <f>TRIM(I246)</f>
        <v>Joyce P. Rodriguez</v>
      </c>
      <c r="K246" t="str">
        <f t="shared" si="7"/>
        <v>Joyce P. Rodriguez</v>
      </c>
      <c r="L246" t="s">
        <v>16</v>
      </c>
    </row>
    <row r="247" spans="1:12" x14ac:dyDescent="0.3">
      <c r="A247" t="s">
        <v>1032</v>
      </c>
      <c r="B247" t="s">
        <v>852</v>
      </c>
      <c r="C247" t="s">
        <v>1033</v>
      </c>
      <c r="D247" s="1">
        <f t="shared" si="6"/>
        <v>45630</v>
      </c>
      <c r="E247" t="s">
        <v>112</v>
      </c>
      <c r="F247" t="s">
        <v>1034</v>
      </c>
      <c r="G247" t="b">
        <v>1</v>
      </c>
      <c r="H247" t="b">
        <v>0</v>
      </c>
      <c r="I247" t="s">
        <v>1035</v>
      </c>
      <c r="J247" t="str">
        <f>TRIM(I247)</f>
        <v>Yuga Okamoto</v>
      </c>
      <c r="K247" t="str">
        <f t="shared" si="7"/>
        <v>Yuga Okamoto</v>
      </c>
      <c r="L247" t="s">
        <v>16</v>
      </c>
    </row>
    <row r="248" spans="1:12" x14ac:dyDescent="0.3">
      <c r="A248" t="s">
        <v>1036</v>
      </c>
      <c r="B248" t="s">
        <v>152</v>
      </c>
      <c r="C248" t="s">
        <v>1037</v>
      </c>
      <c r="D248" s="1">
        <f t="shared" si="6"/>
        <v>45888</v>
      </c>
      <c r="E248" t="s">
        <v>66</v>
      </c>
      <c r="F248" t="s">
        <v>55</v>
      </c>
      <c r="G248" t="b">
        <v>0</v>
      </c>
      <c r="H248" t="b">
        <v>0</v>
      </c>
      <c r="I248" t="s">
        <v>1038</v>
      </c>
      <c r="J248" t="str">
        <f>TRIM(I248)</f>
        <v>Nielvin Consejo</v>
      </c>
      <c r="K248" t="str">
        <f t="shared" si="7"/>
        <v>Nielvin Consejo</v>
      </c>
      <c r="L248" t="s">
        <v>16</v>
      </c>
    </row>
    <row r="249" spans="1:12" x14ac:dyDescent="0.3">
      <c r="A249" t="s">
        <v>1039</v>
      </c>
      <c r="B249" t="s">
        <v>159</v>
      </c>
      <c r="C249" t="s">
        <v>268</v>
      </c>
      <c r="D249" s="1">
        <f t="shared" si="6"/>
        <v>45364</v>
      </c>
      <c r="E249" t="s">
        <v>60</v>
      </c>
      <c r="F249" t="s">
        <v>1040</v>
      </c>
      <c r="G249" t="b">
        <v>1</v>
      </c>
      <c r="H249" t="b">
        <v>0</v>
      </c>
      <c r="I249" t="s">
        <v>1041</v>
      </c>
      <c r="J249" t="str">
        <f>TRIM(I249)</f>
        <v>Jonalyn Mateo</v>
      </c>
      <c r="K249" t="str">
        <f t="shared" si="7"/>
        <v>Jonalyn Mateo</v>
      </c>
      <c r="L249" t="s">
        <v>16</v>
      </c>
    </row>
    <row r="250" spans="1:12" x14ac:dyDescent="0.3">
      <c r="A250" t="s">
        <v>1042</v>
      </c>
      <c r="B250" t="s">
        <v>85</v>
      </c>
      <c r="C250" t="s">
        <v>1043</v>
      </c>
      <c r="D250" s="1">
        <f t="shared" si="6"/>
        <v>45054</v>
      </c>
      <c r="E250" t="s">
        <v>13</v>
      </c>
      <c r="F250" t="s">
        <v>102</v>
      </c>
      <c r="G250" t="b">
        <v>1</v>
      </c>
      <c r="H250" t="b">
        <v>1</v>
      </c>
      <c r="I250" t="s">
        <v>103</v>
      </c>
      <c r="J250" t="str">
        <f>TRIM(I250)</f>
        <v>Josie Mar G. Cabalo</v>
      </c>
      <c r="K250" t="str">
        <f t="shared" si="7"/>
        <v>Josie Mar G. Cabalo</v>
      </c>
      <c r="L250" t="s">
        <v>29</v>
      </c>
    </row>
    <row r="251" spans="1:12" x14ac:dyDescent="0.3">
      <c r="A251" t="s">
        <v>1044</v>
      </c>
      <c r="B251" t="s">
        <v>852</v>
      </c>
      <c r="C251" t="s">
        <v>1045</v>
      </c>
      <c r="D251" s="1">
        <f t="shared" si="6"/>
        <v>45051</v>
      </c>
      <c r="E251" t="s">
        <v>112</v>
      </c>
      <c r="F251" t="s">
        <v>1046</v>
      </c>
      <c r="G251" t="b">
        <v>1</v>
      </c>
      <c r="H251" t="b">
        <v>0</v>
      </c>
      <c r="I251" t="s">
        <v>1047</v>
      </c>
      <c r="J251" t="str">
        <f>TRIM(I251)</f>
        <v>Trisha Catalya</v>
      </c>
      <c r="K251" t="str">
        <f t="shared" si="7"/>
        <v>Trisha Catalya</v>
      </c>
      <c r="L251" t="s">
        <v>16</v>
      </c>
    </row>
    <row r="252" spans="1:12" x14ac:dyDescent="0.3">
      <c r="A252" t="s">
        <v>1048</v>
      </c>
      <c r="B252" t="s">
        <v>31</v>
      </c>
      <c r="C252" t="s">
        <v>619</v>
      </c>
      <c r="D252" s="1">
        <f t="shared" si="6"/>
        <v>45401</v>
      </c>
      <c r="E252" t="s">
        <v>112</v>
      </c>
      <c r="F252" t="s">
        <v>1049</v>
      </c>
      <c r="G252" t="b">
        <v>1</v>
      </c>
      <c r="H252" t="b">
        <v>0</v>
      </c>
      <c r="I252" t="s">
        <v>1050</v>
      </c>
      <c r="J252" t="str">
        <f>TRIM(I252)</f>
        <v>Danilee Joshua S. Halaba</v>
      </c>
      <c r="K252" t="str">
        <f t="shared" si="7"/>
        <v>Danilee Joshua S. Halaba</v>
      </c>
      <c r="L252" t="s">
        <v>16</v>
      </c>
    </row>
    <row r="253" spans="1:12" x14ac:dyDescent="0.3">
      <c r="A253" t="s">
        <v>1051</v>
      </c>
      <c r="B253" t="s">
        <v>976</v>
      </c>
      <c r="C253" t="s">
        <v>977</v>
      </c>
      <c r="D253" s="1">
        <f t="shared" si="6"/>
        <v>45594</v>
      </c>
      <c r="E253" t="s">
        <v>13</v>
      </c>
      <c r="F253" t="s">
        <v>1052</v>
      </c>
      <c r="G253" t="b">
        <v>1</v>
      </c>
      <c r="H253" t="b">
        <v>0</v>
      </c>
      <c r="I253" t="s">
        <v>1053</v>
      </c>
      <c r="J253" t="str">
        <f>TRIM(I253)</f>
        <v>Raishelle Joyce Arcillas</v>
      </c>
      <c r="K253" t="str">
        <f t="shared" si="7"/>
        <v>Raishelle Joyce Arcillas</v>
      </c>
      <c r="L253" t="s">
        <v>16</v>
      </c>
    </row>
    <row r="254" spans="1:12" x14ac:dyDescent="0.3">
      <c r="A254" t="s">
        <v>1054</v>
      </c>
      <c r="B254" t="s">
        <v>342</v>
      </c>
      <c r="C254" t="s">
        <v>343</v>
      </c>
      <c r="D254" s="1">
        <f t="shared" si="6"/>
        <v>45664</v>
      </c>
      <c r="E254" t="s">
        <v>143</v>
      </c>
      <c r="F254" t="s">
        <v>344</v>
      </c>
      <c r="G254" t="b">
        <v>1</v>
      </c>
      <c r="H254" t="b">
        <v>0</v>
      </c>
      <c r="I254" t="s">
        <v>1055</v>
      </c>
      <c r="J254" t="str">
        <f>TRIM(I254)</f>
        <v>Lea Cababasay</v>
      </c>
      <c r="K254" t="str">
        <f t="shared" si="7"/>
        <v>Lea Cababasay</v>
      </c>
      <c r="L254" t="s">
        <v>16</v>
      </c>
    </row>
    <row r="255" spans="1:12" x14ac:dyDescent="0.3">
      <c r="A255" t="s">
        <v>1056</v>
      </c>
      <c r="B255" t="s">
        <v>85</v>
      </c>
      <c r="C255" t="s">
        <v>1057</v>
      </c>
      <c r="D255" s="1">
        <f t="shared" si="6"/>
        <v>44910</v>
      </c>
      <c r="E255" t="s">
        <v>730</v>
      </c>
      <c r="F255" t="s">
        <v>21</v>
      </c>
      <c r="G255" t="b">
        <v>1</v>
      </c>
      <c r="H255" t="b">
        <v>0</v>
      </c>
      <c r="I255" t="s">
        <v>1058</v>
      </c>
      <c r="J255" t="str">
        <f>TRIM(I255)</f>
        <v>Raymond Cabarles</v>
      </c>
      <c r="K255" t="str">
        <f t="shared" si="7"/>
        <v>Raymond Cabarles</v>
      </c>
      <c r="L255" t="s">
        <v>16</v>
      </c>
    </row>
    <row r="256" spans="1:12" x14ac:dyDescent="0.3">
      <c r="A256" t="s">
        <v>1059</v>
      </c>
      <c r="B256" t="s">
        <v>1060</v>
      </c>
      <c r="C256" t="s">
        <v>1061</v>
      </c>
      <c r="D256" s="1">
        <f t="shared" si="6"/>
        <v>45890</v>
      </c>
      <c r="E256" t="s">
        <v>1062</v>
      </c>
      <c r="F256" t="s">
        <v>55</v>
      </c>
      <c r="G256" t="b">
        <v>0</v>
      </c>
      <c r="H256" t="b">
        <v>0</v>
      </c>
      <c r="I256" t="s">
        <v>1063</v>
      </c>
      <c r="J256" t="str">
        <f>TRIM(I256)</f>
        <v>Dr. Casiano H. Choresca Jr.</v>
      </c>
      <c r="K256" t="str">
        <f t="shared" si="7"/>
        <v>Dr. Casiano H. Choresca Jr.</v>
      </c>
      <c r="L256" t="s">
        <v>38</v>
      </c>
    </row>
    <row r="257" spans="1:12" x14ac:dyDescent="0.3">
      <c r="A257" t="s">
        <v>1064</v>
      </c>
      <c r="B257" t="s">
        <v>1065</v>
      </c>
      <c r="C257" t="s">
        <v>1066</v>
      </c>
      <c r="D257" s="1">
        <f t="shared" si="6"/>
        <v>44729</v>
      </c>
      <c r="E257" t="s">
        <v>13</v>
      </c>
      <c r="F257" t="s">
        <v>21</v>
      </c>
      <c r="G257" t="b">
        <v>1</v>
      </c>
      <c r="H257" t="b">
        <v>0</v>
      </c>
      <c r="I257" t="s">
        <v>1067</v>
      </c>
      <c r="J257" t="str">
        <f>TRIM(I257)</f>
        <v>Zeth Rodario Bebit</v>
      </c>
      <c r="K257" t="str">
        <f t="shared" si="7"/>
        <v>Zeth Rodario Bebit</v>
      </c>
      <c r="L257" t="s">
        <v>16</v>
      </c>
    </row>
    <row r="258" spans="1:12" x14ac:dyDescent="0.3">
      <c r="A258" t="s">
        <v>1068</v>
      </c>
      <c r="B258" t="s">
        <v>1069</v>
      </c>
      <c r="C258" t="s">
        <v>1070</v>
      </c>
      <c r="D258" s="1">
        <f t="shared" ref="D258:D321" si="8">DATEVALUE(LEFT(C258,10))</f>
        <v>45885</v>
      </c>
      <c r="E258" t="s">
        <v>1071</v>
      </c>
      <c r="F258" t="s">
        <v>55</v>
      </c>
      <c r="G258" t="b">
        <v>0</v>
      </c>
      <c r="H258" t="b">
        <v>0</v>
      </c>
      <c r="I258" t="s">
        <v>1072</v>
      </c>
      <c r="J258" t="str">
        <f>TRIM(I258)</f>
        <v>Pia Regina Fatima C. Zamora</v>
      </c>
      <c r="K258" t="str">
        <f t="shared" si="7"/>
        <v>Pia Regina Fatima C. Zamora</v>
      </c>
      <c r="L258" t="s">
        <v>16</v>
      </c>
    </row>
    <row r="259" spans="1:12" x14ac:dyDescent="0.3">
      <c r="A259" t="s">
        <v>1073</v>
      </c>
      <c r="B259" t="s">
        <v>1074</v>
      </c>
      <c r="C259" t="s">
        <v>1075</v>
      </c>
      <c r="D259" s="1">
        <f t="shared" si="8"/>
        <v>45885</v>
      </c>
      <c r="E259" t="s">
        <v>1076</v>
      </c>
      <c r="F259" t="s">
        <v>55</v>
      </c>
      <c r="G259" t="b">
        <v>0</v>
      </c>
      <c r="H259" t="b">
        <v>0</v>
      </c>
      <c r="I259" t="s">
        <v>1077</v>
      </c>
      <c r="J259" t="str">
        <f>TRIM(I259)</f>
        <v>MIGUEL D. VISCA JR.</v>
      </c>
      <c r="K259" t="str">
        <f t="shared" ref="K259:K322" si="9">PROPER(J259)</f>
        <v>Miguel D. Visca Jr.</v>
      </c>
      <c r="L259" t="s">
        <v>16</v>
      </c>
    </row>
    <row r="260" spans="1:12" x14ac:dyDescent="0.3">
      <c r="A260" t="s">
        <v>1078</v>
      </c>
      <c r="B260" t="s">
        <v>1079</v>
      </c>
      <c r="C260" t="s">
        <v>1080</v>
      </c>
      <c r="D260" s="1">
        <f t="shared" si="8"/>
        <v>45889</v>
      </c>
      <c r="E260" t="s">
        <v>66</v>
      </c>
      <c r="F260" t="s">
        <v>55</v>
      </c>
      <c r="G260" t="b">
        <v>0</v>
      </c>
      <c r="H260" t="b">
        <v>0</v>
      </c>
      <c r="I260" t="s">
        <v>1081</v>
      </c>
      <c r="J260" t="str">
        <f>TRIM(I260)</f>
        <v>Terisha Deb Marie Palmes</v>
      </c>
      <c r="K260" t="str">
        <f t="shared" si="9"/>
        <v>Terisha Deb Marie Palmes</v>
      </c>
      <c r="L260" t="s">
        <v>16</v>
      </c>
    </row>
    <row r="261" spans="1:12" x14ac:dyDescent="0.3">
      <c r="A261" t="s">
        <v>1082</v>
      </c>
      <c r="B261" t="s">
        <v>1083</v>
      </c>
      <c r="C261" t="s">
        <v>939</v>
      </c>
      <c r="D261" s="1">
        <f t="shared" si="8"/>
        <v>45744</v>
      </c>
      <c r="E261" t="s">
        <v>60</v>
      </c>
      <c r="F261" t="s">
        <v>1084</v>
      </c>
      <c r="G261" t="b">
        <v>1</v>
      </c>
      <c r="H261" t="b">
        <v>1</v>
      </c>
      <c r="I261" t="s">
        <v>1085</v>
      </c>
      <c r="J261" t="str">
        <f>TRIM(I261)</f>
        <v>Ma. Ardelia Bagona</v>
      </c>
      <c r="K261" t="str">
        <f t="shared" si="9"/>
        <v>Ma. Ardelia Bagona</v>
      </c>
      <c r="L261" t="s">
        <v>29</v>
      </c>
    </row>
    <row r="262" spans="1:12" x14ac:dyDescent="0.3">
      <c r="A262" t="s">
        <v>1086</v>
      </c>
      <c r="B262" t="s">
        <v>131</v>
      </c>
      <c r="C262" t="s">
        <v>1087</v>
      </c>
      <c r="D262" s="1">
        <f t="shared" si="8"/>
        <v>45890</v>
      </c>
      <c r="E262" t="s">
        <v>1088</v>
      </c>
      <c r="F262" t="s">
        <v>55</v>
      </c>
      <c r="G262" t="b">
        <v>0</v>
      </c>
      <c r="H262" t="b">
        <v>0</v>
      </c>
      <c r="I262" t="s">
        <v>1089</v>
      </c>
      <c r="J262" t="str">
        <f>TRIM(I262)</f>
        <v>Marcianne Elise C. Sirilan</v>
      </c>
      <c r="K262" t="str">
        <f t="shared" si="9"/>
        <v>Marcianne Elise C. Sirilan</v>
      </c>
      <c r="L262" t="s">
        <v>16</v>
      </c>
    </row>
    <row r="263" spans="1:12" x14ac:dyDescent="0.3">
      <c r="A263" t="s">
        <v>1090</v>
      </c>
      <c r="B263" t="s">
        <v>1091</v>
      </c>
      <c r="C263" t="s">
        <v>395</v>
      </c>
      <c r="D263" s="1">
        <f t="shared" si="8"/>
        <v>45083</v>
      </c>
      <c r="E263" t="s">
        <v>48</v>
      </c>
      <c r="F263" t="s">
        <v>1092</v>
      </c>
      <c r="G263" t="b">
        <v>1</v>
      </c>
      <c r="H263" t="b">
        <v>0</v>
      </c>
      <c r="I263" t="s">
        <v>1093</v>
      </c>
      <c r="J263" t="str">
        <f>TRIM(I263)</f>
        <v>Rachel A. Casio</v>
      </c>
      <c r="K263" t="str">
        <f t="shared" si="9"/>
        <v>Rachel A. Casio</v>
      </c>
      <c r="L263" t="s">
        <v>16</v>
      </c>
    </row>
    <row r="264" spans="1:12" x14ac:dyDescent="0.3">
      <c r="A264" t="s">
        <v>1094</v>
      </c>
      <c r="B264" t="s">
        <v>159</v>
      </c>
      <c r="C264" t="s">
        <v>891</v>
      </c>
      <c r="D264" s="1">
        <f t="shared" si="8"/>
        <v>44048</v>
      </c>
      <c r="E264" t="s">
        <v>13</v>
      </c>
      <c r="F264" t="s">
        <v>1095</v>
      </c>
      <c r="G264" t="b">
        <v>1</v>
      </c>
      <c r="H264" t="b">
        <v>0</v>
      </c>
      <c r="I264" t="s">
        <v>1096</v>
      </c>
      <c r="J264" t="str">
        <f>TRIM(I264)</f>
        <v>Ma. Novem Grace Ylayron</v>
      </c>
      <c r="K264" t="str">
        <f t="shared" si="9"/>
        <v>Ma. Novem Grace Ylayron</v>
      </c>
      <c r="L264" t="s">
        <v>16</v>
      </c>
    </row>
    <row r="265" spans="1:12" x14ac:dyDescent="0.3">
      <c r="A265" t="s">
        <v>1097</v>
      </c>
      <c r="B265" t="s">
        <v>209</v>
      </c>
      <c r="C265" t="s">
        <v>210</v>
      </c>
      <c r="D265" s="1">
        <f t="shared" si="8"/>
        <v>45385</v>
      </c>
      <c r="E265" t="s">
        <v>112</v>
      </c>
      <c r="F265" t="s">
        <v>1098</v>
      </c>
      <c r="G265" t="b">
        <v>1</v>
      </c>
      <c r="H265" t="b">
        <v>0</v>
      </c>
      <c r="I265" t="s">
        <v>1099</v>
      </c>
      <c r="J265" t="str">
        <f>TRIM(I265)</f>
        <v>Vien Lowell M. Mapa</v>
      </c>
      <c r="K265" t="str">
        <f t="shared" si="9"/>
        <v>Vien Lowell M. Mapa</v>
      </c>
      <c r="L265" t="s">
        <v>16</v>
      </c>
    </row>
    <row r="266" spans="1:12" x14ac:dyDescent="0.3">
      <c r="A266" t="s">
        <v>1100</v>
      </c>
      <c r="B266" t="s">
        <v>1101</v>
      </c>
      <c r="C266" t="s">
        <v>1102</v>
      </c>
      <c r="D266" s="1">
        <f t="shared" si="8"/>
        <v>44334</v>
      </c>
      <c r="E266" t="s">
        <v>514</v>
      </c>
      <c r="F266" t="s">
        <v>1103</v>
      </c>
      <c r="G266" t="b">
        <v>1</v>
      </c>
      <c r="H266" t="b">
        <v>1</v>
      </c>
      <c r="I266" t="s">
        <v>1104</v>
      </c>
      <c r="J266" t="str">
        <f>TRIM(I266)</f>
        <v>Arlene L . Avillanosa</v>
      </c>
      <c r="K266" t="str">
        <f t="shared" si="9"/>
        <v>Arlene L . Avillanosa</v>
      </c>
      <c r="L266" t="s">
        <v>29</v>
      </c>
    </row>
    <row r="267" spans="1:12" x14ac:dyDescent="0.3">
      <c r="A267" t="s">
        <v>1105</v>
      </c>
      <c r="B267" t="s">
        <v>1106</v>
      </c>
      <c r="C267" t="s">
        <v>71</v>
      </c>
      <c r="D267" s="1">
        <f t="shared" si="8"/>
        <v>44785</v>
      </c>
      <c r="E267" t="s">
        <v>60</v>
      </c>
      <c r="F267" t="s">
        <v>1107</v>
      </c>
      <c r="G267" t="b">
        <v>1</v>
      </c>
      <c r="H267" t="b">
        <v>0</v>
      </c>
      <c r="I267" t="s">
        <v>1108</v>
      </c>
      <c r="J267" t="str">
        <f>TRIM(I267)</f>
        <v>Jermaine Ritzchelle D. Marquez</v>
      </c>
      <c r="K267" t="str">
        <f t="shared" si="9"/>
        <v>Jermaine Ritzchelle D. Marquez</v>
      </c>
      <c r="L267" t="s">
        <v>16</v>
      </c>
    </row>
    <row r="268" spans="1:12" x14ac:dyDescent="0.3">
      <c r="A268" t="s">
        <v>1109</v>
      </c>
      <c r="B268" t="s">
        <v>1110</v>
      </c>
      <c r="C268" t="s">
        <v>1111</v>
      </c>
      <c r="D268" s="1">
        <f t="shared" si="8"/>
        <v>45885</v>
      </c>
      <c r="E268" t="s">
        <v>1112</v>
      </c>
      <c r="F268" t="s">
        <v>55</v>
      </c>
      <c r="G268" t="b">
        <v>0</v>
      </c>
      <c r="H268" t="b">
        <v>0</v>
      </c>
      <c r="I268" t="s">
        <v>1113</v>
      </c>
      <c r="J268" t="str">
        <f>TRIM(I268)</f>
        <v>Abolais B. Ampa Jr.</v>
      </c>
      <c r="K268" t="str">
        <f t="shared" si="9"/>
        <v>Abolais B. Ampa Jr.</v>
      </c>
      <c r="L268" t="s">
        <v>16</v>
      </c>
    </row>
    <row r="269" spans="1:12" x14ac:dyDescent="0.3">
      <c r="A269" t="s">
        <v>1114</v>
      </c>
      <c r="B269" t="s">
        <v>31</v>
      </c>
      <c r="C269" t="s">
        <v>195</v>
      </c>
      <c r="D269" s="1">
        <f t="shared" si="8"/>
        <v>45240</v>
      </c>
      <c r="E269" t="s">
        <v>112</v>
      </c>
      <c r="F269" t="s">
        <v>21</v>
      </c>
      <c r="G269" t="b">
        <v>1</v>
      </c>
      <c r="H269" t="b">
        <v>0</v>
      </c>
      <c r="I269" t="s">
        <v>1115</v>
      </c>
      <c r="J269" t="str">
        <f>TRIM(I269)</f>
        <v>Gerlie Mae Candole</v>
      </c>
      <c r="K269" t="str">
        <f t="shared" si="9"/>
        <v>Gerlie Mae Candole</v>
      </c>
      <c r="L269" t="s">
        <v>16</v>
      </c>
    </row>
    <row r="270" spans="1:12" x14ac:dyDescent="0.3">
      <c r="A270" t="s">
        <v>1116</v>
      </c>
      <c r="B270" t="s">
        <v>1117</v>
      </c>
      <c r="C270" t="s">
        <v>1118</v>
      </c>
      <c r="D270" s="1">
        <f t="shared" si="8"/>
        <v>44062</v>
      </c>
      <c r="E270" t="s">
        <v>60</v>
      </c>
      <c r="F270" t="s">
        <v>21</v>
      </c>
      <c r="G270" t="b">
        <v>1</v>
      </c>
      <c r="H270" t="b">
        <v>0</v>
      </c>
      <c r="I270" t="s">
        <v>1119</v>
      </c>
      <c r="J270" t="str">
        <f>TRIM(I270)</f>
        <v>Pretty Lee Silva</v>
      </c>
      <c r="K270" t="str">
        <f t="shared" si="9"/>
        <v>Pretty Lee Silva</v>
      </c>
      <c r="L270" t="s">
        <v>16</v>
      </c>
    </row>
    <row r="271" spans="1:12" x14ac:dyDescent="0.3">
      <c r="A271" t="s">
        <v>1120</v>
      </c>
      <c r="B271" t="s">
        <v>1121</v>
      </c>
      <c r="C271" t="s">
        <v>1122</v>
      </c>
      <c r="D271" s="1">
        <f t="shared" si="8"/>
        <v>45885</v>
      </c>
      <c r="E271" t="s">
        <v>1123</v>
      </c>
      <c r="F271" t="s">
        <v>55</v>
      </c>
      <c r="G271" t="b">
        <v>0</v>
      </c>
      <c r="H271" t="b">
        <v>0</v>
      </c>
      <c r="I271" t="s">
        <v>1124</v>
      </c>
      <c r="J271" t="str">
        <f>TRIM(I271)</f>
        <v>Sofi Andrea Iaiel Sambalod</v>
      </c>
      <c r="K271" t="str">
        <f t="shared" si="9"/>
        <v>Sofi Andrea Iaiel Sambalod</v>
      </c>
      <c r="L271" t="s">
        <v>16</v>
      </c>
    </row>
    <row r="272" spans="1:12" x14ac:dyDescent="0.3">
      <c r="A272" t="s">
        <v>1125</v>
      </c>
      <c r="B272" t="s">
        <v>159</v>
      </c>
      <c r="C272" t="s">
        <v>1126</v>
      </c>
      <c r="D272" s="1">
        <f t="shared" si="8"/>
        <v>45180</v>
      </c>
      <c r="E272" t="s">
        <v>122</v>
      </c>
      <c r="F272" t="s">
        <v>1127</v>
      </c>
      <c r="G272" t="b">
        <v>1</v>
      </c>
      <c r="H272" t="b">
        <v>0</v>
      </c>
      <c r="I272" t="s">
        <v>1128</v>
      </c>
      <c r="J272" t="str">
        <f>TRIM(I272)</f>
        <v>Nadine Belas</v>
      </c>
      <c r="K272" t="str">
        <f t="shared" si="9"/>
        <v>Nadine Belas</v>
      </c>
      <c r="L272" t="s">
        <v>16</v>
      </c>
    </row>
    <row r="273" spans="1:12" x14ac:dyDescent="0.3">
      <c r="A273" t="s">
        <v>1129</v>
      </c>
      <c r="B273" t="s">
        <v>355</v>
      </c>
      <c r="C273" t="s">
        <v>1130</v>
      </c>
      <c r="D273" s="1">
        <f t="shared" si="8"/>
        <v>44925</v>
      </c>
      <c r="E273" t="s">
        <v>112</v>
      </c>
      <c r="F273" t="s">
        <v>1131</v>
      </c>
      <c r="G273" t="b">
        <v>1</v>
      </c>
      <c r="H273" t="b">
        <v>0</v>
      </c>
      <c r="I273" t="s">
        <v>1132</v>
      </c>
      <c r="J273" t="str">
        <f>TRIM(I273)</f>
        <v>Yobhel Grace T. Diputado</v>
      </c>
      <c r="K273" t="str">
        <f t="shared" si="9"/>
        <v>Yobhel Grace T. Diputado</v>
      </c>
      <c r="L273" t="s">
        <v>16</v>
      </c>
    </row>
    <row r="274" spans="1:12" x14ac:dyDescent="0.3">
      <c r="A274" t="s">
        <v>1133</v>
      </c>
      <c r="B274" t="s">
        <v>1134</v>
      </c>
      <c r="C274" t="s">
        <v>1135</v>
      </c>
      <c r="D274" s="1">
        <f t="shared" si="8"/>
        <v>45414</v>
      </c>
      <c r="E274" t="s">
        <v>122</v>
      </c>
      <c r="F274" t="s">
        <v>1136</v>
      </c>
      <c r="G274" t="b">
        <v>1</v>
      </c>
      <c r="H274" t="b">
        <v>1</v>
      </c>
      <c r="I274" t="s">
        <v>1137</v>
      </c>
      <c r="J274" t="str">
        <f>TRIM(I274)</f>
        <v>Anne-Nora N. Sabirin</v>
      </c>
      <c r="K274" t="str">
        <f t="shared" si="9"/>
        <v>Anne-Nora N. Sabirin</v>
      </c>
      <c r="L274" t="s">
        <v>29</v>
      </c>
    </row>
    <row r="275" spans="1:12" x14ac:dyDescent="0.3">
      <c r="A275" t="s">
        <v>1138</v>
      </c>
      <c r="B275" t="s">
        <v>31</v>
      </c>
      <c r="C275" t="s">
        <v>195</v>
      </c>
      <c r="D275" s="1">
        <f t="shared" si="8"/>
        <v>45240</v>
      </c>
      <c r="E275" t="s">
        <v>1139</v>
      </c>
      <c r="F275" t="s">
        <v>596</v>
      </c>
      <c r="G275" t="b">
        <v>1</v>
      </c>
      <c r="H275" t="b">
        <v>0</v>
      </c>
      <c r="I275" t="s">
        <v>1140</v>
      </c>
      <c r="J275" t="str">
        <f>TRIM(I275)</f>
        <v>Sharmen Berlin</v>
      </c>
      <c r="K275" t="str">
        <f t="shared" si="9"/>
        <v>Sharmen Berlin</v>
      </c>
      <c r="L275" t="s">
        <v>16</v>
      </c>
    </row>
    <row r="276" spans="1:12" x14ac:dyDescent="0.3">
      <c r="A276" t="s">
        <v>1141</v>
      </c>
      <c r="B276" t="s">
        <v>1142</v>
      </c>
      <c r="C276" t="s">
        <v>1143</v>
      </c>
      <c r="D276" s="1">
        <f t="shared" si="8"/>
        <v>45456</v>
      </c>
      <c r="E276" t="s">
        <v>13</v>
      </c>
      <c r="F276" t="s">
        <v>1144</v>
      </c>
      <c r="G276" t="b">
        <v>1</v>
      </c>
      <c r="H276" t="b">
        <v>1</v>
      </c>
      <c r="I276" t="s">
        <v>1145</v>
      </c>
      <c r="J276" t="str">
        <f>TRIM(I276)</f>
        <v>Ryuya Matsuda</v>
      </c>
      <c r="K276" t="str">
        <f t="shared" si="9"/>
        <v>Ryuya Matsuda</v>
      </c>
      <c r="L276" t="s">
        <v>29</v>
      </c>
    </row>
    <row r="277" spans="1:12" x14ac:dyDescent="0.3">
      <c r="A277" t="s">
        <v>1146</v>
      </c>
      <c r="B277" t="s">
        <v>277</v>
      </c>
      <c r="C277" t="s">
        <v>449</v>
      </c>
      <c r="D277" s="1">
        <f t="shared" si="8"/>
        <v>45677</v>
      </c>
      <c r="E277" t="s">
        <v>112</v>
      </c>
      <c r="F277" t="s">
        <v>1147</v>
      </c>
      <c r="G277" t="b">
        <v>1</v>
      </c>
      <c r="H277" t="b">
        <v>0</v>
      </c>
      <c r="I277" t="s">
        <v>1148</v>
      </c>
      <c r="J277" t="str">
        <f>TRIM(I277)</f>
        <v>Majoerly Augustine Siccio</v>
      </c>
      <c r="K277" t="str">
        <f t="shared" si="9"/>
        <v>Majoerly Augustine Siccio</v>
      </c>
      <c r="L277" t="s">
        <v>16</v>
      </c>
    </row>
    <row r="278" spans="1:12" x14ac:dyDescent="0.3">
      <c r="A278" t="s">
        <v>1149</v>
      </c>
      <c r="B278" t="s">
        <v>1150</v>
      </c>
      <c r="C278" t="s">
        <v>1151</v>
      </c>
      <c r="D278" s="1">
        <f t="shared" si="8"/>
        <v>45886</v>
      </c>
      <c r="E278" t="s">
        <v>1152</v>
      </c>
      <c r="F278" t="s">
        <v>55</v>
      </c>
      <c r="G278" t="b">
        <v>0</v>
      </c>
      <c r="H278" t="b">
        <v>0</v>
      </c>
      <c r="I278" t="s">
        <v>1153</v>
      </c>
      <c r="J278" t="str">
        <f>TRIM(I278)</f>
        <v>Princess P. Taberna</v>
      </c>
      <c r="K278" t="str">
        <f t="shared" si="9"/>
        <v>Princess P. Taberna</v>
      </c>
      <c r="L278" t="s">
        <v>16</v>
      </c>
    </row>
    <row r="279" spans="1:12" x14ac:dyDescent="0.3">
      <c r="A279" t="s">
        <v>1154</v>
      </c>
      <c r="B279" t="s">
        <v>52</v>
      </c>
      <c r="C279" t="s">
        <v>1155</v>
      </c>
      <c r="D279" s="1">
        <f t="shared" si="8"/>
        <v>45890</v>
      </c>
      <c r="E279" t="s">
        <v>1156</v>
      </c>
      <c r="F279" t="s">
        <v>55</v>
      </c>
      <c r="G279" t="b">
        <v>0</v>
      </c>
      <c r="H279" t="b">
        <v>0</v>
      </c>
      <c r="I279" t="s">
        <v>1157</v>
      </c>
      <c r="J279" t="str">
        <f>TRIM(I279)</f>
        <v>Paolo Comaling</v>
      </c>
      <c r="K279" t="str">
        <f t="shared" si="9"/>
        <v>Paolo Comaling</v>
      </c>
      <c r="L279" t="s">
        <v>16</v>
      </c>
    </row>
    <row r="280" spans="1:12" x14ac:dyDescent="0.3">
      <c r="A280" t="s">
        <v>1158</v>
      </c>
      <c r="B280" t="s">
        <v>1159</v>
      </c>
      <c r="C280" t="s">
        <v>1160</v>
      </c>
      <c r="D280" s="1">
        <f t="shared" si="8"/>
        <v>45885</v>
      </c>
      <c r="E280" t="s">
        <v>1161</v>
      </c>
      <c r="F280" t="s">
        <v>55</v>
      </c>
      <c r="G280" t="b">
        <v>0</v>
      </c>
      <c r="H280" t="b">
        <v>0</v>
      </c>
      <c r="I280" t="s">
        <v>1162</v>
      </c>
      <c r="J280" t="str">
        <f>TRIM(I280)</f>
        <v>CRISTY S. ACABADO, Ph.D</v>
      </c>
      <c r="K280" t="str">
        <f t="shared" si="9"/>
        <v>Cristy S. Acabado, Ph.D</v>
      </c>
      <c r="L280" t="s">
        <v>16</v>
      </c>
    </row>
    <row r="281" spans="1:12" x14ac:dyDescent="0.3">
      <c r="A281" t="s">
        <v>1163</v>
      </c>
      <c r="B281" t="s">
        <v>301</v>
      </c>
      <c r="C281" t="s">
        <v>302</v>
      </c>
      <c r="D281" s="1">
        <f t="shared" si="8"/>
        <v>45572</v>
      </c>
      <c r="E281" t="s">
        <v>60</v>
      </c>
      <c r="F281" t="s">
        <v>230</v>
      </c>
      <c r="G281" t="b">
        <v>1</v>
      </c>
      <c r="H281" t="b">
        <v>0</v>
      </c>
      <c r="I281" t="s">
        <v>1164</v>
      </c>
      <c r="J281" t="str">
        <f>TRIM(I281)</f>
        <v>Irene Jean C. Lagumbay</v>
      </c>
      <c r="K281" t="str">
        <f t="shared" si="9"/>
        <v>Irene Jean C. Lagumbay</v>
      </c>
      <c r="L281" t="s">
        <v>16</v>
      </c>
    </row>
    <row r="282" spans="1:12" x14ac:dyDescent="0.3">
      <c r="A282" t="s">
        <v>1165</v>
      </c>
      <c r="B282" t="s">
        <v>277</v>
      </c>
      <c r="C282" t="s">
        <v>449</v>
      </c>
      <c r="D282" s="1">
        <f t="shared" si="8"/>
        <v>45677</v>
      </c>
      <c r="E282" t="s">
        <v>60</v>
      </c>
      <c r="F282" t="s">
        <v>1166</v>
      </c>
      <c r="G282" t="b">
        <v>1</v>
      </c>
      <c r="H282" t="b">
        <v>0</v>
      </c>
      <c r="I282" t="s">
        <v>1167</v>
      </c>
      <c r="J282" t="str">
        <f>TRIM(I282)</f>
        <v>Lilcah Angelique Opiña</v>
      </c>
      <c r="K282" t="str">
        <f t="shared" si="9"/>
        <v>Lilcah Angelique Opiña</v>
      </c>
      <c r="L282" t="s">
        <v>16</v>
      </c>
    </row>
    <row r="283" spans="1:12" x14ac:dyDescent="0.3">
      <c r="A283" t="s">
        <v>1168</v>
      </c>
      <c r="B283" t="s">
        <v>152</v>
      </c>
      <c r="C283" t="s">
        <v>1169</v>
      </c>
      <c r="D283" s="1">
        <f t="shared" si="8"/>
        <v>45889</v>
      </c>
      <c r="E283" t="s">
        <v>152</v>
      </c>
      <c r="F283" t="s">
        <v>55</v>
      </c>
      <c r="G283" t="b">
        <v>0</v>
      </c>
      <c r="H283" t="b">
        <v>0</v>
      </c>
      <c r="I283" t="s">
        <v>152</v>
      </c>
      <c r="J283" t="str">
        <f>TRIM(I283)</f>
        <v>--</v>
      </c>
      <c r="K283" t="str">
        <f t="shared" si="9"/>
        <v>--</v>
      </c>
      <c r="L283" t="s">
        <v>16</v>
      </c>
    </row>
    <row r="284" spans="1:12" x14ac:dyDescent="0.3">
      <c r="A284" t="s">
        <v>1170</v>
      </c>
      <c r="B284" t="s">
        <v>1171</v>
      </c>
      <c r="C284" t="s">
        <v>1172</v>
      </c>
      <c r="D284" s="1">
        <f t="shared" si="8"/>
        <v>45890</v>
      </c>
      <c r="E284" t="s">
        <v>66</v>
      </c>
      <c r="F284" t="s">
        <v>55</v>
      </c>
      <c r="G284" t="b">
        <v>0</v>
      </c>
      <c r="H284" t="b">
        <v>0</v>
      </c>
      <c r="I284" t="s">
        <v>1173</v>
      </c>
      <c r="J284" t="str">
        <f>TRIM(I284)</f>
        <v>Camille Gurrubat</v>
      </c>
      <c r="K284" t="str">
        <f t="shared" si="9"/>
        <v>Camille Gurrubat</v>
      </c>
      <c r="L284" t="s">
        <v>16</v>
      </c>
    </row>
    <row r="285" spans="1:12" x14ac:dyDescent="0.3">
      <c r="A285" t="s">
        <v>1174</v>
      </c>
      <c r="B285" t="s">
        <v>874</v>
      </c>
      <c r="C285" t="s">
        <v>1175</v>
      </c>
      <c r="D285" s="1">
        <f t="shared" si="8"/>
        <v>45349</v>
      </c>
      <c r="E285" t="s">
        <v>112</v>
      </c>
      <c r="F285" t="s">
        <v>1176</v>
      </c>
      <c r="G285" t="b">
        <v>1</v>
      </c>
      <c r="H285" t="b">
        <v>0</v>
      </c>
      <c r="I285" t="s">
        <v>1177</v>
      </c>
      <c r="J285" t="str">
        <f>TRIM(I285)</f>
        <v>Caryl Anne G. Abulencia</v>
      </c>
      <c r="K285" t="str">
        <f t="shared" si="9"/>
        <v>Caryl Anne G. Abulencia</v>
      </c>
      <c r="L285" t="s">
        <v>16</v>
      </c>
    </row>
    <row r="286" spans="1:12" x14ac:dyDescent="0.3">
      <c r="A286" t="s">
        <v>1178</v>
      </c>
      <c r="B286" t="s">
        <v>316</v>
      </c>
      <c r="C286" t="s">
        <v>317</v>
      </c>
      <c r="D286" s="1">
        <f t="shared" si="8"/>
        <v>45573</v>
      </c>
      <c r="E286" t="s">
        <v>112</v>
      </c>
      <c r="F286" t="s">
        <v>1179</v>
      </c>
      <c r="G286" t="b">
        <v>1</v>
      </c>
      <c r="H286" t="b">
        <v>0</v>
      </c>
      <c r="I286" t="s">
        <v>1180</v>
      </c>
      <c r="J286" t="str">
        <f>TRIM(I286)</f>
        <v>Jan Arcel Agravante</v>
      </c>
      <c r="K286" t="str">
        <f t="shared" si="9"/>
        <v>Jan Arcel Agravante</v>
      </c>
      <c r="L286" t="s">
        <v>16</v>
      </c>
    </row>
    <row r="287" spans="1:12" x14ac:dyDescent="0.3">
      <c r="A287" t="s">
        <v>1181</v>
      </c>
      <c r="B287" t="s">
        <v>976</v>
      </c>
      <c r="C287" t="s">
        <v>977</v>
      </c>
      <c r="D287" s="1">
        <f t="shared" si="8"/>
        <v>45594</v>
      </c>
      <c r="E287" t="s">
        <v>13</v>
      </c>
      <c r="F287" t="s">
        <v>1182</v>
      </c>
      <c r="G287" t="b">
        <v>1</v>
      </c>
      <c r="H287" t="b">
        <v>0</v>
      </c>
      <c r="I287" t="s">
        <v>1183</v>
      </c>
      <c r="J287" t="str">
        <f>TRIM(I287)</f>
        <v>Eunice Raiza Panagsagan</v>
      </c>
      <c r="K287" t="str">
        <f t="shared" si="9"/>
        <v>Eunice Raiza Panagsagan</v>
      </c>
      <c r="L287" t="s">
        <v>16</v>
      </c>
    </row>
    <row r="288" spans="1:12" x14ac:dyDescent="0.3">
      <c r="A288" t="s">
        <v>1184</v>
      </c>
      <c r="B288" t="s">
        <v>1185</v>
      </c>
      <c r="C288" t="s">
        <v>1186</v>
      </c>
      <c r="D288" s="1">
        <f t="shared" si="8"/>
        <v>45531</v>
      </c>
      <c r="E288" t="s">
        <v>122</v>
      </c>
      <c r="F288" t="s">
        <v>1187</v>
      </c>
      <c r="G288" t="b">
        <v>1</v>
      </c>
      <c r="H288" t="b">
        <v>1</v>
      </c>
      <c r="I288" t="s">
        <v>1188</v>
      </c>
      <c r="J288" t="str">
        <f>TRIM(I288)</f>
        <v>Fausto dela Cruz</v>
      </c>
      <c r="K288" t="str">
        <f t="shared" si="9"/>
        <v>Fausto Dela Cruz</v>
      </c>
      <c r="L288" t="s">
        <v>29</v>
      </c>
    </row>
    <row r="289" spans="1:12" x14ac:dyDescent="0.3">
      <c r="A289" t="s">
        <v>1189</v>
      </c>
      <c r="B289" t="s">
        <v>1190</v>
      </c>
      <c r="C289" t="s">
        <v>1191</v>
      </c>
      <c r="D289" s="1">
        <f t="shared" si="8"/>
        <v>45890</v>
      </c>
      <c r="E289" t="s">
        <v>60</v>
      </c>
      <c r="F289" t="s">
        <v>55</v>
      </c>
      <c r="G289" t="b">
        <v>0</v>
      </c>
      <c r="H289" t="b">
        <v>1</v>
      </c>
      <c r="I289" t="s">
        <v>1192</v>
      </c>
      <c r="J289" t="str">
        <f>TRIM(I289)</f>
        <v>Gardel Xyza Libunao</v>
      </c>
      <c r="K289" t="str">
        <f t="shared" si="9"/>
        <v>Gardel Xyza Libunao</v>
      </c>
      <c r="L289" t="s">
        <v>29</v>
      </c>
    </row>
    <row r="290" spans="1:12" x14ac:dyDescent="0.3">
      <c r="A290" t="s">
        <v>1193</v>
      </c>
      <c r="B290" t="s">
        <v>85</v>
      </c>
      <c r="C290" t="s">
        <v>1057</v>
      </c>
      <c r="D290" s="1">
        <f t="shared" si="8"/>
        <v>44910</v>
      </c>
      <c r="E290" t="s">
        <v>48</v>
      </c>
      <c r="F290" t="s">
        <v>21</v>
      </c>
      <c r="G290" t="b">
        <v>1</v>
      </c>
      <c r="H290" t="b">
        <v>0</v>
      </c>
      <c r="I290" t="s">
        <v>1194</v>
      </c>
      <c r="J290" t="str">
        <f>TRIM(I290)</f>
        <v>Edcel T. Resano</v>
      </c>
      <c r="K290" t="str">
        <f t="shared" si="9"/>
        <v>Edcel T. Resano</v>
      </c>
      <c r="L290" t="s">
        <v>16</v>
      </c>
    </row>
    <row r="291" spans="1:12" x14ac:dyDescent="0.3">
      <c r="A291" t="s">
        <v>1195</v>
      </c>
      <c r="B291" t="s">
        <v>905</v>
      </c>
      <c r="C291" t="s">
        <v>906</v>
      </c>
      <c r="D291" s="1">
        <f t="shared" si="8"/>
        <v>44382</v>
      </c>
      <c r="E291" t="s">
        <v>514</v>
      </c>
      <c r="F291" t="s">
        <v>1196</v>
      </c>
      <c r="G291" t="b">
        <v>1</v>
      </c>
      <c r="H291" t="b">
        <v>1</v>
      </c>
      <c r="I291" t="s">
        <v>1197</v>
      </c>
      <c r="J291" t="str">
        <f>TRIM(I291)</f>
        <v>Concepcion Ponce</v>
      </c>
      <c r="K291" t="str">
        <f t="shared" si="9"/>
        <v>Concepcion Ponce</v>
      </c>
      <c r="L291" t="s">
        <v>29</v>
      </c>
    </row>
    <row r="292" spans="1:12" x14ac:dyDescent="0.3">
      <c r="A292" t="s">
        <v>1198</v>
      </c>
      <c r="B292" t="s">
        <v>209</v>
      </c>
      <c r="C292" t="s">
        <v>210</v>
      </c>
      <c r="D292" s="1">
        <f t="shared" si="8"/>
        <v>45385</v>
      </c>
      <c r="E292" t="s">
        <v>112</v>
      </c>
      <c r="F292" t="s">
        <v>1199</v>
      </c>
      <c r="G292" t="b">
        <v>1</v>
      </c>
      <c r="H292" t="b">
        <v>0</v>
      </c>
      <c r="I292" t="s">
        <v>1200</v>
      </c>
      <c r="J292" t="str">
        <f>TRIM(I292)</f>
        <v>Joshua Miguel Javelosa</v>
      </c>
      <c r="K292" t="str">
        <f t="shared" si="9"/>
        <v>Joshua Miguel Javelosa</v>
      </c>
      <c r="L292" t="s">
        <v>16</v>
      </c>
    </row>
    <row r="293" spans="1:12" x14ac:dyDescent="0.3">
      <c r="A293" t="s">
        <v>1201</v>
      </c>
      <c r="B293" t="s">
        <v>1202</v>
      </c>
      <c r="C293" t="s">
        <v>1203</v>
      </c>
      <c r="D293" s="1">
        <f t="shared" si="8"/>
        <v>45885</v>
      </c>
      <c r="E293" t="s">
        <v>1204</v>
      </c>
      <c r="F293" t="s">
        <v>55</v>
      </c>
      <c r="G293" t="b">
        <v>0</v>
      </c>
      <c r="H293" t="b">
        <v>0</v>
      </c>
      <c r="I293" t="s">
        <v>1205</v>
      </c>
      <c r="J293" t="str">
        <f>TRIM(I293)</f>
        <v>Dominic Justine Mapa</v>
      </c>
      <c r="K293" t="str">
        <f t="shared" si="9"/>
        <v>Dominic Justine Mapa</v>
      </c>
      <c r="L293" t="s">
        <v>16</v>
      </c>
    </row>
    <row r="294" spans="1:12" x14ac:dyDescent="0.3">
      <c r="A294" t="s">
        <v>1206</v>
      </c>
      <c r="B294" t="s">
        <v>1207</v>
      </c>
      <c r="C294" t="s">
        <v>1208</v>
      </c>
      <c r="D294" s="1">
        <f t="shared" si="8"/>
        <v>45885</v>
      </c>
      <c r="E294" t="s">
        <v>1209</v>
      </c>
      <c r="F294" t="s">
        <v>55</v>
      </c>
      <c r="G294" t="b">
        <v>0</v>
      </c>
      <c r="H294" t="b">
        <v>0</v>
      </c>
      <c r="I294" t="s">
        <v>1210</v>
      </c>
      <c r="J294" t="str">
        <f>TRIM(I294)</f>
        <v>Julius Kevin Cura</v>
      </c>
      <c r="K294" t="str">
        <f t="shared" si="9"/>
        <v>Julius Kevin Cura</v>
      </c>
      <c r="L294" t="s">
        <v>16</v>
      </c>
    </row>
    <row r="295" spans="1:12" x14ac:dyDescent="0.3">
      <c r="A295" t="s">
        <v>1211</v>
      </c>
      <c r="B295" t="s">
        <v>1212</v>
      </c>
      <c r="C295" t="s">
        <v>1213</v>
      </c>
      <c r="D295" s="1">
        <f t="shared" si="8"/>
        <v>45399</v>
      </c>
      <c r="E295" t="s">
        <v>112</v>
      </c>
      <c r="F295" t="s">
        <v>1214</v>
      </c>
      <c r="G295" t="b">
        <v>1</v>
      </c>
      <c r="H295" t="b">
        <v>0</v>
      </c>
      <c r="I295" t="s">
        <v>1215</v>
      </c>
      <c r="J295" t="str">
        <f>TRIM(I295)</f>
        <v>Angel Ann H. Vargas</v>
      </c>
      <c r="K295" t="str">
        <f t="shared" si="9"/>
        <v>Angel Ann H. Vargas</v>
      </c>
      <c r="L295" t="s">
        <v>16</v>
      </c>
    </row>
    <row r="296" spans="1:12" x14ac:dyDescent="0.3">
      <c r="A296" t="s">
        <v>1216</v>
      </c>
      <c r="B296" t="s">
        <v>1217</v>
      </c>
      <c r="C296" t="s">
        <v>1218</v>
      </c>
      <c r="D296" s="1">
        <f t="shared" si="8"/>
        <v>44763</v>
      </c>
      <c r="E296" t="s">
        <v>60</v>
      </c>
      <c r="F296" t="s">
        <v>1219</v>
      </c>
      <c r="G296" t="b">
        <v>1</v>
      </c>
      <c r="H296" t="b">
        <v>1</v>
      </c>
      <c r="I296" t="s">
        <v>1220</v>
      </c>
      <c r="J296" t="str">
        <f>TRIM(I296)</f>
        <v>Rhudith Cabulong</v>
      </c>
      <c r="K296" t="str">
        <f t="shared" si="9"/>
        <v>Rhudith Cabulong</v>
      </c>
      <c r="L296" t="s">
        <v>29</v>
      </c>
    </row>
    <row r="297" spans="1:12" x14ac:dyDescent="0.3">
      <c r="A297" t="s">
        <v>1221</v>
      </c>
      <c r="B297" t="s">
        <v>923</v>
      </c>
      <c r="C297" t="s">
        <v>1222</v>
      </c>
      <c r="D297" s="1">
        <f t="shared" si="8"/>
        <v>45419</v>
      </c>
      <c r="E297" t="s">
        <v>112</v>
      </c>
      <c r="F297" t="s">
        <v>1223</v>
      </c>
      <c r="G297" t="b">
        <v>1</v>
      </c>
      <c r="H297" t="b">
        <v>1</v>
      </c>
      <c r="I297" t="s">
        <v>1224</v>
      </c>
      <c r="J297" t="str">
        <f>TRIM(I297)</f>
        <v>John Paul Resano</v>
      </c>
      <c r="K297" t="str">
        <f t="shared" si="9"/>
        <v>John Paul Resano</v>
      </c>
      <c r="L297" t="s">
        <v>29</v>
      </c>
    </row>
    <row r="298" spans="1:12" x14ac:dyDescent="0.3">
      <c r="A298" t="s">
        <v>1225</v>
      </c>
      <c r="B298" t="s">
        <v>1207</v>
      </c>
      <c r="C298" t="s">
        <v>1226</v>
      </c>
      <c r="D298" s="1">
        <f t="shared" si="8"/>
        <v>45885</v>
      </c>
      <c r="E298" t="s">
        <v>152</v>
      </c>
      <c r="F298" t="s">
        <v>1227</v>
      </c>
      <c r="G298" t="b">
        <v>0</v>
      </c>
      <c r="H298" t="b">
        <v>0</v>
      </c>
      <c r="I298" t="s">
        <v>1228</v>
      </c>
      <c r="J298" t="str">
        <f>TRIM(I298)</f>
        <v>Kathlyn Lumayag</v>
      </c>
      <c r="K298" t="str">
        <f t="shared" si="9"/>
        <v>Kathlyn Lumayag</v>
      </c>
      <c r="L298" t="s">
        <v>16</v>
      </c>
    </row>
    <row r="299" spans="1:12" x14ac:dyDescent="0.3">
      <c r="A299" t="s">
        <v>1229</v>
      </c>
      <c r="B299" t="s">
        <v>423</v>
      </c>
      <c r="C299" t="s">
        <v>1230</v>
      </c>
      <c r="D299" s="1">
        <f t="shared" si="8"/>
        <v>45698</v>
      </c>
      <c r="E299" t="s">
        <v>13</v>
      </c>
      <c r="F299" t="s">
        <v>1231</v>
      </c>
      <c r="G299" t="b">
        <v>1</v>
      </c>
      <c r="H299" t="b">
        <v>1</v>
      </c>
      <c r="I299" t="s">
        <v>1232</v>
      </c>
      <c r="J299" t="str">
        <f>TRIM(I299)</f>
        <v>Harold V. Pena</v>
      </c>
      <c r="K299" t="str">
        <f t="shared" si="9"/>
        <v>Harold V. Pena</v>
      </c>
      <c r="L299" t="s">
        <v>29</v>
      </c>
    </row>
    <row r="300" spans="1:12" x14ac:dyDescent="0.3">
      <c r="A300" t="s">
        <v>1233</v>
      </c>
      <c r="B300" t="s">
        <v>152</v>
      </c>
      <c r="C300" t="s">
        <v>1234</v>
      </c>
      <c r="D300" s="1">
        <f t="shared" si="8"/>
        <v>45888</v>
      </c>
      <c r="E300" t="s">
        <v>60</v>
      </c>
      <c r="F300" t="s">
        <v>55</v>
      </c>
      <c r="G300" t="b">
        <v>0</v>
      </c>
      <c r="H300" t="b">
        <v>0</v>
      </c>
      <c r="I300" t="s">
        <v>1235</v>
      </c>
      <c r="J300" t="str">
        <f>TRIM(I300)</f>
        <v>Mari Neila Seco</v>
      </c>
      <c r="K300" t="str">
        <f t="shared" si="9"/>
        <v>Mari Neila Seco</v>
      </c>
      <c r="L300" t="s">
        <v>16</v>
      </c>
    </row>
    <row r="301" spans="1:12" x14ac:dyDescent="0.3">
      <c r="A301" t="s">
        <v>1236</v>
      </c>
      <c r="B301" t="s">
        <v>1237</v>
      </c>
      <c r="C301" t="s">
        <v>1238</v>
      </c>
      <c r="D301" s="1">
        <f t="shared" si="8"/>
        <v>45750</v>
      </c>
      <c r="E301" t="s">
        <v>60</v>
      </c>
      <c r="F301" t="s">
        <v>1239</v>
      </c>
      <c r="G301" t="b">
        <v>1</v>
      </c>
      <c r="H301" t="b">
        <v>0</v>
      </c>
      <c r="I301" t="s">
        <v>1240</v>
      </c>
      <c r="J301" t="str">
        <f>TRIM(I301)</f>
        <v>Evelyn Vedasto</v>
      </c>
      <c r="K301" t="str">
        <f t="shared" si="9"/>
        <v>Evelyn Vedasto</v>
      </c>
      <c r="L301" t="s">
        <v>16</v>
      </c>
    </row>
    <row r="302" spans="1:12" x14ac:dyDescent="0.3">
      <c r="A302" t="s">
        <v>1241</v>
      </c>
      <c r="B302" t="s">
        <v>48</v>
      </c>
      <c r="C302" t="s">
        <v>1242</v>
      </c>
      <c r="D302" s="1">
        <f t="shared" si="8"/>
        <v>46031</v>
      </c>
      <c r="E302" t="s">
        <v>101</v>
      </c>
      <c r="F302" t="s">
        <v>550</v>
      </c>
      <c r="G302" t="b">
        <v>0</v>
      </c>
      <c r="H302" t="b">
        <v>0</v>
      </c>
      <c r="I302" t="s">
        <v>1243</v>
      </c>
      <c r="J302" t="str">
        <f>TRIM(I302)</f>
        <v>KIAN DAVE C. CALDITO</v>
      </c>
      <c r="K302" t="str">
        <f t="shared" si="9"/>
        <v>Kian Dave C. Caldito</v>
      </c>
      <c r="L302" t="s">
        <v>16</v>
      </c>
    </row>
    <row r="303" spans="1:12" x14ac:dyDescent="0.3">
      <c r="A303" t="s">
        <v>1244</v>
      </c>
      <c r="B303" t="s">
        <v>159</v>
      </c>
      <c r="C303" t="s">
        <v>268</v>
      </c>
      <c r="D303" s="1">
        <f t="shared" si="8"/>
        <v>45364</v>
      </c>
      <c r="E303" t="s">
        <v>112</v>
      </c>
      <c r="F303" t="s">
        <v>21</v>
      </c>
      <c r="G303" t="b">
        <v>1</v>
      </c>
      <c r="H303" t="b">
        <v>0</v>
      </c>
      <c r="I303" t="s">
        <v>1245</v>
      </c>
      <c r="J303" t="str">
        <f>TRIM(I303)</f>
        <v>Kharl Marx Adorado</v>
      </c>
      <c r="K303" t="str">
        <f t="shared" si="9"/>
        <v>Kharl Marx Adorado</v>
      </c>
      <c r="L303" t="s">
        <v>48</v>
      </c>
    </row>
    <row r="304" spans="1:12" x14ac:dyDescent="0.3">
      <c r="A304" t="s">
        <v>1246</v>
      </c>
      <c r="B304" t="s">
        <v>1247</v>
      </c>
      <c r="C304" t="s">
        <v>1248</v>
      </c>
      <c r="D304" s="1">
        <f t="shared" si="8"/>
        <v>44951</v>
      </c>
      <c r="E304" t="s">
        <v>60</v>
      </c>
      <c r="F304" t="s">
        <v>21</v>
      </c>
      <c r="G304" t="b">
        <v>1</v>
      </c>
      <c r="H304" t="b">
        <v>0</v>
      </c>
      <c r="I304" t="s">
        <v>1249</v>
      </c>
      <c r="J304" t="str">
        <f>TRIM(I304)</f>
        <v>Persie Persie Mark Sienes</v>
      </c>
      <c r="K304" t="str">
        <f t="shared" si="9"/>
        <v>Persie Persie Mark Sienes</v>
      </c>
      <c r="L304" t="s">
        <v>16</v>
      </c>
    </row>
    <row r="305" spans="1:12" x14ac:dyDescent="0.3">
      <c r="A305" t="s">
        <v>1250</v>
      </c>
      <c r="B305" t="s">
        <v>852</v>
      </c>
      <c r="C305" t="s">
        <v>1251</v>
      </c>
      <c r="D305" s="1">
        <f t="shared" si="8"/>
        <v>45007</v>
      </c>
      <c r="E305" t="s">
        <v>112</v>
      </c>
      <c r="F305" t="s">
        <v>1252</v>
      </c>
      <c r="G305" t="b">
        <v>1</v>
      </c>
      <c r="H305" t="b">
        <v>0</v>
      </c>
      <c r="I305" t="s">
        <v>1253</v>
      </c>
      <c r="J305" t="str">
        <f>TRIM(I305)</f>
        <v>Rose Ann Lumapan</v>
      </c>
      <c r="K305" t="str">
        <f t="shared" si="9"/>
        <v>Rose Ann Lumapan</v>
      </c>
      <c r="L305" t="s">
        <v>16</v>
      </c>
    </row>
    <row r="306" spans="1:12" x14ac:dyDescent="0.3">
      <c r="A306" t="s">
        <v>1254</v>
      </c>
      <c r="B306" t="s">
        <v>41</v>
      </c>
      <c r="C306" t="s">
        <v>1255</v>
      </c>
      <c r="D306" s="1">
        <f t="shared" si="8"/>
        <v>44868</v>
      </c>
      <c r="E306" t="s">
        <v>20</v>
      </c>
      <c r="F306" t="s">
        <v>1256</v>
      </c>
      <c r="G306" t="b">
        <v>1</v>
      </c>
      <c r="H306" t="b">
        <v>0</v>
      </c>
      <c r="I306" t="s">
        <v>1257</v>
      </c>
      <c r="J306" t="str">
        <f>TRIM(I306)</f>
        <v>Rommel Gestuveo</v>
      </c>
      <c r="K306" t="str">
        <f t="shared" si="9"/>
        <v>Rommel Gestuveo</v>
      </c>
      <c r="L306" t="s">
        <v>16</v>
      </c>
    </row>
    <row r="307" spans="1:12" x14ac:dyDescent="0.3">
      <c r="A307" t="s">
        <v>1258</v>
      </c>
      <c r="B307" t="s">
        <v>159</v>
      </c>
      <c r="C307" t="s">
        <v>321</v>
      </c>
      <c r="D307" s="1">
        <f t="shared" si="8"/>
        <v>45335</v>
      </c>
      <c r="E307" t="s">
        <v>122</v>
      </c>
      <c r="F307" t="s">
        <v>21</v>
      </c>
      <c r="G307" t="b">
        <v>1</v>
      </c>
      <c r="H307" t="b">
        <v>0</v>
      </c>
      <c r="I307" t="s">
        <v>1259</v>
      </c>
      <c r="J307" t="str">
        <f>TRIM(I307)</f>
        <v>Ellen Rose Torremoro</v>
      </c>
      <c r="K307" t="str">
        <f t="shared" si="9"/>
        <v>Ellen Rose Torremoro</v>
      </c>
      <c r="L307" t="s">
        <v>16</v>
      </c>
    </row>
    <row r="308" spans="1:12" x14ac:dyDescent="0.3">
      <c r="A308" t="s">
        <v>1260</v>
      </c>
      <c r="B308" t="s">
        <v>80</v>
      </c>
      <c r="C308" t="s">
        <v>1261</v>
      </c>
      <c r="D308" s="1">
        <f t="shared" si="8"/>
        <v>44644</v>
      </c>
      <c r="E308" t="s">
        <v>122</v>
      </c>
      <c r="F308" t="s">
        <v>1262</v>
      </c>
      <c r="G308" t="b">
        <v>1</v>
      </c>
      <c r="H308" t="b">
        <v>1</v>
      </c>
      <c r="I308" t="s">
        <v>1263</v>
      </c>
      <c r="J308" t="str">
        <f>TRIM(I308)</f>
        <v>Kingsley John de los Santos</v>
      </c>
      <c r="K308" t="str">
        <f t="shared" si="9"/>
        <v>Kingsley John De Los Santos</v>
      </c>
      <c r="L308" t="s">
        <v>29</v>
      </c>
    </row>
    <row r="309" spans="1:12" x14ac:dyDescent="0.3">
      <c r="A309" t="s">
        <v>1264</v>
      </c>
      <c r="B309" t="s">
        <v>85</v>
      </c>
      <c r="C309" t="s">
        <v>981</v>
      </c>
      <c r="D309" s="1">
        <f t="shared" si="8"/>
        <v>45415</v>
      </c>
      <c r="E309" t="s">
        <v>60</v>
      </c>
      <c r="F309" t="s">
        <v>1265</v>
      </c>
      <c r="G309" t="b">
        <v>1</v>
      </c>
      <c r="H309" t="b">
        <v>1</v>
      </c>
      <c r="I309" t="s">
        <v>1266</v>
      </c>
      <c r="J309" t="str">
        <f>TRIM(I309)</f>
        <v>Sanny David Lumayno</v>
      </c>
      <c r="K309" t="str">
        <f t="shared" si="9"/>
        <v>Sanny David Lumayno</v>
      </c>
      <c r="L309" t="s">
        <v>29</v>
      </c>
    </row>
    <row r="310" spans="1:12" x14ac:dyDescent="0.3">
      <c r="A310" t="s">
        <v>1267</v>
      </c>
      <c r="B310" t="s">
        <v>1268</v>
      </c>
      <c r="C310" t="s">
        <v>1269</v>
      </c>
      <c r="D310" s="1">
        <f t="shared" si="8"/>
        <v>45450</v>
      </c>
      <c r="E310" t="s">
        <v>13</v>
      </c>
      <c r="F310" t="s">
        <v>1270</v>
      </c>
      <c r="G310" t="b">
        <v>1</v>
      </c>
      <c r="H310" t="b">
        <v>0</v>
      </c>
      <c r="I310" t="s">
        <v>1271</v>
      </c>
      <c r="J310" t="str">
        <f>TRIM(I310)</f>
        <v>Nikka Marie Murallon</v>
      </c>
      <c r="K310" t="str">
        <f t="shared" si="9"/>
        <v>Nikka Marie Murallon</v>
      </c>
      <c r="L310" t="s">
        <v>16</v>
      </c>
    </row>
    <row r="311" spans="1:12" x14ac:dyDescent="0.3">
      <c r="A311" t="s">
        <v>1272</v>
      </c>
      <c r="B311" t="s">
        <v>31</v>
      </c>
      <c r="C311" t="s">
        <v>195</v>
      </c>
      <c r="D311" s="1">
        <f t="shared" si="8"/>
        <v>45240</v>
      </c>
      <c r="E311" t="s">
        <v>13</v>
      </c>
      <c r="F311" t="s">
        <v>1273</v>
      </c>
      <c r="G311" t="b">
        <v>1</v>
      </c>
      <c r="H311" t="b">
        <v>0</v>
      </c>
      <c r="I311" t="s">
        <v>1274</v>
      </c>
      <c r="J311" t="str">
        <f>TRIM(I311)</f>
        <v>Christine Teves</v>
      </c>
      <c r="K311" t="str">
        <f t="shared" si="9"/>
        <v>Christine Teves</v>
      </c>
      <c r="L311" t="s">
        <v>16</v>
      </c>
    </row>
    <row r="312" spans="1:12" x14ac:dyDescent="0.3">
      <c r="A312" t="s">
        <v>1275</v>
      </c>
      <c r="B312" t="s">
        <v>52</v>
      </c>
      <c r="C312" t="s">
        <v>229</v>
      </c>
      <c r="D312" s="1">
        <f t="shared" si="8"/>
        <v>45513</v>
      </c>
      <c r="E312" t="s">
        <v>60</v>
      </c>
      <c r="F312" t="s">
        <v>230</v>
      </c>
      <c r="G312" t="b">
        <v>1</v>
      </c>
      <c r="H312" t="b">
        <v>0</v>
      </c>
      <c r="I312" t="s">
        <v>1276</v>
      </c>
      <c r="J312" t="str">
        <f>TRIM(I312)</f>
        <v>Maria Dulce L. Alibangbang</v>
      </c>
      <c r="K312" t="str">
        <f t="shared" si="9"/>
        <v>Maria Dulce L. Alibangbang</v>
      </c>
      <c r="L312" t="s">
        <v>16</v>
      </c>
    </row>
    <row r="313" spans="1:12" x14ac:dyDescent="0.3">
      <c r="A313" t="s">
        <v>1277</v>
      </c>
      <c r="B313" t="s">
        <v>1278</v>
      </c>
      <c r="C313" t="s">
        <v>1279</v>
      </c>
      <c r="D313" s="1">
        <f t="shared" si="8"/>
        <v>45890</v>
      </c>
      <c r="E313" t="s">
        <v>1278</v>
      </c>
      <c r="F313" t="s">
        <v>55</v>
      </c>
      <c r="G313" t="b">
        <v>0</v>
      </c>
      <c r="H313" t="b">
        <v>0</v>
      </c>
      <c r="I313" t="s">
        <v>1280</v>
      </c>
      <c r="J313" t="str">
        <f>TRIM(I313)</f>
        <v>CHERLYN M. GERONDA</v>
      </c>
      <c r="K313" t="str">
        <f t="shared" si="9"/>
        <v>Cherlyn M. Geronda</v>
      </c>
      <c r="L313" t="s">
        <v>16</v>
      </c>
    </row>
    <row r="314" spans="1:12" x14ac:dyDescent="0.3">
      <c r="A314" t="s">
        <v>1281</v>
      </c>
      <c r="B314" t="s">
        <v>159</v>
      </c>
      <c r="C314" t="s">
        <v>1282</v>
      </c>
      <c r="D314" s="1">
        <f t="shared" si="8"/>
        <v>44624</v>
      </c>
      <c r="E314" t="s">
        <v>112</v>
      </c>
      <c r="F314" t="s">
        <v>1283</v>
      </c>
      <c r="G314" t="b">
        <v>1</v>
      </c>
      <c r="H314" t="b">
        <v>0</v>
      </c>
      <c r="I314" t="s">
        <v>1284</v>
      </c>
      <c r="J314" t="str">
        <f>TRIM(I314)</f>
        <v>John Rey F. Rasgo</v>
      </c>
      <c r="K314" t="str">
        <f t="shared" si="9"/>
        <v>John Rey F. Rasgo</v>
      </c>
      <c r="L314" t="s">
        <v>16</v>
      </c>
    </row>
    <row r="315" spans="1:12" x14ac:dyDescent="0.3">
      <c r="A315" t="s">
        <v>1285</v>
      </c>
      <c r="B315" t="s">
        <v>1286</v>
      </c>
      <c r="C315" t="s">
        <v>1287</v>
      </c>
      <c r="D315" s="1">
        <f t="shared" si="8"/>
        <v>44680</v>
      </c>
      <c r="E315" t="s">
        <v>48</v>
      </c>
      <c r="F315" t="s">
        <v>21</v>
      </c>
      <c r="G315" t="b">
        <v>1</v>
      </c>
      <c r="H315" t="b">
        <v>0</v>
      </c>
      <c r="I315" t="s">
        <v>1288</v>
      </c>
      <c r="J315" t="str">
        <f>TRIM(I315)</f>
        <v>Philip Alviola</v>
      </c>
      <c r="K315" t="str">
        <f t="shared" si="9"/>
        <v>Philip Alviola</v>
      </c>
      <c r="L315" t="s">
        <v>16</v>
      </c>
    </row>
    <row r="316" spans="1:12" x14ac:dyDescent="0.3">
      <c r="A316" t="s">
        <v>1289</v>
      </c>
      <c r="B316" t="s">
        <v>48</v>
      </c>
      <c r="C316" t="s">
        <v>1287</v>
      </c>
      <c r="D316" s="1">
        <f t="shared" si="8"/>
        <v>44680</v>
      </c>
      <c r="E316" t="s">
        <v>48</v>
      </c>
      <c r="F316" t="s">
        <v>21</v>
      </c>
      <c r="G316" t="b">
        <v>1</v>
      </c>
      <c r="H316" t="b">
        <v>0</v>
      </c>
      <c r="I316" t="s">
        <v>1290</v>
      </c>
      <c r="J316" t="str">
        <f>TRIM(I316)</f>
        <v>Benedict Maralit</v>
      </c>
      <c r="K316" t="str">
        <f t="shared" si="9"/>
        <v>Benedict Maralit</v>
      </c>
      <c r="L316" t="s">
        <v>16</v>
      </c>
    </row>
    <row r="317" spans="1:12" x14ac:dyDescent="0.3">
      <c r="A317" t="s">
        <v>1291</v>
      </c>
      <c r="B317" t="s">
        <v>64</v>
      </c>
      <c r="C317" t="s">
        <v>1292</v>
      </c>
      <c r="D317" s="1">
        <f t="shared" si="8"/>
        <v>45885</v>
      </c>
      <c r="E317" t="s">
        <v>152</v>
      </c>
      <c r="F317" t="s">
        <v>55</v>
      </c>
      <c r="G317" t="b">
        <v>0</v>
      </c>
      <c r="H317" t="b">
        <v>0</v>
      </c>
      <c r="I317" t="s">
        <v>1293</v>
      </c>
      <c r="J317" t="str">
        <f>TRIM(I317)</f>
        <v>REJIE TAMONDEZ</v>
      </c>
      <c r="K317" t="str">
        <f t="shared" si="9"/>
        <v>Rejie Tamondez</v>
      </c>
      <c r="L317" t="s">
        <v>16</v>
      </c>
    </row>
    <row r="318" spans="1:12" x14ac:dyDescent="0.3">
      <c r="A318" t="s">
        <v>1294</v>
      </c>
      <c r="B318" t="s">
        <v>152</v>
      </c>
      <c r="C318" t="s">
        <v>1295</v>
      </c>
      <c r="D318" s="1">
        <f t="shared" si="8"/>
        <v>45890</v>
      </c>
      <c r="E318" t="s">
        <v>66</v>
      </c>
      <c r="F318" t="s">
        <v>1296</v>
      </c>
      <c r="G318" t="b">
        <v>0</v>
      </c>
      <c r="H318" t="b">
        <v>0</v>
      </c>
      <c r="I318" t="s">
        <v>1297</v>
      </c>
      <c r="J318" t="str">
        <f>TRIM(I318)</f>
        <v>Zaldy Lavado</v>
      </c>
      <c r="K318" t="str">
        <f t="shared" si="9"/>
        <v>Zaldy Lavado</v>
      </c>
      <c r="L318" t="s">
        <v>16</v>
      </c>
    </row>
    <row r="319" spans="1:12" x14ac:dyDescent="0.3">
      <c r="A319" t="s">
        <v>1298</v>
      </c>
      <c r="B319" t="s">
        <v>1299</v>
      </c>
      <c r="C319" t="s">
        <v>1300</v>
      </c>
      <c r="D319" s="1">
        <f t="shared" si="8"/>
        <v>45890</v>
      </c>
      <c r="E319" t="s">
        <v>1301</v>
      </c>
      <c r="F319" t="s">
        <v>55</v>
      </c>
      <c r="G319" t="b">
        <v>0</v>
      </c>
      <c r="H319" t="b">
        <v>0</v>
      </c>
      <c r="I319" t="s">
        <v>1302</v>
      </c>
      <c r="J319" t="str">
        <f>TRIM(I319)</f>
        <v>Aileen Custodio</v>
      </c>
      <c r="K319" t="str">
        <f t="shared" si="9"/>
        <v>Aileen Custodio</v>
      </c>
      <c r="L319" t="s">
        <v>16</v>
      </c>
    </row>
    <row r="320" spans="1:12" x14ac:dyDescent="0.3">
      <c r="A320" t="s">
        <v>1303</v>
      </c>
      <c r="B320" t="s">
        <v>85</v>
      </c>
      <c r="C320" t="s">
        <v>1304</v>
      </c>
      <c r="D320" s="1">
        <f t="shared" si="8"/>
        <v>44645</v>
      </c>
      <c r="E320" t="s">
        <v>112</v>
      </c>
      <c r="F320" t="s">
        <v>1305</v>
      </c>
      <c r="G320" t="b">
        <v>1</v>
      </c>
      <c r="H320" t="b">
        <v>0</v>
      </c>
      <c r="I320" t="s">
        <v>1306</v>
      </c>
      <c r="J320" t="str">
        <f>TRIM(I320)</f>
        <v>Karl C. Abismo</v>
      </c>
      <c r="K320" t="str">
        <f t="shared" si="9"/>
        <v>Karl C. Abismo</v>
      </c>
      <c r="L320" t="s">
        <v>16</v>
      </c>
    </row>
    <row r="321" spans="1:12" x14ac:dyDescent="0.3">
      <c r="A321" t="s">
        <v>1307</v>
      </c>
      <c r="B321" t="s">
        <v>1308</v>
      </c>
      <c r="C321" t="s">
        <v>1309</v>
      </c>
      <c r="D321" s="1">
        <f t="shared" si="8"/>
        <v>45886</v>
      </c>
      <c r="E321" t="s">
        <v>152</v>
      </c>
      <c r="F321" t="s">
        <v>55</v>
      </c>
      <c r="G321" t="b">
        <v>0</v>
      </c>
      <c r="H321" t="b">
        <v>0</v>
      </c>
      <c r="I321" t="s">
        <v>1310</v>
      </c>
      <c r="J321" t="str">
        <f>TRIM(I321)</f>
        <v>UPV-SPSO</v>
      </c>
      <c r="K321" t="str">
        <f t="shared" si="9"/>
        <v>Upv-Spso</v>
      </c>
      <c r="L321" t="s">
        <v>16</v>
      </c>
    </row>
    <row r="322" spans="1:12" x14ac:dyDescent="0.3">
      <c r="A322" t="s">
        <v>1311</v>
      </c>
      <c r="B322" t="s">
        <v>1312</v>
      </c>
      <c r="C322" t="s">
        <v>602</v>
      </c>
      <c r="D322" s="1">
        <f t="shared" ref="D322:D385" si="10">DATEVALUE(LEFT(C322,10))</f>
        <v>45239</v>
      </c>
      <c r="E322" t="s">
        <v>13</v>
      </c>
      <c r="F322" t="s">
        <v>1313</v>
      </c>
      <c r="G322" t="b">
        <v>1</v>
      </c>
      <c r="H322" t="b">
        <v>0</v>
      </c>
      <c r="I322" t="s">
        <v>1314</v>
      </c>
      <c r="J322" t="str">
        <f>TRIM(I322)</f>
        <v>John Vincent S. Santiago</v>
      </c>
      <c r="K322" t="str">
        <f t="shared" si="9"/>
        <v>John Vincent S. Santiago</v>
      </c>
      <c r="L322" t="s">
        <v>16</v>
      </c>
    </row>
    <row r="323" spans="1:12" x14ac:dyDescent="0.3">
      <c r="A323" t="s">
        <v>1315</v>
      </c>
      <c r="B323" t="s">
        <v>355</v>
      </c>
      <c r="C323" t="s">
        <v>1316</v>
      </c>
      <c r="D323" s="1">
        <f t="shared" si="10"/>
        <v>44902</v>
      </c>
      <c r="E323" t="s">
        <v>112</v>
      </c>
      <c r="F323" t="s">
        <v>1317</v>
      </c>
      <c r="G323" t="b">
        <v>1</v>
      </c>
      <c r="H323" t="b">
        <v>1</v>
      </c>
      <c r="I323" t="s">
        <v>1318</v>
      </c>
      <c r="J323" t="str">
        <f>TRIM(I323)</f>
        <v>Pauline Anne Lamela</v>
      </c>
      <c r="K323" t="str">
        <f t="shared" ref="K323:K386" si="11">PROPER(J323)</f>
        <v>Pauline Anne Lamela</v>
      </c>
      <c r="L323" t="s">
        <v>29</v>
      </c>
    </row>
    <row r="324" spans="1:12" x14ac:dyDescent="0.3">
      <c r="A324" t="s">
        <v>1319</v>
      </c>
      <c r="B324" t="s">
        <v>316</v>
      </c>
      <c r="C324" t="s">
        <v>347</v>
      </c>
      <c r="D324" s="1">
        <f t="shared" si="10"/>
        <v>45608</v>
      </c>
      <c r="E324" t="s">
        <v>112</v>
      </c>
      <c r="F324" t="s">
        <v>1320</v>
      </c>
      <c r="G324" t="b">
        <v>1</v>
      </c>
      <c r="H324" t="b">
        <v>1</v>
      </c>
      <c r="I324" t="s">
        <v>1321</v>
      </c>
      <c r="J324" t="str">
        <f>TRIM(I324)</f>
        <v>Janiela Marie Castaño</v>
      </c>
      <c r="K324" t="str">
        <f t="shared" si="11"/>
        <v>Janiela Marie Castaño</v>
      </c>
      <c r="L324" t="s">
        <v>29</v>
      </c>
    </row>
    <row r="325" spans="1:12" x14ac:dyDescent="0.3">
      <c r="A325" t="s">
        <v>1322</v>
      </c>
      <c r="B325" t="s">
        <v>18</v>
      </c>
      <c r="C325" t="s">
        <v>377</v>
      </c>
      <c r="D325" s="1">
        <f t="shared" si="10"/>
        <v>45579</v>
      </c>
      <c r="E325" t="s">
        <v>13</v>
      </c>
      <c r="F325" t="s">
        <v>1323</v>
      </c>
      <c r="G325" t="b">
        <v>1</v>
      </c>
      <c r="H325" t="b">
        <v>0</v>
      </c>
      <c r="I325" t="s">
        <v>1324</v>
      </c>
      <c r="J325" t="str">
        <f>TRIM(I325)</f>
        <v>Cedric Jay A. Nantong</v>
      </c>
      <c r="K325" t="str">
        <f t="shared" si="11"/>
        <v>Cedric Jay A. Nantong</v>
      </c>
      <c r="L325" t="s">
        <v>16</v>
      </c>
    </row>
    <row r="326" spans="1:12" x14ac:dyDescent="0.3">
      <c r="A326" t="s">
        <v>1325</v>
      </c>
      <c r="B326" t="s">
        <v>18</v>
      </c>
      <c r="C326" t="s">
        <v>377</v>
      </c>
      <c r="D326" s="1">
        <f t="shared" si="10"/>
        <v>45579</v>
      </c>
      <c r="E326" t="s">
        <v>60</v>
      </c>
      <c r="F326" t="s">
        <v>1326</v>
      </c>
      <c r="G326" t="b">
        <v>1</v>
      </c>
      <c r="H326" t="b">
        <v>1</v>
      </c>
      <c r="I326" t="s">
        <v>1327</v>
      </c>
      <c r="J326" t="str">
        <f>TRIM(I326)</f>
        <v>Fredson H. Huervana</v>
      </c>
      <c r="K326" t="str">
        <f t="shared" si="11"/>
        <v>Fredson H. Huervana</v>
      </c>
      <c r="L326" t="s">
        <v>29</v>
      </c>
    </row>
    <row r="327" spans="1:12" x14ac:dyDescent="0.3">
      <c r="A327" t="s">
        <v>1328</v>
      </c>
      <c r="B327" t="s">
        <v>1329</v>
      </c>
      <c r="C327" t="s">
        <v>1330</v>
      </c>
      <c r="D327" s="1">
        <f t="shared" si="10"/>
        <v>46050</v>
      </c>
      <c r="E327" t="s">
        <v>66</v>
      </c>
      <c r="F327" t="s">
        <v>1331</v>
      </c>
      <c r="G327" t="b">
        <v>0</v>
      </c>
      <c r="H327" t="b">
        <v>1</v>
      </c>
      <c r="I327" t="s">
        <v>1332</v>
      </c>
      <c r="J327" t="str">
        <f>TRIM(I327)</f>
        <v>Ma. Justine Kate Naria</v>
      </c>
      <c r="K327" t="str">
        <f t="shared" si="11"/>
        <v>Ma. Justine Kate Naria</v>
      </c>
      <c r="L327" t="s">
        <v>29</v>
      </c>
    </row>
    <row r="328" spans="1:12" x14ac:dyDescent="0.3">
      <c r="A328" t="s">
        <v>1333</v>
      </c>
      <c r="B328" t="s">
        <v>80</v>
      </c>
      <c r="C328" t="s">
        <v>206</v>
      </c>
      <c r="D328" s="1">
        <f t="shared" si="10"/>
        <v>45807</v>
      </c>
      <c r="E328" t="s">
        <v>112</v>
      </c>
      <c r="F328" t="s">
        <v>1334</v>
      </c>
      <c r="G328" t="b">
        <v>1</v>
      </c>
      <c r="H328" t="b">
        <v>0</v>
      </c>
      <c r="I328" t="s">
        <v>1335</v>
      </c>
      <c r="J328" t="str">
        <f>TRIM(I328)</f>
        <v>Rhea Mar Tacuyo</v>
      </c>
      <c r="K328" t="str">
        <f t="shared" si="11"/>
        <v>Rhea Mar Tacuyo</v>
      </c>
      <c r="L328" t="s">
        <v>16</v>
      </c>
    </row>
    <row r="329" spans="1:12" x14ac:dyDescent="0.3">
      <c r="A329" t="s">
        <v>1336</v>
      </c>
      <c r="B329" t="s">
        <v>1337</v>
      </c>
      <c r="C329" t="s">
        <v>395</v>
      </c>
      <c r="D329" s="1">
        <f t="shared" si="10"/>
        <v>45083</v>
      </c>
      <c r="E329" t="s">
        <v>48</v>
      </c>
      <c r="F329" t="s">
        <v>1338</v>
      </c>
      <c r="G329" t="b">
        <v>1</v>
      </c>
      <c r="H329" t="b">
        <v>0</v>
      </c>
      <c r="I329" t="s">
        <v>1339</v>
      </c>
      <c r="J329" t="str">
        <f>TRIM(I329)</f>
        <v>Jojie P. Gereza</v>
      </c>
      <c r="K329" t="str">
        <f t="shared" si="11"/>
        <v>Jojie P. Gereza</v>
      </c>
      <c r="L329" t="s">
        <v>16</v>
      </c>
    </row>
    <row r="330" spans="1:12" x14ac:dyDescent="0.3">
      <c r="A330" t="s">
        <v>1340</v>
      </c>
      <c r="B330" t="s">
        <v>706</v>
      </c>
      <c r="C330" t="s">
        <v>1341</v>
      </c>
      <c r="D330" s="1">
        <f t="shared" si="10"/>
        <v>44718</v>
      </c>
      <c r="E330" t="s">
        <v>122</v>
      </c>
      <c r="F330" t="s">
        <v>1342</v>
      </c>
      <c r="G330" t="b">
        <v>1</v>
      </c>
      <c r="H330" t="b">
        <v>0</v>
      </c>
      <c r="I330" t="s">
        <v>1343</v>
      </c>
      <c r="J330" t="str">
        <f>TRIM(I330)</f>
        <v>Camille Rose T. Mueda</v>
      </c>
      <c r="K330" t="str">
        <f t="shared" si="11"/>
        <v>Camille Rose T. Mueda</v>
      </c>
      <c r="L330" t="s">
        <v>16</v>
      </c>
    </row>
    <row r="331" spans="1:12" x14ac:dyDescent="0.3">
      <c r="A331" t="s">
        <v>1344</v>
      </c>
      <c r="B331" t="s">
        <v>1101</v>
      </c>
      <c r="C331" t="s">
        <v>1102</v>
      </c>
      <c r="D331" s="1">
        <f t="shared" si="10"/>
        <v>44334</v>
      </c>
      <c r="E331" t="s">
        <v>13</v>
      </c>
      <c r="F331" t="s">
        <v>1345</v>
      </c>
      <c r="G331" t="b">
        <v>1</v>
      </c>
      <c r="H331" t="b">
        <v>0</v>
      </c>
      <c r="I331" t="s">
        <v>1346</v>
      </c>
      <c r="J331" t="str">
        <f>TRIM(I331)</f>
        <v>Jasper D. Pacho</v>
      </c>
      <c r="K331" t="str">
        <f t="shared" si="11"/>
        <v>Jasper D. Pacho</v>
      </c>
      <c r="L331" t="s">
        <v>16</v>
      </c>
    </row>
    <row r="332" spans="1:12" x14ac:dyDescent="0.3">
      <c r="A332" t="s">
        <v>1347</v>
      </c>
      <c r="B332" t="s">
        <v>1074</v>
      </c>
      <c r="C332" t="s">
        <v>1348</v>
      </c>
      <c r="D332" s="1">
        <f t="shared" si="10"/>
        <v>45885</v>
      </c>
      <c r="E332" t="s">
        <v>1349</v>
      </c>
      <c r="F332" t="s">
        <v>55</v>
      </c>
      <c r="G332" t="b">
        <v>0</v>
      </c>
      <c r="H332" t="b">
        <v>0</v>
      </c>
      <c r="I332" t="s">
        <v>1350</v>
      </c>
      <c r="J332" t="str">
        <f>TRIM(I332)</f>
        <v>ANDREA BEATRIZ MAYOR</v>
      </c>
      <c r="K332" t="str">
        <f t="shared" si="11"/>
        <v>Andrea Beatriz Mayor</v>
      </c>
      <c r="L332" t="s">
        <v>16</v>
      </c>
    </row>
    <row r="333" spans="1:12" x14ac:dyDescent="0.3">
      <c r="A333" t="s">
        <v>1351</v>
      </c>
      <c r="B333" t="s">
        <v>147</v>
      </c>
      <c r="C333" t="s">
        <v>132</v>
      </c>
      <c r="D333" s="1">
        <f t="shared" si="10"/>
        <v>45154</v>
      </c>
      <c r="E333" t="s">
        <v>148</v>
      </c>
      <c r="F333" t="s">
        <v>1352</v>
      </c>
      <c r="G333" t="b">
        <v>1</v>
      </c>
      <c r="H333" t="b">
        <v>0</v>
      </c>
      <c r="I333" t="s">
        <v>1353</v>
      </c>
      <c r="J333" t="str">
        <f>TRIM(I333)</f>
        <v>Yoo Ki Bastol</v>
      </c>
      <c r="K333" t="str">
        <f t="shared" si="11"/>
        <v>Yoo Ki Bastol</v>
      </c>
      <c r="L333" t="s">
        <v>16</v>
      </c>
    </row>
    <row r="334" spans="1:12" x14ac:dyDescent="0.3">
      <c r="A334" t="s">
        <v>1354</v>
      </c>
      <c r="B334" t="s">
        <v>976</v>
      </c>
      <c r="C334" t="s">
        <v>977</v>
      </c>
      <c r="D334" s="1">
        <f t="shared" si="10"/>
        <v>45594</v>
      </c>
      <c r="E334" t="s">
        <v>13</v>
      </c>
      <c r="F334" t="s">
        <v>1355</v>
      </c>
      <c r="G334" t="b">
        <v>1</v>
      </c>
      <c r="H334" t="b">
        <v>0</v>
      </c>
      <c r="I334" t="s">
        <v>1356</v>
      </c>
      <c r="J334" t="str">
        <f>TRIM(I334)</f>
        <v>Shaira Mae Valero</v>
      </c>
      <c r="K334" t="str">
        <f t="shared" si="11"/>
        <v>Shaira Mae Valero</v>
      </c>
      <c r="L334" t="s">
        <v>16</v>
      </c>
    </row>
    <row r="335" spans="1:12" x14ac:dyDescent="0.3">
      <c r="A335" t="s">
        <v>1357</v>
      </c>
      <c r="B335" t="s">
        <v>147</v>
      </c>
      <c r="C335" t="s">
        <v>132</v>
      </c>
      <c r="D335" s="1">
        <f t="shared" si="10"/>
        <v>45154</v>
      </c>
      <c r="E335" t="s">
        <v>148</v>
      </c>
      <c r="F335" t="s">
        <v>1358</v>
      </c>
      <c r="G335" t="b">
        <v>1</v>
      </c>
      <c r="H335" t="b">
        <v>0</v>
      </c>
      <c r="I335" t="s">
        <v>1359</v>
      </c>
      <c r="J335" t="str">
        <f>TRIM(I335)</f>
        <v>Nove Kris B. Herida</v>
      </c>
      <c r="K335" t="str">
        <f t="shared" si="11"/>
        <v>Nove Kris B. Herida</v>
      </c>
      <c r="L335" t="s">
        <v>16</v>
      </c>
    </row>
    <row r="336" spans="1:12" x14ac:dyDescent="0.3">
      <c r="A336" t="s">
        <v>1360</v>
      </c>
      <c r="B336" t="s">
        <v>301</v>
      </c>
      <c r="C336" t="s">
        <v>302</v>
      </c>
      <c r="D336" s="1">
        <f t="shared" si="10"/>
        <v>45572</v>
      </c>
      <c r="E336" t="s">
        <v>60</v>
      </c>
      <c r="F336" t="s">
        <v>230</v>
      </c>
      <c r="G336" t="b">
        <v>1</v>
      </c>
      <c r="H336" t="b">
        <v>0</v>
      </c>
      <c r="I336" t="s">
        <v>1361</v>
      </c>
      <c r="J336" t="str">
        <f>TRIM(I336)</f>
        <v>Arizza Joy T. Evardone</v>
      </c>
      <c r="K336" t="str">
        <f t="shared" si="11"/>
        <v>Arizza Joy T. Evardone</v>
      </c>
      <c r="L336" t="s">
        <v>16</v>
      </c>
    </row>
    <row r="337" spans="1:12" x14ac:dyDescent="0.3">
      <c r="A337" t="s">
        <v>1362</v>
      </c>
      <c r="B337" t="s">
        <v>301</v>
      </c>
      <c r="C337" t="s">
        <v>1363</v>
      </c>
      <c r="D337" s="1">
        <f t="shared" si="10"/>
        <v>45889</v>
      </c>
      <c r="E337" t="s">
        <v>1364</v>
      </c>
      <c r="F337" t="s">
        <v>55</v>
      </c>
      <c r="G337" t="b">
        <v>0</v>
      </c>
      <c r="H337" t="b">
        <v>0</v>
      </c>
      <c r="I337" t="s">
        <v>1365</v>
      </c>
      <c r="J337" t="str">
        <f>TRIM(I337)</f>
        <v>Andrew Gamba</v>
      </c>
      <c r="K337" t="str">
        <f t="shared" si="11"/>
        <v>Andrew Gamba</v>
      </c>
      <c r="L337" t="s">
        <v>16</v>
      </c>
    </row>
    <row r="338" spans="1:12" x14ac:dyDescent="0.3">
      <c r="A338" t="s">
        <v>1366</v>
      </c>
      <c r="B338" t="s">
        <v>1367</v>
      </c>
      <c r="C338" t="s">
        <v>1368</v>
      </c>
      <c r="D338" s="1">
        <f t="shared" si="10"/>
        <v>45258</v>
      </c>
      <c r="E338" t="s">
        <v>48</v>
      </c>
      <c r="F338" t="s">
        <v>1369</v>
      </c>
      <c r="G338" t="b">
        <v>1</v>
      </c>
      <c r="H338" t="b">
        <v>1</v>
      </c>
      <c r="I338" t="s">
        <v>1370</v>
      </c>
      <c r="J338" t="str">
        <f>TRIM(I338)</f>
        <v>Dencee Jean T. Ledesma</v>
      </c>
      <c r="K338" t="str">
        <f t="shared" si="11"/>
        <v>Dencee Jean T. Ledesma</v>
      </c>
      <c r="L338" t="s">
        <v>29</v>
      </c>
    </row>
    <row r="339" spans="1:12" x14ac:dyDescent="0.3">
      <c r="A339" t="s">
        <v>1371</v>
      </c>
      <c r="B339" t="s">
        <v>277</v>
      </c>
      <c r="C339" t="s">
        <v>404</v>
      </c>
      <c r="D339" s="1">
        <f t="shared" si="10"/>
        <v>45674</v>
      </c>
      <c r="E339" t="s">
        <v>112</v>
      </c>
      <c r="F339" t="s">
        <v>1372</v>
      </c>
      <c r="G339" t="b">
        <v>1</v>
      </c>
      <c r="H339" t="b">
        <v>0</v>
      </c>
      <c r="I339" t="s">
        <v>1373</v>
      </c>
      <c r="J339" t="str">
        <f>TRIM(I339)</f>
        <v>Elijah Estoya</v>
      </c>
      <c r="K339" t="str">
        <f t="shared" si="11"/>
        <v>Elijah Estoya</v>
      </c>
      <c r="L339" t="s">
        <v>16</v>
      </c>
    </row>
    <row r="340" spans="1:12" x14ac:dyDescent="0.3">
      <c r="A340" t="s">
        <v>1374</v>
      </c>
      <c r="B340" t="s">
        <v>209</v>
      </c>
      <c r="C340" t="s">
        <v>210</v>
      </c>
      <c r="D340" s="1">
        <f t="shared" si="10"/>
        <v>45385</v>
      </c>
      <c r="E340" t="s">
        <v>112</v>
      </c>
      <c r="F340" t="s">
        <v>1375</v>
      </c>
      <c r="G340" t="b">
        <v>1</v>
      </c>
      <c r="H340" t="b">
        <v>0</v>
      </c>
      <c r="I340" t="s">
        <v>48</v>
      </c>
      <c r="J340" t="str">
        <f>TRIM(I340)</f>
        <v>N/A</v>
      </c>
      <c r="K340" t="str">
        <f t="shared" si="11"/>
        <v>N/A</v>
      </c>
      <c r="L340" t="s">
        <v>16</v>
      </c>
    </row>
    <row r="341" spans="1:12" x14ac:dyDescent="0.3">
      <c r="A341" t="s">
        <v>1376</v>
      </c>
      <c r="B341" t="s">
        <v>1377</v>
      </c>
      <c r="C341" t="s">
        <v>664</v>
      </c>
      <c r="D341" s="1">
        <f t="shared" si="10"/>
        <v>44034</v>
      </c>
      <c r="E341" t="s">
        <v>514</v>
      </c>
      <c r="F341" t="s">
        <v>1378</v>
      </c>
      <c r="G341" t="b">
        <v>1</v>
      </c>
      <c r="H341" t="b">
        <v>0</v>
      </c>
      <c r="I341" t="s">
        <v>1379</v>
      </c>
      <c r="J341" t="str">
        <f>TRIM(I341)</f>
        <v>Gabrielle Troy A. Cuevas</v>
      </c>
      <c r="K341" t="str">
        <f t="shared" si="11"/>
        <v>Gabrielle Troy A. Cuevas</v>
      </c>
      <c r="L341" t="s">
        <v>16</v>
      </c>
    </row>
    <row r="342" spans="1:12" x14ac:dyDescent="0.3">
      <c r="A342" t="s">
        <v>1380</v>
      </c>
      <c r="B342" t="s">
        <v>1381</v>
      </c>
      <c r="C342" t="s">
        <v>71</v>
      </c>
      <c r="D342" s="1">
        <f t="shared" si="10"/>
        <v>44785</v>
      </c>
      <c r="E342" t="s">
        <v>1382</v>
      </c>
      <c r="F342" t="s">
        <v>895</v>
      </c>
      <c r="G342" t="b">
        <v>1</v>
      </c>
      <c r="H342" t="b">
        <v>0</v>
      </c>
      <c r="I342" t="s">
        <v>673</v>
      </c>
      <c r="J342" t="str">
        <f>TRIM(I342)</f>
        <v>Elsie Y. Guibone</v>
      </c>
      <c r="K342" t="str">
        <f t="shared" si="11"/>
        <v>Elsie Y. Guibone</v>
      </c>
      <c r="L342" t="s">
        <v>16</v>
      </c>
    </row>
    <row r="343" spans="1:12" x14ac:dyDescent="0.3">
      <c r="A343" t="s">
        <v>1383</v>
      </c>
      <c r="B343" t="s">
        <v>1384</v>
      </c>
      <c r="C343" t="s">
        <v>1385</v>
      </c>
      <c r="D343" s="1">
        <f t="shared" si="10"/>
        <v>45612</v>
      </c>
      <c r="E343" t="s">
        <v>60</v>
      </c>
      <c r="F343" t="s">
        <v>1386</v>
      </c>
      <c r="G343" t="b">
        <v>1</v>
      </c>
      <c r="H343" t="b">
        <v>1</v>
      </c>
      <c r="I343" t="s">
        <v>1387</v>
      </c>
      <c r="J343" t="str">
        <f>TRIM(I343)</f>
        <v>Maximino R. Abejo III</v>
      </c>
      <c r="K343" t="str">
        <f t="shared" si="11"/>
        <v>Maximino R. Abejo Iii</v>
      </c>
      <c r="L343" t="s">
        <v>29</v>
      </c>
    </row>
    <row r="344" spans="1:12" x14ac:dyDescent="0.3">
      <c r="A344" t="s">
        <v>1388</v>
      </c>
      <c r="B344" t="s">
        <v>1389</v>
      </c>
      <c r="C344" t="s">
        <v>1390</v>
      </c>
      <c r="D344" s="1">
        <f t="shared" si="10"/>
        <v>45686</v>
      </c>
      <c r="E344" t="s">
        <v>112</v>
      </c>
      <c r="F344" t="s">
        <v>1391</v>
      </c>
      <c r="G344" t="b">
        <v>1</v>
      </c>
      <c r="H344" t="b">
        <v>1</v>
      </c>
      <c r="I344" t="s">
        <v>1392</v>
      </c>
      <c r="J344" t="str">
        <f>TRIM(I344)</f>
        <v>Bhea Olga de Panay</v>
      </c>
      <c r="K344" t="str">
        <f t="shared" si="11"/>
        <v>Bhea Olga De Panay</v>
      </c>
      <c r="L344" t="s">
        <v>29</v>
      </c>
    </row>
    <row r="345" spans="1:12" x14ac:dyDescent="0.3">
      <c r="A345" t="s">
        <v>1393</v>
      </c>
      <c r="B345" t="s">
        <v>209</v>
      </c>
      <c r="C345" t="s">
        <v>210</v>
      </c>
      <c r="D345" s="1">
        <f t="shared" si="10"/>
        <v>45385</v>
      </c>
      <c r="E345" t="s">
        <v>112</v>
      </c>
      <c r="F345" t="s">
        <v>1394</v>
      </c>
      <c r="G345" t="b">
        <v>1</v>
      </c>
      <c r="H345" t="b">
        <v>0</v>
      </c>
      <c r="I345" t="s">
        <v>1395</v>
      </c>
      <c r="J345" t="str">
        <f>TRIM(I345)</f>
        <v>Elizabeth D. Fernandez</v>
      </c>
      <c r="K345" t="str">
        <f t="shared" si="11"/>
        <v>Elizabeth D. Fernandez</v>
      </c>
      <c r="L345" t="s">
        <v>16</v>
      </c>
    </row>
    <row r="346" spans="1:12" x14ac:dyDescent="0.3">
      <c r="A346" t="s">
        <v>1396</v>
      </c>
      <c r="B346" t="s">
        <v>147</v>
      </c>
      <c r="C346" t="s">
        <v>132</v>
      </c>
      <c r="D346" s="1">
        <f t="shared" si="10"/>
        <v>45154</v>
      </c>
      <c r="E346" t="s">
        <v>148</v>
      </c>
      <c r="F346" t="s">
        <v>1397</v>
      </c>
      <c r="G346" t="b">
        <v>1</v>
      </c>
      <c r="H346" t="b">
        <v>1</v>
      </c>
      <c r="I346" t="s">
        <v>1398</v>
      </c>
      <c r="J346" t="str">
        <f>TRIM(I346)</f>
        <v>Franco Miguel N. Nodado</v>
      </c>
      <c r="K346" t="str">
        <f t="shared" si="11"/>
        <v>Franco Miguel N. Nodado</v>
      </c>
      <c r="L346" t="s">
        <v>29</v>
      </c>
    </row>
    <row r="347" spans="1:12" x14ac:dyDescent="0.3">
      <c r="A347" t="s">
        <v>1399</v>
      </c>
      <c r="B347" t="s">
        <v>1400</v>
      </c>
      <c r="C347" t="s">
        <v>1401</v>
      </c>
      <c r="D347" s="1">
        <f t="shared" si="10"/>
        <v>45337</v>
      </c>
      <c r="E347" t="s">
        <v>112</v>
      </c>
      <c r="F347" t="s">
        <v>1402</v>
      </c>
      <c r="G347" t="b">
        <v>1</v>
      </c>
      <c r="H347" t="b">
        <v>0</v>
      </c>
      <c r="I347" t="s">
        <v>1403</v>
      </c>
      <c r="J347" t="str">
        <f>TRIM(I347)</f>
        <v>Jordan F. Dorado</v>
      </c>
      <c r="K347" t="str">
        <f t="shared" si="11"/>
        <v>Jordan F. Dorado</v>
      </c>
      <c r="L347" t="s">
        <v>16</v>
      </c>
    </row>
    <row r="348" spans="1:12" x14ac:dyDescent="0.3">
      <c r="A348" t="s">
        <v>1404</v>
      </c>
      <c r="B348" t="s">
        <v>52</v>
      </c>
      <c r="C348" t="s">
        <v>1405</v>
      </c>
      <c r="D348" s="1">
        <f t="shared" si="10"/>
        <v>45887</v>
      </c>
      <c r="E348" t="s">
        <v>884</v>
      </c>
      <c r="F348" t="s">
        <v>55</v>
      </c>
      <c r="G348" t="b">
        <v>0</v>
      </c>
      <c r="H348" t="b">
        <v>0</v>
      </c>
      <c r="I348" t="s">
        <v>1406</v>
      </c>
      <c r="J348" t="str">
        <f>TRIM(I348)</f>
        <v>Thryrone Ordanel</v>
      </c>
      <c r="K348" t="str">
        <f t="shared" si="11"/>
        <v>Thryrone Ordanel</v>
      </c>
      <c r="L348" t="s">
        <v>16</v>
      </c>
    </row>
    <row r="349" spans="1:12" x14ac:dyDescent="0.3">
      <c r="A349" t="s">
        <v>1407</v>
      </c>
      <c r="B349" t="s">
        <v>1408</v>
      </c>
      <c r="C349" t="s">
        <v>1409</v>
      </c>
      <c r="D349" s="1">
        <f t="shared" si="10"/>
        <v>45890</v>
      </c>
      <c r="E349" t="s">
        <v>1410</v>
      </c>
      <c r="F349" t="s">
        <v>55</v>
      </c>
      <c r="G349" t="b">
        <v>0</v>
      </c>
      <c r="H349" t="b">
        <v>0</v>
      </c>
      <c r="I349" t="s">
        <v>1411</v>
      </c>
      <c r="J349" t="str">
        <f>TRIM(I349)</f>
        <v>Cherry P. Anasco</v>
      </c>
      <c r="K349" t="str">
        <f t="shared" si="11"/>
        <v>Cherry P. Anasco</v>
      </c>
      <c r="L349" t="s">
        <v>16</v>
      </c>
    </row>
    <row r="350" spans="1:12" x14ac:dyDescent="0.3">
      <c r="A350" t="s">
        <v>1412</v>
      </c>
      <c r="B350" t="s">
        <v>1413</v>
      </c>
      <c r="C350" t="s">
        <v>1414</v>
      </c>
      <c r="D350" s="1">
        <f t="shared" si="10"/>
        <v>45885</v>
      </c>
      <c r="E350" t="s">
        <v>884</v>
      </c>
      <c r="F350" t="s">
        <v>55</v>
      </c>
      <c r="G350" t="b">
        <v>0</v>
      </c>
      <c r="H350" t="b">
        <v>0</v>
      </c>
      <c r="I350" t="s">
        <v>1415</v>
      </c>
      <c r="J350" t="str">
        <f>TRIM(I350)</f>
        <v>Lyka Joyce R. Butaya</v>
      </c>
      <c r="K350" t="str">
        <f t="shared" si="11"/>
        <v>Lyka Joyce R. Butaya</v>
      </c>
      <c r="L350" t="s">
        <v>16</v>
      </c>
    </row>
    <row r="351" spans="1:12" x14ac:dyDescent="0.3">
      <c r="A351" t="s">
        <v>1416</v>
      </c>
      <c r="B351" t="s">
        <v>355</v>
      </c>
      <c r="C351" t="s">
        <v>356</v>
      </c>
      <c r="D351" s="1">
        <f t="shared" si="10"/>
        <v>45035</v>
      </c>
      <c r="E351" t="s">
        <v>112</v>
      </c>
      <c r="F351" t="s">
        <v>1417</v>
      </c>
      <c r="G351" t="b">
        <v>1</v>
      </c>
      <c r="H351" t="b">
        <v>1</v>
      </c>
      <c r="I351" t="s">
        <v>1418</v>
      </c>
      <c r="J351" t="str">
        <f>TRIM(I351)</f>
        <v>Beatrice L. Anacita</v>
      </c>
      <c r="K351" t="str">
        <f t="shared" si="11"/>
        <v>Beatrice L. Anacita</v>
      </c>
      <c r="L351" t="s">
        <v>29</v>
      </c>
    </row>
    <row r="352" spans="1:12" x14ac:dyDescent="0.3">
      <c r="A352" t="s">
        <v>1419</v>
      </c>
      <c r="B352" t="s">
        <v>316</v>
      </c>
      <c r="C352" t="s">
        <v>317</v>
      </c>
      <c r="D352" s="1">
        <f t="shared" si="10"/>
        <v>45573</v>
      </c>
      <c r="E352" t="s">
        <v>60</v>
      </c>
      <c r="F352" t="s">
        <v>1420</v>
      </c>
      <c r="G352" t="b">
        <v>1</v>
      </c>
      <c r="H352" t="b">
        <v>0</v>
      </c>
      <c r="I352" t="s">
        <v>1421</v>
      </c>
      <c r="J352" t="str">
        <f>TRIM(I352)</f>
        <v>Johannes Magpusao</v>
      </c>
      <c r="K352" t="str">
        <f t="shared" si="11"/>
        <v>Johannes Magpusao</v>
      </c>
      <c r="L352" t="s">
        <v>16</v>
      </c>
    </row>
    <row r="353" spans="1:12" x14ac:dyDescent="0.3">
      <c r="A353" t="s">
        <v>1422</v>
      </c>
      <c r="B353" t="s">
        <v>1074</v>
      </c>
      <c r="C353" t="s">
        <v>1423</v>
      </c>
      <c r="D353" s="1">
        <f t="shared" si="10"/>
        <v>45885</v>
      </c>
      <c r="E353" t="s">
        <v>60</v>
      </c>
      <c r="F353" t="s">
        <v>55</v>
      </c>
      <c r="G353" t="b">
        <v>0</v>
      </c>
      <c r="H353" t="b">
        <v>0</v>
      </c>
      <c r="I353" t="s">
        <v>1424</v>
      </c>
      <c r="J353" t="str">
        <f>TRIM(I353)</f>
        <v>Xyrra Mazo</v>
      </c>
      <c r="K353" t="str">
        <f t="shared" si="11"/>
        <v>Xyrra Mazo</v>
      </c>
      <c r="L353" t="s">
        <v>16</v>
      </c>
    </row>
    <row r="354" spans="1:12" x14ac:dyDescent="0.3">
      <c r="A354" t="s">
        <v>1425</v>
      </c>
      <c r="B354" t="s">
        <v>164</v>
      </c>
      <c r="C354" t="s">
        <v>165</v>
      </c>
      <c r="D354" s="1">
        <f t="shared" si="10"/>
        <v>45637</v>
      </c>
      <c r="E354" t="s">
        <v>60</v>
      </c>
      <c r="F354" t="s">
        <v>1426</v>
      </c>
      <c r="G354" t="b">
        <v>1</v>
      </c>
      <c r="H354" t="b">
        <v>0</v>
      </c>
      <c r="I354" t="s">
        <v>1427</v>
      </c>
      <c r="J354" t="str">
        <f>TRIM(I354)</f>
        <v>Gemalyn L. Tenoc</v>
      </c>
      <c r="K354" t="str">
        <f t="shared" si="11"/>
        <v>Gemalyn L. Tenoc</v>
      </c>
      <c r="L354" t="s">
        <v>16</v>
      </c>
    </row>
    <row r="355" spans="1:12" x14ac:dyDescent="0.3">
      <c r="A355" t="s">
        <v>1428</v>
      </c>
      <c r="B355" t="s">
        <v>1429</v>
      </c>
      <c r="C355" t="s">
        <v>1430</v>
      </c>
      <c r="D355" s="1">
        <f t="shared" si="10"/>
        <v>43874</v>
      </c>
      <c r="E355" t="s">
        <v>60</v>
      </c>
      <c r="F355" t="s">
        <v>1431</v>
      </c>
      <c r="G355" t="b">
        <v>1</v>
      </c>
      <c r="H355" t="b">
        <v>0</v>
      </c>
      <c r="I355" t="s">
        <v>1432</v>
      </c>
      <c r="J355" t="str">
        <f>TRIM(I355)</f>
        <v>Alvin M. Doroteo</v>
      </c>
      <c r="K355" t="str">
        <f t="shared" si="11"/>
        <v>Alvin M. Doroteo</v>
      </c>
      <c r="L355" t="s">
        <v>16</v>
      </c>
    </row>
    <row r="356" spans="1:12" x14ac:dyDescent="0.3">
      <c r="A356" t="s">
        <v>1433</v>
      </c>
      <c r="B356" t="s">
        <v>1434</v>
      </c>
      <c r="C356" t="s">
        <v>1435</v>
      </c>
      <c r="D356" s="1">
        <f t="shared" si="10"/>
        <v>45886</v>
      </c>
      <c r="E356" t="s">
        <v>1436</v>
      </c>
      <c r="F356" t="s">
        <v>55</v>
      </c>
      <c r="G356" t="b">
        <v>0</v>
      </c>
      <c r="H356" t="b">
        <v>0</v>
      </c>
      <c r="I356" t="s">
        <v>1437</v>
      </c>
      <c r="J356" t="str">
        <f>TRIM(I356)</f>
        <v>Cristan Joy M. Campo</v>
      </c>
      <c r="K356" t="str">
        <f t="shared" si="11"/>
        <v>Cristan Joy M. Campo</v>
      </c>
      <c r="L356" t="s">
        <v>16</v>
      </c>
    </row>
    <row r="357" spans="1:12" x14ac:dyDescent="0.3">
      <c r="A357" t="s">
        <v>1438</v>
      </c>
      <c r="B357" t="s">
        <v>159</v>
      </c>
      <c r="C357" t="s">
        <v>373</v>
      </c>
      <c r="D357" s="1">
        <f t="shared" si="10"/>
        <v>45062</v>
      </c>
      <c r="E357" t="s">
        <v>122</v>
      </c>
      <c r="F357" t="s">
        <v>1439</v>
      </c>
      <c r="G357" t="b">
        <v>1</v>
      </c>
      <c r="H357" t="b">
        <v>1</v>
      </c>
      <c r="I357" t="s">
        <v>1440</v>
      </c>
      <c r="J357" t="str">
        <f>TRIM(I357)</f>
        <v>Elize Margareth C. Sibulan</v>
      </c>
      <c r="K357" t="str">
        <f t="shared" si="11"/>
        <v>Elize Margareth C. Sibulan</v>
      </c>
      <c r="L357" t="s">
        <v>29</v>
      </c>
    </row>
    <row r="358" spans="1:12" x14ac:dyDescent="0.3">
      <c r="A358" t="s">
        <v>1441</v>
      </c>
      <c r="B358" t="s">
        <v>186</v>
      </c>
      <c r="C358" t="s">
        <v>187</v>
      </c>
      <c r="D358" s="1">
        <f t="shared" si="10"/>
        <v>43873</v>
      </c>
      <c r="E358" t="s">
        <v>60</v>
      </c>
      <c r="F358" t="s">
        <v>1442</v>
      </c>
      <c r="G358" t="b">
        <v>1</v>
      </c>
      <c r="H358" t="b">
        <v>0</v>
      </c>
      <c r="I358" t="s">
        <v>1164</v>
      </c>
      <c r="J358" t="str">
        <f>TRIM(I358)</f>
        <v>Irene Jean C. Lagumbay</v>
      </c>
      <c r="K358" t="str">
        <f t="shared" si="11"/>
        <v>Irene Jean C. Lagumbay</v>
      </c>
      <c r="L358" t="s">
        <v>16</v>
      </c>
    </row>
    <row r="359" spans="1:12" x14ac:dyDescent="0.3">
      <c r="A359" t="s">
        <v>1443</v>
      </c>
      <c r="B359" t="s">
        <v>342</v>
      </c>
      <c r="C359" t="s">
        <v>343</v>
      </c>
      <c r="D359" s="1">
        <f t="shared" si="10"/>
        <v>45664</v>
      </c>
      <c r="E359" t="s">
        <v>143</v>
      </c>
      <c r="F359" t="s">
        <v>344</v>
      </c>
      <c r="G359" t="b">
        <v>1</v>
      </c>
      <c r="H359" t="b">
        <v>0</v>
      </c>
      <c r="I359" t="s">
        <v>1444</v>
      </c>
      <c r="J359" t="str">
        <f>TRIM(I359)</f>
        <v>Dana Mariae Perez</v>
      </c>
      <c r="K359" t="str">
        <f t="shared" si="11"/>
        <v>Dana Mariae Perez</v>
      </c>
      <c r="L359" t="s">
        <v>16</v>
      </c>
    </row>
    <row r="360" spans="1:12" x14ac:dyDescent="0.3">
      <c r="A360" t="s">
        <v>1445</v>
      </c>
      <c r="B360" t="s">
        <v>463</v>
      </c>
      <c r="C360" t="s">
        <v>464</v>
      </c>
      <c r="D360" s="1">
        <f t="shared" si="10"/>
        <v>45719</v>
      </c>
      <c r="E360" t="s">
        <v>13</v>
      </c>
      <c r="F360" t="s">
        <v>865</v>
      </c>
      <c r="G360" t="b">
        <v>1</v>
      </c>
      <c r="H360" t="b">
        <v>0</v>
      </c>
      <c r="I360" t="s">
        <v>1446</v>
      </c>
      <c r="J360" t="str">
        <f>TRIM(I360)</f>
        <v>Winnel Joy R. Gonzaga</v>
      </c>
      <c r="K360" t="str">
        <f t="shared" si="11"/>
        <v>Winnel Joy R. Gonzaga</v>
      </c>
      <c r="L360" t="s">
        <v>16</v>
      </c>
    </row>
    <row r="361" spans="1:12" x14ac:dyDescent="0.3">
      <c r="A361" t="s">
        <v>1447</v>
      </c>
      <c r="B361" t="s">
        <v>209</v>
      </c>
      <c r="C361" t="s">
        <v>210</v>
      </c>
      <c r="D361" s="1">
        <f t="shared" si="10"/>
        <v>45385</v>
      </c>
      <c r="E361" t="s">
        <v>112</v>
      </c>
      <c r="F361" t="s">
        <v>1448</v>
      </c>
      <c r="G361" t="b">
        <v>1</v>
      </c>
      <c r="H361" t="b">
        <v>0</v>
      </c>
      <c r="I361" t="s">
        <v>1449</v>
      </c>
      <c r="J361" t="str">
        <f>TRIM(I361)</f>
        <v>Maria Alexandra S. Geolingo</v>
      </c>
      <c r="K361" t="str">
        <f t="shared" si="11"/>
        <v>Maria Alexandra S. Geolingo</v>
      </c>
      <c r="L361" t="s">
        <v>16</v>
      </c>
    </row>
    <row r="362" spans="1:12" x14ac:dyDescent="0.3">
      <c r="A362" t="s">
        <v>1450</v>
      </c>
      <c r="B362" t="s">
        <v>1237</v>
      </c>
      <c r="C362" t="s">
        <v>1238</v>
      </c>
      <c r="D362" s="1">
        <f t="shared" si="10"/>
        <v>45750</v>
      </c>
      <c r="E362" t="s">
        <v>60</v>
      </c>
      <c r="F362" t="s">
        <v>21</v>
      </c>
      <c r="G362" t="b">
        <v>1</v>
      </c>
      <c r="H362" t="b">
        <v>0</v>
      </c>
      <c r="I362" t="s">
        <v>1451</v>
      </c>
      <c r="J362" t="str">
        <f>TRIM(I362)</f>
        <v>Michael T. Ibisate</v>
      </c>
      <c r="K362" t="str">
        <f t="shared" si="11"/>
        <v>Michael T. Ibisate</v>
      </c>
      <c r="L362" t="s">
        <v>16</v>
      </c>
    </row>
    <row r="363" spans="1:12" x14ac:dyDescent="0.3">
      <c r="A363" t="s">
        <v>1452</v>
      </c>
      <c r="B363" t="s">
        <v>1453</v>
      </c>
      <c r="C363" t="s">
        <v>1454</v>
      </c>
      <c r="D363" s="1">
        <f t="shared" si="10"/>
        <v>45885</v>
      </c>
      <c r="E363" t="s">
        <v>1455</v>
      </c>
      <c r="F363" t="s">
        <v>55</v>
      </c>
      <c r="G363" t="b">
        <v>0</v>
      </c>
      <c r="H363" t="b">
        <v>0</v>
      </c>
      <c r="I363" t="s">
        <v>1456</v>
      </c>
      <c r="J363" t="str">
        <f>TRIM(I363)</f>
        <v>Jenny Vivian</v>
      </c>
      <c r="K363" t="str">
        <f t="shared" si="11"/>
        <v>Jenny Vivian</v>
      </c>
      <c r="L363" t="s">
        <v>16</v>
      </c>
    </row>
    <row r="364" spans="1:12" x14ac:dyDescent="0.3">
      <c r="A364" t="s">
        <v>1457</v>
      </c>
      <c r="B364" t="s">
        <v>1458</v>
      </c>
      <c r="C364" t="s">
        <v>1459</v>
      </c>
      <c r="D364" s="1">
        <f t="shared" si="10"/>
        <v>45362</v>
      </c>
      <c r="E364" t="s">
        <v>112</v>
      </c>
      <c r="F364" t="s">
        <v>1460</v>
      </c>
      <c r="G364" t="b">
        <v>1</v>
      </c>
      <c r="H364" t="b">
        <v>1</v>
      </c>
      <c r="I364" t="s">
        <v>1461</v>
      </c>
      <c r="J364" t="str">
        <f>TRIM(I364)</f>
        <v>Kristina Casandra Pava</v>
      </c>
      <c r="K364" t="str">
        <f t="shared" si="11"/>
        <v>Kristina Casandra Pava</v>
      </c>
      <c r="L364" t="s">
        <v>29</v>
      </c>
    </row>
    <row r="365" spans="1:12" x14ac:dyDescent="0.3">
      <c r="A365" t="s">
        <v>1462</v>
      </c>
      <c r="B365" t="s">
        <v>277</v>
      </c>
      <c r="C365" t="s">
        <v>449</v>
      </c>
      <c r="D365" s="1">
        <f t="shared" si="10"/>
        <v>45677</v>
      </c>
      <c r="E365" t="s">
        <v>112</v>
      </c>
      <c r="F365" t="s">
        <v>1463</v>
      </c>
      <c r="G365" t="b">
        <v>1</v>
      </c>
      <c r="H365" t="b">
        <v>0</v>
      </c>
      <c r="I365" t="s">
        <v>1464</v>
      </c>
      <c r="J365" t="str">
        <f>TRIM(I365)</f>
        <v>Seth Esteban Panes</v>
      </c>
      <c r="K365" t="str">
        <f t="shared" si="11"/>
        <v>Seth Esteban Panes</v>
      </c>
      <c r="L365" t="s">
        <v>16</v>
      </c>
    </row>
    <row r="366" spans="1:12" x14ac:dyDescent="0.3">
      <c r="A366" t="s">
        <v>1465</v>
      </c>
      <c r="B366" t="s">
        <v>105</v>
      </c>
      <c r="C366" t="s">
        <v>1466</v>
      </c>
      <c r="D366" s="1">
        <f t="shared" si="10"/>
        <v>44302</v>
      </c>
      <c r="E366" t="s">
        <v>122</v>
      </c>
      <c r="F366" t="s">
        <v>1467</v>
      </c>
      <c r="G366" t="b">
        <v>1</v>
      </c>
      <c r="H366" t="b">
        <v>0</v>
      </c>
      <c r="I366" t="s">
        <v>1468</v>
      </c>
      <c r="J366" t="str">
        <f>TRIM(I366)</f>
        <v>Albert C. Noblezada</v>
      </c>
      <c r="K366" t="str">
        <f t="shared" si="11"/>
        <v>Albert C. Noblezada</v>
      </c>
      <c r="L366" t="s">
        <v>16</v>
      </c>
    </row>
    <row r="367" spans="1:12" x14ac:dyDescent="0.3">
      <c r="A367" t="s">
        <v>1469</v>
      </c>
      <c r="B367" t="s">
        <v>85</v>
      </c>
      <c r="C367" t="s">
        <v>1470</v>
      </c>
      <c r="D367" s="1">
        <f t="shared" si="10"/>
        <v>44634</v>
      </c>
      <c r="E367" t="s">
        <v>13</v>
      </c>
      <c r="F367" t="s">
        <v>1471</v>
      </c>
      <c r="G367" t="b">
        <v>1</v>
      </c>
      <c r="H367" t="b">
        <v>0</v>
      </c>
      <c r="I367" t="s">
        <v>1472</v>
      </c>
      <c r="J367" t="str">
        <f>TRIM(I367)</f>
        <v>Whelver N. Surnido</v>
      </c>
      <c r="K367" t="str">
        <f t="shared" si="11"/>
        <v>Whelver N. Surnido</v>
      </c>
      <c r="L367" t="s">
        <v>16</v>
      </c>
    </row>
    <row r="368" spans="1:12" x14ac:dyDescent="0.3">
      <c r="A368" t="s">
        <v>1473</v>
      </c>
      <c r="B368" t="s">
        <v>1474</v>
      </c>
      <c r="C368" t="s">
        <v>347</v>
      </c>
      <c r="D368" s="1">
        <f t="shared" si="10"/>
        <v>45608</v>
      </c>
      <c r="E368" t="s">
        <v>13</v>
      </c>
      <c r="F368" t="s">
        <v>1475</v>
      </c>
      <c r="G368" t="b">
        <v>1</v>
      </c>
      <c r="H368" t="b">
        <v>0</v>
      </c>
      <c r="I368" t="s">
        <v>1476</v>
      </c>
      <c r="J368" t="str">
        <f>TRIM(I368)</f>
        <v>Lynn Angelo A. Bonitillo</v>
      </c>
      <c r="K368" t="str">
        <f t="shared" si="11"/>
        <v>Lynn Angelo A. Bonitillo</v>
      </c>
      <c r="L368" t="s">
        <v>16</v>
      </c>
    </row>
    <row r="369" spans="1:12" x14ac:dyDescent="0.3">
      <c r="A369" t="s">
        <v>1477</v>
      </c>
      <c r="B369" t="s">
        <v>1478</v>
      </c>
      <c r="C369" t="s">
        <v>479</v>
      </c>
      <c r="D369" s="1">
        <f t="shared" si="10"/>
        <v>45740</v>
      </c>
      <c r="E369" t="s">
        <v>730</v>
      </c>
      <c r="F369" t="s">
        <v>1479</v>
      </c>
      <c r="G369" t="b">
        <v>1</v>
      </c>
      <c r="H369" t="b">
        <v>1</v>
      </c>
      <c r="I369" t="s">
        <v>1480</v>
      </c>
      <c r="J369" t="str">
        <f>TRIM(I369)</f>
        <v>Grace C. Guanzon</v>
      </c>
      <c r="K369" t="str">
        <f t="shared" si="11"/>
        <v>Grace C. Guanzon</v>
      </c>
      <c r="L369" t="s">
        <v>29</v>
      </c>
    </row>
    <row r="370" spans="1:12" x14ac:dyDescent="0.3">
      <c r="A370" t="s">
        <v>1481</v>
      </c>
      <c r="B370" t="s">
        <v>1482</v>
      </c>
      <c r="C370" t="s">
        <v>1483</v>
      </c>
      <c r="D370" s="1">
        <f t="shared" si="10"/>
        <v>44250</v>
      </c>
      <c r="E370" t="s">
        <v>60</v>
      </c>
      <c r="F370" t="s">
        <v>1484</v>
      </c>
      <c r="G370" t="b">
        <v>1</v>
      </c>
      <c r="H370" t="b">
        <v>0</v>
      </c>
      <c r="I370" t="s">
        <v>1485</v>
      </c>
      <c r="J370" t="str">
        <f>TRIM(I370)</f>
        <v>Leni G. Yap-Dejeto</v>
      </c>
      <c r="K370" t="str">
        <f t="shared" si="11"/>
        <v>Leni G. Yap-Dejeto</v>
      </c>
      <c r="L370" t="s">
        <v>16</v>
      </c>
    </row>
    <row r="371" spans="1:12" x14ac:dyDescent="0.3">
      <c r="A371" t="s">
        <v>1486</v>
      </c>
      <c r="B371" t="s">
        <v>1101</v>
      </c>
      <c r="C371" t="s">
        <v>1102</v>
      </c>
      <c r="D371" s="1">
        <f t="shared" si="10"/>
        <v>44334</v>
      </c>
      <c r="E371" t="s">
        <v>13</v>
      </c>
      <c r="F371" t="s">
        <v>1487</v>
      </c>
      <c r="G371" t="b">
        <v>1</v>
      </c>
      <c r="H371" t="b">
        <v>0</v>
      </c>
      <c r="I371" t="s">
        <v>1488</v>
      </c>
      <c r="J371" t="str">
        <f>TRIM(I371)</f>
        <v>Reymart S. Dagaraga</v>
      </c>
      <c r="K371" t="str">
        <f t="shared" si="11"/>
        <v>Reymart S. Dagaraga</v>
      </c>
      <c r="L371" t="s">
        <v>16</v>
      </c>
    </row>
    <row r="372" spans="1:12" x14ac:dyDescent="0.3">
      <c r="A372" t="s">
        <v>1489</v>
      </c>
      <c r="B372" t="s">
        <v>159</v>
      </c>
      <c r="C372" t="s">
        <v>268</v>
      </c>
      <c r="D372" s="1">
        <f t="shared" si="10"/>
        <v>45364</v>
      </c>
      <c r="E372" t="s">
        <v>112</v>
      </c>
      <c r="F372" t="s">
        <v>1490</v>
      </c>
      <c r="G372" t="b">
        <v>1</v>
      </c>
      <c r="H372" t="b">
        <v>0</v>
      </c>
      <c r="I372" t="s">
        <v>1491</v>
      </c>
      <c r="J372" t="str">
        <f>TRIM(I372)</f>
        <v>Mae Dell S. Silfavan</v>
      </c>
      <c r="K372" t="str">
        <f t="shared" si="11"/>
        <v>Mae Dell S. Silfavan</v>
      </c>
      <c r="L372" t="s">
        <v>16</v>
      </c>
    </row>
    <row r="373" spans="1:12" x14ac:dyDescent="0.3">
      <c r="A373" t="s">
        <v>1492</v>
      </c>
      <c r="B373" t="s">
        <v>175</v>
      </c>
      <c r="C373" t="s">
        <v>1493</v>
      </c>
      <c r="D373" s="1">
        <f t="shared" si="10"/>
        <v>46031</v>
      </c>
      <c r="E373" t="s">
        <v>66</v>
      </c>
      <c r="F373" t="s">
        <v>1494</v>
      </c>
      <c r="G373" t="b">
        <v>0</v>
      </c>
      <c r="H373" t="b">
        <v>1</v>
      </c>
      <c r="I373" t="s">
        <v>1495</v>
      </c>
      <c r="J373" t="str">
        <f>TRIM(I373)</f>
        <v>AINA MARIE TAN PILARTA</v>
      </c>
      <c r="K373" t="str">
        <f t="shared" si="11"/>
        <v>Aina Marie Tan Pilarta</v>
      </c>
      <c r="L373" t="s">
        <v>29</v>
      </c>
    </row>
    <row r="374" spans="1:12" x14ac:dyDescent="0.3">
      <c r="A374" t="s">
        <v>1496</v>
      </c>
      <c r="B374" t="s">
        <v>1497</v>
      </c>
      <c r="C374" t="s">
        <v>1498</v>
      </c>
      <c r="D374" s="1">
        <f t="shared" si="10"/>
        <v>46042</v>
      </c>
      <c r="E374" t="s">
        <v>66</v>
      </c>
      <c r="F374" t="s">
        <v>1499</v>
      </c>
      <c r="G374" t="b">
        <v>0</v>
      </c>
      <c r="H374" t="b">
        <v>1</v>
      </c>
      <c r="I374" t="s">
        <v>1500</v>
      </c>
      <c r="J374" t="str">
        <f>TRIM(I374)</f>
        <v>Jonier Badayos</v>
      </c>
      <c r="K374" t="str">
        <f t="shared" si="11"/>
        <v>Jonier Badayos</v>
      </c>
      <c r="L374" t="s">
        <v>29</v>
      </c>
    </row>
    <row r="375" spans="1:12" x14ac:dyDescent="0.3">
      <c r="A375" t="s">
        <v>1501</v>
      </c>
      <c r="B375" t="s">
        <v>301</v>
      </c>
      <c r="C375" t="s">
        <v>302</v>
      </c>
      <c r="D375" s="1">
        <f t="shared" si="10"/>
        <v>45572</v>
      </c>
      <c r="E375" t="s">
        <v>13</v>
      </c>
      <c r="F375" t="s">
        <v>230</v>
      </c>
      <c r="G375" t="b">
        <v>1</v>
      </c>
      <c r="H375" t="b">
        <v>0</v>
      </c>
      <c r="I375" t="s">
        <v>1502</v>
      </c>
      <c r="J375" t="str">
        <f>TRIM(I375)</f>
        <v>Christine Joy A. Barongo</v>
      </c>
      <c r="K375" t="str">
        <f t="shared" si="11"/>
        <v>Christine Joy A. Barongo</v>
      </c>
      <c r="L375" t="s">
        <v>16</v>
      </c>
    </row>
    <row r="376" spans="1:12" x14ac:dyDescent="0.3">
      <c r="A376" t="s">
        <v>1503</v>
      </c>
      <c r="B376" t="s">
        <v>1504</v>
      </c>
      <c r="C376" t="s">
        <v>1505</v>
      </c>
      <c r="D376" s="1">
        <f t="shared" si="10"/>
        <v>46051</v>
      </c>
      <c r="E376" t="s">
        <v>66</v>
      </c>
      <c r="F376" t="s">
        <v>1506</v>
      </c>
      <c r="G376" t="b">
        <v>0</v>
      </c>
      <c r="H376" t="b">
        <v>1</v>
      </c>
      <c r="I376" t="s">
        <v>1507</v>
      </c>
      <c r="J376" t="str">
        <f>TRIM(I376)</f>
        <v>Eunice Lee O. Maribao</v>
      </c>
      <c r="K376" t="str">
        <f t="shared" si="11"/>
        <v>Eunice Lee O. Maribao</v>
      </c>
      <c r="L376" t="s">
        <v>29</v>
      </c>
    </row>
    <row r="377" spans="1:12" x14ac:dyDescent="0.3">
      <c r="A377" t="s">
        <v>1508</v>
      </c>
      <c r="B377" t="s">
        <v>11</v>
      </c>
      <c r="C377" t="s">
        <v>1238</v>
      </c>
      <c r="D377" s="1">
        <f t="shared" si="10"/>
        <v>45750</v>
      </c>
      <c r="E377" t="s">
        <v>13</v>
      </c>
      <c r="F377" t="s">
        <v>1509</v>
      </c>
      <c r="G377" t="b">
        <v>1</v>
      </c>
      <c r="H377" t="b">
        <v>0</v>
      </c>
      <c r="I377" t="s">
        <v>1510</v>
      </c>
      <c r="J377" t="str">
        <f>TRIM(I377)</f>
        <v>Ande Bryle Genciana</v>
      </c>
      <c r="K377" t="str">
        <f t="shared" si="11"/>
        <v>Ande Bryle Genciana</v>
      </c>
      <c r="L377" t="s">
        <v>16</v>
      </c>
    </row>
    <row r="378" spans="1:12" x14ac:dyDescent="0.3">
      <c r="A378" t="s">
        <v>1511</v>
      </c>
      <c r="B378" t="s">
        <v>1478</v>
      </c>
      <c r="C378" t="s">
        <v>502</v>
      </c>
      <c r="D378" s="1">
        <f t="shared" si="10"/>
        <v>45545</v>
      </c>
      <c r="E378" t="s">
        <v>122</v>
      </c>
      <c r="F378" t="s">
        <v>21</v>
      </c>
      <c r="G378" t="b">
        <v>1</v>
      </c>
      <c r="H378" t="b">
        <v>1</v>
      </c>
      <c r="I378" t="s">
        <v>1512</v>
      </c>
      <c r="J378" t="str">
        <f>TRIM(I378)</f>
        <v>Jessa Cortes</v>
      </c>
      <c r="K378" t="str">
        <f t="shared" si="11"/>
        <v>Jessa Cortes</v>
      </c>
      <c r="L378" t="s">
        <v>29</v>
      </c>
    </row>
    <row r="379" spans="1:12" x14ac:dyDescent="0.3">
      <c r="A379" t="s">
        <v>1513</v>
      </c>
      <c r="B379" t="s">
        <v>1514</v>
      </c>
      <c r="C379" t="s">
        <v>1515</v>
      </c>
      <c r="D379" s="1">
        <f t="shared" si="10"/>
        <v>46077</v>
      </c>
      <c r="E379" t="s">
        <v>884</v>
      </c>
      <c r="F379" t="s">
        <v>1516</v>
      </c>
      <c r="G379" t="b">
        <v>0</v>
      </c>
      <c r="H379" t="b">
        <v>0</v>
      </c>
      <c r="I379" t="s">
        <v>1517</v>
      </c>
      <c r="J379" t="str">
        <f>TRIM(I379)</f>
        <v>Felix John T. Amestoso</v>
      </c>
      <c r="K379" t="str">
        <f t="shared" si="11"/>
        <v>Felix John T. Amestoso</v>
      </c>
      <c r="L379" t="s">
        <v>38</v>
      </c>
    </row>
    <row r="380" spans="1:12" x14ac:dyDescent="0.3">
      <c r="A380" t="s">
        <v>1518</v>
      </c>
      <c r="B380" t="s">
        <v>342</v>
      </c>
      <c r="C380" t="s">
        <v>343</v>
      </c>
      <c r="D380" s="1">
        <f t="shared" si="10"/>
        <v>45664</v>
      </c>
      <c r="E380" t="s">
        <v>143</v>
      </c>
      <c r="F380" t="s">
        <v>344</v>
      </c>
      <c r="G380" t="b">
        <v>1</v>
      </c>
      <c r="H380" t="b">
        <v>1</v>
      </c>
      <c r="I380" t="s">
        <v>1519</v>
      </c>
      <c r="J380" t="str">
        <f>TRIM(I380)</f>
        <v>Sabrina Gatdula</v>
      </c>
      <c r="K380" t="str">
        <f t="shared" si="11"/>
        <v>Sabrina Gatdula</v>
      </c>
      <c r="L380" t="s">
        <v>29</v>
      </c>
    </row>
    <row r="381" spans="1:12" x14ac:dyDescent="0.3">
      <c r="A381" t="s">
        <v>1520</v>
      </c>
      <c r="B381" t="s">
        <v>1521</v>
      </c>
      <c r="C381" t="s">
        <v>1522</v>
      </c>
      <c r="D381" s="1">
        <f t="shared" si="10"/>
        <v>45884</v>
      </c>
      <c r="E381" t="s">
        <v>66</v>
      </c>
      <c r="F381" t="s">
        <v>1523</v>
      </c>
      <c r="G381" t="b">
        <v>1</v>
      </c>
      <c r="H381" t="b">
        <v>1</v>
      </c>
      <c r="I381" t="s">
        <v>1524</v>
      </c>
      <c r="J381" t="str">
        <f>TRIM(I381)</f>
        <v>Duranne Duran</v>
      </c>
      <c r="K381" t="str">
        <f t="shared" si="11"/>
        <v>Duranne Duran</v>
      </c>
      <c r="L381" t="s">
        <v>16</v>
      </c>
    </row>
    <row r="382" spans="1:12" x14ac:dyDescent="0.3">
      <c r="A382" t="s">
        <v>1525</v>
      </c>
      <c r="B382" t="s">
        <v>105</v>
      </c>
      <c r="C382" t="s">
        <v>810</v>
      </c>
      <c r="D382" s="1">
        <f t="shared" si="10"/>
        <v>44015</v>
      </c>
      <c r="E382" t="s">
        <v>13</v>
      </c>
      <c r="F382" t="s">
        <v>1526</v>
      </c>
      <c r="G382" t="b">
        <v>1</v>
      </c>
      <c r="H382" t="b">
        <v>1</v>
      </c>
      <c r="I382" t="s">
        <v>1527</v>
      </c>
      <c r="J382" t="str">
        <f>TRIM(I382)</f>
        <v>Karl Angelo P. Tenizo</v>
      </c>
      <c r="K382" t="str">
        <f t="shared" si="11"/>
        <v>Karl Angelo P. Tenizo</v>
      </c>
      <c r="L382" t="s">
        <v>29</v>
      </c>
    </row>
    <row r="383" spans="1:12" x14ac:dyDescent="0.3">
      <c r="A383" t="s">
        <v>1528</v>
      </c>
      <c r="B383" t="s">
        <v>852</v>
      </c>
      <c r="C383" t="s">
        <v>1529</v>
      </c>
      <c r="D383" s="1">
        <f t="shared" si="10"/>
        <v>44035</v>
      </c>
      <c r="E383" t="s">
        <v>60</v>
      </c>
      <c r="F383" t="s">
        <v>1530</v>
      </c>
      <c r="G383" t="b">
        <v>1</v>
      </c>
      <c r="H383" t="b">
        <v>0</v>
      </c>
      <c r="I383" t="s">
        <v>1531</v>
      </c>
      <c r="J383" t="str">
        <f>TRIM(I383)</f>
        <v>Leonilo F. Endoma</v>
      </c>
      <c r="K383" t="str">
        <f t="shared" si="11"/>
        <v>Leonilo F. Endoma</v>
      </c>
      <c r="L383" t="s">
        <v>16</v>
      </c>
    </row>
    <row r="384" spans="1:12" x14ac:dyDescent="0.3">
      <c r="A384" t="s">
        <v>1532</v>
      </c>
      <c r="B384" t="s">
        <v>164</v>
      </c>
      <c r="C384" t="s">
        <v>165</v>
      </c>
      <c r="D384" s="1">
        <f t="shared" si="10"/>
        <v>45637</v>
      </c>
      <c r="E384" t="s">
        <v>60</v>
      </c>
      <c r="F384" t="s">
        <v>1533</v>
      </c>
      <c r="G384" t="b">
        <v>1</v>
      </c>
      <c r="H384" t="b">
        <v>0</v>
      </c>
      <c r="I384" t="s">
        <v>1534</v>
      </c>
      <c r="J384" t="str">
        <f>TRIM(I384)</f>
        <v>Charlene A. Ballesteros</v>
      </c>
      <c r="K384" t="str">
        <f t="shared" si="11"/>
        <v>Charlene A. Ballesteros</v>
      </c>
      <c r="L384" t="s">
        <v>16</v>
      </c>
    </row>
    <row r="385" spans="1:12" x14ac:dyDescent="0.3">
      <c r="A385" t="s">
        <v>1535</v>
      </c>
      <c r="B385" t="s">
        <v>1536</v>
      </c>
      <c r="C385" t="s">
        <v>1401</v>
      </c>
      <c r="D385" s="1">
        <f t="shared" si="10"/>
        <v>45337</v>
      </c>
      <c r="E385" t="s">
        <v>60</v>
      </c>
      <c r="F385" t="s">
        <v>1402</v>
      </c>
      <c r="G385" t="b">
        <v>1</v>
      </c>
      <c r="H385" t="b">
        <v>0</v>
      </c>
      <c r="I385" t="s">
        <v>1537</v>
      </c>
      <c r="J385" t="str">
        <f>TRIM(I385)</f>
        <v>Vincent Jay H. Gado</v>
      </c>
      <c r="K385" t="str">
        <f t="shared" si="11"/>
        <v>Vincent Jay H. Gado</v>
      </c>
      <c r="L385" t="s">
        <v>16</v>
      </c>
    </row>
    <row r="386" spans="1:12" x14ac:dyDescent="0.3">
      <c r="A386" t="s">
        <v>1538</v>
      </c>
      <c r="B386" t="s">
        <v>1539</v>
      </c>
      <c r="C386" t="s">
        <v>1540</v>
      </c>
      <c r="D386" s="1">
        <f t="shared" ref="D386:D417" si="12">DATEVALUE(LEFT(C386,10))</f>
        <v>45889</v>
      </c>
      <c r="E386" t="s">
        <v>66</v>
      </c>
      <c r="F386" t="s">
        <v>55</v>
      </c>
      <c r="G386" t="b">
        <v>0</v>
      </c>
      <c r="H386" t="b">
        <v>0</v>
      </c>
      <c r="I386" t="s">
        <v>1541</v>
      </c>
      <c r="J386" t="str">
        <f>TRIM(I386)</f>
        <v>Donny Honorio</v>
      </c>
      <c r="K386" t="str">
        <f t="shared" si="11"/>
        <v>Donny Honorio</v>
      </c>
      <c r="L386" t="s">
        <v>16</v>
      </c>
    </row>
    <row r="387" spans="1:12" x14ac:dyDescent="0.3">
      <c r="A387" t="s">
        <v>1542</v>
      </c>
      <c r="B387" t="s">
        <v>1543</v>
      </c>
      <c r="C387" t="s">
        <v>1544</v>
      </c>
      <c r="D387" s="1">
        <f t="shared" si="12"/>
        <v>45889</v>
      </c>
      <c r="E387" t="s">
        <v>1545</v>
      </c>
      <c r="F387" t="s">
        <v>1546</v>
      </c>
      <c r="G387" t="b">
        <v>0</v>
      </c>
      <c r="H387" t="b">
        <v>0</v>
      </c>
      <c r="I387" t="s">
        <v>1547</v>
      </c>
      <c r="J387" t="str">
        <f>TRIM(I387)</f>
        <v>Anabelle Fariola</v>
      </c>
      <c r="K387" t="str">
        <f t="shared" ref="K387:K431" si="13">PROPER(J387)</f>
        <v>Anabelle Fariola</v>
      </c>
      <c r="L387" t="s">
        <v>16</v>
      </c>
    </row>
    <row r="388" spans="1:12" x14ac:dyDescent="0.3">
      <c r="A388" t="s">
        <v>1548</v>
      </c>
      <c r="B388" t="s">
        <v>152</v>
      </c>
      <c r="C388" t="s">
        <v>1549</v>
      </c>
      <c r="D388" s="1">
        <f t="shared" si="12"/>
        <v>45885</v>
      </c>
      <c r="E388" t="s">
        <v>152</v>
      </c>
      <c r="F388" t="s">
        <v>55</v>
      </c>
      <c r="G388" t="b">
        <v>0</v>
      </c>
      <c r="H388" t="b">
        <v>0</v>
      </c>
      <c r="I388" t="s">
        <v>1550</v>
      </c>
      <c r="J388" t="str">
        <f>TRIM(I388)</f>
        <v>Leonel Paolo Rodriguez</v>
      </c>
      <c r="K388" t="str">
        <f t="shared" si="13"/>
        <v>Leonel Paolo Rodriguez</v>
      </c>
      <c r="L388" t="s">
        <v>16</v>
      </c>
    </row>
    <row r="389" spans="1:12" x14ac:dyDescent="0.3">
      <c r="A389" t="s">
        <v>1551</v>
      </c>
      <c r="B389" t="s">
        <v>1552</v>
      </c>
      <c r="C389" t="s">
        <v>1553</v>
      </c>
      <c r="D389" s="1">
        <f t="shared" si="12"/>
        <v>45889</v>
      </c>
      <c r="E389" t="s">
        <v>66</v>
      </c>
      <c r="F389" t="s">
        <v>55</v>
      </c>
      <c r="G389" t="b">
        <v>0</v>
      </c>
      <c r="H389" t="b">
        <v>0</v>
      </c>
      <c r="I389" t="s">
        <v>1554</v>
      </c>
      <c r="J389" t="str">
        <f>TRIM(I389)</f>
        <v>Ana Mae Alcala</v>
      </c>
      <c r="K389" t="str">
        <f t="shared" si="13"/>
        <v>Ana Mae Alcala</v>
      </c>
      <c r="L389" t="s">
        <v>16</v>
      </c>
    </row>
    <row r="390" spans="1:12" x14ac:dyDescent="0.3">
      <c r="A390" t="s">
        <v>1555</v>
      </c>
      <c r="B390" t="s">
        <v>147</v>
      </c>
      <c r="C390" t="s">
        <v>132</v>
      </c>
      <c r="D390" s="1">
        <f t="shared" si="12"/>
        <v>45154</v>
      </c>
      <c r="E390" t="s">
        <v>148</v>
      </c>
      <c r="F390" t="s">
        <v>1556</v>
      </c>
      <c r="G390" t="b">
        <v>1</v>
      </c>
      <c r="H390" t="b">
        <v>0</v>
      </c>
      <c r="I390" t="s">
        <v>1557</v>
      </c>
      <c r="J390" t="str">
        <f>TRIM(I390)</f>
        <v>Maio Vendell V. Sabidong</v>
      </c>
      <c r="K390" t="str">
        <f t="shared" si="13"/>
        <v>Maio Vendell V. Sabidong</v>
      </c>
      <c r="L390" t="s">
        <v>16</v>
      </c>
    </row>
    <row r="391" spans="1:12" x14ac:dyDescent="0.3">
      <c r="A391" t="s">
        <v>1558</v>
      </c>
      <c r="B391" t="s">
        <v>301</v>
      </c>
      <c r="C391" t="s">
        <v>302</v>
      </c>
      <c r="D391" s="1">
        <f t="shared" si="12"/>
        <v>45572</v>
      </c>
      <c r="E391" t="s">
        <v>60</v>
      </c>
      <c r="F391" t="s">
        <v>230</v>
      </c>
      <c r="G391" t="b">
        <v>1</v>
      </c>
      <c r="H391" t="b">
        <v>0</v>
      </c>
      <c r="I391" t="s">
        <v>1559</v>
      </c>
      <c r="J391" t="str">
        <f>TRIM(I391)</f>
        <v>Coleen S. Tibar</v>
      </c>
      <c r="K391" t="str">
        <f t="shared" si="13"/>
        <v>Coleen S. Tibar</v>
      </c>
      <c r="L391" t="s">
        <v>16</v>
      </c>
    </row>
    <row r="392" spans="1:12" x14ac:dyDescent="0.3">
      <c r="A392" t="s">
        <v>1560</v>
      </c>
      <c r="B392" t="s">
        <v>85</v>
      </c>
      <c r="C392" t="s">
        <v>1561</v>
      </c>
      <c r="D392" s="1">
        <f t="shared" si="12"/>
        <v>44580</v>
      </c>
      <c r="E392" t="s">
        <v>13</v>
      </c>
      <c r="F392" t="s">
        <v>1562</v>
      </c>
      <c r="G392" t="b">
        <v>1</v>
      </c>
      <c r="H392" t="b">
        <v>0</v>
      </c>
      <c r="I392" t="s">
        <v>1563</v>
      </c>
      <c r="J392" t="str">
        <f>TRIM(I392)</f>
        <v>Rowena E. Cadiz</v>
      </c>
      <c r="K392" t="str">
        <f t="shared" si="13"/>
        <v>Rowena E. Cadiz</v>
      </c>
      <c r="L392" t="s">
        <v>16</v>
      </c>
    </row>
    <row r="393" spans="1:12" x14ac:dyDescent="0.3">
      <c r="A393" t="s">
        <v>1564</v>
      </c>
      <c r="B393" t="s">
        <v>1565</v>
      </c>
      <c r="C393" t="s">
        <v>1566</v>
      </c>
      <c r="D393" s="1">
        <f t="shared" si="12"/>
        <v>45889</v>
      </c>
      <c r="E393" t="s">
        <v>152</v>
      </c>
      <c r="F393" t="s">
        <v>55</v>
      </c>
      <c r="G393" t="b">
        <v>0</v>
      </c>
      <c r="H393" t="b">
        <v>0</v>
      </c>
      <c r="I393" t="s">
        <v>1567</v>
      </c>
      <c r="J393" t="str">
        <f>TRIM(I393)</f>
        <v>Virgie Celestial</v>
      </c>
      <c r="K393" t="str">
        <f t="shared" si="13"/>
        <v>Virgie Celestial</v>
      </c>
      <c r="L393" t="s">
        <v>16</v>
      </c>
    </row>
    <row r="394" spans="1:12" x14ac:dyDescent="0.3">
      <c r="A394" t="s">
        <v>1568</v>
      </c>
      <c r="B394" t="s">
        <v>415</v>
      </c>
      <c r="C394" t="s">
        <v>259</v>
      </c>
      <c r="D394" s="1">
        <f t="shared" si="12"/>
        <v>45316</v>
      </c>
      <c r="E394" t="s">
        <v>60</v>
      </c>
      <c r="F394" t="s">
        <v>1569</v>
      </c>
      <c r="G394" t="b">
        <v>1</v>
      </c>
      <c r="H394" t="b">
        <v>0</v>
      </c>
      <c r="I394" t="s">
        <v>1570</v>
      </c>
      <c r="J394" t="str">
        <f>TRIM(I394)</f>
        <v>John Raymund D. Torres</v>
      </c>
      <c r="K394" t="str">
        <f t="shared" si="13"/>
        <v>John Raymund D. Torres</v>
      </c>
      <c r="L394" t="s">
        <v>16</v>
      </c>
    </row>
    <row r="395" spans="1:12" x14ac:dyDescent="0.3">
      <c r="A395" t="s">
        <v>1571</v>
      </c>
      <c r="B395" t="s">
        <v>1572</v>
      </c>
      <c r="C395" t="s">
        <v>1573</v>
      </c>
      <c r="D395" s="1">
        <f t="shared" si="12"/>
        <v>45887</v>
      </c>
      <c r="E395" t="s">
        <v>1574</v>
      </c>
      <c r="F395" t="s">
        <v>55</v>
      </c>
      <c r="G395" t="b">
        <v>0</v>
      </c>
      <c r="H395" t="b">
        <v>0</v>
      </c>
      <c r="I395" t="s">
        <v>1575</v>
      </c>
      <c r="J395" t="str">
        <f>TRIM(I395)</f>
        <v>May Ann Gito</v>
      </c>
      <c r="K395" t="str">
        <f t="shared" si="13"/>
        <v>May Ann Gito</v>
      </c>
      <c r="L395" t="s">
        <v>16</v>
      </c>
    </row>
    <row r="396" spans="1:12" x14ac:dyDescent="0.3">
      <c r="A396" t="s">
        <v>1576</v>
      </c>
      <c r="B396" t="s">
        <v>31</v>
      </c>
      <c r="C396" t="s">
        <v>195</v>
      </c>
      <c r="D396" s="1">
        <f t="shared" si="12"/>
        <v>45240</v>
      </c>
      <c r="E396" t="s">
        <v>112</v>
      </c>
      <c r="F396" t="s">
        <v>21</v>
      </c>
      <c r="G396" t="b">
        <v>1</v>
      </c>
      <c r="H396" t="b">
        <v>0</v>
      </c>
      <c r="I396" t="s">
        <v>1577</v>
      </c>
      <c r="J396" t="str">
        <f>TRIM(I396)</f>
        <v>Frea Mae Dela Cruz</v>
      </c>
      <c r="K396" t="str">
        <f t="shared" si="13"/>
        <v>Frea Mae Dela Cruz</v>
      </c>
      <c r="L396" t="s">
        <v>16</v>
      </c>
    </row>
    <row r="397" spans="1:12" x14ac:dyDescent="0.3">
      <c r="A397" t="s">
        <v>1578</v>
      </c>
      <c r="B397" t="s">
        <v>152</v>
      </c>
      <c r="C397" t="s">
        <v>1579</v>
      </c>
      <c r="D397" s="1">
        <f t="shared" si="12"/>
        <v>45888</v>
      </c>
      <c r="E397" t="s">
        <v>1580</v>
      </c>
      <c r="F397" t="s">
        <v>55</v>
      </c>
      <c r="G397" t="b">
        <v>0</v>
      </c>
      <c r="H397" t="b">
        <v>0</v>
      </c>
      <c r="I397" t="s">
        <v>1581</v>
      </c>
      <c r="J397" t="str">
        <f>TRIM(I397)</f>
        <v>Rosalie Niebla</v>
      </c>
      <c r="K397" t="str">
        <f t="shared" si="13"/>
        <v>Rosalie Niebla</v>
      </c>
      <c r="L397" t="s">
        <v>16</v>
      </c>
    </row>
    <row r="398" spans="1:12" x14ac:dyDescent="0.3">
      <c r="A398" t="s">
        <v>1582</v>
      </c>
      <c r="B398" t="s">
        <v>1583</v>
      </c>
      <c r="C398" t="s">
        <v>1584</v>
      </c>
      <c r="D398" s="1">
        <f t="shared" si="12"/>
        <v>45885</v>
      </c>
      <c r="E398" t="s">
        <v>1585</v>
      </c>
      <c r="F398" t="s">
        <v>55</v>
      </c>
      <c r="G398" t="b">
        <v>0</v>
      </c>
      <c r="H398" t="b">
        <v>0</v>
      </c>
      <c r="I398" t="s">
        <v>1586</v>
      </c>
      <c r="J398" t="str">
        <f>TRIM(I398)</f>
        <v>Marianne Joyce S. Herrada</v>
      </c>
      <c r="K398" t="str">
        <f t="shared" si="13"/>
        <v>Marianne Joyce S. Herrada</v>
      </c>
      <c r="L398" t="s">
        <v>16</v>
      </c>
    </row>
    <row r="399" spans="1:12" x14ac:dyDescent="0.3">
      <c r="A399" t="s">
        <v>1587</v>
      </c>
      <c r="B399" t="s">
        <v>509</v>
      </c>
      <c r="C399" t="s">
        <v>510</v>
      </c>
      <c r="D399" s="1">
        <f t="shared" si="12"/>
        <v>45481</v>
      </c>
      <c r="E399" t="s">
        <v>60</v>
      </c>
      <c r="F399" t="s">
        <v>230</v>
      </c>
      <c r="G399" t="b">
        <v>1</v>
      </c>
      <c r="H399" t="b">
        <v>0</v>
      </c>
      <c r="I399" t="s">
        <v>1588</v>
      </c>
      <c r="J399" t="str">
        <f>TRIM(I399)</f>
        <v>Alieza O. Del Socorro</v>
      </c>
      <c r="K399" t="str">
        <f t="shared" si="13"/>
        <v>Alieza O. Del Socorro</v>
      </c>
      <c r="L399" t="s">
        <v>16</v>
      </c>
    </row>
    <row r="400" spans="1:12" x14ac:dyDescent="0.3">
      <c r="A400" t="s">
        <v>1589</v>
      </c>
      <c r="B400" t="s">
        <v>1590</v>
      </c>
      <c r="C400" t="s">
        <v>1591</v>
      </c>
      <c r="D400" s="1">
        <f t="shared" si="12"/>
        <v>45769</v>
      </c>
      <c r="E400" t="s">
        <v>122</v>
      </c>
      <c r="F400" t="s">
        <v>1592</v>
      </c>
      <c r="G400" t="b">
        <v>1</v>
      </c>
      <c r="H400" t="b">
        <v>1</v>
      </c>
      <c r="I400" t="s">
        <v>1593</v>
      </c>
      <c r="J400" t="str">
        <f>TRIM(I400)</f>
        <v>Mary Claire Gatucao</v>
      </c>
      <c r="K400" t="str">
        <f t="shared" si="13"/>
        <v>Mary Claire Gatucao</v>
      </c>
      <c r="L400" t="s">
        <v>29</v>
      </c>
    </row>
    <row r="401" spans="1:12" x14ac:dyDescent="0.3">
      <c r="A401" t="s">
        <v>1594</v>
      </c>
      <c r="B401" t="s">
        <v>1595</v>
      </c>
      <c r="C401" t="s">
        <v>1596</v>
      </c>
      <c r="D401" s="1">
        <f t="shared" si="12"/>
        <v>46057</v>
      </c>
      <c r="E401" t="s">
        <v>66</v>
      </c>
      <c r="F401" t="s">
        <v>1597</v>
      </c>
      <c r="G401" t="b">
        <v>0</v>
      </c>
      <c r="H401" t="b">
        <v>0</v>
      </c>
      <c r="I401" t="s">
        <v>4771</v>
      </c>
      <c r="J401" t="str">
        <f>TRIM(I401)</f>
        <v>James Buray</v>
      </c>
      <c r="K401" t="str">
        <f t="shared" si="13"/>
        <v>James Buray</v>
      </c>
      <c r="L401" t="s">
        <v>16</v>
      </c>
    </row>
    <row r="402" spans="1:12" x14ac:dyDescent="0.3">
      <c r="A402" t="s">
        <v>1599</v>
      </c>
      <c r="B402" t="s">
        <v>1478</v>
      </c>
      <c r="C402" t="s">
        <v>1600</v>
      </c>
      <c r="D402" s="1">
        <f t="shared" si="12"/>
        <v>45700</v>
      </c>
      <c r="E402" t="s">
        <v>112</v>
      </c>
      <c r="F402" t="s">
        <v>1601</v>
      </c>
      <c r="G402" t="b">
        <v>1</v>
      </c>
      <c r="H402" t="b">
        <v>0</v>
      </c>
      <c r="I402" t="s">
        <v>1602</v>
      </c>
      <c r="J402" t="str">
        <f>TRIM(I402)</f>
        <v>Tiffany Xu</v>
      </c>
      <c r="K402" t="str">
        <f t="shared" si="13"/>
        <v>Tiffany Xu</v>
      </c>
      <c r="L402" t="s">
        <v>16</v>
      </c>
    </row>
    <row r="403" spans="1:12" x14ac:dyDescent="0.3">
      <c r="A403" t="s">
        <v>1603</v>
      </c>
      <c r="B403" t="s">
        <v>110</v>
      </c>
      <c r="C403" t="s">
        <v>111</v>
      </c>
      <c r="D403" s="1">
        <f t="shared" si="12"/>
        <v>45498</v>
      </c>
      <c r="E403" t="s">
        <v>112</v>
      </c>
      <c r="F403" t="s">
        <v>1604</v>
      </c>
      <c r="G403" t="b">
        <v>1</v>
      </c>
      <c r="H403" t="b">
        <v>0</v>
      </c>
      <c r="I403" t="s">
        <v>1605</v>
      </c>
      <c r="J403" t="str">
        <f>TRIM(I403)</f>
        <v>FN Grace Cabangisan</v>
      </c>
      <c r="K403" t="str">
        <f t="shared" si="13"/>
        <v>Fn Grace Cabangisan</v>
      </c>
      <c r="L403" t="s">
        <v>16</v>
      </c>
    </row>
    <row r="404" spans="1:12" x14ac:dyDescent="0.3">
      <c r="A404" t="s">
        <v>1606</v>
      </c>
      <c r="B404" t="s">
        <v>316</v>
      </c>
      <c r="C404" t="s">
        <v>317</v>
      </c>
      <c r="D404" s="1">
        <f t="shared" si="12"/>
        <v>45573</v>
      </c>
      <c r="E404" t="s">
        <v>112</v>
      </c>
      <c r="F404" t="s">
        <v>1607</v>
      </c>
      <c r="G404" t="b">
        <v>1</v>
      </c>
      <c r="H404" t="b">
        <v>0</v>
      </c>
      <c r="I404" t="s">
        <v>1608</v>
      </c>
      <c r="J404" t="str">
        <f>TRIM(I404)</f>
        <v>Kyle Munoz</v>
      </c>
      <c r="K404" t="str">
        <f t="shared" si="13"/>
        <v>Kyle Munoz</v>
      </c>
      <c r="L404" t="s">
        <v>16</v>
      </c>
    </row>
    <row r="405" spans="1:12" x14ac:dyDescent="0.3">
      <c r="A405" t="s">
        <v>1609</v>
      </c>
      <c r="B405" t="s">
        <v>1610</v>
      </c>
      <c r="C405" t="s">
        <v>1611</v>
      </c>
      <c r="D405" s="1">
        <f t="shared" si="12"/>
        <v>45885</v>
      </c>
      <c r="E405" t="s">
        <v>1612</v>
      </c>
      <c r="F405" t="s">
        <v>1613</v>
      </c>
      <c r="G405" t="b">
        <v>0</v>
      </c>
      <c r="H405" t="b">
        <v>0</v>
      </c>
      <c r="I405" t="s">
        <v>1614</v>
      </c>
      <c r="J405" t="str">
        <f>TRIM(I405)</f>
        <v>IMEE ISABELLE F. RAMOS</v>
      </c>
      <c r="K405" t="str">
        <f t="shared" si="13"/>
        <v>Imee Isabelle F. Ramos</v>
      </c>
      <c r="L405" t="s">
        <v>16</v>
      </c>
    </row>
    <row r="406" spans="1:12" x14ac:dyDescent="0.3">
      <c r="A406" t="s">
        <v>1615</v>
      </c>
      <c r="B406" t="s">
        <v>1384</v>
      </c>
      <c r="C406" t="s">
        <v>1385</v>
      </c>
      <c r="D406" s="1">
        <f t="shared" si="12"/>
        <v>45612</v>
      </c>
      <c r="E406" t="s">
        <v>60</v>
      </c>
      <c r="F406" t="s">
        <v>1616</v>
      </c>
      <c r="G406" t="b">
        <v>1</v>
      </c>
      <c r="H406" t="b">
        <v>0</v>
      </c>
      <c r="I406" t="s">
        <v>1617</v>
      </c>
      <c r="J406" t="str">
        <f>TRIM(I406)</f>
        <v>Arnel G. Nudalo</v>
      </c>
      <c r="K406" t="str">
        <f t="shared" si="13"/>
        <v>Arnel G. Nudalo</v>
      </c>
      <c r="L406" t="s">
        <v>16</v>
      </c>
    </row>
    <row r="407" spans="1:12" x14ac:dyDescent="0.3">
      <c r="A407" t="s">
        <v>1618</v>
      </c>
      <c r="B407" t="s">
        <v>1619</v>
      </c>
      <c r="C407" t="s">
        <v>25</v>
      </c>
      <c r="D407" s="1">
        <f t="shared" si="12"/>
        <v>44216</v>
      </c>
      <c r="E407" t="s">
        <v>26</v>
      </c>
      <c r="F407" t="s">
        <v>1620</v>
      </c>
      <c r="G407" t="b">
        <v>1</v>
      </c>
      <c r="H407" t="b">
        <v>0</v>
      </c>
      <c r="I407" t="s">
        <v>1621</v>
      </c>
      <c r="J407" t="str">
        <f>TRIM(I407)</f>
        <v>Jezreel Teruel Ywayan</v>
      </c>
      <c r="K407" t="str">
        <f t="shared" si="13"/>
        <v>Jezreel Teruel Ywayan</v>
      </c>
      <c r="L407" t="s">
        <v>16</v>
      </c>
    </row>
    <row r="408" spans="1:12" x14ac:dyDescent="0.3">
      <c r="A408" t="s">
        <v>1622</v>
      </c>
      <c r="B408" t="s">
        <v>80</v>
      </c>
      <c r="C408" t="s">
        <v>160</v>
      </c>
      <c r="D408" s="1">
        <f t="shared" si="12"/>
        <v>44280</v>
      </c>
      <c r="E408" t="s">
        <v>13</v>
      </c>
      <c r="F408" t="s">
        <v>1623</v>
      </c>
      <c r="G408" t="b">
        <v>1</v>
      </c>
      <c r="H408" t="b">
        <v>0</v>
      </c>
      <c r="I408" t="s">
        <v>1624</v>
      </c>
      <c r="J408" t="str">
        <f>TRIM(I408)</f>
        <v>Dianne Frances Penuela</v>
      </c>
      <c r="K408" t="str">
        <f t="shared" si="13"/>
        <v>Dianne Frances Penuela</v>
      </c>
      <c r="L408" t="s">
        <v>16</v>
      </c>
    </row>
    <row r="409" spans="1:12" x14ac:dyDescent="0.3">
      <c r="A409" t="s">
        <v>1625</v>
      </c>
      <c r="B409" t="s">
        <v>423</v>
      </c>
      <c r="C409" t="s">
        <v>479</v>
      </c>
      <c r="D409" s="1">
        <f t="shared" si="12"/>
        <v>45740</v>
      </c>
      <c r="E409" t="s">
        <v>13</v>
      </c>
      <c r="F409" t="s">
        <v>1626</v>
      </c>
      <c r="G409" t="b">
        <v>1</v>
      </c>
      <c r="H409" t="b">
        <v>0</v>
      </c>
      <c r="I409" t="s">
        <v>1627</v>
      </c>
      <c r="J409" t="str">
        <f>TRIM(I409)</f>
        <v>Ayana Rose R. Mendoza</v>
      </c>
      <c r="K409" t="str">
        <f t="shared" si="13"/>
        <v>Ayana Rose R. Mendoza</v>
      </c>
      <c r="L409" t="s">
        <v>16</v>
      </c>
    </row>
    <row r="410" spans="1:12" x14ac:dyDescent="0.3">
      <c r="A410" t="s">
        <v>1628</v>
      </c>
      <c r="B410" t="s">
        <v>1629</v>
      </c>
      <c r="C410" t="s">
        <v>707</v>
      </c>
      <c r="D410" s="1">
        <f t="shared" si="12"/>
        <v>44725</v>
      </c>
      <c r="E410" t="s">
        <v>514</v>
      </c>
      <c r="F410" t="s">
        <v>21</v>
      </c>
      <c r="G410" t="b">
        <v>1</v>
      </c>
      <c r="H410" t="b">
        <v>1</v>
      </c>
      <c r="I410" t="s">
        <v>1630</v>
      </c>
      <c r="J410" t="str">
        <f>TRIM(I410)</f>
        <v>Beverly T. Jaspe</v>
      </c>
      <c r="K410" t="str">
        <f t="shared" si="13"/>
        <v>Beverly T. Jaspe</v>
      </c>
      <c r="L410" t="s">
        <v>29</v>
      </c>
    </row>
    <row r="411" spans="1:12" x14ac:dyDescent="0.3">
      <c r="A411" t="s">
        <v>1631</v>
      </c>
      <c r="B411" t="s">
        <v>1632</v>
      </c>
      <c r="C411" t="s">
        <v>1633</v>
      </c>
      <c r="D411" s="1">
        <f t="shared" si="12"/>
        <v>46057</v>
      </c>
      <c r="E411" t="s">
        <v>1634</v>
      </c>
      <c r="F411" t="s">
        <v>1635</v>
      </c>
      <c r="G411" t="b">
        <v>0</v>
      </c>
      <c r="H411" t="b">
        <v>1</v>
      </c>
      <c r="I411" t="s">
        <v>1636</v>
      </c>
      <c r="J411" t="str">
        <f>TRIM(I411)</f>
        <v>Joana Joy Huervana</v>
      </c>
      <c r="K411" t="str">
        <f t="shared" si="13"/>
        <v>Joana Joy Huervana</v>
      </c>
      <c r="L411" t="s">
        <v>29</v>
      </c>
    </row>
    <row r="412" spans="1:12" x14ac:dyDescent="0.3">
      <c r="A412" t="s">
        <v>1637</v>
      </c>
      <c r="B412" t="s">
        <v>355</v>
      </c>
      <c r="C412" t="s">
        <v>735</v>
      </c>
      <c r="D412" s="1">
        <f t="shared" si="12"/>
        <v>44985</v>
      </c>
      <c r="E412" t="s">
        <v>112</v>
      </c>
      <c r="F412" t="s">
        <v>21</v>
      </c>
      <c r="G412" t="b">
        <v>1</v>
      </c>
      <c r="H412" t="b">
        <v>0</v>
      </c>
      <c r="I412" t="s">
        <v>1638</v>
      </c>
      <c r="J412" t="str">
        <f>TRIM(I412)</f>
        <v>Jay Marie V. Lumantas</v>
      </c>
      <c r="K412" t="str">
        <f t="shared" si="13"/>
        <v>Jay Marie V. Lumantas</v>
      </c>
      <c r="L412" t="s">
        <v>16</v>
      </c>
    </row>
    <row r="413" spans="1:12" x14ac:dyDescent="0.3">
      <c r="A413" t="s">
        <v>1639</v>
      </c>
      <c r="B413" t="s">
        <v>1640</v>
      </c>
      <c r="C413" t="s">
        <v>1641</v>
      </c>
      <c r="D413" s="1">
        <f t="shared" si="12"/>
        <v>43508</v>
      </c>
      <c r="E413" t="s">
        <v>148</v>
      </c>
      <c r="F413" t="s">
        <v>745</v>
      </c>
      <c r="G413" t="b">
        <v>1</v>
      </c>
      <c r="H413" t="b">
        <v>0</v>
      </c>
      <c r="I413" t="s">
        <v>1642</v>
      </c>
      <c r="J413" t="str">
        <f>TRIM(I413)</f>
        <v>PGC VISAYAS</v>
      </c>
      <c r="K413" t="str">
        <f t="shared" si="13"/>
        <v>Pgc Visayas</v>
      </c>
      <c r="L413" t="s">
        <v>16</v>
      </c>
    </row>
    <row r="414" spans="1:12" x14ac:dyDescent="0.3">
      <c r="A414" t="s">
        <v>1643</v>
      </c>
      <c r="B414" t="s">
        <v>1644</v>
      </c>
      <c r="C414" t="s">
        <v>1645</v>
      </c>
      <c r="D414" s="1">
        <f t="shared" si="12"/>
        <v>45885</v>
      </c>
      <c r="E414" t="s">
        <v>1646</v>
      </c>
      <c r="F414" t="s">
        <v>55</v>
      </c>
      <c r="G414" t="b">
        <v>0</v>
      </c>
      <c r="H414" t="b">
        <v>0</v>
      </c>
      <c r="I414" t="s">
        <v>1647</v>
      </c>
      <c r="J414" t="str">
        <f>TRIM(I414)</f>
        <v>Richael P. Vargas</v>
      </c>
      <c r="K414" t="str">
        <f t="shared" si="13"/>
        <v>Richael P. Vargas</v>
      </c>
      <c r="L414" t="s">
        <v>16</v>
      </c>
    </row>
    <row r="415" spans="1:12" x14ac:dyDescent="0.3">
      <c r="A415" t="s">
        <v>1648</v>
      </c>
      <c r="B415" t="s">
        <v>1649</v>
      </c>
      <c r="C415" t="s">
        <v>1650</v>
      </c>
      <c r="D415" s="1">
        <f t="shared" si="12"/>
        <v>45885</v>
      </c>
      <c r="E415" t="s">
        <v>1651</v>
      </c>
      <c r="F415" t="s">
        <v>55</v>
      </c>
      <c r="G415" t="b">
        <v>0</v>
      </c>
      <c r="H415" t="b">
        <v>0</v>
      </c>
      <c r="I415" t="s">
        <v>1652</v>
      </c>
      <c r="J415" t="str">
        <f>TRIM(I415)</f>
        <v>Vanessa C. Duyar, MSc.</v>
      </c>
      <c r="K415" t="str">
        <f t="shared" si="13"/>
        <v>Vanessa C. Duyar, Msc.</v>
      </c>
      <c r="L415" t="s">
        <v>16</v>
      </c>
    </row>
    <row r="416" spans="1:12" x14ac:dyDescent="0.3">
      <c r="A416" t="s">
        <v>1653</v>
      </c>
      <c r="B416" t="s">
        <v>116</v>
      </c>
      <c r="C416" t="s">
        <v>117</v>
      </c>
      <c r="D416" s="1">
        <f t="shared" si="12"/>
        <v>45434</v>
      </c>
      <c r="E416" t="s">
        <v>13</v>
      </c>
      <c r="F416" t="s">
        <v>1654</v>
      </c>
      <c r="G416" t="b">
        <v>1</v>
      </c>
      <c r="H416" t="b">
        <v>1</v>
      </c>
      <c r="I416" t="s">
        <v>1655</v>
      </c>
      <c r="J416" t="str">
        <f>TRIM(I416)</f>
        <v>Laura Elyse J. Cambel</v>
      </c>
      <c r="K416" t="str">
        <f t="shared" si="13"/>
        <v>Laura Elyse J. Cambel</v>
      </c>
      <c r="L416" t="s">
        <v>29</v>
      </c>
    </row>
    <row r="417" spans="1:12" x14ac:dyDescent="0.3">
      <c r="A417" t="s">
        <v>1656</v>
      </c>
      <c r="B417" t="s">
        <v>85</v>
      </c>
      <c r="C417" t="s">
        <v>1057</v>
      </c>
      <c r="D417" s="1">
        <f t="shared" si="12"/>
        <v>44910</v>
      </c>
      <c r="E417" t="s">
        <v>13</v>
      </c>
      <c r="F417" t="s">
        <v>21</v>
      </c>
      <c r="G417" t="b">
        <v>1</v>
      </c>
      <c r="H417" t="b">
        <v>0</v>
      </c>
      <c r="I417" t="s">
        <v>1657</v>
      </c>
      <c r="J417" t="str">
        <f>TRIM(I417)</f>
        <v>Emelyn Joy Mameloco</v>
      </c>
      <c r="K417" t="str">
        <f t="shared" si="13"/>
        <v>Emelyn Joy Mameloco</v>
      </c>
      <c r="L417" t="s">
        <v>16</v>
      </c>
    </row>
    <row r="418" spans="1:12" x14ac:dyDescent="0.3">
      <c r="K418" t="str">
        <f t="shared" si="13"/>
        <v/>
      </c>
    </row>
    <row r="419" spans="1:12" x14ac:dyDescent="0.3">
      <c r="J419" t="str">
        <f t="shared" ref="J418:J430" si="14">TRIM(I419)</f>
        <v/>
      </c>
      <c r="K419" t="str">
        <f t="shared" si="13"/>
        <v/>
      </c>
    </row>
    <row r="420" spans="1:12" x14ac:dyDescent="0.3">
      <c r="J420" t="str">
        <f t="shared" si="14"/>
        <v/>
      </c>
      <c r="K420" t="str">
        <f t="shared" si="13"/>
        <v/>
      </c>
    </row>
    <row r="421" spans="1:12" x14ac:dyDescent="0.3">
      <c r="J421" t="str">
        <f t="shared" si="14"/>
        <v/>
      </c>
      <c r="K421" t="str">
        <f t="shared" si="13"/>
        <v/>
      </c>
    </row>
    <row r="422" spans="1:12" x14ac:dyDescent="0.3">
      <c r="J422" t="str">
        <f t="shared" si="14"/>
        <v/>
      </c>
      <c r="K422" t="str">
        <f t="shared" si="13"/>
        <v/>
      </c>
    </row>
    <row r="423" spans="1:12" x14ac:dyDescent="0.3">
      <c r="J423" t="str">
        <f t="shared" si="14"/>
        <v/>
      </c>
    </row>
    <row r="424" spans="1:12" x14ac:dyDescent="0.3">
      <c r="J424" t="str">
        <f t="shared" si="14"/>
        <v/>
      </c>
      <c r="K424" t="str">
        <f t="shared" si="13"/>
        <v/>
      </c>
    </row>
    <row r="425" spans="1:12" x14ac:dyDescent="0.3">
      <c r="J425" t="str">
        <f t="shared" si="14"/>
        <v/>
      </c>
      <c r="K425" t="str">
        <f t="shared" si="13"/>
        <v/>
      </c>
    </row>
    <row r="426" spans="1:12" x14ac:dyDescent="0.3">
      <c r="J426" t="str">
        <f t="shared" si="14"/>
        <v/>
      </c>
      <c r="K426" t="str">
        <f t="shared" si="13"/>
        <v/>
      </c>
    </row>
    <row r="427" spans="1:12" x14ac:dyDescent="0.3">
      <c r="J427" t="str">
        <f t="shared" si="14"/>
        <v/>
      </c>
      <c r="K427" t="str">
        <f t="shared" si="13"/>
        <v/>
      </c>
    </row>
    <row r="428" spans="1:12" x14ac:dyDescent="0.3">
      <c r="J428" t="str">
        <f t="shared" si="14"/>
        <v/>
      </c>
      <c r="K428" t="str">
        <f t="shared" si="13"/>
        <v/>
      </c>
    </row>
    <row r="429" spans="1:12" x14ac:dyDescent="0.3">
      <c r="J429" t="str">
        <f t="shared" si="14"/>
        <v/>
      </c>
      <c r="K429" t="str">
        <f t="shared" si="13"/>
        <v/>
      </c>
    </row>
    <row r="430" spans="1:12" x14ac:dyDescent="0.3">
      <c r="J430" t="str">
        <f t="shared" si="14"/>
        <v/>
      </c>
      <c r="K430" t="str">
        <f t="shared" si="13"/>
        <v/>
      </c>
    </row>
    <row r="431" spans="1:12" x14ac:dyDescent="0.3">
      <c r="K431" t="str">
        <f t="shared" si="13"/>
        <v/>
      </c>
    </row>
  </sheetData>
  <pageMargins left="0.7" right="0.7" top="0.75" bottom="0.75" header="0.3" footer="0.3"/>
  <pageSetup paperSize="9" orientation="portrait" r:id="rId1"/>
  <ignoredErrors>
    <ignoredError sqref="A2:B2 E1:I1 A3:C5 A1:C1 E6:I6 A6:C417 L1:L5 L6:L417 E3:I5 E2:H2 E8:I366 E7:H7 E402:I417 E401:H401 E368:I400 E367:H36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3"/>
  <sheetViews>
    <sheetView tabSelected="1" workbookViewId="0">
      <selection activeCell="D42" sqref="D42"/>
    </sheetView>
  </sheetViews>
  <sheetFormatPr defaultRowHeight="15.6" x14ac:dyDescent="0.3"/>
  <cols>
    <col min="1" max="1" width="11.296875" customWidth="1"/>
    <col min="4" max="4" width="18.5" customWidth="1"/>
    <col min="5" max="5" width="15.3984375" customWidth="1"/>
    <col min="6" max="6" width="27.09765625" customWidth="1"/>
    <col min="7" max="7" width="13.296875" customWidth="1"/>
    <col min="8" max="8" width="13.3984375" customWidth="1"/>
    <col min="15" max="15" width="13" bestFit="1" customWidth="1"/>
    <col min="16" max="16" width="21.796875" bestFit="1" customWidth="1"/>
  </cols>
  <sheetData>
    <row r="1" spans="1:16" x14ac:dyDescent="0.3">
      <c r="A1" t="s">
        <v>0</v>
      </c>
      <c r="B1" t="s">
        <v>1658</v>
      </c>
      <c r="C1" t="s">
        <v>1659</v>
      </c>
      <c r="D1" t="s">
        <v>1660</v>
      </c>
      <c r="E1" t="s">
        <v>1661</v>
      </c>
      <c r="F1" t="s">
        <v>2</v>
      </c>
      <c r="G1" t="s">
        <v>4768</v>
      </c>
      <c r="H1" t="s">
        <v>1662</v>
      </c>
      <c r="I1" t="s">
        <v>1</v>
      </c>
      <c r="J1" t="s">
        <v>7</v>
      </c>
      <c r="K1" t="s">
        <v>3</v>
      </c>
      <c r="L1" t="s">
        <v>5</v>
      </c>
      <c r="M1" t="s">
        <v>4</v>
      </c>
      <c r="N1" t="s">
        <v>8</v>
      </c>
      <c r="O1" t="s">
        <v>1664</v>
      </c>
      <c r="P1" t="s">
        <v>1665</v>
      </c>
    </row>
    <row r="2" spans="1:16" x14ac:dyDescent="0.3">
      <c r="A2" t="s">
        <v>1772</v>
      </c>
      <c r="B2">
        <v>2025</v>
      </c>
      <c r="C2" t="s">
        <v>1668</v>
      </c>
      <c r="D2" t="s">
        <v>1773</v>
      </c>
      <c r="E2" t="b">
        <v>1</v>
      </c>
      <c r="F2" t="s">
        <v>1774</v>
      </c>
      <c r="G2" s="1">
        <f>DATEVALUE(LEFT(F2,10))</f>
        <v>45974</v>
      </c>
      <c r="H2" s="2" t="s">
        <v>1775</v>
      </c>
      <c r="I2" t="s">
        <v>1776</v>
      </c>
      <c r="J2" t="s">
        <v>1777</v>
      </c>
      <c r="K2" t="s">
        <v>66</v>
      </c>
      <c r="L2" t="b">
        <v>0</v>
      </c>
      <c r="M2" t="s">
        <v>1778</v>
      </c>
      <c r="N2" t="s">
        <v>1667</v>
      </c>
      <c r="O2" t="s">
        <v>1779</v>
      </c>
    </row>
    <row r="3" spans="1:16" x14ac:dyDescent="0.3">
      <c r="A3" t="s">
        <v>1780</v>
      </c>
      <c r="B3">
        <v>2025</v>
      </c>
      <c r="C3" t="s">
        <v>1670</v>
      </c>
      <c r="D3" t="s">
        <v>277</v>
      </c>
      <c r="E3" t="b">
        <v>1</v>
      </c>
      <c r="F3" t="s">
        <v>1781</v>
      </c>
      <c r="G3" s="1">
        <f t="shared" ref="G3:G40" si="0">DATEVALUE(LEFT(F3,10))</f>
        <v>45992</v>
      </c>
      <c r="H3" s="2" t="s">
        <v>1782</v>
      </c>
      <c r="I3" t="s">
        <v>277</v>
      </c>
      <c r="J3" t="s">
        <v>1783</v>
      </c>
      <c r="K3" t="s">
        <v>66</v>
      </c>
      <c r="L3" t="b">
        <v>0</v>
      </c>
      <c r="M3" t="s">
        <v>1784</v>
      </c>
      <c r="N3" t="s">
        <v>1667</v>
      </c>
      <c r="O3" t="s">
        <v>1785</v>
      </c>
    </row>
    <row r="4" spans="1:16" x14ac:dyDescent="0.3">
      <c r="A4" t="s">
        <v>1786</v>
      </c>
      <c r="B4">
        <v>2026</v>
      </c>
      <c r="C4" t="s">
        <v>1668</v>
      </c>
      <c r="D4" t="s">
        <v>1787</v>
      </c>
      <c r="E4" t="b">
        <v>0</v>
      </c>
      <c r="F4" t="s">
        <v>1788</v>
      </c>
      <c r="G4" s="1">
        <f t="shared" si="0"/>
        <v>46034</v>
      </c>
      <c r="H4" s="2" t="s">
        <v>1789</v>
      </c>
      <c r="I4" t="s">
        <v>1790</v>
      </c>
      <c r="J4" t="s">
        <v>362</v>
      </c>
      <c r="K4" t="s">
        <v>66</v>
      </c>
      <c r="L4" t="b">
        <v>0</v>
      </c>
      <c r="M4" t="s">
        <v>361</v>
      </c>
      <c r="O4" t="s">
        <v>1791</v>
      </c>
    </row>
    <row r="5" spans="1:16" x14ac:dyDescent="0.3">
      <c r="A5" t="s">
        <v>1792</v>
      </c>
      <c r="B5">
        <v>2026</v>
      </c>
      <c r="C5" t="s">
        <v>1668</v>
      </c>
      <c r="D5" t="s">
        <v>1787</v>
      </c>
      <c r="E5" t="b">
        <v>0</v>
      </c>
      <c r="F5" t="s">
        <v>1793</v>
      </c>
      <c r="G5" s="1">
        <f t="shared" si="0"/>
        <v>46035</v>
      </c>
      <c r="H5" s="2" t="s">
        <v>1789</v>
      </c>
      <c r="I5" t="s">
        <v>1790</v>
      </c>
      <c r="J5" t="s">
        <v>1507</v>
      </c>
      <c r="K5" t="s">
        <v>66</v>
      </c>
      <c r="L5" t="b">
        <v>0</v>
      </c>
      <c r="M5" t="s">
        <v>1506</v>
      </c>
      <c r="O5" t="s">
        <v>1791</v>
      </c>
    </row>
    <row r="6" spans="1:16" x14ac:dyDescent="0.3">
      <c r="A6" t="s">
        <v>1794</v>
      </c>
      <c r="B6">
        <v>2026</v>
      </c>
      <c r="C6" t="s">
        <v>1668</v>
      </c>
      <c r="D6" t="s">
        <v>1787</v>
      </c>
      <c r="E6" t="b">
        <v>0</v>
      </c>
      <c r="F6" t="s">
        <v>1795</v>
      </c>
      <c r="G6" s="1">
        <f t="shared" si="0"/>
        <v>46035</v>
      </c>
      <c r="H6" s="2" t="s">
        <v>1796</v>
      </c>
      <c r="I6" t="s">
        <v>1790</v>
      </c>
      <c r="J6" t="s">
        <v>1797</v>
      </c>
      <c r="K6" t="s">
        <v>66</v>
      </c>
      <c r="L6" t="b">
        <v>0</v>
      </c>
      <c r="M6" t="s">
        <v>1798</v>
      </c>
      <c r="O6" t="s">
        <v>1791</v>
      </c>
    </row>
    <row r="7" spans="1:16" x14ac:dyDescent="0.3">
      <c r="A7" t="s">
        <v>1799</v>
      </c>
      <c r="B7">
        <v>2026</v>
      </c>
      <c r="C7" t="s">
        <v>1668</v>
      </c>
      <c r="D7" t="s">
        <v>1787</v>
      </c>
      <c r="E7" t="b">
        <v>0</v>
      </c>
      <c r="F7" t="s">
        <v>1800</v>
      </c>
      <c r="G7" s="1">
        <f t="shared" si="0"/>
        <v>46035</v>
      </c>
      <c r="H7" s="2" t="s">
        <v>1796</v>
      </c>
      <c r="I7" t="s">
        <v>1790</v>
      </c>
      <c r="J7" t="s">
        <v>1801</v>
      </c>
      <c r="K7" t="s">
        <v>66</v>
      </c>
      <c r="L7" t="b">
        <v>0</v>
      </c>
      <c r="M7" t="s">
        <v>1802</v>
      </c>
      <c r="O7" t="s">
        <v>1791</v>
      </c>
    </row>
    <row r="8" spans="1:16" x14ac:dyDescent="0.3">
      <c r="A8" t="s">
        <v>1803</v>
      </c>
      <c r="B8">
        <v>2026</v>
      </c>
      <c r="C8" t="s">
        <v>1668</v>
      </c>
      <c r="D8" t="s">
        <v>1804</v>
      </c>
      <c r="E8" t="b">
        <v>0</v>
      </c>
      <c r="F8" t="s">
        <v>1805</v>
      </c>
      <c r="G8" s="1">
        <f t="shared" si="0"/>
        <v>46035</v>
      </c>
      <c r="H8" s="2" t="s">
        <v>1806</v>
      </c>
      <c r="I8" t="s">
        <v>1807</v>
      </c>
      <c r="J8" t="s">
        <v>62</v>
      </c>
      <c r="K8" t="s">
        <v>60</v>
      </c>
      <c r="L8" t="b">
        <v>0</v>
      </c>
      <c r="M8" t="s">
        <v>61</v>
      </c>
      <c r="O8" t="s">
        <v>1808</v>
      </c>
    </row>
    <row r="9" spans="1:16" x14ac:dyDescent="0.3">
      <c r="A9" t="s">
        <v>1809</v>
      </c>
      <c r="B9">
        <v>2026</v>
      </c>
      <c r="C9" t="s">
        <v>1668</v>
      </c>
      <c r="D9" t="s">
        <v>1804</v>
      </c>
      <c r="E9" t="b">
        <v>0</v>
      </c>
      <c r="F9" t="s">
        <v>1810</v>
      </c>
      <c r="G9" s="1">
        <f t="shared" si="0"/>
        <v>46035</v>
      </c>
      <c r="H9" s="2" t="s">
        <v>1811</v>
      </c>
      <c r="I9" t="s">
        <v>1807</v>
      </c>
      <c r="J9" t="s">
        <v>1812</v>
      </c>
      <c r="K9" t="s">
        <v>1813</v>
      </c>
      <c r="L9" t="b">
        <v>0</v>
      </c>
      <c r="M9" t="s">
        <v>1814</v>
      </c>
      <c r="O9" t="s">
        <v>1808</v>
      </c>
    </row>
    <row r="10" spans="1:16" x14ac:dyDescent="0.3">
      <c r="A10" t="s">
        <v>1815</v>
      </c>
      <c r="B10">
        <v>2026</v>
      </c>
      <c r="C10" t="s">
        <v>1668</v>
      </c>
      <c r="D10" t="s">
        <v>1787</v>
      </c>
      <c r="E10" t="b">
        <v>0</v>
      </c>
      <c r="F10" t="s">
        <v>1816</v>
      </c>
      <c r="G10" s="1">
        <f t="shared" si="0"/>
        <v>46035</v>
      </c>
      <c r="H10" s="2" t="s">
        <v>1817</v>
      </c>
      <c r="I10" t="s">
        <v>1818</v>
      </c>
      <c r="J10" t="s">
        <v>1819</v>
      </c>
      <c r="K10" t="s">
        <v>66</v>
      </c>
      <c r="L10" t="b">
        <v>0</v>
      </c>
      <c r="M10" t="s">
        <v>1494</v>
      </c>
      <c r="O10" t="s">
        <v>1820</v>
      </c>
    </row>
    <row r="11" spans="1:16" x14ac:dyDescent="0.3">
      <c r="A11" t="s">
        <v>1821</v>
      </c>
      <c r="B11">
        <v>2026</v>
      </c>
      <c r="C11" t="s">
        <v>1670</v>
      </c>
      <c r="D11" t="s">
        <v>1822</v>
      </c>
      <c r="E11" t="b">
        <v>0</v>
      </c>
      <c r="F11" t="s">
        <v>1823</v>
      </c>
      <c r="G11" s="1">
        <f t="shared" si="0"/>
        <v>46036</v>
      </c>
      <c r="H11" s="2" t="s">
        <v>1824</v>
      </c>
      <c r="I11" t="s">
        <v>1825</v>
      </c>
      <c r="J11" t="s">
        <v>474</v>
      </c>
      <c r="K11" t="s">
        <v>66</v>
      </c>
      <c r="L11" t="b">
        <v>0</v>
      </c>
      <c r="M11" t="s">
        <v>473</v>
      </c>
      <c r="O11" t="s">
        <v>1826</v>
      </c>
    </row>
    <row r="12" spans="1:16" x14ac:dyDescent="0.3">
      <c r="A12" t="s">
        <v>1827</v>
      </c>
      <c r="B12">
        <v>2026</v>
      </c>
      <c r="C12" t="s">
        <v>1668</v>
      </c>
      <c r="D12" t="s">
        <v>1828</v>
      </c>
      <c r="E12" t="b">
        <v>0</v>
      </c>
      <c r="F12" t="s">
        <v>1829</v>
      </c>
      <c r="G12" s="1">
        <f t="shared" si="0"/>
        <v>46041</v>
      </c>
      <c r="H12" s="2" t="s">
        <v>1830</v>
      </c>
      <c r="I12" t="s">
        <v>1831</v>
      </c>
      <c r="J12" t="s">
        <v>326</v>
      </c>
      <c r="K12" t="s">
        <v>66</v>
      </c>
      <c r="L12" t="b">
        <v>0</v>
      </c>
      <c r="M12" t="s">
        <v>177</v>
      </c>
      <c r="O12" t="s">
        <v>1832</v>
      </c>
    </row>
    <row r="13" spans="1:16" x14ac:dyDescent="0.3">
      <c r="A13" t="s">
        <v>1833</v>
      </c>
      <c r="B13">
        <v>2026</v>
      </c>
      <c r="C13" t="s">
        <v>1668</v>
      </c>
      <c r="D13" t="s">
        <v>1787</v>
      </c>
      <c r="E13" t="b">
        <v>0</v>
      </c>
      <c r="F13" t="s">
        <v>1834</v>
      </c>
      <c r="G13" s="1">
        <f t="shared" si="0"/>
        <v>46042</v>
      </c>
      <c r="H13" s="2" t="s">
        <v>1835</v>
      </c>
      <c r="I13" t="s">
        <v>1831</v>
      </c>
      <c r="J13" t="s">
        <v>1836</v>
      </c>
      <c r="K13" t="s">
        <v>66</v>
      </c>
      <c r="L13" t="b">
        <v>0</v>
      </c>
      <c r="M13" t="s">
        <v>1837</v>
      </c>
      <c r="O13" t="s">
        <v>1832</v>
      </c>
    </row>
    <row r="14" spans="1:16" x14ac:dyDescent="0.3">
      <c r="A14" t="s">
        <v>1838</v>
      </c>
      <c r="B14">
        <v>2026</v>
      </c>
      <c r="C14" t="s">
        <v>1668</v>
      </c>
      <c r="D14" t="s">
        <v>1839</v>
      </c>
      <c r="E14" t="b">
        <v>0</v>
      </c>
      <c r="F14" t="s">
        <v>1840</v>
      </c>
      <c r="G14" s="1">
        <f t="shared" si="0"/>
        <v>46042</v>
      </c>
      <c r="H14" s="2" t="s">
        <v>1841</v>
      </c>
      <c r="I14" t="s">
        <v>1818</v>
      </c>
      <c r="J14" t="s">
        <v>1842</v>
      </c>
      <c r="K14" t="s">
        <v>66</v>
      </c>
      <c r="L14" t="b">
        <v>0</v>
      </c>
      <c r="M14" t="s">
        <v>1843</v>
      </c>
      <c r="O14" t="s">
        <v>1832</v>
      </c>
    </row>
    <row r="15" spans="1:16" x14ac:dyDescent="0.3">
      <c r="A15" t="s">
        <v>1844</v>
      </c>
      <c r="B15">
        <v>2026</v>
      </c>
      <c r="C15" t="s">
        <v>1668</v>
      </c>
      <c r="D15" t="s">
        <v>1767</v>
      </c>
      <c r="E15" t="b">
        <v>0</v>
      </c>
      <c r="F15" t="s">
        <v>1845</v>
      </c>
      <c r="G15" s="1">
        <f t="shared" si="0"/>
        <v>46042</v>
      </c>
      <c r="H15" s="2" t="s">
        <v>1846</v>
      </c>
      <c r="I15" t="s">
        <v>18</v>
      </c>
      <c r="J15" t="s">
        <v>1847</v>
      </c>
      <c r="K15" t="s">
        <v>66</v>
      </c>
      <c r="L15" t="b">
        <v>0</v>
      </c>
      <c r="M15" t="s">
        <v>1848</v>
      </c>
      <c r="O15" t="s">
        <v>1849</v>
      </c>
    </row>
    <row r="16" spans="1:16" x14ac:dyDescent="0.3">
      <c r="A16" t="s">
        <v>1850</v>
      </c>
      <c r="B16">
        <v>2026</v>
      </c>
      <c r="C16" t="s">
        <v>1668</v>
      </c>
      <c r="D16" t="s">
        <v>1767</v>
      </c>
      <c r="E16" t="b">
        <v>0</v>
      </c>
      <c r="F16" t="s">
        <v>1851</v>
      </c>
      <c r="G16" s="1">
        <f t="shared" si="0"/>
        <v>46050</v>
      </c>
      <c r="H16" s="2" t="s">
        <v>1852</v>
      </c>
      <c r="I16" t="s">
        <v>1329</v>
      </c>
      <c r="J16" t="s">
        <v>1332</v>
      </c>
      <c r="K16" t="s">
        <v>66</v>
      </c>
      <c r="L16" t="b">
        <v>0</v>
      </c>
      <c r="M16" t="s">
        <v>1331</v>
      </c>
      <c r="O16" t="s">
        <v>1853</v>
      </c>
    </row>
    <row r="17" spans="1:16" x14ac:dyDescent="0.3">
      <c r="A17" t="s">
        <v>1854</v>
      </c>
      <c r="B17">
        <v>2026</v>
      </c>
      <c r="C17" t="s">
        <v>1668</v>
      </c>
      <c r="D17" t="s">
        <v>1855</v>
      </c>
      <c r="E17" t="b">
        <v>0</v>
      </c>
      <c r="F17" t="s">
        <v>1856</v>
      </c>
      <c r="G17" s="1">
        <f t="shared" si="0"/>
        <v>46058</v>
      </c>
      <c r="H17" s="2" t="s">
        <v>1857</v>
      </c>
      <c r="I17" t="s">
        <v>1858</v>
      </c>
      <c r="J17" t="s">
        <v>1636</v>
      </c>
      <c r="K17" t="s">
        <v>1634</v>
      </c>
      <c r="L17" t="b">
        <v>0</v>
      </c>
      <c r="M17" t="s">
        <v>1635</v>
      </c>
      <c r="O17" t="s">
        <v>1859</v>
      </c>
    </row>
    <row r="18" spans="1:16" x14ac:dyDescent="0.3">
      <c r="A18" t="s">
        <v>1860</v>
      </c>
      <c r="B18">
        <v>2026</v>
      </c>
      <c r="C18" t="s">
        <v>1670</v>
      </c>
      <c r="D18" t="s">
        <v>1861</v>
      </c>
      <c r="E18" t="b">
        <v>0</v>
      </c>
      <c r="F18" t="s">
        <v>1862</v>
      </c>
      <c r="G18" s="1">
        <f t="shared" si="0"/>
        <v>46062</v>
      </c>
      <c r="H18" s="2" t="s">
        <v>1863</v>
      </c>
      <c r="I18" t="s">
        <v>64</v>
      </c>
      <c r="J18" t="s">
        <v>68</v>
      </c>
      <c r="K18" t="s">
        <v>66</v>
      </c>
      <c r="L18" t="b">
        <v>0</v>
      </c>
      <c r="M18" t="s">
        <v>67</v>
      </c>
      <c r="O18" t="s">
        <v>1864</v>
      </c>
    </row>
    <row r="19" spans="1:16" x14ac:dyDescent="0.3">
      <c r="A19" t="s">
        <v>1865</v>
      </c>
      <c r="B19">
        <v>2026</v>
      </c>
      <c r="C19" t="s">
        <v>1668</v>
      </c>
      <c r="D19" t="s">
        <v>1861</v>
      </c>
      <c r="E19" t="b">
        <v>0</v>
      </c>
      <c r="F19" t="s">
        <v>1866</v>
      </c>
      <c r="G19" s="1">
        <f t="shared" si="0"/>
        <v>46062</v>
      </c>
      <c r="H19" s="2" t="s">
        <v>1867</v>
      </c>
      <c r="I19" t="s">
        <v>64</v>
      </c>
      <c r="J19" t="s">
        <v>1868</v>
      </c>
      <c r="K19" t="s">
        <v>66</v>
      </c>
      <c r="L19" t="b">
        <v>0</v>
      </c>
      <c r="M19" t="s">
        <v>1869</v>
      </c>
      <c r="O19" t="s">
        <v>1864</v>
      </c>
    </row>
    <row r="20" spans="1:16" x14ac:dyDescent="0.3">
      <c r="A20" t="s">
        <v>1870</v>
      </c>
      <c r="B20">
        <v>2026</v>
      </c>
      <c r="C20" t="s">
        <v>1668</v>
      </c>
      <c r="D20" t="s">
        <v>1871</v>
      </c>
      <c r="E20" t="b">
        <v>0</v>
      </c>
      <c r="F20" t="s">
        <v>1872</v>
      </c>
      <c r="G20" s="1">
        <f t="shared" si="0"/>
        <v>46062</v>
      </c>
      <c r="H20" s="2" t="s">
        <v>1873</v>
      </c>
      <c r="I20" t="s">
        <v>64</v>
      </c>
      <c r="J20" t="s">
        <v>1874</v>
      </c>
      <c r="K20" t="s">
        <v>66</v>
      </c>
      <c r="L20" t="b">
        <v>0</v>
      </c>
      <c r="M20" t="s">
        <v>1875</v>
      </c>
      <c r="O20" t="s">
        <v>1864</v>
      </c>
    </row>
    <row r="21" spans="1:16" x14ac:dyDescent="0.3">
      <c r="A21" t="s">
        <v>1876</v>
      </c>
      <c r="B21">
        <v>2026</v>
      </c>
      <c r="C21" t="s">
        <v>1668</v>
      </c>
      <c r="D21" t="s">
        <v>1871</v>
      </c>
      <c r="E21" t="b">
        <v>0</v>
      </c>
      <c r="F21" t="s">
        <v>1877</v>
      </c>
      <c r="G21" s="1">
        <f t="shared" si="0"/>
        <v>46062</v>
      </c>
      <c r="H21" s="2" t="s">
        <v>1878</v>
      </c>
      <c r="I21" t="s">
        <v>64</v>
      </c>
      <c r="J21" t="s">
        <v>1879</v>
      </c>
      <c r="K21" t="s">
        <v>66</v>
      </c>
      <c r="L21" t="b">
        <v>0</v>
      </c>
      <c r="M21" t="s">
        <v>1880</v>
      </c>
      <c r="O21" t="s">
        <v>1864</v>
      </c>
    </row>
    <row r="22" spans="1:16" x14ac:dyDescent="0.3">
      <c r="A22" t="s">
        <v>1881</v>
      </c>
      <c r="B22">
        <v>2026</v>
      </c>
      <c r="C22" t="s">
        <v>1668</v>
      </c>
      <c r="D22" t="s">
        <v>1871</v>
      </c>
      <c r="E22" t="b">
        <v>0</v>
      </c>
      <c r="F22" t="s">
        <v>1882</v>
      </c>
      <c r="G22" s="1">
        <f t="shared" si="0"/>
        <v>46062</v>
      </c>
      <c r="H22" s="2" t="s">
        <v>1883</v>
      </c>
      <c r="I22" t="s">
        <v>64</v>
      </c>
      <c r="J22" t="s">
        <v>1884</v>
      </c>
      <c r="K22" t="s">
        <v>66</v>
      </c>
      <c r="L22" t="b">
        <v>0</v>
      </c>
      <c r="M22" t="s">
        <v>1885</v>
      </c>
      <c r="O22" t="s">
        <v>1864</v>
      </c>
    </row>
    <row r="23" spans="1:16" x14ac:dyDescent="0.3">
      <c r="A23" t="s">
        <v>1886</v>
      </c>
      <c r="B23">
        <v>2026</v>
      </c>
      <c r="C23" t="s">
        <v>1668</v>
      </c>
      <c r="D23" t="s">
        <v>1871</v>
      </c>
      <c r="E23" t="b">
        <v>0</v>
      </c>
      <c r="F23" t="s">
        <v>1887</v>
      </c>
      <c r="G23" s="1">
        <f t="shared" si="0"/>
        <v>46062</v>
      </c>
      <c r="H23" s="2" t="s">
        <v>1888</v>
      </c>
      <c r="I23" t="s">
        <v>64</v>
      </c>
      <c r="J23" t="s">
        <v>1889</v>
      </c>
      <c r="K23" t="s">
        <v>66</v>
      </c>
      <c r="L23" t="b">
        <v>0</v>
      </c>
      <c r="M23" t="s">
        <v>1890</v>
      </c>
      <c r="O23" t="s">
        <v>1864</v>
      </c>
    </row>
    <row r="24" spans="1:16" x14ac:dyDescent="0.3">
      <c r="A24" t="s">
        <v>1891</v>
      </c>
      <c r="B24">
        <v>2026</v>
      </c>
      <c r="C24" t="s">
        <v>1668</v>
      </c>
      <c r="D24" t="s">
        <v>1871</v>
      </c>
      <c r="E24" t="b">
        <v>0</v>
      </c>
      <c r="F24" t="s">
        <v>1892</v>
      </c>
      <c r="G24" s="1">
        <f t="shared" si="0"/>
        <v>46062</v>
      </c>
      <c r="H24" s="2" t="s">
        <v>1893</v>
      </c>
      <c r="I24" t="s">
        <v>64</v>
      </c>
      <c r="J24" t="s">
        <v>1894</v>
      </c>
      <c r="K24" t="s">
        <v>66</v>
      </c>
      <c r="L24" t="b">
        <v>0</v>
      </c>
      <c r="M24" t="s">
        <v>1895</v>
      </c>
      <c r="O24" t="s">
        <v>1864</v>
      </c>
    </row>
    <row r="25" spans="1:16" x14ac:dyDescent="0.3">
      <c r="A25" t="s">
        <v>1896</v>
      </c>
      <c r="B25">
        <v>2026</v>
      </c>
      <c r="C25" t="s">
        <v>1897</v>
      </c>
      <c r="D25" t="s">
        <v>48</v>
      </c>
      <c r="E25" t="b">
        <v>0</v>
      </c>
      <c r="F25" t="s">
        <v>1898</v>
      </c>
      <c r="G25" s="1">
        <f t="shared" si="0"/>
        <v>46078</v>
      </c>
      <c r="H25" s="2" t="s">
        <v>1760</v>
      </c>
      <c r="I25" t="s">
        <v>1899</v>
      </c>
      <c r="J25" t="s">
        <v>746</v>
      </c>
      <c r="K25" t="s">
        <v>48</v>
      </c>
      <c r="L25" t="b">
        <v>0</v>
      </c>
      <c r="M25" t="s">
        <v>745</v>
      </c>
      <c r="O25" t="s">
        <v>1900</v>
      </c>
    </row>
    <row r="26" spans="1:16" x14ac:dyDescent="0.3">
      <c r="A26" t="s">
        <v>1901</v>
      </c>
      <c r="B26">
        <v>2026</v>
      </c>
      <c r="C26" t="s">
        <v>1670</v>
      </c>
      <c r="D26" t="s">
        <v>1902</v>
      </c>
      <c r="E26" t="b">
        <v>0</v>
      </c>
      <c r="F26" t="s">
        <v>1903</v>
      </c>
      <c r="G26" s="1">
        <f t="shared" si="0"/>
        <v>46078</v>
      </c>
      <c r="H26" s="2" t="s">
        <v>1904</v>
      </c>
      <c r="I26" t="s">
        <v>1905</v>
      </c>
      <c r="J26" t="s">
        <v>1906</v>
      </c>
      <c r="K26" t="s">
        <v>66</v>
      </c>
      <c r="L26" t="b">
        <v>1</v>
      </c>
      <c r="M26" t="s">
        <v>1907</v>
      </c>
      <c r="O26" t="s">
        <v>1908</v>
      </c>
      <c r="P26" t="s">
        <v>622</v>
      </c>
    </row>
    <row r="27" spans="1:16" x14ac:dyDescent="0.3">
      <c r="A27" t="s">
        <v>1909</v>
      </c>
      <c r="B27">
        <v>2026</v>
      </c>
      <c r="C27" t="s">
        <v>1668</v>
      </c>
      <c r="D27" t="s">
        <v>1902</v>
      </c>
      <c r="E27" t="b">
        <v>0</v>
      </c>
      <c r="F27" t="s">
        <v>1910</v>
      </c>
      <c r="G27" s="1">
        <f t="shared" si="0"/>
        <v>46078</v>
      </c>
      <c r="H27" s="2" t="s">
        <v>1911</v>
      </c>
      <c r="I27" t="s">
        <v>1905</v>
      </c>
      <c r="J27" t="s">
        <v>1912</v>
      </c>
      <c r="K27" t="s">
        <v>66</v>
      </c>
      <c r="L27" t="b">
        <v>1</v>
      </c>
      <c r="M27" t="s">
        <v>1913</v>
      </c>
      <c r="O27" t="s">
        <v>1908</v>
      </c>
      <c r="P27" t="s">
        <v>622</v>
      </c>
    </row>
    <row r="28" spans="1:16" x14ac:dyDescent="0.3">
      <c r="A28" t="s">
        <v>1914</v>
      </c>
      <c r="B28">
        <v>2026</v>
      </c>
      <c r="C28" t="s">
        <v>1668</v>
      </c>
      <c r="D28" t="s">
        <v>1902</v>
      </c>
      <c r="E28" t="b">
        <v>0</v>
      </c>
      <c r="F28" t="s">
        <v>1915</v>
      </c>
      <c r="G28" s="1">
        <f t="shared" si="0"/>
        <v>46078</v>
      </c>
      <c r="H28" s="2" t="s">
        <v>1916</v>
      </c>
      <c r="I28" t="s">
        <v>1905</v>
      </c>
      <c r="J28" t="s">
        <v>1917</v>
      </c>
      <c r="K28" t="s">
        <v>66</v>
      </c>
      <c r="L28" t="b">
        <v>1</v>
      </c>
      <c r="M28" t="s">
        <v>1918</v>
      </c>
      <c r="O28" t="s">
        <v>1908</v>
      </c>
      <c r="P28" t="s">
        <v>622</v>
      </c>
    </row>
    <row r="29" spans="1:16" x14ac:dyDescent="0.3">
      <c r="A29" t="s">
        <v>1919</v>
      </c>
      <c r="B29">
        <v>2026</v>
      </c>
      <c r="C29" t="s">
        <v>1668</v>
      </c>
      <c r="D29" t="s">
        <v>1902</v>
      </c>
      <c r="E29" t="b">
        <v>1</v>
      </c>
      <c r="F29" t="s">
        <v>1920</v>
      </c>
      <c r="G29" s="1">
        <f t="shared" si="0"/>
        <v>46078</v>
      </c>
      <c r="H29" s="2" t="s">
        <v>1921</v>
      </c>
      <c r="I29" t="s">
        <v>1922</v>
      </c>
      <c r="J29" t="s">
        <v>1923</v>
      </c>
      <c r="K29" t="s">
        <v>66</v>
      </c>
      <c r="L29" t="b">
        <v>1</v>
      </c>
      <c r="M29" t="s">
        <v>624</v>
      </c>
      <c r="O29" t="s">
        <v>1908</v>
      </c>
      <c r="P29" t="s">
        <v>622</v>
      </c>
    </row>
    <row r="30" spans="1:16" x14ac:dyDescent="0.3">
      <c r="A30" t="s">
        <v>1924</v>
      </c>
      <c r="B30">
        <v>2026</v>
      </c>
      <c r="C30" t="s">
        <v>1670</v>
      </c>
      <c r="D30" t="s">
        <v>1902</v>
      </c>
      <c r="E30" t="b">
        <v>0</v>
      </c>
      <c r="F30" t="s">
        <v>1925</v>
      </c>
      <c r="G30" s="1">
        <f t="shared" si="0"/>
        <v>46078</v>
      </c>
      <c r="H30" s="2" t="s">
        <v>1926</v>
      </c>
      <c r="I30" t="s">
        <v>1905</v>
      </c>
      <c r="J30" t="s">
        <v>1927</v>
      </c>
      <c r="K30" t="s">
        <v>66</v>
      </c>
      <c r="L30" t="b">
        <v>1</v>
      </c>
      <c r="M30" t="s">
        <v>1928</v>
      </c>
      <c r="O30" t="s">
        <v>1908</v>
      </c>
      <c r="P30" t="s">
        <v>622</v>
      </c>
    </row>
    <row r="31" spans="1:16" x14ac:dyDescent="0.3">
      <c r="A31" t="s">
        <v>1929</v>
      </c>
      <c r="B31">
        <v>2026</v>
      </c>
      <c r="C31" t="s">
        <v>1670</v>
      </c>
      <c r="D31" t="s">
        <v>1902</v>
      </c>
      <c r="E31" t="b">
        <v>0</v>
      </c>
      <c r="F31" t="s">
        <v>1930</v>
      </c>
      <c r="G31" s="1">
        <f t="shared" si="0"/>
        <v>46078</v>
      </c>
      <c r="H31" s="2" t="s">
        <v>1931</v>
      </c>
      <c r="I31" t="s">
        <v>1922</v>
      </c>
      <c r="J31" t="s">
        <v>1932</v>
      </c>
      <c r="K31" t="s">
        <v>66</v>
      </c>
      <c r="L31" t="b">
        <v>1</v>
      </c>
      <c r="M31" t="s">
        <v>1933</v>
      </c>
      <c r="O31" t="s">
        <v>1908</v>
      </c>
      <c r="P31" t="s">
        <v>622</v>
      </c>
    </row>
    <row r="32" spans="1:16" x14ac:dyDescent="0.3">
      <c r="A32" t="s">
        <v>1934</v>
      </c>
      <c r="B32">
        <v>2026</v>
      </c>
      <c r="C32" t="s">
        <v>1668</v>
      </c>
      <c r="D32" t="s">
        <v>1902</v>
      </c>
      <c r="E32" t="b">
        <v>0</v>
      </c>
      <c r="F32" t="s">
        <v>1935</v>
      </c>
      <c r="G32" s="1">
        <f t="shared" si="0"/>
        <v>46078</v>
      </c>
      <c r="H32" s="2" t="s">
        <v>1936</v>
      </c>
      <c r="I32" t="s">
        <v>1922</v>
      </c>
      <c r="J32" t="s">
        <v>1937</v>
      </c>
      <c r="K32" t="s">
        <v>66</v>
      </c>
      <c r="L32" t="b">
        <v>1</v>
      </c>
      <c r="M32" t="s">
        <v>1938</v>
      </c>
      <c r="O32" t="s">
        <v>1908</v>
      </c>
      <c r="P32" t="s">
        <v>622</v>
      </c>
    </row>
    <row r="33" spans="1:16" x14ac:dyDescent="0.3">
      <c r="A33" t="s">
        <v>1939</v>
      </c>
      <c r="B33">
        <v>2026</v>
      </c>
      <c r="C33" t="s">
        <v>1670</v>
      </c>
      <c r="D33" t="s">
        <v>1902</v>
      </c>
      <c r="E33" t="b">
        <v>0</v>
      </c>
      <c r="F33" t="s">
        <v>1940</v>
      </c>
      <c r="G33" s="1">
        <f t="shared" si="0"/>
        <v>46078</v>
      </c>
      <c r="H33" s="2" t="s">
        <v>1941</v>
      </c>
      <c r="I33" t="s">
        <v>1905</v>
      </c>
      <c r="J33" t="s">
        <v>1942</v>
      </c>
      <c r="K33" t="s">
        <v>66</v>
      </c>
      <c r="L33" t="b">
        <v>1</v>
      </c>
      <c r="M33" t="s">
        <v>1943</v>
      </c>
      <c r="O33" t="s">
        <v>1908</v>
      </c>
      <c r="P33" t="s">
        <v>622</v>
      </c>
    </row>
    <row r="34" spans="1:16" x14ac:dyDescent="0.3">
      <c r="A34" t="s">
        <v>1944</v>
      </c>
      <c r="B34">
        <v>2026</v>
      </c>
      <c r="C34" t="s">
        <v>1668</v>
      </c>
      <c r="D34" t="s">
        <v>1902</v>
      </c>
      <c r="E34" t="b">
        <v>0</v>
      </c>
      <c r="F34" t="s">
        <v>1945</v>
      </c>
      <c r="G34" s="1">
        <f t="shared" si="0"/>
        <v>46078</v>
      </c>
      <c r="H34" s="2" t="s">
        <v>1946</v>
      </c>
      <c r="I34" t="s">
        <v>1922</v>
      </c>
      <c r="J34" t="s">
        <v>1947</v>
      </c>
      <c r="K34" t="s">
        <v>66</v>
      </c>
      <c r="L34" t="b">
        <v>1</v>
      </c>
      <c r="M34" t="s">
        <v>1948</v>
      </c>
      <c r="O34" t="s">
        <v>1908</v>
      </c>
      <c r="P34" t="s">
        <v>622</v>
      </c>
    </row>
    <row r="35" spans="1:16" x14ac:dyDescent="0.3">
      <c r="A35" t="s">
        <v>1949</v>
      </c>
      <c r="B35">
        <v>2026</v>
      </c>
      <c r="C35" t="s">
        <v>1668</v>
      </c>
      <c r="D35" t="s">
        <v>1902</v>
      </c>
      <c r="E35" t="b">
        <v>0</v>
      </c>
      <c r="F35" t="s">
        <v>1950</v>
      </c>
      <c r="G35" s="1">
        <f t="shared" si="0"/>
        <v>46078</v>
      </c>
      <c r="H35" s="2" t="s">
        <v>1951</v>
      </c>
      <c r="I35" t="s">
        <v>1905</v>
      </c>
      <c r="J35" t="s">
        <v>1952</v>
      </c>
      <c r="K35" t="s">
        <v>66</v>
      </c>
      <c r="L35" t="b">
        <v>1</v>
      </c>
      <c r="M35" t="s">
        <v>1953</v>
      </c>
      <c r="O35" t="s">
        <v>1908</v>
      </c>
      <c r="P35" t="s">
        <v>622</v>
      </c>
    </row>
    <row r="36" spans="1:16" x14ac:dyDescent="0.3">
      <c r="A36" t="s">
        <v>1954</v>
      </c>
      <c r="B36">
        <v>2026</v>
      </c>
      <c r="C36" t="s">
        <v>1668</v>
      </c>
      <c r="D36" t="s">
        <v>1902</v>
      </c>
      <c r="E36" t="b">
        <v>0</v>
      </c>
      <c r="F36" t="s">
        <v>1955</v>
      </c>
      <c r="G36" s="1">
        <f t="shared" si="0"/>
        <v>46078</v>
      </c>
      <c r="H36" s="2" t="s">
        <v>1956</v>
      </c>
      <c r="I36" t="s">
        <v>1905</v>
      </c>
      <c r="J36" t="s">
        <v>1957</v>
      </c>
      <c r="K36" t="s">
        <v>66</v>
      </c>
      <c r="L36" t="b">
        <v>1</v>
      </c>
      <c r="M36" t="s">
        <v>1958</v>
      </c>
      <c r="O36" t="s">
        <v>1908</v>
      </c>
      <c r="P36" t="s">
        <v>622</v>
      </c>
    </row>
    <row r="37" spans="1:16" x14ac:dyDescent="0.3">
      <c r="A37" t="s">
        <v>1959</v>
      </c>
      <c r="B37">
        <v>2026</v>
      </c>
      <c r="C37" t="s">
        <v>1668</v>
      </c>
      <c r="D37" t="s">
        <v>1960</v>
      </c>
      <c r="E37" t="b">
        <v>1</v>
      </c>
      <c r="F37" t="s">
        <v>1961</v>
      </c>
      <c r="G37" s="1">
        <f t="shared" si="0"/>
        <v>46078</v>
      </c>
      <c r="H37" s="2" t="s">
        <v>1962</v>
      </c>
      <c r="I37" t="s">
        <v>1963</v>
      </c>
      <c r="J37" t="s">
        <v>521</v>
      </c>
      <c r="K37" t="s">
        <v>66</v>
      </c>
      <c r="L37" t="b">
        <v>1</v>
      </c>
      <c r="M37" t="s">
        <v>520</v>
      </c>
      <c r="O37" t="s">
        <v>1964</v>
      </c>
      <c r="P37" t="s">
        <v>517</v>
      </c>
    </row>
    <row r="38" spans="1:16" x14ac:dyDescent="0.3">
      <c r="A38" t="s">
        <v>1965</v>
      </c>
      <c r="B38">
        <v>2026</v>
      </c>
      <c r="C38" t="s">
        <v>1668</v>
      </c>
      <c r="D38" t="s">
        <v>1767</v>
      </c>
      <c r="E38" t="b">
        <v>0</v>
      </c>
      <c r="F38" t="s">
        <v>1966</v>
      </c>
      <c r="G38" s="1">
        <f t="shared" si="0"/>
        <v>46078</v>
      </c>
      <c r="H38" s="2" t="s">
        <v>1967</v>
      </c>
      <c r="I38" t="s">
        <v>1968</v>
      </c>
      <c r="J38" t="s">
        <v>1969</v>
      </c>
      <c r="K38" t="s">
        <v>617</v>
      </c>
      <c r="L38" t="b">
        <v>1</v>
      </c>
      <c r="M38" t="s">
        <v>1970</v>
      </c>
      <c r="O38" t="s">
        <v>1964</v>
      </c>
      <c r="P38" t="s">
        <v>517</v>
      </c>
    </row>
    <row r="39" spans="1:16" x14ac:dyDescent="0.3">
      <c r="A39" t="s">
        <v>1971</v>
      </c>
      <c r="B39">
        <v>2026</v>
      </c>
      <c r="C39" t="s">
        <v>1668</v>
      </c>
      <c r="D39" t="s">
        <v>1972</v>
      </c>
      <c r="E39" t="b">
        <v>1</v>
      </c>
      <c r="F39" t="s">
        <v>1973</v>
      </c>
      <c r="G39" s="1">
        <f t="shared" si="0"/>
        <v>46079</v>
      </c>
      <c r="H39" s="2" t="s">
        <v>1974</v>
      </c>
      <c r="I39" t="s">
        <v>1975</v>
      </c>
      <c r="J39" t="s">
        <v>314</v>
      </c>
      <c r="K39" t="s">
        <v>77</v>
      </c>
      <c r="L39" t="b">
        <v>1</v>
      </c>
      <c r="M39" t="s">
        <v>313</v>
      </c>
      <c r="O39" t="s">
        <v>1976</v>
      </c>
      <c r="P39" t="s">
        <v>310</v>
      </c>
    </row>
    <row r="40" spans="1:16" x14ac:dyDescent="0.3">
      <c r="A40" t="s">
        <v>1977</v>
      </c>
      <c r="B40">
        <v>2026</v>
      </c>
      <c r="C40" t="s">
        <v>1668</v>
      </c>
      <c r="D40" t="s">
        <v>1978</v>
      </c>
      <c r="E40" t="b">
        <v>1</v>
      </c>
      <c r="F40" t="s">
        <v>1979</v>
      </c>
      <c r="G40" s="1">
        <f t="shared" si="0"/>
        <v>46080</v>
      </c>
      <c r="H40" s="2" t="s">
        <v>1980</v>
      </c>
      <c r="I40" t="s">
        <v>305</v>
      </c>
      <c r="J40" t="s">
        <v>1981</v>
      </c>
      <c r="K40" t="s">
        <v>77</v>
      </c>
      <c r="L40" t="b">
        <v>1</v>
      </c>
      <c r="M40" t="s">
        <v>307</v>
      </c>
      <c r="O40" t="s">
        <v>1982</v>
      </c>
      <c r="P40" t="s">
        <v>304</v>
      </c>
    </row>
    <row r="41" spans="1:16" x14ac:dyDescent="0.3">
      <c r="G41" s="1"/>
      <c r="H41" s="2"/>
    </row>
    <row r="42" spans="1:16" x14ac:dyDescent="0.3">
      <c r="G42" s="1"/>
      <c r="H42" s="2"/>
    </row>
    <row r="43" spans="1:16" x14ac:dyDescent="0.3">
      <c r="G43" s="1"/>
      <c r="H43" s="2"/>
    </row>
    <row r="44" spans="1:16" x14ac:dyDescent="0.3">
      <c r="H44" s="2"/>
    </row>
    <row r="45" spans="1:16" x14ac:dyDescent="0.3">
      <c r="H45" s="2"/>
    </row>
    <row r="46" spans="1:16" x14ac:dyDescent="0.3">
      <c r="H46" s="2"/>
    </row>
    <row r="47" spans="1:16" x14ac:dyDescent="0.3">
      <c r="H47" s="2"/>
    </row>
    <row r="48" spans="1:16" x14ac:dyDescent="0.3">
      <c r="H48" s="2"/>
    </row>
    <row r="49" spans="8:8" x14ac:dyDescent="0.3">
      <c r="H49" s="2"/>
    </row>
    <row r="50" spans="8:8" x14ac:dyDescent="0.3">
      <c r="H50" s="2"/>
    </row>
    <row r="51" spans="8:8" x14ac:dyDescent="0.3">
      <c r="H51" s="2"/>
    </row>
    <row r="52" spans="8:8" x14ac:dyDescent="0.3">
      <c r="H52" s="2"/>
    </row>
    <row r="53" spans="8:8" x14ac:dyDescent="0.3">
      <c r="H53" s="2"/>
    </row>
    <row r="54" spans="8:8" x14ac:dyDescent="0.3">
      <c r="H54" s="2"/>
    </row>
    <row r="55" spans="8:8" x14ac:dyDescent="0.3">
      <c r="H55" s="2"/>
    </row>
    <row r="56" spans="8:8" x14ac:dyDescent="0.3">
      <c r="H56" s="2"/>
    </row>
    <row r="57" spans="8:8" x14ac:dyDescent="0.3">
      <c r="H57" s="2"/>
    </row>
    <row r="58" spans="8:8" x14ac:dyDescent="0.3">
      <c r="H58" s="2"/>
    </row>
    <row r="59" spans="8:8" x14ac:dyDescent="0.3">
      <c r="H59" s="2"/>
    </row>
    <row r="60" spans="8:8" x14ac:dyDescent="0.3">
      <c r="H60" s="2"/>
    </row>
    <row r="61" spans="8:8" x14ac:dyDescent="0.3">
      <c r="H61" s="2"/>
    </row>
    <row r="62" spans="8:8" x14ac:dyDescent="0.3">
      <c r="H62" s="2"/>
    </row>
    <row r="63" spans="8:8" x14ac:dyDescent="0.3">
      <c r="H63" s="2"/>
    </row>
    <row r="64" spans="8:8" x14ac:dyDescent="0.3">
      <c r="H64" s="2"/>
    </row>
    <row r="65" spans="8:8" x14ac:dyDescent="0.3">
      <c r="H65" s="2"/>
    </row>
    <row r="66" spans="8:8" x14ac:dyDescent="0.3">
      <c r="H66" s="2"/>
    </row>
    <row r="67" spans="8:8" x14ac:dyDescent="0.3">
      <c r="H67" s="2"/>
    </row>
    <row r="68" spans="8:8" x14ac:dyDescent="0.3">
      <c r="H68" s="2"/>
    </row>
    <row r="69" spans="8:8" x14ac:dyDescent="0.3">
      <c r="H69" s="2"/>
    </row>
    <row r="70" spans="8:8" x14ac:dyDescent="0.3">
      <c r="H70" s="2"/>
    </row>
    <row r="71" spans="8:8" x14ac:dyDescent="0.3">
      <c r="H71" s="2"/>
    </row>
    <row r="72" spans="8:8" x14ac:dyDescent="0.3">
      <c r="H72" s="2"/>
    </row>
    <row r="73" spans="8:8" x14ac:dyDescent="0.3">
      <c r="H73" s="2"/>
    </row>
    <row r="74" spans="8:8" x14ac:dyDescent="0.3">
      <c r="H74" s="2"/>
    </row>
    <row r="75" spans="8:8" x14ac:dyDescent="0.3">
      <c r="H75" s="2"/>
    </row>
    <row r="76" spans="8:8" x14ac:dyDescent="0.3">
      <c r="H76" s="2"/>
    </row>
    <row r="77" spans="8:8" x14ac:dyDescent="0.3">
      <c r="H77" s="2"/>
    </row>
    <row r="78" spans="8:8" x14ac:dyDescent="0.3">
      <c r="H78" s="2"/>
    </row>
    <row r="79" spans="8:8" x14ac:dyDescent="0.3">
      <c r="H79" s="2"/>
    </row>
    <row r="80" spans="8:8" x14ac:dyDescent="0.3">
      <c r="H80" s="2"/>
    </row>
    <row r="81" spans="8:8" x14ac:dyDescent="0.3">
      <c r="H81" s="2"/>
    </row>
    <row r="82" spans="8:8" x14ac:dyDescent="0.3">
      <c r="H82" s="2"/>
    </row>
    <row r="83" spans="8:8" x14ac:dyDescent="0.3">
      <c r="H83" s="2"/>
    </row>
    <row r="84" spans="8:8" x14ac:dyDescent="0.3">
      <c r="H84" s="2"/>
    </row>
    <row r="85" spans="8:8" x14ac:dyDescent="0.3">
      <c r="H85" s="2"/>
    </row>
    <row r="86" spans="8:8" x14ac:dyDescent="0.3">
      <c r="H86" s="2"/>
    </row>
    <row r="87" spans="8:8" x14ac:dyDescent="0.3">
      <c r="H87" s="2"/>
    </row>
    <row r="88" spans="8:8" x14ac:dyDescent="0.3">
      <c r="H88" s="2"/>
    </row>
    <row r="89" spans="8:8" x14ac:dyDescent="0.3">
      <c r="H89" s="2"/>
    </row>
    <row r="90" spans="8:8" x14ac:dyDescent="0.3">
      <c r="H90" s="2"/>
    </row>
    <row r="91" spans="8:8" x14ac:dyDescent="0.3">
      <c r="H91" s="2"/>
    </row>
    <row r="92" spans="8:8" x14ac:dyDescent="0.3">
      <c r="H92" s="2"/>
    </row>
    <row r="93" spans="8:8" x14ac:dyDescent="0.3">
      <c r="H93" s="2"/>
    </row>
    <row r="94" spans="8:8" x14ac:dyDescent="0.3">
      <c r="H94" s="2"/>
    </row>
    <row r="95" spans="8:8" x14ac:dyDescent="0.3">
      <c r="H95" s="2"/>
    </row>
    <row r="96" spans="8:8" x14ac:dyDescent="0.3">
      <c r="H96" s="2"/>
    </row>
    <row r="97" spans="8:8" x14ac:dyDescent="0.3">
      <c r="H97" s="2"/>
    </row>
    <row r="98" spans="8:8" x14ac:dyDescent="0.3">
      <c r="H98" s="2"/>
    </row>
    <row r="99" spans="8:8" x14ac:dyDescent="0.3">
      <c r="H99" s="2"/>
    </row>
    <row r="100" spans="8:8" x14ac:dyDescent="0.3">
      <c r="H100" s="2"/>
    </row>
    <row r="101" spans="8:8" x14ac:dyDescent="0.3">
      <c r="H101" s="2"/>
    </row>
    <row r="102" spans="8:8" x14ac:dyDescent="0.3">
      <c r="H102" s="2"/>
    </row>
    <row r="103" spans="8:8" x14ac:dyDescent="0.3">
      <c r="H103" s="2"/>
    </row>
    <row r="104" spans="8:8" x14ac:dyDescent="0.3">
      <c r="H104" s="2"/>
    </row>
    <row r="105" spans="8:8" x14ac:dyDescent="0.3">
      <c r="H105" s="2"/>
    </row>
    <row r="106" spans="8:8" x14ac:dyDescent="0.3">
      <c r="H106" s="2"/>
    </row>
    <row r="107" spans="8:8" x14ac:dyDescent="0.3">
      <c r="H107" s="2"/>
    </row>
    <row r="108" spans="8:8" x14ac:dyDescent="0.3">
      <c r="H108" s="2"/>
    </row>
    <row r="109" spans="8:8" x14ac:dyDescent="0.3">
      <c r="H109" s="2"/>
    </row>
    <row r="110" spans="8:8" x14ac:dyDescent="0.3">
      <c r="H110" s="2"/>
    </row>
    <row r="111" spans="8:8" x14ac:dyDescent="0.3">
      <c r="H111" s="2"/>
    </row>
    <row r="112" spans="8:8" x14ac:dyDescent="0.3">
      <c r="H112" s="2"/>
    </row>
    <row r="113" spans="8:8" x14ac:dyDescent="0.3">
      <c r="H113" s="2"/>
    </row>
    <row r="114" spans="8:8" x14ac:dyDescent="0.3">
      <c r="H114" s="2"/>
    </row>
    <row r="115" spans="8:8" x14ac:dyDescent="0.3">
      <c r="H115" s="2"/>
    </row>
    <row r="116" spans="8:8" x14ac:dyDescent="0.3">
      <c r="H116" s="2"/>
    </row>
    <row r="117" spans="8:8" x14ac:dyDescent="0.3">
      <c r="H117" s="2"/>
    </row>
    <row r="118" spans="8:8" x14ac:dyDescent="0.3">
      <c r="H118" s="2"/>
    </row>
    <row r="119" spans="8:8" x14ac:dyDescent="0.3">
      <c r="H119" s="2"/>
    </row>
    <row r="120" spans="8:8" x14ac:dyDescent="0.3">
      <c r="H120" s="2"/>
    </row>
    <row r="121" spans="8:8" x14ac:dyDescent="0.3">
      <c r="H121" s="2"/>
    </row>
    <row r="122" spans="8:8" x14ac:dyDescent="0.3">
      <c r="H122" s="2"/>
    </row>
    <row r="123" spans="8:8" x14ac:dyDescent="0.3">
      <c r="H123" s="2"/>
    </row>
  </sheetData>
  <pageMargins left="0.7" right="0.7" top="0.75" bottom="0.75" header="0.3" footer="0.3"/>
  <pageSetup paperSize="9" orientation="portrait" r:id="rId1"/>
  <ignoredErrors>
    <ignoredError sqref="H1:M40 A1:F25 N1:P40 A26:A40 C26:F4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1"/>
  <sheetViews>
    <sheetView workbookViewId="0"/>
  </sheetViews>
  <sheetFormatPr defaultRowHeight="14.4" x14ac:dyDescent="0.3"/>
  <sheetData>
    <row r="1" spans="1:19" ht="15.6" x14ac:dyDescent="0.3">
      <c r="A1" t="s">
        <v>0</v>
      </c>
      <c r="B1" t="s">
        <v>1983</v>
      </c>
      <c r="C1" t="s">
        <v>1984</v>
      </c>
      <c r="D1" t="s">
        <v>1658</v>
      </c>
      <c r="E1" t="s">
        <v>1985</v>
      </c>
      <c r="F1" t="s">
        <v>1664</v>
      </c>
      <c r="G1" t="s">
        <v>1986</v>
      </c>
      <c r="H1" t="s">
        <v>1987</v>
      </c>
      <c r="I1" t="s">
        <v>1988</v>
      </c>
      <c r="J1" t="s">
        <v>1989</v>
      </c>
      <c r="K1" t="s">
        <v>1990</v>
      </c>
      <c r="L1" t="s">
        <v>2</v>
      </c>
      <c r="M1" t="s">
        <v>1991</v>
      </c>
      <c r="N1" t="s">
        <v>1992</v>
      </c>
      <c r="O1" t="s">
        <v>1993</v>
      </c>
      <c r="P1" t="s">
        <v>8</v>
      </c>
      <c r="Q1" t="s">
        <v>1994</v>
      </c>
      <c r="R1" t="s">
        <v>9</v>
      </c>
      <c r="S1" t="s">
        <v>1995</v>
      </c>
    </row>
    <row r="2" spans="1:19" ht="15.6" x14ac:dyDescent="0.3">
      <c r="A2" t="s">
        <v>1996</v>
      </c>
      <c r="B2" t="s">
        <v>1666</v>
      </c>
      <c r="C2" t="s">
        <v>1666</v>
      </c>
      <c r="D2">
        <v>2019</v>
      </c>
      <c r="E2" t="s">
        <v>1997</v>
      </c>
      <c r="F2" t="s">
        <v>1996</v>
      </c>
      <c r="G2" t="s">
        <v>1666</v>
      </c>
      <c r="H2" t="s">
        <v>1998</v>
      </c>
      <c r="I2" t="s">
        <v>1999</v>
      </c>
      <c r="J2" t="s">
        <v>1642</v>
      </c>
      <c r="K2" t="s">
        <v>2000</v>
      </c>
      <c r="L2" t="s">
        <v>2001</v>
      </c>
      <c r="M2" t="s">
        <v>2002</v>
      </c>
      <c r="N2" t="s">
        <v>2003</v>
      </c>
      <c r="O2" t="s">
        <v>48</v>
      </c>
      <c r="P2" t="s">
        <v>1667</v>
      </c>
      <c r="Q2" t="s">
        <v>2004</v>
      </c>
      <c r="R2" t="s">
        <v>2005</v>
      </c>
    </row>
    <row r="3" spans="1:19" ht="15.6" x14ac:dyDescent="0.3">
      <c r="A3" t="s">
        <v>2006</v>
      </c>
      <c r="B3" t="s">
        <v>1666</v>
      </c>
      <c r="C3" t="s">
        <v>1666</v>
      </c>
      <c r="D3">
        <v>2020</v>
      </c>
      <c r="E3" t="s">
        <v>2007</v>
      </c>
      <c r="F3" t="s">
        <v>2006</v>
      </c>
      <c r="G3" t="s">
        <v>2008</v>
      </c>
      <c r="H3" t="s">
        <v>2009</v>
      </c>
      <c r="I3" t="s">
        <v>2010</v>
      </c>
      <c r="J3" t="s">
        <v>108</v>
      </c>
      <c r="K3" t="s">
        <v>2011</v>
      </c>
      <c r="L3" t="s">
        <v>2001</v>
      </c>
      <c r="M3" t="s">
        <v>2012</v>
      </c>
      <c r="N3" t="s">
        <v>2013</v>
      </c>
      <c r="O3" t="s">
        <v>2014</v>
      </c>
      <c r="P3" t="s">
        <v>1669</v>
      </c>
      <c r="Q3" t="s">
        <v>2015</v>
      </c>
      <c r="R3" t="s">
        <v>2016</v>
      </c>
    </row>
    <row r="4" spans="1:19" ht="15.6" x14ac:dyDescent="0.3">
      <c r="A4" t="s">
        <v>2017</v>
      </c>
      <c r="B4" t="s">
        <v>1666</v>
      </c>
      <c r="C4" t="s">
        <v>1666</v>
      </c>
      <c r="D4">
        <v>0</v>
      </c>
      <c r="E4" t="s">
        <v>2007</v>
      </c>
      <c r="F4" t="s">
        <v>2017</v>
      </c>
      <c r="G4" t="s">
        <v>2008</v>
      </c>
      <c r="H4" t="s">
        <v>2018</v>
      </c>
      <c r="I4" t="s">
        <v>48</v>
      </c>
      <c r="J4" t="s">
        <v>529</v>
      </c>
      <c r="K4" t="s">
        <v>2011</v>
      </c>
      <c r="L4" t="s">
        <v>2001</v>
      </c>
      <c r="M4" t="s">
        <v>2019</v>
      </c>
      <c r="O4" t="s">
        <v>2014</v>
      </c>
      <c r="P4" t="s">
        <v>1669</v>
      </c>
      <c r="Q4" t="s">
        <v>2020</v>
      </c>
      <c r="R4" t="s">
        <v>2021</v>
      </c>
    </row>
    <row r="5" spans="1:19" ht="15.6" x14ac:dyDescent="0.3">
      <c r="A5" t="s">
        <v>2022</v>
      </c>
      <c r="B5" t="s">
        <v>1666</v>
      </c>
      <c r="C5" t="s">
        <v>1666</v>
      </c>
      <c r="D5">
        <v>2020</v>
      </c>
      <c r="E5" t="s">
        <v>2007</v>
      </c>
      <c r="F5" t="s">
        <v>2022</v>
      </c>
      <c r="G5" t="s">
        <v>145</v>
      </c>
      <c r="H5" t="s">
        <v>2023</v>
      </c>
      <c r="I5" t="s">
        <v>2024</v>
      </c>
      <c r="J5" t="s">
        <v>808</v>
      </c>
      <c r="K5" t="s">
        <v>2011</v>
      </c>
      <c r="L5" t="s">
        <v>2001</v>
      </c>
      <c r="M5" t="s">
        <v>2025</v>
      </c>
      <c r="O5" t="s">
        <v>2014</v>
      </c>
      <c r="P5" t="s">
        <v>1669</v>
      </c>
      <c r="Q5" t="s">
        <v>2026</v>
      </c>
      <c r="R5" t="s">
        <v>2027</v>
      </c>
    </row>
    <row r="6" spans="1:19" ht="15.6" x14ac:dyDescent="0.3">
      <c r="A6" t="s">
        <v>2028</v>
      </c>
      <c r="B6" t="s">
        <v>1666</v>
      </c>
      <c r="C6" t="s">
        <v>1666</v>
      </c>
      <c r="D6">
        <v>2020</v>
      </c>
      <c r="E6" t="s">
        <v>2007</v>
      </c>
      <c r="F6" t="s">
        <v>2028</v>
      </c>
      <c r="G6" t="s">
        <v>2008</v>
      </c>
      <c r="H6" t="s">
        <v>2029</v>
      </c>
      <c r="I6" t="s">
        <v>2030</v>
      </c>
      <c r="J6" t="s">
        <v>1673</v>
      </c>
      <c r="K6" t="s">
        <v>2011</v>
      </c>
      <c r="L6" t="s">
        <v>2001</v>
      </c>
      <c r="M6" t="s">
        <v>2031</v>
      </c>
      <c r="N6" t="s">
        <v>2032</v>
      </c>
      <c r="O6" t="s">
        <v>2014</v>
      </c>
      <c r="P6" t="s">
        <v>1669</v>
      </c>
      <c r="Q6" t="s">
        <v>2033</v>
      </c>
      <c r="R6" t="s">
        <v>2034</v>
      </c>
    </row>
    <row r="7" spans="1:19" ht="15.6" x14ac:dyDescent="0.3">
      <c r="A7" t="s">
        <v>2035</v>
      </c>
      <c r="B7" t="s">
        <v>1666</v>
      </c>
      <c r="C7" t="s">
        <v>1666</v>
      </c>
      <c r="D7">
        <v>0</v>
      </c>
      <c r="E7" t="s">
        <v>2007</v>
      </c>
      <c r="F7" t="s">
        <v>2035</v>
      </c>
      <c r="G7" t="s">
        <v>2008</v>
      </c>
      <c r="H7" t="s">
        <v>2036</v>
      </c>
      <c r="I7" t="s">
        <v>2024</v>
      </c>
      <c r="J7" t="s">
        <v>353</v>
      </c>
      <c r="K7" t="s">
        <v>2011</v>
      </c>
      <c r="L7" t="s">
        <v>2001</v>
      </c>
      <c r="M7" t="s">
        <v>2037</v>
      </c>
      <c r="O7" t="s">
        <v>2014</v>
      </c>
      <c r="P7" t="s">
        <v>1667</v>
      </c>
      <c r="Q7" t="s">
        <v>2038</v>
      </c>
      <c r="R7" t="s">
        <v>2039</v>
      </c>
    </row>
    <row r="8" spans="1:19" ht="15.6" x14ac:dyDescent="0.3">
      <c r="A8" t="s">
        <v>2040</v>
      </c>
      <c r="B8" t="s">
        <v>1666</v>
      </c>
      <c r="C8" t="s">
        <v>1666</v>
      </c>
      <c r="D8">
        <v>2020</v>
      </c>
      <c r="E8" t="s">
        <v>2007</v>
      </c>
      <c r="F8" t="s">
        <v>2040</v>
      </c>
      <c r="G8" t="s">
        <v>2008</v>
      </c>
      <c r="H8" t="s">
        <v>2041</v>
      </c>
      <c r="I8" t="s">
        <v>2042</v>
      </c>
      <c r="J8" t="s">
        <v>666</v>
      </c>
      <c r="K8" t="s">
        <v>2011</v>
      </c>
      <c r="L8" t="s">
        <v>2001</v>
      </c>
      <c r="M8" t="s">
        <v>2043</v>
      </c>
      <c r="O8" t="s">
        <v>2014</v>
      </c>
      <c r="P8" t="s">
        <v>1669</v>
      </c>
      <c r="Q8" t="s">
        <v>2044</v>
      </c>
      <c r="R8" t="s">
        <v>2045</v>
      </c>
    </row>
    <row r="9" spans="1:19" ht="15.6" x14ac:dyDescent="0.3">
      <c r="A9" t="s">
        <v>2046</v>
      </c>
      <c r="B9" t="s">
        <v>1666</v>
      </c>
      <c r="C9" t="s">
        <v>1666</v>
      </c>
      <c r="D9">
        <v>2020</v>
      </c>
      <c r="E9" t="s">
        <v>2007</v>
      </c>
      <c r="F9" t="s">
        <v>2046</v>
      </c>
      <c r="G9" t="s">
        <v>145</v>
      </c>
      <c r="H9" t="s">
        <v>2047</v>
      </c>
      <c r="I9" t="s">
        <v>48</v>
      </c>
      <c r="J9" t="s">
        <v>1531</v>
      </c>
      <c r="K9" t="s">
        <v>2011</v>
      </c>
      <c r="L9" t="s">
        <v>2001</v>
      </c>
      <c r="M9" t="s">
        <v>2048</v>
      </c>
      <c r="N9" t="s">
        <v>2049</v>
      </c>
      <c r="O9" t="s">
        <v>2014</v>
      </c>
      <c r="P9" t="s">
        <v>1675</v>
      </c>
      <c r="Q9" t="s">
        <v>2050</v>
      </c>
      <c r="R9" t="s">
        <v>2051</v>
      </c>
    </row>
    <row r="10" spans="1:19" ht="15.6" x14ac:dyDescent="0.3">
      <c r="A10" t="s">
        <v>2052</v>
      </c>
      <c r="B10" t="s">
        <v>1666</v>
      </c>
      <c r="C10" t="s">
        <v>1666</v>
      </c>
      <c r="D10">
        <v>2020</v>
      </c>
      <c r="E10" t="s">
        <v>2007</v>
      </c>
      <c r="F10" t="s">
        <v>2052</v>
      </c>
      <c r="G10" t="s">
        <v>145</v>
      </c>
      <c r="H10" t="s">
        <v>2053</v>
      </c>
      <c r="I10" t="s">
        <v>2054</v>
      </c>
      <c r="J10" t="s">
        <v>1677</v>
      </c>
      <c r="K10" t="s">
        <v>2011</v>
      </c>
      <c r="L10" t="s">
        <v>2001</v>
      </c>
      <c r="M10" t="s">
        <v>2055</v>
      </c>
      <c r="O10" t="s">
        <v>2014</v>
      </c>
      <c r="P10" t="s">
        <v>1669</v>
      </c>
      <c r="Q10" t="s">
        <v>2056</v>
      </c>
      <c r="R10" t="s">
        <v>2057</v>
      </c>
    </row>
    <row r="11" spans="1:19" ht="15.6" x14ac:dyDescent="0.3">
      <c r="A11" t="s">
        <v>2058</v>
      </c>
      <c r="B11" t="s">
        <v>1666</v>
      </c>
      <c r="C11" t="s">
        <v>1666</v>
      </c>
      <c r="D11">
        <v>0</v>
      </c>
      <c r="E11" t="s">
        <v>2007</v>
      </c>
      <c r="F11" t="s">
        <v>2058</v>
      </c>
      <c r="G11" t="s">
        <v>2059</v>
      </c>
      <c r="H11" t="s">
        <v>2060</v>
      </c>
      <c r="I11" t="s">
        <v>48</v>
      </c>
      <c r="J11" t="s">
        <v>1119</v>
      </c>
      <c r="K11" t="s">
        <v>2011</v>
      </c>
      <c r="L11" t="s">
        <v>2001</v>
      </c>
      <c r="M11" t="s">
        <v>2061</v>
      </c>
      <c r="N11" t="s">
        <v>2062</v>
      </c>
      <c r="O11" t="s">
        <v>2014</v>
      </c>
      <c r="P11" t="s">
        <v>1675</v>
      </c>
      <c r="Q11" t="s">
        <v>2063</v>
      </c>
      <c r="R11" t="s">
        <v>2064</v>
      </c>
    </row>
    <row r="12" spans="1:19" ht="15.6" x14ac:dyDescent="0.3">
      <c r="A12" t="s">
        <v>2065</v>
      </c>
      <c r="B12" t="s">
        <v>1666</v>
      </c>
      <c r="C12" t="s">
        <v>1666</v>
      </c>
      <c r="D12">
        <v>2021</v>
      </c>
      <c r="E12" t="s">
        <v>2007</v>
      </c>
      <c r="F12" t="s">
        <v>2065</v>
      </c>
      <c r="G12" t="s">
        <v>145</v>
      </c>
      <c r="H12" t="s">
        <v>2066</v>
      </c>
      <c r="I12" t="s">
        <v>48</v>
      </c>
      <c r="J12" t="s">
        <v>1485</v>
      </c>
      <c r="K12" t="s">
        <v>2067</v>
      </c>
      <c r="L12" t="s">
        <v>2001</v>
      </c>
      <c r="M12" t="s">
        <v>2068</v>
      </c>
      <c r="N12" t="s">
        <v>2069</v>
      </c>
      <c r="O12" t="s">
        <v>2070</v>
      </c>
      <c r="P12" t="s">
        <v>1669</v>
      </c>
      <c r="Q12" t="s">
        <v>2071</v>
      </c>
      <c r="R12" t="s">
        <v>2072</v>
      </c>
    </row>
    <row r="13" spans="1:19" ht="15.6" x14ac:dyDescent="0.3">
      <c r="A13" t="s">
        <v>2073</v>
      </c>
      <c r="B13" t="s">
        <v>1666</v>
      </c>
      <c r="C13" t="s">
        <v>1666</v>
      </c>
      <c r="D13">
        <v>2021</v>
      </c>
      <c r="E13" t="s">
        <v>2007</v>
      </c>
      <c r="F13" t="s">
        <v>2073</v>
      </c>
      <c r="G13" t="s">
        <v>1666</v>
      </c>
      <c r="H13" t="s">
        <v>2074</v>
      </c>
      <c r="I13" t="s">
        <v>2054</v>
      </c>
      <c r="J13" t="s">
        <v>162</v>
      </c>
      <c r="K13" t="s">
        <v>2011</v>
      </c>
      <c r="L13" t="s">
        <v>2001</v>
      </c>
      <c r="M13" t="s">
        <v>2075</v>
      </c>
      <c r="O13" t="s">
        <v>2014</v>
      </c>
      <c r="P13" t="s">
        <v>1669</v>
      </c>
      <c r="Q13" t="s">
        <v>2076</v>
      </c>
      <c r="R13" t="s">
        <v>2077</v>
      </c>
    </row>
    <row r="14" spans="1:19" ht="15.6" x14ac:dyDescent="0.3">
      <c r="A14" t="s">
        <v>2078</v>
      </c>
      <c r="B14" t="s">
        <v>1666</v>
      </c>
      <c r="C14" t="s">
        <v>1666</v>
      </c>
      <c r="D14">
        <v>2021</v>
      </c>
      <c r="E14" t="s">
        <v>2007</v>
      </c>
      <c r="F14" t="s">
        <v>2078</v>
      </c>
      <c r="G14" t="s">
        <v>1666</v>
      </c>
      <c r="H14" t="s">
        <v>2079</v>
      </c>
      <c r="I14" t="s">
        <v>2080</v>
      </c>
      <c r="J14" t="s">
        <v>1468</v>
      </c>
      <c r="K14" t="s">
        <v>2011</v>
      </c>
      <c r="L14" t="s">
        <v>2001</v>
      </c>
      <c r="M14" t="s">
        <v>2081</v>
      </c>
      <c r="N14" t="s">
        <v>2082</v>
      </c>
      <c r="O14" t="s">
        <v>2014</v>
      </c>
      <c r="P14" t="s">
        <v>1669</v>
      </c>
      <c r="Q14" t="s">
        <v>2083</v>
      </c>
      <c r="R14" t="s">
        <v>2084</v>
      </c>
    </row>
    <row r="15" spans="1:19" ht="15.6" x14ac:dyDescent="0.3">
      <c r="A15" t="s">
        <v>2085</v>
      </c>
      <c r="B15" t="s">
        <v>1666</v>
      </c>
      <c r="C15" t="s">
        <v>1666</v>
      </c>
      <c r="D15">
        <v>2021</v>
      </c>
      <c r="E15" t="s">
        <v>2007</v>
      </c>
      <c r="F15" t="s">
        <v>2085</v>
      </c>
      <c r="G15" t="s">
        <v>2086</v>
      </c>
      <c r="H15" t="s">
        <v>2087</v>
      </c>
      <c r="I15" t="s">
        <v>2024</v>
      </c>
      <c r="J15" t="s">
        <v>1346</v>
      </c>
      <c r="K15" t="s">
        <v>2067</v>
      </c>
      <c r="L15" t="s">
        <v>2001</v>
      </c>
      <c r="M15" t="s">
        <v>2088</v>
      </c>
      <c r="O15" t="s">
        <v>2070</v>
      </c>
      <c r="P15" t="s">
        <v>1667</v>
      </c>
      <c r="Q15" t="s">
        <v>2089</v>
      </c>
      <c r="R15" t="s">
        <v>2090</v>
      </c>
    </row>
    <row r="16" spans="1:19" ht="15.6" x14ac:dyDescent="0.3">
      <c r="A16" t="s">
        <v>2091</v>
      </c>
      <c r="B16" t="s">
        <v>1666</v>
      </c>
      <c r="C16" t="s">
        <v>1666</v>
      </c>
      <c r="D16">
        <v>2021</v>
      </c>
      <c r="E16" t="s">
        <v>2007</v>
      </c>
      <c r="F16" t="s">
        <v>2091</v>
      </c>
      <c r="G16" t="s">
        <v>48</v>
      </c>
      <c r="H16" t="s">
        <v>2092</v>
      </c>
      <c r="I16" t="s">
        <v>2054</v>
      </c>
      <c r="J16" t="s">
        <v>908</v>
      </c>
      <c r="K16" t="s">
        <v>2093</v>
      </c>
      <c r="L16" t="s">
        <v>2001</v>
      </c>
      <c r="M16" t="s">
        <v>2094</v>
      </c>
      <c r="O16" t="s">
        <v>2070</v>
      </c>
      <c r="P16" t="s">
        <v>1669</v>
      </c>
      <c r="Q16" t="s">
        <v>2095</v>
      </c>
      <c r="R16" t="s">
        <v>2096</v>
      </c>
    </row>
    <row r="17" spans="1:18" ht="15.6" x14ac:dyDescent="0.3">
      <c r="A17" t="s">
        <v>2097</v>
      </c>
      <c r="B17" t="s">
        <v>1666</v>
      </c>
      <c r="C17" t="s">
        <v>1666</v>
      </c>
      <c r="D17">
        <v>2021</v>
      </c>
      <c r="E17" t="s">
        <v>1666</v>
      </c>
      <c r="F17" t="s">
        <v>2097</v>
      </c>
      <c r="G17" t="s">
        <v>48</v>
      </c>
      <c r="H17" t="s">
        <v>2098</v>
      </c>
      <c r="I17" t="s">
        <v>48</v>
      </c>
      <c r="J17" t="s">
        <v>784</v>
      </c>
      <c r="K17" t="s">
        <v>39</v>
      </c>
      <c r="L17" t="s">
        <v>2001</v>
      </c>
      <c r="M17" t="s">
        <v>2099</v>
      </c>
      <c r="N17" t="s">
        <v>2100</v>
      </c>
      <c r="O17" t="s">
        <v>2014</v>
      </c>
      <c r="P17" t="s">
        <v>1675</v>
      </c>
      <c r="Q17" t="s">
        <v>2101</v>
      </c>
      <c r="R17" t="s">
        <v>2102</v>
      </c>
    </row>
    <row r="18" spans="1:18" ht="15.6" x14ac:dyDescent="0.3">
      <c r="A18" t="s">
        <v>2103</v>
      </c>
      <c r="B18" t="s">
        <v>1666</v>
      </c>
      <c r="C18" t="s">
        <v>1666</v>
      </c>
      <c r="D18">
        <v>2022</v>
      </c>
      <c r="E18" t="s">
        <v>2007</v>
      </c>
      <c r="F18" t="s">
        <v>2103</v>
      </c>
      <c r="G18" t="s">
        <v>48</v>
      </c>
      <c r="H18" t="s">
        <v>2104</v>
      </c>
      <c r="I18" t="s">
        <v>2024</v>
      </c>
      <c r="J18" t="s">
        <v>1563</v>
      </c>
      <c r="K18" t="s">
        <v>2011</v>
      </c>
      <c r="L18" t="s">
        <v>2001</v>
      </c>
      <c r="M18" t="s">
        <v>2105</v>
      </c>
      <c r="N18" t="s">
        <v>2106</v>
      </c>
      <c r="O18" t="s">
        <v>2014</v>
      </c>
      <c r="P18" t="s">
        <v>1675</v>
      </c>
      <c r="Q18" t="s">
        <v>2107</v>
      </c>
      <c r="R18" t="s">
        <v>2108</v>
      </c>
    </row>
    <row r="19" spans="1:18" ht="15.6" x14ac:dyDescent="0.3">
      <c r="A19" t="s">
        <v>2109</v>
      </c>
      <c r="B19" t="s">
        <v>1666</v>
      </c>
      <c r="C19" t="s">
        <v>1666</v>
      </c>
      <c r="D19">
        <v>2022</v>
      </c>
      <c r="E19" t="s">
        <v>2007</v>
      </c>
      <c r="F19" t="s">
        <v>2109</v>
      </c>
      <c r="G19" t="s">
        <v>2086</v>
      </c>
      <c r="H19" t="s">
        <v>2110</v>
      </c>
      <c r="I19" t="s">
        <v>2111</v>
      </c>
      <c r="J19" t="s">
        <v>837</v>
      </c>
      <c r="K19" t="s">
        <v>2011</v>
      </c>
      <c r="L19" t="s">
        <v>2001</v>
      </c>
      <c r="M19" t="s">
        <v>2112</v>
      </c>
      <c r="O19" t="s">
        <v>2014</v>
      </c>
      <c r="P19" t="s">
        <v>1667</v>
      </c>
      <c r="Q19" t="s">
        <v>2113</v>
      </c>
      <c r="R19" t="s">
        <v>2114</v>
      </c>
    </row>
    <row r="20" spans="1:18" ht="15.6" x14ac:dyDescent="0.3">
      <c r="A20" t="s">
        <v>2115</v>
      </c>
      <c r="B20" t="s">
        <v>1666</v>
      </c>
      <c r="C20" t="s">
        <v>1666</v>
      </c>
      <c r="D20">
        <v>2022</v>
      </c>
      <c r="E20" t="s">
        <v>2007</v>
      </c>
      <c r="F20" t="s">
        <v>2115</v>
      </c>
      <c r="G20" t="s">
        <v>2086</v>
      </c>
      <c r="H20" t="s">
        <v>2116</v>
      </c>
      <c r="I20" t="s">
        <v>2080</v>
      </c>
      <c r="J20" t="s">
        <v>543</v>
      </c>
      <c r="K20" t="s">
        <v>2011</v>
      </c>
      <c r="L20" t="s">
        <v>2001</v>
      </c>
      <c r="M20" t="s">
        <v>2117</v>
      </c>
      <c r="N20" t="s">
        <v>2118</v>
      </c>
      <c r="O20" t="s">
        <v>2014</v>
      </c>
      <c r="P20" t="s">
        <v>1669</v>
      </c>
      <c r="Q20" t="s">
        <v>2119</v>
      </c>
      <c r="R20" t="s">
        <v>2120</v>
      </c>
    </row>
    <row r="21" spans="1:18" ht="15.6" x14ac:dyDescent="0.3">
      <c r="A21" t="s">
        <v>2121</v>
      </c>
      <c r="B21" t="s">
        <v>1666</v>
      </c>
      <c r="C21" t="s">
        <v>1666</v>
      </c>
      <c r="D21">
        <v>2022</v>
      </c>
      <c r="E21" t="s">
        <v>2007</v>
      </c>
      <c r="F21" t="s">
        <v>2121</v>
      </c>
      <c r="G21" t="s">
        <v>2086</v>
      </c>
      <c r="H21" t="s">
        <v>2122</v>
      </c>
      <c r="I21" t="s">
        <v>2123</v>
      </c>
      <c r="J21" t="s">
        <v>1284</v>
      </c>
      <c r="K21" t="s">
        <v>2011</v>
      </c>
      <c r="L21" t="s">
        <v>2001</v>
      </c>
      <c r="M21" t="s">
        <v>2124</v>
      </c>
      <c r="N21" t="s">
        <v>2125</v>
      </c>
      <c r="O21" t="s">
        <v>2014</v>
      </c>
      <c r="P21" t="s">
        <v>1669</v>
      </c>
      <c r="Q21" t="s">
        <v>2126</v>
      </c>
      <c r="R21" t="s">
        <v>2127</v>
      </c>
    </row>
    <row r="22" spans="1:18" ht="15.6" x14ac:dyDescent="0.3">
      <c r="A22" t="s">
        <v>2128</v>
      </c>
      <c r="B22" t="s">
        <v>1666</v>
      </c>
      <c r="C22" t="s">
        <v>1666</v>
      </c>
      <c r="D22">
        <v>2022</v>
      </c>
      <c r="E22" t="s">
        <v>2007</v>
      </c>
      <c r="F22" t="s">
        <v>2128</v>
      </c>
      <c r="G22" t="s">
        <v>145</v>
      </c>
      <c r="H22" t="s">
        <v>2129</v>
      </c>
      <c r="I22" t="s">
        <v>48</v>
      </c>
      <c r="J22" t="s">
        <v>817</v>
      </c>
      <c r="K22" t="s">
        <v>2011</v>
      </c>
      <c r="L22" t="s">
        <v>2001</v>
      </c>
      <c r="M22" t="s">
        <v>2130</v>
      </c>
      <c r="N22" t="s">
        <v>2131</v>
      </c>
      <c r="O22" t="s">
        <v>2070</v>
      </c>
      <c r="P22" t="s">
        <v>1669</v>
      </c>
      <c r="Q22" t="s">
        <v>2132</v>
      </c>
      <c r="R22" t="s">
        <v>2133</v>
      </c>
    </row>
    <row r="23" spans="1:18" ht="15.6" x14ac:dyDescent="0.3">
      <c r="A23" t="s">
        <v>2134</v>
      </c>
      <c r="B23" t="s">
        <v>1666</v>
      </c>
      <c r="C23" t="s">
        <v>1666</v>
      </c>
      <c r="D23">
        <v>2022</v>
      </c>
      <c r="E23" t="s">
        <v>2007</v>
      </c>
      <c r="F23" t="s">
        <v>2134</v>
      </c>
      <c r="G23" t="s">
        <v>2008</v>
      </c>
      <c r="H23" t="s">
        <v>2135</v>
      </c>
      <c r="I23" t="s">
        <v>2136</v>
      </c>
      <c r="J23" t="s">
        <v>1472</v>
      </c>
      <c r="K23" t="s">
        <v>2011</v>
      </c>
      <c r="L23" t="s">
        <v>2001</v>
      </c>
      <c r="M23" t="s">
        <v>2137</v>
      </c>
      <c r="N23" t="s">
        <v>2138</v>
      </c>
      <c r="O23" t="s">
        <v>2014</v>
      </c>
      <c r="P23" t="s">
        <v>1669</v>
      </c>
      <c r="Q23" t="s">
        <v>2139</v>
      </c>
      <c r="R23" t="s">
        <v>2140</v>
      </c>
    </row>
    <row r="24" spans="1:18" ht="15.6" x14ac:dyDescent="0.3">
      <c r="A24" t="s">
        <v>2141</v>
      </c>
      <c r="B24" t="s">
        <v>1666</v>
      </c>
      <c r="C24" t="s">
        <v>1666</v>
      </c>
      <c r="D24">
        <v>2022</v>
      </c>
      <c r="E24" t="s">
        <v>2007</v>
      </c>
      <c r="F24" t="s">
        <v>2141</v>
      </c>
      <c r="G24" t="s">
        <v>48</v>
      </c>
      <c r="H24" t="s">
        <v>2142</v>
      </c>
      <c r="I24" t="s">
        <v>2080</v>
      </c>
      <c r="J24" t="s">
        <v>1263</v>
      </c>
      <c r="K24" t="s">
        <v>2093</v>
      </c>
      <c r="L24" t="s">
        <v>2001</v>
      </c>
      <c r="M24" t="s">
        <v>2143</v>
      </c>
      <c r="N24" t="s">
        <v>2144</v>
      </c>
      <c r="O24" t="s">
        <v>2014</v>
      </c>
      <c r="P24" t="s">
        <v>1669</v>
      </c>
      <c r="Q24" t="s">
        <v>2145</v>
      </c>
      <c r="R24" t="s">
        <v>2146</v>
      </c>
    </row>
    <row r="25" spans="1:18" ht="15.6" x14ac:dyDescent="0.3">
      <c r="A25" t="s">
        <v>2147</v>
      </c>
      <c r="B25" t="s">
        <v>1666</v>
      </c>
      <c r="C25" t="s">
        <v>1666</v>
      </c>
      <c r="D25">
        <v>2022</v>
      </c>
      <c r="E25" t="s">
        <v>2007</v>
      </c>
      <c r="F25" t="s">
        <v>2147</v>
      </c>
      <c r="G25" t="s">
        <v>145</v>
      </c>
      <c r="H25" t="s">
        <v>2148</v>
      </c>
      <c r="I25" t="s">
        <v>2149</v>
      </c>
      <c r="J25" t="s">
        <v>1306</v>
      </c>
      <c r="K25" t="s">
        <v>2011</v>
      </c>
      <c r="L25" t="s">
        <v>2001</v>
      </c>
      <c r="M25" t="s">
        <v>2150</v>
      </c>
      <c r="N25" t="s">
        <v>2151</v>
      </c>
      <c r="O25" t="s">
        <v>2014</v>
      </c>
      <c r="P25" t="s">
        <v>1669</v>
      </c>
      <c r="Q25" t="s">
        <v>2152</v>
      </c>
      <c r="R25" t="s">
        <v>2153</v>
      </c>
    </row>
    <row r="26" spans="1:18" ht="15.6" x14ac:dyDescent="0.3">
      <c r="A26" t="s">
        <v>2154</v>
      </c>
      <c r="B26" t="s">
        <v>1666</v>
      </c>
      <c r="C26" t="s">
        <v>1666</v>
      </c>
      <c r="D26">
        <v>2022</v>
      </c>
      <c r="E26" t="s">
        <v>2007</v>
      </c>
      <c r="F26" t="s">
        <v>2154</v>
      </c>
      <c r="G26" t="s">
        <v>48</v>
      </c>
      <c r="H26" t="s">
        <v>2155</v>
      </c>
      <c r="I26" t="s">
        <v>141</v>
      </c>
      <c r="J26" t="s">
        <v>1290</v>
      </c>
      <c r="K26" t="s">
        <v>2011</v>
      </c>
      <c r="L26" t="s">
        <v>2001</v>
      </c>
      <c r="M26" t="s">
        <v>2156</v>
      </c>
      <c r="N26" t="s">
        <v>2157</v>
      </c>
      <c r="O26" t="s">
        <v>2014</v>
      </c>
      <c r="P26" t="s">
        <v>1669</v>
      </c>
      <c r="Q26" t="s">
        <v>2158</v>
      </c>
      <c r="R26" t="s">
        <v>2159</v>
      </c>
    </row>
    <row r="27" spans="1:18" ht="15.6" x14ac:dyDescent="0.3">
      <c r="A27" t="s">
        <v>2160</v>
      </c>
      <c r="B27" t="s">
        <v>1666</v>
      </c>
      <c r="C27" t="s">
        <v>1666</v>
      </c>
      <c r="D27">
        <v>2022</v>
      </c>
      <c r="E27" t="s">
        <v>1997</v>
      </c>
      <c r="F27" t="s">
        <v>2160</v>
      </c>
      <c r="G27" t="s">
        <v>145</v>
      </c>
      <c r="H27" t="s">
        <v>2161</v>
      </c>
      <c r="I27" t="s">
        <v>141</v>
      </c>
      <c r="J27" t="s">
        <v>1288</v>
      </c>
      <c r="K27" t="s">
        <v>2011</v>
      </c>
      <c r="L27" t="s">
        <v>2001</v>
      </c>
      <c r="M27" t="s">
        <v>2162</v>
      </c>
      <c r="N27" t="s">
        <v>2157</v>
      </c>
      <c r="O27" t="s">
        <v>2014</v>
      </c>
      <c r="P27" t="s">
        <v>1667</v>
      </c>
      <c r="Q27" t="s">
        <v>2163</v>
      </c>
      <c r="R27" t="s">
        <v>2164</v>
      </c>
    </row>
    <row r="28" spans="1:18" ht="15.6" x14ac:dyDescent="0.3">
      <c r="A28" t="s">
        <v>2165</v>
      </c>
      <c r="B28" t="s">
        <v>1666</v>
      </c>
      <c r="C28" t="s">
        <v>1666</v>
      </c>
      <c r="D28">
        <v>2022</v>
      </c>
      <c r="E28" t="s">
        <v>1997</v>
      </c>
      <c r="F28" t="s">
        <v>2165</v>
      </c>
      <c r="G28" t="s">
        <v>2008</v>
      </c>
      <c r="H28" t="s">
        <v>2166</v>
      </c>
      <c r="I28" t="s">
        <v>141</v>
      </c>
      <c r="J28" t="s">
        <v>1249</v>
      </c>
      <c r="K28" t="s">
        <v>2067</v>
      </c>
      <c r="L28" t="s">
        <v>2001</v>
      </c>
      <c r="M28" t="s">
        <v>2167</v>
      </c>
      <c r="N28" t="s">
        <v>2168</v>
      </c>
      <c r="O28" t="s">
        <v>2070</v>
      </c>
      <c r="P28" t="s">
        <v>1667</v>
      </c>
      <c r="Q28" t="s">
        <v>2169</v>
      </c>
      <c r="R28" t="s">
        <v>2170</v>
      </c>
    </row>
    <row r="29" spans="1:18" ht="15.6" x14ac:dyDescent="0.3">
      <c r="A29" t="s">
        <v>2171</v>
      </c>
      <c r="B29" t="s">
        <v>1666</v>
      </c>
      <c r="C29" t="s">
        <v>1666</v>
      </c>
      <c r="D29">
        <v>2022</v>
      </c>
      <c r="E29" t="s">
        <v>2007</v>
      </c>
      <c r="F29" t="s">
        <v>2171</v>
      </c>
      <c r="G29" t="s">
        <v>2008</v>
      </c>
      <c r="H29" t="s">
        <v>2172</v>
      </c>
      <c r="I29" t="s">
        <v>2173</v>
      </c>
      <c r="J29" t="s">
        <v>1630</v>
      </c>
      <c r="K29" t="s">
        <v>2011</v>
      </c>
      <c r="L29" t="s">
        <v>2001</v>
      </c>
      <c r="M29" t="s">
        <v>2174</v>
      </c>
      <c r="N29" t="s">
        <v>2168</v>
      </c>
      <c r="O29" t="s">
        <v>2070</v>
      </c>
      <c r="P29" t="s">
        <v>1669</v>
      </c>
      <c r="Q29" t="s">
        <v>2175</v>
      </c>
      <c r="R29" t="s">
        <v>2176</v>
      </c>
    </row>
    <row r="30" spans="1:18" ht="15.6" x14ac:dyDescent="0.3">
      <c r="A30" t="s">
        <v>2177</v>
      </c>
      <c r="B30" t="s">
        <v>1666</v>
      </c>
      <c r="C30" t="s">
        <v>1666</v>
      </c>
      <c r="D30">
        <v>2022</v>
      </c>
      <c r="E30" t="s">
        <v>2007</v>
      </c>
      <c r="F30" t="s">
        <v>2177</v>
      </c>
      <c r="G30" t="s">
        <v>2008</v>
      </c>
      <c r="H30" t="s">
        <v>2178</v>
      </c>
      <c r="I30" t="s">
        <v>141</v>
      </c>
      <c r="J30" t="s">
        <v>1343</v>
      </c>
      <c r="K30" t="s">
        <v>2011</v>
      </c>
      <c r="L30" t="s">
        <v>2001</v>
      </c>
      <c r="M30" t="s">
        <v>2179</v>
      </c>
      <c r="N30" t="s">
        <v>2180</v>
      </c>
      <c r="O30" t="s">
        <v>2014</v>
      </c>
      <c r="P30" t="s">
        <v>1669</v>
      </c>
      <c r="Q30" t="s">
        <v>2181</v>
      </c>
      <c r="R30" t="s">
        <v>2182</v>
      </c>
    </row>
    <row r="31" spans="1:18" ht="15.6" x14ac:dyDescent="0.3">
      <c r="A31" t="s">
        <v>2183</v>
      </c>
      <c r="B31" t="s">
        <v>1666</v>
      </c>
      <c r="C31" t="s">
        <v>1666</v>
      </c>
      <c r="D31">
        <v>2022</v>
      </c>
      <c r="E31" t="s">
        <v>1997</v>
      </c>
      <c r="F31" t="s">
        <v>2183</v>
      </c>
      <c r="G31" t="s">
        <v>708</v>
      </c>
      <c r="H31" t="s">
        <v>2184</v>
      </c>
      <c r="I31" t="s">
        <v>141</v>
      </c>
      <c r="J31" t="s">
        <v>709</v>
      </c>
      <c r="K31" t="s">
        <v>2067</v>
      </c>
      <c r="L31" t="s">
        <v>2001</v>
      </c>
      <c r="M31" t="s">
        <v>2185</v>
      </c>
      <c r="O31" t="s">
        <v>2014</v>
      </c>
      <c r="P31" t="s">
        <v>1667</v>
      </c>
      <c r="Q31" t="s">
        <v>2186</v>
      </c>
      <c r="R31" t="s">
        <v>2187</v>
      </c>
    </row>
    <row r="32" spans="1:18" ht="15.6" x14ac:dyDescent="0.3">
      <c r="A32" t="s">
        <v>2188</v>
      </c>
      <c r="B32" t="s">
        <v>1666</v>
      </c>
      <c r="C32" t="s">
        <v>1666</v>
      </c>
      <c r="D32">
        <v>2022</v>
      </c>
      <c r="E32" t="s">
        <v>2007</v>
      </c>
      <c r="F32" t="s">
        <v>2188</v>
      </c>
      <c r="G32" t="s">
        <v>2008</v>
      </c>
      <c r="H32" t="s">
        <v>2189</v>
      </c>
      <c r="I32" t="s">
        <v>2054</v>
      </c>
      <c r="J32" t="s">
        <v>1067</v>
      </c>
      <c r="K32" t="s">
        <v>2011</v>
      </c>
      <c r="L32" t="s">
        <v>2001</v>
      </c>
      <c r="M32" t="s">
        <v>2190</v>
      </c>
      <c r="N32" t="s">
        <v>2191</v>
      </c>
      <c r="O32" t="s">
        <v>2014</v>
      </c>
      <c r="P32" t="s">
        <v>1669</v>
      </c>
      <c r="Q32" t="s">
        <v>2192</v>
      </c>
      <c r="R32" t="s">
        <v>2193</v>
      </c>
    </row>
    <row r="33" spans="1:18" ht="15.6" x14ac:dyDescent="0.3">
      <c r="A33" t="s">
        <v>2194</v>
      </c>
      <c r="B33" t="s">
        <v>1666</v>
      </c>
      <c r="C33" t="s">
        <v>1666</v>
      </c>
      <c r="D33">
        <v>2022</v>
      </c>
      <c r="E33" t="s">
        <v>2007</v>
      </c>
      <c r="F33" t="s">
        <v>2194</v>
      </c>
      <c r="G33" t="s">
        <v>2008</v>
      </c>
      <c r="H33" t="s">
        <v>2023</v>
      </c>
      <c r="I33" t="s">
        <v>2024</v>
      </c>
      <c r="J33" t="s">
        <v>654</v>
      </c>
      <c r="K33" t="s">
        <v>2011</v>
      </c>
      <c r="L33" t="s">
        <v>2001</v>
      </c>
      <c r="M33" t="s">
        <v>2025</v>
      </c>
      <c r="N33" t="s">
        <v>2195</v>
      </c>
      <c r="O33" t="s">
        <v>2014</v>
      </c>
      <c r="P33" t="s">
        <v>1669</v>
      </c>
      <c r="Q33" t="s">
        <v>39</v>
      </c>
    </row>
    <row r="34" spans="1:18" ht="15.6" x14ac:dyDescent="0.3">
      <c r="A34" t="s">
        <v>2196</v>
      </c>
      <c r="B34" t="s">
        <v>1666</v>
      </c>
      <c r="C34" t="s">
        <v>1666</v>
      </c>
      <c r="D34">
        <v>2022</v>
      </c>
      <c r="E34" t="s">
        <v>1997</v>
      </c>
      <c r="F34" t="s">
        <v>2196</v>
      </c>
      <c r="G34" t="s">
        <v>145</v>
      </c>
      <c r="H34" t="s">
        <v>2197</v>
      </c>
      <c r="I34" t="s">
        <v>2198</v>
      </c>
      <c r="J34" t="s">
        <v>83</v>
      </c>
      <c r="K34" t="s">
        <v>2067</v>
      </c>
      <c r="L34" t="s">
        <v>2001</v>
      </c>
      <c r="M34" t="s">
        <v>2199</v>
      </c>
      <c r="O34" t="s">
        <v>2014</v>
      </c>
      <c r="P34" t="s">
        <v>1669</v>
      </c>
      <c r="Q34" t="s">
        <v>2200</v>
      </c>
      <c r="R34" t="s">
        <v>2201</v>
      </c>
    </row>
    <row r="35" spans="1:18" ht="15.6" x14ac:dyDescent="0.3">
      <c r="A35" t="s">
        <v>2202</v>
      </c>
      <c r="B35" t="s">
        <v>1666</v>
      </c>
      <c r="C35" t="s">
        <v>1666</v>
      </c>
      <c r="D35">
        <v>2022</v>
      </c>
      <c r="E35" t="s">
        <v>2007</v>
      </c>
      <c r="F35" t="s">
        <v>2202</v>
      </c>
      <c r="G35" t="s">
        <v>2008</v>
      </c>
      <c r="H35" t="s">
        <v>2203</v>
      </c>
      <c r="I35" t="s">
        <v>2204</v>
      </c>
      <c r="J35" t="s">
        <v>44</v>
      </c>
      <c r="K35" t="s">
        <v>2011</v>
      </c>
      <c r="L35" t="s">
        <v>2001</v>
      </c>
      <c r="M35" t="s">
        <v>2205</v>
      </c>
      <c r="O35" t="s">
        <v>2014</v>
      </c>
      <c r="P35" t="s">
        <v>1667</v>
      </c>
      <c r="Q35" t="s">
        <v>2206</v>
      </c>
      <c r="R35" t="s">
        <v>2207</v>
      </c>
    </row>
    <row r="36" spans="1:18" ht="15.6" x14ac:dyDescent="0.3">
      <c r="A36" t="s">
        <v>2208</v>
      </c>
      <c r="B36" t="s">
        <v>1666</v>
      </c>
      <c r="C36" t="s">
        <v>1666</v>
      </c>
      <c r="D36">
        <v>2022</v>
      </c>
      <c r="E36" t="s">
        <v>2007</v>
      </c>
      <c r="F36" t="s">
        <v>2208</v>
      </c>
      <c r="G36" t="s">
        <v>145</v>
      </c>
      <c r="H36" t="s">
        <v>2209</v>
      </c>
      <c r="I36" t="s">
        <v>2210</v>
      </c>
      <c r="J36" t="s">
        <v>736</v>
      </c>
      <c r="K36" t="s">
        <v>2011</v>
      </c>
      <c r="L36" t="s">
        <v>2001</v>
      </c>
      <c r="M36" t="s">
        <v>2211</v>
      </c>
      <c r="O36" t="s">
        <v>2014</v>
      </c>
      <c r="P36" t="s">
        <v>1669</v>
      </c>
      <c r="Q36" t="s">
        <v>2212</v>
      </c>
      <c r="R36" t="s">
        <v>2213</v>
      </c>
    </row>
    <row r="37" spans="1:18" ht="15.6" x14ac:dyDescent="0.3">
      <c r="A37" t="s">
        <v>2214</v>
      </c>
      <c r="B37" t="s">
        <v>1666</v>
      </c>
      <c r="C37" t="s">
        <v>1666</v>
      </c>
      <c r="D37">
        <v>2022</v>
      </c>
      <c r="E37" t="s">
        <v>2007</v>
      </c>
      <c r="F37" t="s">
        <v>2214</v>
      </c>
      <c r="G37" t="s">
        <v>2086</v>
      </c>
      <c r="H37" t="s">
        <v>2215</v>
      </c>
      <c r="I37" t="s">
        <v>48</v>
      </c>
      <c r="J37" t="s">
        <v>1318</v>
      </c>
      <c r="K37" t="s">
        <v>2067</v>
      </c>
      <c r="L37" t="s">
        <v>2001</v>
      </c>
      <c r="M37" t="s">
        <v>2216</v>
      </c>
      <c r="N37" t="s">
        <v>2217</v>
      </c>
      <c r="O37" t="s">
        <v>2014</v>
      </c>
      <c r="P37" t="s">
        <v>1669</v>
      </c>
      <c r="Q37" t="s">
        <v>2218</v>
      </c>
      <c r="R37" t="s">
        <v>2219</v>
      </c>
    </row>
    <row r="38" spans="1:18" ht="15.6" x14ac:dyDescent="0.3">
      <c r="A38" t="s">
        <v>2220</v>
      </c>
      <c r="B38" t="s">
        <v>1666</v>
      </c>
      <c r="C38" t="s">
        <v>1666</v>
      </c>
      <c r="D38">
        <v>2022</v>
      </c>
      <c r="E38" t="s">
        <v>1997</v>
      </c>
      <c r="F38" t="s">
        <v>2220</v>
      </c>
      <c r="G38" t="s">
        <v>145</v>
      </c>
      <c r="H38" t="s">
        <v>2221</v>
      </c>
      <c r="I38" t="s">
        <v>48</v>
      </c>
      <c r="J38" t="s">
        <v>1194</v>
      </c>
      <c r="K38" t="s">
        <v>2067</v>
      </c>
      <c r="L38" t="s">
        <v>2001</v>
      </c>
      <c r="M38" t="s">
        <v>2222</v>
      </c>
      <c r="O38" t="s">
        <v>2014</v>
      </c>
      <c r="P38" t="s">
        <v>1669</v>
      </c>
      <c r="Q38" t="s">
        <v>2223</v>
      </c>
      <c r="R38" t="s">
        <v>2224</v>
      </c>
    </row>
    <row r="39" spans="1:18" ht="15.6" x14ac:dyDescent="0.3">
      <c r="A39" t="s">
        <v>2225</v>
      </c>
      <c r="B39" t="s">
        <v>1666</v>
      </c>
      <c r="C39" t="s">
        <v>1666</v>
      </c>
      <c r="D39">
        <v>2023</v>
      </c>
      <c r="E39" t="s">
        <v>2007</v>
      </c>
      <c r="F39" t="s">
        <v>2225</v>
      </c>
      <c r="G39" t="s">
        <v>2086</v>
      </c>
      <c r="H39" t="s">
        <v>2226</v>
      </c>
      <c r="I39" t="s">
        <v>2227</v>
      </c>
      <c r="J39" t="s">
        <v>684</v>
      </c>
      <c r="K39" t="s">
        <v>2067</v>
      </c>
      <c r="L39" t="s">
        <v>2001</v>
      </c>
      <c r="M39" t="s">
        <v>2228</v>
      </c>
      <c r="N39" t="s">
        <v>2229</v>
      </c>
      <c r="O39" t="s">
        <v>2070</v>
      </c>
      <c r="P39" t="s">
        <v>1667</v>
      </c>
      <c r="Q39" t="s">
        <v>2230</v>
      </c>
      <c r="R39" t="s">
        <v>2231</v>
      </c>
    </row>
    <row r="40" spans="1:18" ht="15.6" x14ac:dyDescent="0.3">
      <c r="A40" t="s">
        <v>2232</v>
      </c>
      <c r="B40" t="s">
        <v>1666</v>
      </c>
      <c r="C40" t="s">
        <v>1666</v>
      </c>
      <c r="D40">
        <v>2023</v>
      </c>
      <c r="E40" t="s">
        <v>1997</v>
      </c>
      <c r="F40" t="s">
        <v>2232</v>
      </c>
      <c r="G40" t="s">
        <v>48</v>
      </c>
      <c r="H40" t="s">
        <v>2233</v>
      </c>
      <c r="I40" t="s">
        <v>141</v>
      </c>
      <c r="J40" t="s">
        <v>141</v>
      </c>
      <c r="K40" t="s">
        <v>2234</v>
      </c>
      <c r="L40" t="s">
        <v>2001</v>
      </c>
      <c r="M40" t="s">
        <v>2235</v>
      </c>
      <c r="N40" t="s">
        <v>2236</v>
      </c>
      <c r="O40" t="s">
        <v>2014</v>
      </c>
      <c r="P40" t="s">
        <v>1669</v>
      </c>
      <c r="Q40" t="s">
        <v>39</v>
      </c>
    </row>
    <row r="41" spans="1:18" ht="15.6" x14ac:dyDescent="0.3">
      <c r="A41" t="s">
        <v>2237</v>
      </c>
      <c r="B41" t="s">
        <v>1666</v>
      </c>
      <c r="C41" t="s">
        <v>1666</v>
      </c>
      <c r="D41">
        <v>2023</v>
      </c>
      <c r="E41" t="s">
        <v>1997</v>
      </c>
      <c r="F41" t="s">
        <v>2237</v>
      </c>
      <c r="G41" t="s">
        <v>48</v>
      </c>
      <c r="H41" t="s">
        <v>2238</v>
      </c>
      <c r="I41" t="s">
        <v>141</v>
      </c>
      <c r="J41" t="s">
        <v>673</v>
      </c>
      <c r="K41" t="s">
        <v>2011</v>
      </c>
      <c r="L41" t="s">
        <v>2001</v>
      </c>
      <c r="M41" t="s">
        <v>2239</v>
      </c>
      <c r="N41" t="s">
        <v>2240</v>
      </c>
      <c r="O41" t="s">
        <v>2014</v>
      </c>
      <c r="P41" t="s">
        <v>1669</v>
      </c>
      <c r="Q41" t="s">
        <v>2241</v>
      </c>
      <c r="R41" t="s">
        <v>2242</v>
      </c>
    </row>
    <row r="42" spans="1:18" ht="15.6" x14ac:dyDescent="0.3">
      <c r="A42" t="s">
        <v>2243</v>
      </c>
      <c r="B42" t="s">
        <v>1666</v>
      </c>
      <c r="C42" t="s">
        <v>1666</v>
      </c>
      <c r="D42">
        <v>2023</v>
      </c>
      <c r="E42" t="s">
        <v>1997</v>
      </c>
      <c r="F42" t="s">
        <v>2243</v>
      </c>
      <c r="G42" t="s">
        <v>48</v>
      </c>
      <c r="H42" t="s">
        <v>2244</v>
      </c>
      <c r="I42" t="s">
        <v>141</v>
      </c>
      <c r="J42" t="s">
        <v>896</v>
      </c>
      <c r="K42" t="s">
        <v>2011</v>
      </c>
      <c r="L42" t="s">
        <v>2001</v>
      </c>
      <c r="M42" t="s">
        <v>2245</v>
      </c>
      <c r="N42" t="s">
        <v>2240</v>
      </c>
      <c r="O42" t="s">
        <v>2014</v>
      </c>
      <c r="P42" t="s">
        <v>1667</v>
      </c>
      <c r="Q42" t="s">
        <v>2246</v>
      </c>
      <c r="R42" t="s">
        <v>2247</v>
      </c>
    </row>
    <row r="43" spans="1:18" ht="15.6" x14ac:dyDescent="0.3">
      <c r="A43" t="s">
        <v>2248</v>
      </c>
      <c r="B43" t="s">
        <v>1666</v>
      </c>
      <c r="C43" t="s">
        <v>1666</v>
      </c>
      <c r="D43">
        <v>0</v>
      </c>
      <c r="E43" t="s">
        <v>1997</v>
      </c>
      <c r="F43" t="s">
        <v>2248</v>
      </c>
      <c r="G43" t="s">
        <v>2086</v>
      </c>
      <c r="H43" t="s">
        <v>2249</v>
      </c>
      <c r="I43" t="s">
        <v>141</v>
      </c>
      <c r="J43" t="s">
        <v>855</v>
      </c>
      <c r="K43" t="s">
        <v>2011</v>
      </c>
      <c r="L43" t="s">
        <v>2001</v>
      </c>
      <c r="M43" t="s">
        <v>2250</v>
      </c>
      <c r="O43" t="s">
        <v>2014</v>
      </c>
      <c r="P43" t="s">
        <v>1669</v>
      </c>
      <c r="Q43" t="s">
        <v>2251</v>
      </c>
      <c r="R43" t="s">
        <v>2252</v>
      </c>
    </row>
    <row r="44" spans="1:18" ht="15.6" x14ac:dyDescent="0.3">
      <c r="A44" t="s">
        <v>2253</v>
      </c>
      <c r="B44" t="s">
        <v>1666</v>
      </c>
      <c r="C44" t="s">
        <v>1666</v>
      </c>
      <c r="D44">
        <v>2023</v>
      </c>
      <c r="E44" t="s">
        <v>2007</v>
      </c>
      <c r="F44" t="s">
        <v>2253</v>
      </c>
      <c r="G44" t="s">
        <v>2254</v>
      </c>
      <c r="H44" t="s">
        <v>2255</v>
      </c>
      <c r="I44" t="s">
        <v>48</v>
      </c>
      <c r="J44" t="s">
        <v>1418</v>
      </c>
      <c r="K44" t="s">
        <v>2011</v>
      </c>
      <c r="L44" t="s">
        <v>2001</v>
      </c>
      <c r="M44" t="s">
        <v>2256</v>
      </c>
      <c r="N44" t="s">
        <v>2257</v>
      </c>
      <c r="O44" t="s">
        <v>2014</v>
      </c>
      <c r="P44" t="s">
        <v>1669</v>
      </c>
      <c r="Q44" t="s">
        <v>2258</v>
      </c>
      <c r="R44" t="s">
        <v>2259</v>
      </c>
    </row>
    <row r="45" spans="1:18" ht="15.6" x14ac:dyDescent="0.3">
      <c r="A45" t="s">
        <v>2260</v>
      </c>
      <c r="B45" t="s">
        <v>1666</v>
      </c>
      <c r="C45" t="s">
        <v>1666</v>
      </c>
      <c r="D45">
        <v>2023</v>
      </c>
      <c r="E45" t="s">
        <v>2007</v>
      </c>
      <c r="F45" t="s">
        <v>2260</v>
      </c>
      <c r="G45" t="s">
        <v>2254</v>
      </c>
      <c r="H45" t="s">
        <v>2261</v>
      </c>
      <c r="I45" t="s">
        <v>48</v>
      </c>
      <c r="J45" t="s">
        <v>358</v>
      </c>
      <c r="K45" t="s">
        <v>2011</v>
      </c>
      <c r="L45" t="s">
        <v>2001</v>
      </c>
      <c r="M45" t="s">
        <v>2262</v>
      </c>
      <c r="N45" t="s">
        <v>2257</v>
      </c>
      <c r="O45" t="s">
        <v>2014</v>
      </c>
      <c r="P45" t="s">
        <v>1669</v>
      </c>
      <c r="Q45" t="s">
        <v>2263</v>
      </c>
      <c r="R45" t="s">
        <v>2264</v>
      </c>
    </row>
    <row r="46" spans="1:18" ht="15.6" x14ac:dyDescent="0.3">
      <c r="A46" t="s">
        <v>2265</v>
      </c>
      <c r="B46" t="s">
        <v>1666</v>
      </c>
      <c r="C46" t="s">
        <v>1666</v>
      </c>
      <c r="D46">
        <v>2023</v>
      </c>
      <c r="E46" t="s">
        <v>2007</v>
      </c>
      <c r="F46" t="s">
        <v>2265</v>
      </c>
      <c r="G46" t="s">
        <v>2254</v>
      </c>
      <c r="H46" t="s">
        <v>2261</v>
      </c>
      <c r="I46" t="s">
        <v>48</v>
      </c>
      <c r="J46" t="s">
        <v>157</v>
      </c>
      <c r="K46" t="s">
        <v>2011</v>
      </c>
      <c r="L46" t="s">
        <v>2001</v>
      </c>
      <c r="M46" t="s">
        <v>2266</v>
      </c>
      <c r="N46" t="s">
        <v>2267</v>
      </c>
      <c r="O46" t="s">
        <v>2014</v>
      </c>
      <c r="P46" t="s">
        <v>1669</v>
      </c>
      <c r="Q46" t="s">
        <v>2268</v>
      </c>
      <c r="R46" t="s">
        <v>2269</v>
      </c>
    </row>
    <row r="47" spans="1:18" ht="15.6" x14ac:dyDescent="0.3">
      <c r="A47" t="s">
        <v>2270</v>
      </c>
      <c r="B47" t="s">
        <v>1666</v>
      </c>
      <c r="C47" t="s">
        <v>1666</v>
      </c>
      <c r="D47">
        <v>2023</v>
      </c>
      <c r="E47" t="s">
        <v>1997</v>
      </c>
      <c r="F47" t="s">
        <v>2270</v>
      </c>
      <c r="G47" t="s">
        <v>2086</v>
      </c>
      <c r="H47" t="s">
        <v>2271</v>
      </c>
      <c r="I47" t="s">
        <v>48</v>
      </c>
      <c r="J47" t="s">
        <v>1047</v>
      </c>
      <c r="K47" t="s">
        <v>2011</v>
      </c>
      <c r="L47" t="s">
        <v>2001</v>
      </c>
      <c r="M47" t="s">
        <v>2272</v>
      </c>
      <c r="N47" t="s">
        <v>2273</v>
      </c>
      <c r="O47" t="s">
        <v>2014</v>
      </c>
      <c r="P47" t="s">
        <v>1669</v>
      </c>
      <c r="Q47" t="s">
        <v>2274</v>
      </c>
      <c r="R47" t="s">
        <v>2275</v>
      </c>
    </row>
    <row r="48" spans="1:18" ht="15.6" x14ac:dyDescent="0.3">
      <c r="A48" t="s">
        <v>2276</v>
      </c>
      <c r="B48" t="s">
        <v>1666</v>
      </c>
      <c r="C48" t="s">
        <v>1666</v>
      </c>
      <c r="D48">
        <v>2023</v>
      </c>
      <c r="E48" t="s">
        <v>1997</v>
      </c>
      <c r="F48" t="s">
        <v>2276</v>
      </c>
      <c r="G48" t="s">
        <v>2086</v>
      </c>
      <c r="H48" t="s">
        <v>2277</v>
      </c>
      <c r="I48" t="s">
        <v>48</v>
      </c>
      <c r="J48" t="s">
        <v>103</v>
      </c>
      <c r="K48" t="s">
        <v>2011</v>
      </c>
      <c r="L48" t="s">
        <v>2001</v>
      </c>
      <c r="M48" t="s">
        <v>2278</v>
      </c>
      <c r="N48" t="s">
        <v>2273</v>
      </c>
      <c r="O48" t="s">
        <v>2014</v>
      </c>
      <c r="P48" t="s">
        <v>1669</v>
      </c>
      <c r="Q48" t="s">
        <v>2279</v>
      </c>
      <c r="R48" t="s">
        <v>2280</v>
      </c>
    </row>
    <row r="49" spans="1:18" ht="15.6" x14ac:dyDescent="0.3">
      <c r="A49" t="s">
        <v>2281</v>
      </c>
      <c r="B49" t="s">
        <v>1666</v>
      </c>
      <c r="C49" t="s">
        <v>1666</v>
      </c>
      <c r="D49">
        <v>2023</v>
      </c>
      <c r="E49" t="s">
        <v>1997</v>
      </c>
      <c r="F49" t="s">
        <v>2281</v>
      </c>
      <c r="G49" t="s">
        <v>2282</v>
      </c>
      <c r="H49" t="s">
        <v>2283</v>
      </c>
      <c r="I49" t="s">
        <v>48</v>
      </c>
      <c r="J49" t="s">
        <v>1440</v>
      </c>
      <c r="K49" t="s">
        <v>2093</v>
      </c>
      <c r="L49" t="s">
        <v>2001</v>
      </c>
      <c r="M49" t="s">
        <v>2284</v>
      </c>
      <c r="N49" t="s">
        <v>2285</v>
      </c>
      <c r="O49" t="s">
        <v>2014</v>
      </c>
      <c r="P49" t="s">
        <v>1669</v>
      </c>
      <c r="Q49" t="s">
        <v>2286</v>
      </c>
      <c r="R49" t="s">
        <v>2287</v>
      </c>
    </row>
    <row r="50" spans="1:18" ht="15.6" x14ac:dyDescent="0.3">
      <c r="A50" t="s">
        <v>2288</v>
      </c>
      <c r="B50" t="s">
        <v>1666</v>
      </c>
      <c r="C50" t="s">
        <v>1666</v>
      </c>
      <c r="D50">
        <v>2023</v>
      </c>
      <c r="E50" t="s">
        <v>2007</v>
      </c>
      <c r="F50" t="s">
        <v>2288</v>
      </c>
      <c r="G50" t="s">
        <v>2008</v>
      </c>
      <c r="H50" t="s">
        <v>2289</v>
      </c>
      <c r="I50" t="s">
        <v>141</v>
      </c>
      <c r="J50" t="s">
        <v>863</v>
      </c>
      <c r="K50" t="s">
        <v>2067</v>
      </c>
      <c r="L50" t="s">
        <v>2001</v>
      </c>
      <c r="M50" t="s">
        <v>2290</v>
      </c>
      <c r="N50" t="s">
        <v>2291</v>
      </c>
      <c r="O50" t="s">
        <v>2014</v>
      </c>
      <c r="P50" t="s">
        <v>1669</v>
      </c>
      <c r="Q50" t="s">
        <v>2292</v>
      </c>
      <c r="R50" t="s">
        <v>2293</v>
      </c>
    </row>
    <row r="51" spans="1:18" ht="15.6" x14ac:dyDescent="0.3">
      <c r="A51" t="s">
        <v>2294</v>
      </c>
      <c r="B51" t="s">
        <v>1666</v>
      </c>
      <c r="C51" t="s">
        <v>1666</v>
      </c>
      <c r="D51">
        <v>2023</v>
      </c>
      <c r="E51" t="s">
        <v>2007</v>
      </c>
      <c r="F51" t="s">
        <v>2294</v>
      </c>
      <c r="G51" t="s">
        <v>2282</v>
      </c>
      <c r="H51" t="s">
        <v>2295</v>
      </c>
      <c r="I51" t="s">
        <v>48</v>
      </c>
      <c r="J51" t="s">
        <v>397</v>
      </c>
      <c r="K51" t="s">
        <v>2093</v>
      </c>
      <c r="L51" t="s">
        <v>2001</v>
      </c>
      <c r="M51" t="s">
        <v>2296</v>
      </c>
      <c r="N51" t="s">
        <v>2297</v>
      </c>
      <c r="O51" t="s">
        <v>2014</v>
      </c>
      <c r="P51" t="s">
        <v>1669</v>
      </c>
      <c r="Q51" t="s">
        <v>2298</v>
      </c>
      <c r="R51" t="s">
        <v>2299</v>
      </c>
    </row>
    <row r="52" spans="1:18" ht="15.6" x14ac:dyDescent="0.3">
      <c r="A52" t="s">
        <v>2300</v>
      </c>
      <c r="B52" t="s">
        <v>1666</v>
      </c>
      <c r="C52" t="s">
        <v>1666</v>
      </c>
      <c r="D52">
        <v>2025</v>
      </c>
      <c r="E52" t="s">
        <v>1997</v>
      </c>
      <c r="F52" t="s">
        <v>2300</v>
      </c>
      <c r="G52" t="s">
        <v>2086</v>
      </c>
      <c r="H52" t="s">
        <v>2301</v>
      </c>
      <c r="I52" t="s">
        <v>141</v>
      </c>
      <c r="J52" t="s">
        <v>1339</v>
      </c>
      <c r="K52" t="s">
        <v>2067</v>
      </c>
      <c r="L52" t="s">
        <v>2001</v>
      </c>
      <c r="M52" t="s">
        <v>2302</v>
      </c>
      <c r="N52" t="s">
        <v>2303</v>
      </c>
      <c r="O52" t="s">
        <v>2304</v>
      </c>
      <c r="P52" t="s">
        <v>1669</v>
      </c>
      <c r="Q52" t="s">
        <v>2305</v>
      </c>
      <c r="R52" t="s">
        <v>2306</v>
      </c>
    </row>
    <row r="53" spans="1:18" ht="15.6" x14ac:dyDescent="0.3">
      <c r="A53" t="s">
        <v>2307</v>
      </c>
      <c r="B53" t="s">
        <v>1666</v>
      </c>
      <c r="C53" t="s">
        <v>1666</v>
      </c>
      <c r="D53">
        <v>2023</v>
      </c>
      <c r="E53" t="s">
        <v>2007</v>
      </c>
      <c r="F53" t="s">
        <v>2307</v>
      </c>
      <c r="G53" t="s">
        <v>2008</v>
      </c>
      <c r="H53" t="s">
        <v>2308</v>
      </c>
      <c r="I53" t="s">
        <v>2309</v>
      </c>
      <c r="J53" t="s">
        <v>50</v>
      </c>
      <c r="K53" t="s">
        <v>2011</v>
      </c>
      <c r="L53" t="s">
        <v>2001</v>
      </c>
      <c r="M53" t="s">
        <v>2310</v>
      </c>
      <c r="N53" t="s">
        <v>2311</v>
      </c>
      <c r="O53" t="s">
        <v>2014</v>
      </c>
      <c r="P53" t="s">
        <v>1669</v>
      </c>
      <c r="Q53" t="s">
        <v>2312</v>
      </c>
      <c r="R53" t="s">
        <v>2313</v>
      </c>
    </row>
    <row r="54" spans="1:18" ht="15.6" x14ac:dyDescent="0.3">
      <c r="A54" t="s">
        <v>2314</v>
      </c>
      <c r="B54" t="s">
        <v>1666</v>
      </c>
      <c r="C54" t="s">
        <v>1666</v>
      </c>
      <c r="D54">
        <v>0</v>
      </c>
      <c r="E54" t="s">
        <v>1997</v>
      </c>
      <c r="F54" t="s">
        <v>2314</v>
      </c>
      <c r="G54" t="s">
        <v>145</v>
      </c>
      <c r="H54" t="s">
        <v>2315</v>
      </c>
      <c r="I54" t="s">
        <v>2316</v>
      </c>
      <c r="J54" t="s">
        <v>872</v>
      </c>
      <c r="K54" t="s">
        <v>2067</v>
      </c>
      <c r="L54" t="s">
        <v>2001</v>
      </c>
      <c r="M54" t="s">
        <v>2317</v>
      </c>
      <c r="O54" t="s">
        <v>2014</v>
      </c>
      <c r="P54" t="s">
        <v>1667</v>
      </c>
      <c r="Q54" t="s">
        <v>2318</v>
      </c>
      <c r="R54" t="s">
        <v>2319</v>
      </c>
    </row>
    <row r="55" spans="1:18" ht="15.6" x14ac:dyDescent="0.3">
      <c r="A55" t="s">
        <v>2320</v>
      </c>
      <c r="B55" t="s">
        <v>1666</v>
      </c>
      <c r="C55" t="s">
        <v>1666</v>
      </c>
      <c r="D55">
        <v>2023</v>
      </c>
      <c r="E55" t="s">
        <v>2007</v>
      </c>
      <c r="F55" t="s">
        <v>2320</v>
      </c>
      <c r="G55" t="s">
        <v>2086</v>
      </c>
      <c r="H55" t="s">
        <v>2321</v>
      </c>
      <c r="I55" t="s">
        <v>141</v>
      </c>
      <c r="J55" t="s">
        <v>525</v>
      </c>
      <c r="K55" t="s">
        <v>2067</v>
      </c>
      <c r="L55" t="s">
        <v>2001</v>
      </c>
      <c r="M55" t="s">
        <v>2322</v>
      </c>
      <c r="N55" t="s">
        <v>2323</v>
      </c>
      <c r="O55" t="s">
        <v>2324</v>
      </c>
      <c r="P55" t="s">
        <v>1669</v>
      </c>
      <c r="Q55" t="s">
        <v>2325</v>
      </c>
      <c r="R55" t="s">
        <v>2326</v>
      </c>
    </row>
    <row r="56" spans="1:18" ht="15.6" x14ac:dyDescent="0.3">
      <c r="A56" t="s">
        <v>2327</v>
      </c>
      <c r="B56" t="s">
        <v>1666</v>
      </c>
      <c r="C56" t="s">
        <v>1666</v>
      </c>
      <c r="D56">
        <v>2023</v>
      </c>
      <c r="E56" t="s">
        <v>2007</v>
      </c>
      <c r="F56" t="s">
        <v>2327</v>
      </c>
      <c r="G56" t="s">
        <v>2282</v>
      </c>
      <c r="H56" t="s">
        <v>2328</v>
      </c>
      <c r="I56" t="s">
        <v>48</v>
      </c>
      <c r="J56" t="s">
        <v>486</v>
      </c>
      <c r="K56" t="s">
        <v>2093</v>
      </c>
      <c r="L56" t="s">
        <v>2001</v>
      </c>
      <c r="M56" t="s">
        <v>2329</v>
      </c>
      <c r="N56" t="s">
        <v>2330</v>
      </c>
      <c r="O56" t="s">
        <v>2014</v>
      </c>
      <c r="P56" t="s">
        <v>1669</v>
      </c>
      <c r="Q56" t="s">
        <v>2331</v>
      </c>
      <c r="R56" t="s">
        <v>2332</v>
      </c>
    </row>
    <row r="57" spans="1:18" ht="15.6" x14ac:dyDescent="0.3">
      <c r="A57" t="s">
        <v>2333</v>
      </c>
      <c r="B57" t="s">
        <v>1666</v>
      </c>
      <c r="C57" t="s">
        <v>1666</v>
      </c>
      <c r="D57">
        <v>0</v>
      </c>
      <c r="E57" t="s">
        <v>1997</v>
      </c>
      <c r="F57" t="s">
        <v>2333</v>
      </c>
      <c r="G57" t="s">
        <v>145</v>
      </c>
      <c r="H57" t="s">
        <v>2334</v>
      </c>
      <c r="I57" t="s">
        <v>48</v>
      </c>
      <c r="J57" t="s">
        <v>917</v>
      </c>
      <c r="K57" t="s">
        <v>2067</v>
      </c>
      <c r="L57" t="s">
        <v>2001</v>
      </c>
      <c r="M57" t="s">
        <v>2335</v>
      </c>
      <c r="O57" t="s">
        <v>2070</v>
      </c>
      <c r="P57" t="s">
        <v>1669</v>
      </c>
      <c r="Q57" t="s">
        <v>2336</v>
      </c>
      <c r="R57" t="s">
        <v>2337</v>
      </c>
    </row>
    <row r="58" spans="1:18" ht="15.6" x14ac:dyDescent="0.3">
      <c r="A58" t="s">
        <v>2338</v>
      </c>
      <c r="B58" t="s">
        <v>1666</v>
      </c>
      <c r="C58" t="s">
        <v>1666</v>
      </c>
      <c r="D58">
        <v>2023</v>
      </c>
      <c r="E58" t="s">
        <v>2007</v>
      </c>
      <c r="F58" t="s">
        <v>2338</v>
      </c>
      <c r="G58" t="s">
        <v>2008</v>
      </c>
      <c r="H58" t="s">
        <v>2339</v>
      </c>
      <c r="I58" t="s">
        <v>48</v>
      </c>
      <c r="J58" t="s">
        <v>964</v>
      </c>
      <c r="K58" t="s">
        <v>2067</v>
      </c>
      <c r="L58" t="s">
        <v>2001</v>
      </c>
      <c r="M58" t="s">
        <v>2340</v>
      </c>
      <c r="N58" t="s">
        <v>2341</v>
      </c>
      <c r="O58" t="s">
        <v>2324</v>
      </c>
      <c r="P58" t="s">
        <v>1669</v>
      </c>
      <c r="Q58" t="s">
        <v>2342</v>
      </c>
      <c r="R58" t="s">
        <v>2343</v>
      </c>
    </row>
    <row r="59" spans="1:18" ht="15.6" x14ac:dyDescent="0.3">
      <c r="A59" t="s">
        <v>2344</v>
      </c>
      <c r="B59" t="s">
        <v>1666</v>
      </c>
      <c r="C59" t="s">
        <v>1666</v>
      </c>
      <c r="D59">
        <v>2023</v>
      </c>
      <c r="E59" t="s">
        <v>2007</v>
      </c>
      <c r="F59" t="s">
        <v>2344</v>
      </c>
      <c r="G59" t="s">
        <v>2008</v>
      </c>
      <c r="H59" t="s">
        <v>2345</v>
      </c>
      <c r="I59" t="s">
        <v>48</v>
      </c>
      <c r="J59" t="s">
        <v>1128</v>
      </c>
      <c r="K59" t="s">
        <v>2011</v>
      </c>
      <c r="L59" t="s">
        <v>2001</v>
      </c>
      <c r="M59" t="s">
        <v>2346</v>
      </c>
      <c r="N59" t="s">
        <v>2347</v>
      </c>
      <c r="O59" t="s">
        <v>2014</v>
      </c>
      <c r="P59" t="s">
        <v>1669</v>
      </c>
      <c r="Q59" t="s">
        <v>2348</v>
      </c>
      <c r="R59" t="s">
        <v>2349</v>
      </c>
    </row>
    <row r="60" spans="1:18" ht="15.6" x14ac:dyDescent="0.3">
      <c r="A60" t="s">
        <v>2350</v>
      </c>
      <c r="B60" t="s">
        <v>1666</v>
      </c>
      <c r="C60" t="s">
        <v>1666</v>
      </c>
      <c r="D60">
        <v>0</v>
      </c>
      <c r="E60" t="s">
        <v>2007</v>
      </c>
      <c r="F60" t="s">
        <v>2350</v>
      </c>
      <c r="G60" t="s">
        <v>1623</v>
      </c>
      <c r="H60" t="s">
        <v>2351</v>
      </c>
      <c r="I60" t="s">
        <v>2352</v>
      </c>
      <c r="J60" t="s">
        <v>516</v>
      </c>
      <c r="K60" t="s">
        <v>2011</v>
      </c>
      <c r="L60" t="s">
        <v>2001</v>
      </c>
      <c r="M60" t="s">
        <v>2353</v>
      </c>
      <c r="O60" t="s">
        <v>2014</v>
      </c>
      <c r="P60" t="s">
        <v>1667</v>
      </c>
      <c r="Q60" t="s">
        <v>2354</v>
      </c>
      <c r="R60" t="s">
        <v>2355</v>
      </c>
    </row>
    <row r="61" spans="1:18" ht="15.6" x14ac:dyDescent="0.3">
      <c r="A61" t="s">
        <v>2356</v>
      </c>
      <c r="B61" t="s">
        <v>1666</v>
      </c>
      <c r="C61" t="s">
        <v>1666</v>
      </c>
      <c r="D61">
        <v>2023</v>
      </c>
      <c r="E61" t="s">
        <v>1997</v>
      </c>
      <c r="F61" t="s">
        <v>2356</v>
      </c>
      <c r="G61" t="s">
        <v>2086</v>
      </c>
      <c r="H61" t="s">
        <v>2357</v>
      </c>
      <c r="I61" t="s">
        <v>1666</v>
      </c>
      <c r="J61" t="s">
        <v>1642</v>
      </c>
      <c r="K61" t="s">
        <v>2067</v>
      </c>
      <c r="L61" t="s">
        <v>2001</v>
      </c>
      <c r="M61" t="s">
        <v>2358</v>
      </c>
      <c r="N61" t="s">
        <v>2359</v>
      </c>
      <c r="O61" t="s">
        <v>2014</v>
      </c>
      <c r="P61" t="s">
        <v>1667</v>
      </c>
      <c r="Q61" t="s">
        <v>39</v>
      </c>
    </row>
    <row r="62" spans="1:18" ht="15.6" x14ac:dyDescent="0.3">
      <c r="A62" t="s">
        <v>2360</v>
      </c>
      <c r="B62" t="s">
        <v>1666</v>
      </c>
      <c r="C62" t="s">
        <v>1666</v>
      </c>
      <c r="D62">
        <v>2023</v>
      </c>
      <c r="E62" t="s">
        <v>48</v>
      </c>
      <c r="F62" t="s">
        <v>2360</v>
      </c>
      <c r="G62" t="s">
        <v>1666</v>
      </c>
      <c r="H62" t="s">
        <v>2361</v>
      </c>
      <c r="I62" t="s">
        <v>48</v>
      </c>
      <c r="J62" t="s">
        <v>469</v>
      </c>
      <c r="K62" t="s">
        <v>2011</v>
      </c>
      <c r="L62" t="s">
        <v>2001</v>
      </c>
      <c r="M62" t="s">
        <v>2362</v>
      </c>
      <c r="N62" t="s">
        <v>2363</v>
      </c>
      <c r="O62" t="s">
        <v>2014</v>
      </c>
      <c r="P62" t="s">
        <v>1675</v>
      </c>
      <c r="Q62" t="s">
        <v>2364</v>
      </c>
      <c r="R62" t="s">
        <v>2365</v>
      </c>
    </row>
    <row r="63" spans="1:18" ht="15.6" x14ac:dyDescent="0.3">
      <c r="A63" t="s">
        <v>2366</v>
      </c>
      <c r="B63" t="s">
        <v>1666</v>
      </c>
      <c r="C63" t="s">
        <v>1666</v>
      </c>
      <c r="D63">
        <v>0</v>
      </c>
      <c r="E63" t="s">
        <v>1997</v>
      </c>
      <c r="F63" t="s">
        <v>2366</v>
      </c>
      <c r="G63" t="s">
        <v>2008</v>
      </c>
      <c r="H63" t="s">
        <v>2367</v>
      </c>
      <c r="I63" t="s">
        <v>2368</v>
      </c>
      <c r="J63" t="s">
        <v>1274</v>
      </c>
      <c r="K63" t="s">
        <v>2067</v>
      </c>
      <c r="L63" t="s">
        <v>2001</v>
      </c>
      <c r="M63" t="s">
        <v>2369</v>
      </c>
      <c r="O63" t="s">
        <v>2014</v>
      </c>
      <c r="P63" t="s">
        <v>1669</v>
      </c>
      <c r="Q63" t="s">
        <v>2370</v>
      </c>
      <c r="R63" t="s">
        <v>2371</v>
      </c>
    </row>
    <row r="64" spans="1:18" ht="15.6" x14ac:dyDescent="0.3">
      <c r="A64" t="s">
        <v>2372</v>
      </c>
      <c r="B64" t="s">
        <v>1666</v>
      </c>
      <c r="C64" t="s">
        <v>1666</v>
      </c>
      <c r="D64">
        <v>2023</v>
      </c>
      <c r="E64" t="s">
        <v>2007</v>
      </c>
      <c r="F64" t="s">
        <v>2372</v>
      </c>
      <c r="G64" t="s">
        <v>2008</v>
      </c>
      <c r="H64" t="s">
        <v>2373</v>
      </c>
      <c r="I64" t="s">
        <v>2024</v>
      </c>
      <c r="J64" t="s">
        <v>88</v>
      </c>
      <c r="K64" t="s">
        <v>2011</v>
      </c>
      <c r="L64" t="s">
        <v>2001</v>
      </c>
      <c r="M64" t="s">
        <v>2374</v>
      </c>
      <c r="N64" t="s">
        <v>2375</v>
      </c>
      <c r="O64" t="s">
        <v>2014</v>
      </c>
      <c r="P64" t="s">
        <v>1667</v>
      </c>
      <c r="Q64" t="s">
        <v>2376</v>
      </c>
      <c r="R64" t="s">
        <v>2377</v>
      </c>
    </row>
    <row r="65" spans="1:18" ht="15.6" x14ac:dyDescent="0.3">
      <c r="A65" t="s">
        <v>2378</v>
      </c>
      <c r="B65" t="s">
        <v>1666</v>
      </c>
      <c r="C65" t="s">
        <v>1666</v>
      </c>
      <c r="D65">
        <v>2023</v>
      </c>
      <c r="E65" t="s">
        <v>1997</v>
      </c>
      <c r="F65" t="s">
        <v>2378</v>
      </c>
      <c r="G65" t="s">
        <v>2086</v>
      </c>
      <c r="H65" t="s">
        <v>2379</v>
      </c>
      <c r="I65" t="s">
        <v>48</v>
      </c>
      <c r="J65" t="s">
        <v>1339</v>
      </c>
      <c r="K65" t="s">
        <v>2067</v>
      </c>
      <c r="L65" t="s">
        <v>2001</v>
      </c>
      <c r="M65" t="s">
        <v>2380</v>
      </c>
      <c r="N65" t="s">
        <v>2381</v>
      </c>
      <c r="O65" t="s">
        <v>2304</v>
      </c>
      <c r="P65" t="s">
        <v>1669</v>
      </c>
      <c r="Q65" t="s">
        <v>39</v>
      </c>
    </row>
    <row r="66" spans="1:18" ht="15.6" x14ac:dyDescent="0.3">
      <c r="A66" t="s">
        <v>2382</v>
      </c>
      <c r="B66" t="s">
        <v>1666</v>
      </c>
      <c r="C66" t="s">
        <v>1666</v>
      </c>
      <c r="D66">
        <v>2024</v>
      </c>
      <c r="E66" t="s">
        <v>2007</v>
      </c>
      <c r="F66" t="s">
        <v>2382</v>
      </c>
      <c r="G66" t="s">
        <v>1666</v>
      </c>
      <c r="H66" t="s">
        <v>2383</v>
      </c>
      <c r="I66" t="s">
        <v>2384</v>
      </c>
      <c r="J66" t="s">
        <v>987</v>
      </c>
      <c r="K66" t="s">
        <v>2067</v>
      </c>
      <c r="L66" t="s">
        <v>2001</v>
      </c>
      <c r="M66" t="s">
        <v>2385</v>
      </c>
      <c r="N66" t="s">
        <v>2386</v>
      </c>
      <c r="O66" t="s">
        <v>2070</v>
      </c>
      <c r="P66" t="s">
        <v>1667</v>
      </c>
      <c r="Q66" t="s">
        <v>2387</v>
      </c>
      <c r="R66" t="s">
        <v>2388</v>
      </c>
    </row>
    <row r="67" spans="1:18" ht="15.6" x14ac:dyDescent="0.3">
      <c r="A67" t="s">
        <v>2389</v>
      </c>
      <c r="B67" t="s">
        <v>1666</v>
      </c>
      <c r="C67" t="s">
        <v>1666</v>
      </c>
      <c r="D67">
        <v>2024</v>
      </c>
      <c r="E67" t="s">
        <v>1997</v>
      </c>
      <c r="F67" t="s">
        <v>2389</v>
      </c>
      <c r="G67" t="s">
        <v>1666</v>
      </c>
      <c r="H67" t="s">
        <v>2390</v>
      </c>
      <c r="I67" t="s">
        <v>141</v>
      </c>
      <c r="J67" t="s">
        <v>141</v>
      </c>
      <c r="K67" t="s">
        <v>2067</v>
      </c>
      <c r="L67" t="s">
        <v>2001</v>
      </c>
      <c r="M67" t="s">
        <v>2391</v>
      </c>
      <c r="N67" t="s">
        <v>2392</v>
      </c>
      <c r="O67" t="s">
        <v>2014</v>
      </c>
      <c r="P67" t="s">
        <v>1669</v>
      </c>
      <c r="Q67" t="s">
        <v>39</v>
      </c>
    </row>
    <row r="68" spans="1:18" ht="15.6" x14ac:dyDescent="0.3">
      <c r="A68" t="s">
        <v>2393</v>
      </c>
      <c r="B68" t="s">
        <v>1666</v>
      </c>
      <c r="C68" t="s">
        <v>1666</v>
      </c>
      <c r="D68">
        <v>2024</v>
      </c>
      <c r="E68" t="s">
        <v>1997</v>
      </c>
      <c r="F68" t="s">
        <v>2393</v>
      </c>
      <c r="G68" t="s">
        <v>1666</v>
      </c>
      <c r="H68" t="s">
        <v>2394</v>
      </c>
      <c r="I68" t="s">
        <v>141</v>
      </c>
      <c r="J68" t="s">
        <v>141</v>
      </c>
      <c r="K68" t="s">
        <v>2067</v>
      </c>
      <c r="L68" t="s">
        <v>2001</v>
      </c>
      <c r="M68" t="s">
        <v>2395</v>
      </c>
      <c r="N68" t="s">
        <v>2392</v>
      </c>
      <c r="O68" t="s">
        <v>2014</v>
      </c>
      <c r="P68" t="s">
        <v>1667</v>
      </c>
      <c r="Q68" t="s">
        <v>39</v>
      </c>
    </row>
    <row r="69" spans="1:18" ht="15.6" x14ac:dyDescent="0.3">
      <c r="A69" t="s">
        <v>2396</v>
      </c>
      <c r="B69" t="s">
        <v>1666</v>
      </c>
      <c r="C69" t="s">
        <v>1666</v>
      </c>
      <c r="D69">
        <v>2024</v>
      </c>
      <c r="E69" t="s">
        <v>2007</v>
      </c>
      <c r="F69" t="s">
        <v>2396</v>
      </c>
      <c r="G69" t="s">
        <v>2282</v>
      </c>
      <c r="H69" t="s">
        <v>2397</v>
      </c>
      <c r="I69" t="s">
        <v>48</v>
      </c>
      <c r="J69" t="s">
        <v>589</v>
      </c>
      <c r="K69" t="s">
        <v>2093</v>
      </c>
      <c r="L69" t="s">
        <v>2001</v>
      </c>
      <c r="M69" t="s">
        <v>2398</v>
      </c>
      <c r="N69" t="s">
        <v>2399</v>
      </c>
      <c r="O69" t="s">
        <v>2014</v>
      </c>
      <c r="P69" t="s">
        <v>1669</v>
      </c>
      <c r="Q69" t="s">
        <v>2400</v>
      </c>
      <c r="R69" t="s">
        <v>2401</v>
      </c>
    </row>
    <row r="70" spans="1:18" ht="15.6" x14ac:dyDescent="0.3">
      <c r="A70" t="s">
        <v>2402</v>
      </c>
      <c r="B70" t="s">
        <v>1666</v>
      </c>
      <c r="C70" t="s">
        <v>1666</v>
      </c>
      <c r="D70">
        <v>2024</v>
      </c>
      <c r="E70" t="s">
        <v>2007</v>
      </c>
      <c r="F70" t="s">
        <v>2402</v>
      </c>
      <c r="G70" t="s">
        <v>2282</v>
      </c>
      <c r="H70" t="s">
        <v>2403</v>
      </c>
      <c r="I70" t="s">
        <v>48</v>
      </c>
      <c r="J70" t="s">
        <v>765</v>
      </c>
      <c r="K70" t="s">
        <v>2093</v>
      </c>
      <c r="L70" t="s">
        <v>2001</v>
      </c>
      <c r="M70" t="s">
        <v>2404</v>
      </c>
      <c r="N70" t="s">
        <v>2405</v>
      </c>
      <c r="O70" t="s">
        <v>2014</v>
      </c>
      <c r="P70" t="s">
        <v>1669</v>
      </c>
      <c r="Q70" t="s">
        <v>2406</v>
      </c>
      <c r="R70" t="s">
        <v>2407</v>
      </c>
    </row>
    <row r="71" spans="1:18" ht="15.6" x14ac:dyDescent="0.3">
      <c r="A71" t="s">
        <v>2408</v>
      </c>
      <c r="B71" t="s">
        <v>1666</v>
      </c>
      <c r="C71" t="s">
        <v>1666</v>
      </c>
      <c r="D71">
        <v>0</v>
      </c>
      <c r="E71" t="s">
        <v>1997</v>
      </c>
      <c r="F71" t="s">
        <v>2408</v>
      </c>
      <c r="G71" t="s">
        <v>1623</v>
      </c>
      <c r="H71" t="s">
        <v>2409</v>
      </c>
      <c r="I71" t="s">
        <v>141</v>
      </c>
      <c r="J71" t="s">
        <v>1403</v>
      </c>
      <c r="K71" t="s">
        <v>2011</v>
      </c>
      <c r="L71" t="s">
        <v>2001</v>
      </c>
      <c r="M71" t="s">
        <v>2410</v>
      </c>
      <c r="O71" t="s">
        <v>2070</v>
      </c>
      <c r="P71" t="s">
        <v>1669</v>
      </c>
      <c r="Q71" t="s">
        <v>2411</v>
      </c>
      <c r="R71" t="s">
        <v>2412</v>
      </c>
    </row>
    <row r="72" spans="1:18" ht="15.6" x14ac:dyDescent="0.3">
      <c r="A72" t="s">
        <v>2413</v>
      </c>
      <c r="B72" t="s">
        <v>1666</v>
      </c>
      <c r="C72" t="s">
        <v>1666</v>
      </c>
      <c r="D72">
        <v>0</v>
      </c>
      <c r="E72" t="s">
        <v>1997</v>
      </c>
      <c r="F72" t="s">
        <v>2413</v>
      </c>
      <c r="G72" t="s">
        <v>1666</v>
      </c>
      <c r="H72" t="s">
        <v>2414</v>
      </c>
      <c r="I72" t="s">
        <v>48</v>
      </c>
      <c r="J72" t="s">
        <v>1177</v>
      </c>
      <c r="K72" t="s">
        <v>2067</v>
      </c>
      <c r="L72" t="s">
        <v>2001</v>
      </c>
      <c r="M72" t="s">
        <v>2415</v>
      </c>
      <c r="O72" t="s">
        <v>2070</v>
      </c>
      <c r="P72" t="s">
        <v>1669</v>
      </c>
      <c r="Q72" t="s">
        <v>2416</v>
      </c>
      <c r="R72" t="s">
        <v>2417</v>
      </c>
    </row>
    <row r="73" spans="1:18" ht="15.6" x14ac:dyDescent="0.3">
      <c r="A73" t="s">
        <v>2418</v>
      </c>
      <c r="B73" t="s">
        <v>1666</v>
      </c>
      <c r="C73" t="s">
        <v>1666</v>
      </c>
      <c r="D73">
        <v>2024</v>
      </c>
      <c r="E73" t="s">
        <v>2007</v>
      </c>
      <c r="F73" t="s">
        <v>2418</v>
      </c>
      <c r="G73" t="s">
        <v>2008</v>
      </c>
      <c r="H73" t="s">
        <v>2419</v>
      </c>
      <c r="I73" t="s">
        <v>2420</v>
      </c>
      <c r="J73" t="s">
        <v>261</v>
      </c>
      <c r="K73" t="s">
        <v>2067</v>
      </c>
      <c r="L73" t="s">
        <v>2001</v>
      </c>
      <c r="M73" t="s">
        <v>2421</v>
      </c>
      <c r="N73" t="s">
        <v>2422</v>
      </c>
      <c r="O73" t="s">
        <v>2070</v>
      </c>
      <c r="P73" t="s">
        <v>1669</v>
      </c>
      <c r="Q73" t="s">
        <v>2423</v>
      </c>
      <c r="R73" t="s">
        <v>2424</v>
      </c>
    </row>
    <row r="74" spans="1:18" ht="15.6" x14ac:dyDescent="0.3">
      <c r="A74" t="s">
        <v>2425</v>
      </c>
      <c r="B74" t="s">
        <v>1666</v>
      </c>
      <c r="C74" t="s">
        <v>1666</v>
      </c>
      <c r="D74">
        <v>2024</v>
      </c>
      <c r="E74" t="s">
        <v>2007</v>
      </c>
      <c r="F74" t="s">
        <v>2425</v>
      </c>
      <c r="G74" t="s">
        <v>2008</v>
      </c>
      <c r="H74" t="s">
        <v>2419</v>
      </c>
      <c r="I74" t="s">
        <v>2420</v>
      </c>
      <c r="J74" t="s">
        <v>261</v>
      </c>
      <c r="K74" t="s">
        <v>2067</v>
      </c>
      <c r="L74" t="s">
        <v>2001</v>
      </c>
      <c r="M74" t="s">
        <v>2426</v>
      </c>
      <c r="N74" t="s">
        <v>2422</v>
      </c>
      <c r="O74" t="s">
        <v>2070</v>
      </c>
      <c r="P74" t="s">
        <v>1669</v>
      </c>
      <c r="Q74" t="s">
        <v>39</v>
      </c>
    </row>
    <row r="75" spans="1:18" ht="15.6" x14ac:dyDescent="0.3">
      <c r="A75" t="s">
        <v>2427</v>
      </c>
      <c r="B75" t="s">
        <v>1666</v>
      </c>
      <c r="C75" t="s">
        <v>1666</v>
      </c>
      <c r="D75">
        <v>2024</v>
      </c>
      <c r="E75" t="s">
        <v>2007</v>
      </c>
      <c r="F75" t="s">
        <v>2427</v>
      </c>
      <c r="G75" t="s">
        <v>2008</v>
      </c>
      <c r="H75" t="s">
        <v>2428</v>
      </c>
      <c r="I75" t="s">
        <v>48</v>
      </c>
      <c r="J75" t="s">
        <v>261</v>
      </c>
      <c r="K75" t="s">
        <v>2067</v>
      </c>
      <c r="L75" t="s">
        <v>2001</v>
      </c>
      <c r="M75" t="s">
        <v>2429</v>
      </c>
      <c r="N75" t="s">
        <v>2422</v>
      </c>
      <c r="O75" t="s">
        <v>2070</v>
      </c>
      <c r="P75" t="s">
        <v>1669</v>
      </c>
      <c r="Q75" t="s">
        <v>39</v>
      </c>
    </row>
    <row r="76" spans="1:18" ht="15.6" x14ac:dyDescent="0.3">
      <c r="A76" t="s">
        <v>2430</v>
      </c>
      <c r="B76" t="s">
        <v>2431</v>
      </c>
      <c r="C76" t="s">
        <v>1666</v>
      </c>
      <c r="D76">
        <v>2024</v>
      </c>
      <c r="E76" t="s">
        <v>1997</v>
      </c>
      <c r="F76" t="s">
        <v>2430</v>
      </c>
      <c r="G76" t="s">
        <v>2086</v>
      </c>
      <c r="H76" t="s">
        <v>2432</v>
      </c>
      <c r="I76" t="s">
        <v>141</v>
      </c>
      <c r="J76" t="s">
        <v>1491</v>
      </c>
      <c r="K76" t="s">
        <v>2011</v>
      </c>
      <c r="L76" t="s">
        <v>2001</v>
      </c>
      <c r="M76" t="s">
        <v>2433</v>
      </c>
      <c r="N76" t="s">
        <v>2434</v>
      </c>
      <c r="O76" t="s">
        <v>2014</v>
      </c>
      <c r="P76" t="s">
        <v>1669</v>
      </c>
      <c r="Q76" t="s">
        <v>2435</v>
      </c>
      <c r="R76" t="s">
        <v>2436</v>
      </c>
    </row>
    <row r="77" spans="1:18" ht="15.6" x14ac:dyDescent="0.3">
      <c r="A77" t="s">
        <v>2437</v>
      </c>
      <c r="B77" t="s">
        <v>2431</v>
      </c>
      <c r="C77" t="s">
        <v>1666</v>
      </c>
      <c r="D77">
        <v>2024</v>
      </c>
      <c r="E77" t="s">
        <v>1997</v>
      </c>
      <c r="F77" t="s">
        <v>2437</v>
      </c>
      <c r="G77" t="s">
        <v>2086</v>
      </c>
      <c r="H77" t="s">
        <v>2438</v>
      </c>
      <c r="I77" t="s">
        <v>141</v>
      </c>
      <c r="J77" t="s">
        <v>749</v>
      </c>
      <c r="K77" t="s">
        <v>2011</v>
      </c>
      <c r="L77" t="s">
        <v>2001</v>
      </c>
      <c r="M77" t="s">
        <v>2439</v>
      </c>
      <c r="N77" t="s">
        <v>2434</v>
      </c>
      <c r="O77" t="s">
        <v>2014</v>
      </c>
      <c r="P77" t="s">
        <v>1669</v>
      </c>
      <c r="Q77" t="s">
        <v>2440</v>
      </c>
      <c r="R77" t="s">
        <v>2441</v>
      </c>
    </row>
    <row r="78" spans="1:18" ht="15.6" x14ac:dyDescent="0.3">
      <c r="A78" t="s">
        <v>2442</v>
      </c>
      <c r="B78" t="s">
        <v>2431</v>
      </c>
      <c r="C78" t="s">
        <v>1666</v>
      </c>
      <c r="D78">
        <v>2024</v>
      </c>
      <c r="E78" t="s">
        <v>1997</v>
      </c>
      <c r="F78" t="s">
        <v>2442</v>
      </c>
      <c r="G78" t="s">
        <v>2086</v>
      </c>
      <c r="H78" t="s">
        <v>2443</v>
      </c>
      <c r="I78" t="s">
        <v>141</v>
      </c>
      <c r="J78" t="s">
        <v>270</v>
      </c>
      <c r="K78" t="s">
        <v>2011</v>
      </c>
      <c r="L78" t="s">
        <v>2001</v>
      </c>
      <c r="M78" t="s">
        <v>2444</v>
      </c>
      <c r="N78" t="s">
        <v>2434</v>
      </c>
      <c r="O78" t="s">
        <v>2014</v>
      </c>
      <c r="P78" t="s">
        <v>1669</v>
      </c>
      <c r="Q78" t="s">
        <v>2445</v>
      </c>
      <c r="R78" t="s">
        <v>2446</v>
      </c>
    </row>
    <row r="79" spans="1:18" ht="15.6" x14ac:dyDescent="0.3">
      <c r="A79" t="s">
        <v>2447</v>
      </c>
      <c r="B79" t="s">
        <v>1666</v>
      </c>
      <c r="C79" t="s">
        <v>1666</v>
      </c>
      <c r="D79">
        <v>0</v>
      </c>
      <c r="E79" t="s">
        <v>1997</v>
      </c>
      <c r="F79" t="s">
        <v>2447</v>
      </c>
      <c r="G79" t="s">
        <v>2086</v>
      </c>
      <c r="H79" t="s">
        <v>2448</v>
      </c>
      <c r="I79" t="s">
        <v>2449</v>
      </c>
      <c r="J79" t="s">
        <v>1245</v>
      </c>
      <c r="K79" t="s">
        <v>2011</v>
      </c>
      <c r="L79" t="s">
        <v>2001</v>
      </c>
      <c r="M79" t="s">
        <v>2450</v>
      </c>
      <c r="O79" t="s">
        <v>2014</v>
      </c>
      <c r="P79" t="s">
        <v>1669</v>
      </c>
      <c r="Q79" t="s">
        <v>2451</v>
      </c>
      <c r="R79" t="s">
        <v>2452</v>
      </c>
    </row>
    <row r="80" spans="1:18" ht="15.6" x14ac:dyDescent="0.3">
      <c r="A80" t="s">
        <v>2453</v>
      </c>
      <c r="B80" t="s">
        <v>1666</v>
      </c>
      <c r="C80" t="s">
        <v>1666</v>
      </c>
      <c r="D80">
        <v>2024</v>
      </c>
      <c r="E80" t="s">
        <v>1997</v>
      </c>
      <c r="F80" t="s">
        <v>2453</v>
      </c>
      <c r="G80" t="s">
        <v>1666</v>
      </c>
      <c r="H80" t="s">
        <v>2454</v>
      </c>
      <c r="I80" t="s">
        <v>2449</v>
      </c>
      <c r="J80" t="s">
        <v>1740</v>
      </c>
      <c r="K80" t="s">
        <v>2011</v>
      </c>
      <c r="L80" t="s">
        <v>2001</v>
      </c>
      <c r="M80" t="s">
        <v>2455</v>
      </c>
      <c r="N80" t="s">
        <v>2434</v>
      </c>
      <c r="O80" t="s">
        <v>2014</v>
      </c>
      <c r="P80" t="s">
        <v>1669</v>
      </c>
      <c r="Q80" t="s">
        <v>39</v>
      </c>
    </row>
    <row r="81" spans="1:18" ht="15.6" x14ac:dyDescent="0.3">
      <c r="A81" t="s">
        <v>2456</v>
      </c>
      <c r="B81" t="s">
        <v>2457</v>
      </c>
      <c r="C81" t="s">
        <v>1666</v>
      </c>
      <c r="D81">
        <v>2024</v>
      </c>
      <c r="E81" t="s">
        <v>2007</v>
      </c>
      <c r="F81" t="s">
        <v>2456</v>
      </c>
      <c r="G81" t="s">
        <v>1666</v>
      </c>
      <c r="H81" t="s">
        <v>2458</v>
      </c>
      <c r="I81" t="s">
        <v>141</v>
      </c>
      <c r="J81" t="s">
        <v>1461</v>
      </c>
      <c r="K81" t="s">
        <v>2067</v>
      </c>
      <c r="L81" t="s">
        <v>2001</v>
      </c>
      <c r="M81" t="s">
        <v>2459</v>
      </c>
      <c r="N81" t="s">
        <v>2434</v>
      </c>
      <c r="O81" t="s">
        <v>2070</v>
      </c>
      <c r="P81" t="s">
        <v>1669</v>
      </c>
      <c r="Q81" t="s">
        <v>2460</v>
      </c>
      <c r="R81" t="s">
        <v>2461</v>
      </c>
    </row>
    <row r="82" spans="1:18" ht="15.6" x14ac:dyDescent="0.3">
      <c r="A82" t="s">
        <v>2462</v>
      </c>
      <c r="B82" t="s">
        <v>1666</v>
      </c>
      <c r="C82" t="s">
        <v>1666</v>
      </c>
      <c r="D82">
        <v>2024</v>
      </c>
      <c r="E82" t="s">
        <v>2007</v>
      </c>
      <c r="F82" t="s">
        <v>2462</v>
      </c>
      <c r="G82" t="s">
        <v>2254</v>
      </c>
      <c r="H82" t="s">
        <v>2463</v>
      </c>
      <c r="I82" t="s">
        <v>48</v>
      </c>
      <c r="J82" t="s">
        <v>594</v>
      </c>
      <c r="K82" t="s">
        <v>2067</v>
      </c>
      <c r="L82" t="s">
        <v>2001</v>
      </c>
      <c r="M82" t="s">
        <v>2464</v>
      </c>
      <c r="N82" t="s">
        <v>2465</v>
      </c>
      <c r="O82" t="s">
        <v>2014</v>
      </c>
      <c r="P82" t="s">
        <v>1669</v>
      </c>
      <c r="Q82" t="s">
        <v>2466</v>
      </c>
      <c r="R82" t="s">
        <v>2467</v>
      </c>
    </row>
    <row r="83" spans="1:18" ht="15.6" x14ac:dyDescent="0.3">
      <c r="A83" t="s">
        <v>2468</v>
      </c>
      <c r="B83" t="s">
        <v>1666</v>
      </c>
      <c r="C83" t="s">
        <v>1666</v>
      </c>
      <c r="D83">
        <v>2024</v>
      </c>
      <c r="E83" t="s">
        <v>2007</v>
      </c>
      <c r="F83" t="s">
        <v>2468</v>
      </c>
      <c r="G83" t="s">
        <v>1666</v>
      </c>
      <c r="H83" t="s">
        <v>2469</v>
      </c>
      <c r="I83" t="s">
        <v>48</v>
      </c>
      <c r="J83" t="s">
        <v>2470</v>
      </c>
      <c r="K83" t="s">
        <v>2067</v>
      </c>
      <c r="L83" t="s">
        <v>2001</v>
      </c>
      <c r="M83" t="s">
        <v>2471</v>
      </c>
      <c r="N83" t="s">
        <v>2472</v>
      </c>
      <c r="O83" t="s">
        <v>2304</v>
      </c>
      <c r="P83" t="s">
        <v>1669</v>
      </c>
      <c r="Q83" t="s">
        <v>39</v>
      </c>
    </row>
    <row r="84" spans="1:18" ht="15.6" x14ac:dyDescent="0.3">
      <c r="A84" t="s">
        <v>2473</v>
      </c>
      <c r="B84" t="s">
        <v>1666</v>
      </c>
      <c r="C84" t="s">
        <v>1666</v>
      </c>
      <c r="D84">
        <v>0</v>
      </c>
      <c r="E84" t="s">
        <v>2007</v>
      </c>
      <c r="F84" t="s">
        <v>2473</v>
      </c>
      <c r="G84" t="s">
        <v>145</v>
      </c>
      <c r="H84" t="s">
        <v>2474</v>
      </c>
      <c r="I84" t="s">
        <v>48</v>
      </c>
      <c r="J84" t="s">
        <v>1200</v>
      </c>
      <c r="K84" t="s">
        <v>2067</v>
      </c>
      <c r="L84" t="s">
        <v>2001</v>
      </c>
      <c r="M84" t="s">
        <v>2475</v>
      </c>
      <c r="O84" t="s">
        <v>2070</v>
      </c>
      <c r="P84" t="s">
        <v>1669</v>
      </c>
      <c r="Q84" t="s">
        <v>2476</v>
      </c>
      <c r="R84" t="s">
        <v>2477</v>
      </c>
    </row>
    <row r="85" spans="1:18" ht="15.6" x14ac:dyDescent="0.3">
      <c r="A85" t="s">
        <v>2478</v>
      </c>
      <c r="B85" t="s">
        <v>1666</v>
      </c>
      <c r="C85" t="s">
        <v>1666</v>
      </c>
      <c r="D85">
        <v>0</v>
      </c>
      <c r="E85" t="s">
        <v>2007</v>
      </c>
      <c r="F85" t="s">
        <v>2478</v>
      </c>
      <c r="G85" t="s">
        <v>145</v>
      </c>
      <c r="H85" t="s">
        <v>2479</v>
      </c>
      <c r="I85" t="s">
        <v>48</v>
      </c>
      <c r="J85" t="s">
        <v>1395</v>
      </c>
      <c r="K85" t="s">
        <v>2067</v>
      </c>
      <c r="L85" t="s">
        <v>2001</v>
      </c>
      <c r="M85" t="s">
        <v>2480</v>
      </c>
      <c r="O85" t="s">
        <v>2070</v>
      </c>
      <c r="P85" t="s">
        <v>1669</v>
      </c>
      <c r="Q85" t="s">
        <v>2481</v>
      </c>
      <c r="R85" t="s">
        <v>2482</v>
      </c>
    </row>
    <row r="86" spans="1:18" ht="15.6" x14ac:dyDescent="0.3">
      <c r="A86" t="s">
        <v>2483</v>
      </c>
      <c r="B86" t="s">
        <v>1666</v>
      </c>
      <c r="C86" t="s">
        <v>1666</v>
      </c>
      <c r="D86">
        <v>0</v>
      </c>
      <c r="E86" t="s">
        <v>2007</v>
      </c>
      <c r="F86" t="s">
        <v>2483</v>
      </c>
      <c r="G86" t="s">
        <v>2008</v>
      </c>
      <c r="H86" t="s">
        <v>2484</v>
      </c>
      <c r="I86" t="s">
        <v>2485</v>
      </c>
      <c r="J86" t="s">
        <v>944</v>
      </c>
      <c r="K86" t="s">
        <v>2067</v>
      </c>
      <c r="L86" t="s">
        <v>2001</v>
      </c>
      <c r="M86" t="s">
        <v>2486</v>
      </c>
      <c r="O86" t="s">
        <v>2014</v>
      </c>
      <c r="P86" t="s">
        <v>1667</v>
      </c>
      <c r="Q86" t="s">
        <v>2487</v>
      </c>
      <c r="R86" t="s">
        <v>2488</v>
      </c>
    </row>
    <row r="87" spans="1:18" ht="15.6" x14ac:dyDescent="0.3">
      <c r="A87" t="s">
        <v>2489</v>
      </c>
      <c r="B87" t="s">
        <v>1666</v>
      </c>
      <c r="C87" t="s">
        <v>1666</v>
      </c>
      <c r="D87">
        <v>2024</v>
      </c>
      <c r="E87" t="s">
        <v>1997</v>
      </c>
      <c r="F87" t="s">
        <v>2489</v>
      </c>
      <c r="G87" t="s">
        <v>2008</v>
      </c>
      <c r="H87" t="s">
        <v>2490</v>
      </c>
      <c r="I87" t="s">
        <v>48</v>
      </c>
      <c r="J87" t="s">
        <v>1215</v>
      </c>
      <c r="K87" t="s">
        <v>2011</v>
      </c>
      <c r="L87" t="s">
        <v>2001</v>
      </c>
      <c r="M87" t="s">
        <v>2491</v>
      </c>
      <c r="N87" t="s">
        <v>2492</v>
      </c>
      <c r="O87" t="s">
        <v>2014</v>
      </c>
      <c r="P87" t="s">
        <v>1669</v>
      </c>
      <c r="Q87" t="s">
        <v>2493</v>
      </c>
      <c r="R87" t="s">
        <v>2494</v>
      </c>
    </row>
    <row r="88" spans="1:18" ht="15.6" x14ac:dyDescent="0.3">
      <c r="A88" t="s">
        <v>2495</v>
      </c>
      <c r="B88" t="s">
        <v>2496</v>
      </c>
      <c r="C88" t="s">
        <v>1666</v>
      </c>
      <c r="D88">
        <v>2024</v>
      </c>
      <c r="E88" t="s">
        <v>2007</v>
      </c>
      <c r="F88" t="s">
        <v>2495</v>
      </c>
      <c r="G88" t="s">
        <v>1666</v>
      </c>
      <c r="H88" t="s">
        <v>2497</v>
      </c>
      <c r="I88" t="s">
        <v>1666</v>
      </c>
      <c r="J88" t="s">
        <v>1137</v>
      </c>
      <c r="K88" t="s">
        <v>2067</v>
      </c>
      <c r="L88" t="s">
        <v>2001</v>
      </c>
      <c r="M88" t="s">
        <v>2498</v>
      </c>
      <c r="N88" t="s">
        <v>2499</v>
      </c>
      <c r="O88" t="s">
        <v>2070</v>
      </c>
      <c r="P88" t="s">
        <v>1669</v>
      </c>
      <c r="Q88" t="s">
        <v>2500</v>
      </c>
      <c r="R88" t="s">
        <v>2501</v>
      </c>
    </row>
    <row r="89" spans="1:18" ht="15.6" x14ac:dyDescent="0.3">
      <c r="A89" t="s">
        <v>2502</v>
      </c>
      <c r="B89" t="s">
        <v>1666</v>
      </c>
      <c r="C89" t="s">
        <v>1666</v>
      </c>
      <c r="D89">
        <v>0</v>
      </c>
      <c r="E89" t="s">
        <v>2007</v>
      </c>
      <c r="F89" t="s">
        <v>2502</v>
      </c>
      <c r="G89" t="s">
        <v>2008</v>
      </c>
      <c r="H89" t="s">
        <v>2503</v>
      </c>
      <c r="I89" t="s">
        <v>2485</v>
      </c>
      <c r="J89" t="s">
        <v>410</v>
      </c>
      <c r="K89" t="s">
        <v>2504</v>
      </c>
      <c r="L89" t="s">
        <v>2001</v>
      </c>
      <c r="M89" t="s">
        <v>2505</v>
      </c>
      <c r="O89" t="s">
        <v>2014</v>
      </c>
      <c r="P89" t="s">
        <v>1667</v>
      </c>
      <c r="Q89" t="s">
        <v>2506</v>
      </c>
      <c r="R89" t="s">
        <v>2507</v>
      </c>
    </row>
    <row r="90" spans="1:18" ht="15.6" x14ac:dyDescent="0.3">
      <c r="A90" t="s">
        <v>2508</v>
      </c>
      <c r="B90" t="s">
        <v>1666</v>
      </c>
      <c r="C90" t="s">
        <v>1666</v>
      </c>
      <c r="D90">
        <v>2024</v>
      </c>
      <c r="E90" t="s">
        <v>2007</v>
      </c>
      <c r="F90" t="s">
        <v>2508</v>
      </c>
      <c r="G90" t="s">
        <v>2254</v>
      </c>
      <c r="H90" t="s">
        <v>2509</v>
      </c>
      <c r="I90" t="s">
        <v>48</v>
      </c>
      <c r="J90" t="s">
        <v>757</v>
      </c>
      <c r="K90" t="s">
        <v>2067</v>
      </c>
      <c r="L90" t="s">
        <v>2001</v>
      </c>
      <c r="M90" t="s">
        <v>2510</v>
      </c>
      <c r="N90" t="s">
        <v>2511</v>
      </c>
      <c r="O90" t="s">
        <v>2070</v>
      </c>
      <c r="P90" t="s">
        <v>1669</v>
      </c>
      <c r="Q90" t="s">
        <v>2512</v>
      </c>
      <c r="R90" t="s">
        <v>2513</v>
      </c>
    </row>
    <row r="91" spans="1:18" ht="15.6" x14ac:dyDescent="0.3">
      <c r="A91" t="s">
        <v>2514</v>
      </c>
      <c r="B91" t="s">
        <v>1666</v>
      </c>
      <c r="C91" t="s">
        <v>1666</v>
      </c>
      <c r="D91">
        <v>2024</v>
      </c>
      <c r="E91" t="s">
        <v>2007</v>
      </c>
      <c r="F91" t="s">
        <v>2514</v>
      </c>
      <c r="G91" t="s">
        <v>145</v>
      </c>
      <c r="H91" t="s">
        <v>2515</v>
      </c>
      <c r="I91" t="s">
        <v>48</v>
      </c>
      <c r="J91" t="s">
        <v>1224</v>
      </c>
      <c r="K91" t="s">
        <v>2067</v>
      </c>
      <c r="L91" t="s">
        <v>2001</v>
      </c>
      <c r="M91" t="s">
        <v>2516</v>
      </c>
      <c r="N91" t="s">
        <v>2517</v>
      </c>
      <c r="O91" t="s">
        <v>2070</v>
      </c>
      <c r="P91" t="s">
        <v>1669</v>
      </c>
      <c r="Q91" t="s">
        <v>2518</v>
      </c>
      <c r="R91" t="s">
        <v>2519</v>
      </c>
    </row>
    <row r="92" spans="1:18" ht="15.6" x14ac:dyDescent="0.3">
      <c r="A92" t="s">
        <v>2520</v>
      </c>
      <c r="B92" t="s">
        <v>1666</v>
      </c>
      <c r="C92" t="s">
        <v>1666</v>
      </c>
      <c r="D92">
        <v>0</v>
      </c>
      <c r="E92" t="s">
        <v>2007</v>
      </c>
      <c r="F92" t="s">
        <v>2520</v>
      </c>
      <c r="G92" t="s">
        <v>145</v>
      </c>
      <c r="H92" t="s">
        <v>2521</v>
      </c>
      <c r="I92" t="s">
        <v>2522</v>
      </c>
      <c r="J92" t="s">
        <v>119</v>
      </c>
      <c r="K92" t="s">
        <v>2067</v>
      </c>
      <c r="L92" t="s">
        <v>2001</v>
      </c>
      <c r="M92" t="s">
        <v>2523</v>
      </c>
      <c r="O92" t="s">
        <v>2070</v>
      </c>
      <c r="P92" t="s">
        <v>1669</v>
      </c>
      <c r="Q92" t="s">
        <v>2524</v>
      </c>
      <c r="R92" t="s">
        <v>2525</v>
      </c>
    </row>
    <row r="93" spans="1:18" ht="15.6" x14ac:dyDescent="0.3">
      <c r="A93" t="s">
        <v>2526</v>
      </c>
      <c r="B93" t="s">
        <v>1666</v>
      </c>
      <c r="C93" t="s">
        <v>1666</v>
      </c>
      <c r="D93">
        <v>0</v>
      </c>
      <c r="E93" t="s">
        <v>2007</v>
      </c>
      <c r="F93" t="s">
        <v>2526</v>
      </c>
      <c r="G93" t="s">
        <v>2008</v>
      </c>
      <c r="H93" t="s">
        <v>2527</v>
      </c>
      <c r="I93" t="s">
        <v>2485</v>
      </c>
      <c r="J93" t="s">
        <v>944</v>
      </c>
      <c r="K93" t="s">
        <v>2067</v>
      </c>
      <c r="L93" t="s">
        <v>2001</v>
      </c>
      <c r="M93" t="s">
        <v>2528</v>
      </c>
      <c r="O93" t="s">
        <v>2014</v>
      </c>
      <c r="P93" t="s">
        <v>1667</v>
      </c>
      <c r="Q93" t="s">
        <v>2529</v>
      </c>
      <c r="R93" t="s">
        <v>2530</v>
      </c>
    </row>
    <row r="94" spans="1:18" ht="15.6" x14ac:dyDescent="0.3">
      <c r="A94" t="s">
        <v>2531</v>
      </c>
      <c r="B94" t="s">
        <v>1666</v>
      </c>
      <c r="C94" t="s">
        <v>1666</v>
      </c>
      <c r="D94">
        <v>2024</v>
      </c>
      <c r="E94" t="s">
        <v>2007</v>
      </c>
      <c r="F94" t="s">
        <v>2531</v>
      </c>
      <c r="G94" t="s">
        <v>2008</v>
      </c>
      <c r="H94" t="s">
        <v>2532</v>
      </c>
      <c r="I94" t="s">
        <v>48</v>
      </c>
      <c r="J94" t="s">
        <v>1145</v>
      </c>
      <c r="K94" t="s">
        <v>2067</v>
      </c>
      <c r="L94" t="s">
        <v>2001</v>
      </c>
      <c r="M94" t="s">
        <v>2533</v>
      </c>
      <c r="N94" t="s">
        <v>2534</v>
      </c>
      <c r="O94" t="s">
        <v>2324</v>
      </c>
      <c r="P94" t="s">
        <v>1669</v>
      </c>
      <c r="Q94" t="s">
        <v>2535</v>
      </c>
      <c r="R94" t="s">
        <v>2536</v>
      </c>
    </row>
    <row r="95" spans="1:18" ht="15.6" x14ac:dyDescent="0.3">
      <c r="A95" t="s">
        <v>2537</v>
      </c>
      <c r="B95" t="s">
        <v>1666</v>
      </c>
      <c r="C95" t="s">
        <v>1666</v>
      </c>
      <c r="D95">
        <v>2024</v>
      </c>
      <c r="E95" t="s">
        <v>2007</v>
      </c>
      <c r="F95" t="s">
        <v>2537</v>
      </c>
      <c r="G95" t="s">
        <v>145</v>
      </c>
      <c r="H95" t="s">
        <v>2538</v>
      </c>
      <c r="I95" t="s">
        <v>2539</v>
      </c>
      <c r="J95" t="s">
        <v>1370</v>
      </c>
      <c r="K95" t="s">
        <v>2067</v>
      </c>
      <c r="L95" t="s">
        <v>2001</v>
      </c>
      <c r="M95" t="s">
        <v>2540</v>
      </c>
      <c r="N95" t="s">
        <v>2541</v>
      </c>
      <c r="O95" t="s">
        <v>2304</v>
      </c>
      <c r="P95" t="s">
        <v>1669</v>
      </c>
      <c r="Q95" t="s">
        <v>2542</v>
      </c>
      <c r="R95" t="s">
        <v>2543</v>
      </c>
    </row>
    <row r="96" spans="1:18" ht="15.6" x14ac:dyDescent="0.3">
      <c r="A96" t="s">
        <v>2544</v>
      </c>
      <c r="B96" t="s">
        <v>1666</v>
      </c>
      <c r="C96" t="s">
        <v>1666</v>
      </c>
      <c r="D96">
        <v>2024</v>
      </c>
      <c r="E96" t="s">
        <v>2007</v>
      </c>
      <c r="F96" t="s">
        <v>2544</v>
      </c>
      <c r="G96" t="s">
        <v>145</v>
      </c>
      <c r="H96" t="s">
        <v>2545</v>
      </c>
      <c r="I96" t="s">
        <v>2030</v>
      </c>
      <c r="J96" t="s">
        <v>974</v>
      </c>
      <c r="K96" t="s">
        <v>2067</v>
      </c>
      <c r="L96" t="s">
        <v>2001</v>
      </c>
      <c r="M96" t="s">
        <v>2546</v>
      </c>
      <c r="N96" t="s">
        <v>2547</v>
      </c>
      <c r="O96" t="s">
        <v>2014</v>
      </c>
      <c r="P96" t="s">
        <v>1669</v>
      </c>
      <c r="Q96" t="s">
        <v>2548</v>
      </c>
      <c r="R96" t="s">
        <v>2549</v>
      </c>
    </row>
    <row r="97" spans="1:18" ht="15.6" x14ac:dyDescent="0.3">
      <c r="A97" t="s">
        <v>2550</v>
      </c>
      <c r="B97" t="s">
        <v>1666</v>
      </c>
      <c r="C97" t="s">
        <v>1666</v>
      </c>
      <c r="D97">
        <v>2024</v>
      </c>
      <c r="E97" t="s">
        <v>2007</v>
      </c>
      <c r="F97" t="s">
        <v>2550</v>
      </c>
      <c r="G97" t="s">
        <v>1623</v>
      </c>
      <c r="H97" t="s">
        <v>2551</v>
      </c>
      <c r="I97" t="s">
        <v>1725</v>
      </c>
      <c r="J97" t="s">
        <v>248</v>
      </c>
      <c r="K97" t="s">
        <v>2067</v>
      </c>
      <c r="L97" t="s">
        <v>2001</v>
      </c>
      <c r="M97" t="s">
        <v>2552</v>
      </c>
      <c r="N97" t="s">
        <v>2553</v>
      </c>
      <c r="O97" t="s">
        <v>2070</v>
      </c>
      <c r="P97" t="s">
        <v>1669</v>
      </c>
      <c r="Q97" t="s">
        <v>2554</v>
      </c>
      <c r="R97" t="s">
        <v>2555</v>
      </c>
    </row>
    <row r="98" spans="1:18" ht="15.6" x14ac:dyDescent="0.3">
      <c r="A98" t="s">
        <v>2556</v>
      </c>
      <c r="B98" t="s">
        <v>1666</v>
      </c>
      <c r="C98" t="s">
        <v>1666</v>
      </c>
      <c r="D98">
        <v>2024</v>
      </c>
      <c r="E98" t="s">
        <v>2007</v>
      </c>
      <c r="F98" t="s">
        <v>2556</v>
      </c>
      <c r="G98" t="s">
        <v>145</v>
      </c>
      <c r="H98" t="s">
        <v>2557</v>
      </c>
      <c r="I98" t="s">
        <v>2558</v>
      </c>
      <c r="J98" t="s">
        <v>1188</v>
      </c>
      <c r="K98" t="s">
        <v>2067</v>
      </c>
      <c r="L98" t="s">
        <v>2001</v>
      </c>
      <c r="M98" t="s">
        <v>2559</v>
      </c>
      <c r="N98" t="s">
        <v>2560</v>
      </c>
      <c r="O98" t="s">
        <v>2070</v>
      </c>
      <c r="P98" t="s">
        <v>1669</v>
      </c>
      <c r="Q98" t="s">
        <v>2561</v>
      </c>
      <c r="R98" t="s">
        <v>2562</v>
      </c>
    </row>
    <row r="99" spans="1:18" ht="15.6" x14ac:dyDescent="0.3">
      <c r="A99" t="s">
        <v>2563</v>
      </c>
      <c r="B99" t="s">
        <v>1666</v>
      </c>
      <c r="C99" t="s">
        <v>1666</v>
      </c>
      <c r="D99">
        <v>2024</v>
      </c>
      <c r="E99" t="s">
        <v>2007</v>
      </c>
      <c r="F99" t="s">
        <v>2563</v>
      </c>
      <c r="G99" t="s">
        <v>2008</v>
      </c>
      <c r="H99" t="s">
        <v>2564</v>
      </c>
      <c r="I99" t="s">
        <v>2565</v>
      </c>
      <c r="J99" t="s">
        <v>2566</v>
      </c>
      <c r="K99" t="s">
        <v>2067</v>
      </c>
      <c r="L99" t="s">
        <v>2001</v>
      </c>
      <c r="M99" t="s">
        <v>2567</v>
      </c>
      <c r="N99" t="s">
        <v>2568</v>
      </c>
      <c r="O99" t="s">
        <v>2304</v>
      </c>
      <c r="P99" t="s">
        <v>1669</v>
      </c>
      <c r="Q99" t="s">
        <v>39</v>
      </c>
    </row>
    <row r="100" spans="1:18" ht="15.6" x14ac:dyDescent="0.3">
      <c r="A100" t="s">
        <v>2569</v>
      </c>
      <c r="B100" t="s">
        <v>1666</v>
      </c>
      <c r="C100" t="s">
        <v>1666</v>
      </c>
      <c r="D100">
        <v>2024</v>
      </c>
      <c r="E100" t="s">
        <v>2007</v>
      </c>
      <c r="F100" t="s">
        <v>2569</v>
      </c>
      <c r="G100" t="s">
        <v>2086</v>
      </c>
      <c r="H100" t="s">
        <v>2570</v>
      </c>
      <c r="I100" t="s">
        <v>48</v>
      </c>
      <c r="J100" t="s">
        <v>576</v>
      </c>
      <c r="K100" t="s">
        <v>2011</v>
      </c>
      <c r="L100" t="s">
        <v>2001</v>
      </c>
      <c r="M100" t="s">
        <v>2571</v>
      </c>
      <c r="N100" t="s">
        <v>2572</v>
      </c>
      <c r="O100" t="s">
        <v>2014</v>
      </c>
      <c r="P100" t="s">
        <v>1669</v>
      </c>
      <c r="Q100" t="s">
        <v>2573</v>
      </c>
      <c r="R100" t="s">
        <v>2574</v>
      </c>
    </row>
    <row r="101" spans="1:18" ht="15.6" x14ac:dyDescent="0.3">
      <c r="A101" t="s">
        <v>2575</v>
      </c>
      <c r="B101" t="s">
        <v>1666</v>
      </c>
      <c r="C101" t="s">
        <v>1666</v>
      </c>
      <c r="D101">
        <v>2024</v>
      </c>
      <c r="E101" t="s">
        <v>2007</v>
      </c>
      <c r="F101" t="s">
        <v>2575</v>
      </c>
      <c r="G101" t="s">
        <v>1623</v>
      </c>
      <c r="H101" t="s">
        <v>2576</v>
      </c>
      <c r="I101" t="s">
        <v>48</v>
      </c>
      <c r="J101" t="s">
        <v>503</v>
      </c>
      <c r="K101" t="s">
        <v>2067</v>
      </c>
      <c r="L101" t="s">
        <v>2001</v>
      </c>
      <c r="M101" t="s">
        <v>2577</v>
      </c>
      <c r="N101" t="s">
        <v>2578</v>
      </c>
      <c r="O101" t="s">
        <v>2014</v>
      </c>
      <c r="P101" t="s">
        <v>1667</v>
      </c>
      <c r="Q101" t="s">
        <v>2579</v>
      </c>
      <c r="R101" t="s">
        <v>2580</v>
      </c>
    </row>
    <row r="102" spans="1:18" ht="15.6" x14ac:dyDescent="0.3">
      <c r="A102" t="s">
        <v>2581</v>
      </c>
      <c r="B102" t="s">
        <v>1666</v>
      </c>
      <c r="C102" t="s">
        <v>1666</v>
      </c>
      <c r="D102">
        <v>2024</v>
      </c>
      <c r="E102" t="s">
        <v>2007</v>
      </c>
      <c r="F102" t="s">
        <v>2581</v>
      </c>
      <c r="G102" t="s">
        <v>2008</v>
      </c>
      <c r="H102" t="s">
        <v>2582</v>
      </c>
      <c r="I102" t="s">
        <v>48</v>
      </c>
      <c r="J102" t="s">
        <v>1512</v>
      </c>
      <c r="K102" t="s">
        <v>2011</v>
      </c>
      <c r="L102" t="s">
        <v>2001</v>
      </c>
      <c r="M102" t="s">
        <v>2583</v>
      </c>
      <c r="N102" t="s">
        <v>2578</v>
      </c>
      <c r="O102" t="s">
        <v>2014</v>
      </c>
      <c r="P102" t="s">
        <v>1669</v>
      </c>
      <c r="Q102" t="s">
        <v>2584</v>
      </c>
      <c r="R102" t="s">
        <v>2585</v>
      </c>
    </row>
    <row r="103" spans="1:18" ht="15.6" x14ac:dyDescent="0.3">
      <c r="A103" t="s">
        <v>2586</v>
      </c>
      <c r="B103" t="s">
        <v>1666</v>
      </c>
      <c r="C103" t="s">
        <v>1666</v>
      </c>
      <c r="D103">
        <v>2024</v>
      </c>
      <c r="E103" t="s">
        <v>2007</v>
      </c>
      <c r="F103" t="s">
        <v>2586</v>
      </c>
      <c r="G103" t="s">
        <v>2008</v>
      </c>
      <c r="H103" t="s">
        <v>2587</v>
      </c>
      <c r="I103" t="s">
        <v>2210</v>
      </c>
      <c r="J103" t="s">
        <v>944</v>
      </c>
      <c r="K103" t="s">
        <v>2067</v>
      </c>
      <c r="L103" t="s">
        <v>2001</v>
      </c>
      <c r="M103" t="s">
        <v>2588</v>
      </c>
      <c r="N103" t="s">
        <v>2589</v>
      </c>
      <c r="O103" t="s">
        <v>2014</v>
      </c>
      <c r="P103" t="s">
        <v>1667</v>
      </c>
      <c r="Q103" t="s">
        <v>39</v>
      </c>
    </row>
    <row r="104" spans="1:18" ht="15.6" x14ac:dyDescent="0.3">
      <c r="A104" t="s">
        <v>2590</v>
      </c>
      <c r="B104" t="s">
        <v>1666</v>
      </c>
      <c r="C104" t="s">
        <v>1666</v>
      </c>
      <c r="D104">
        <v>2024</v>
      </c>
      <c r="E104" t="s">
        <v>2007</v>
      </c>
      <c r="F104" t="s">
        <v>2590</v>
      </c>
      <c r="G104" t="s">
        <v>48</v>
      </c>
      <c r="H104" t="s">
        <v>2591</v>
      </c>
      <c r="I104" t="s">
        <v>2002</v>
      </c>
      <c r="J104" t="s">
        <v>141</v>
      </c>
      <c r="K104" t="s">
        <v>2067</v>
      </c>
      <c r="L104" t="s">
        <v>2001</v>
      </c>
      <c r="M104" t="s">
        <v>2592</v>
      </c>
      <c r="N104" t="s">
        <v>2593</v>
      </c>
      <c r="O104" t="s">
        <v>2014</v>
      </c>
      <c r="P104" t="s">
        <v>1667</v>
      </c>
      <c r="Q104" t="s">
        <v>39</v>
      </c>
    </row>
    <row r="105" spans="1:18" ht="15.6" x14ac:dyDescent="0.3">
      <c r="A105" t="s">
        <v>2594</v>
      </c>
      <c r="B105" t="s">
        <v>1666</v>
      </c>
      <c r="C105" t="s">
        <v>1666</v>
      </c>
      <c r="D105">
        <v>2024</v>
      </c>
      <c r="E105" t="s">
        <v>1997</v>
      </c>
      <c r="F105" t="s">
        <v>2594</v>
      </c>
      <c r="G105" t="s">
        <v>48</v>
      </c>
      <c r="H105" t="s">
        <v>2595</v>
      </c>
      <c r="I105" t="s">
        <v>2002</v>
      </c>
      <c r="J105" t="s">
        <v>141</v>
      </c>
      <c r="K105" t="s">
        <v>2067</v>
      </c>
      <c r="L105" t="s">
        <v>2001</v>
      </c>
      <c r="M105" t="s">
        <v>2596</v>
      </c>
      <c r="N105" t="s">
        <v>2597</v>
      </c>
      <c r="O105" t="s">
        <v>2014</v>
      </c>
      <c r="P105" t="s">
        <v>1667</v>
      </c>
      <c r="Q105" t="s">
        <v>39</v>
      </c>
    </row>
    <row r="106" spans="1:18" ht="15.6" x14ac:dyDescent="0.3">
      <c r="A106" t="s">
        <v>2598</v>
      </c>
      <c r="B106" t="s">
        <v>1666</v>
      </c>
      <c r="C106" t="s">
        <v>1666</v>
      </c>
      <c r="D106">
        <v>0</v>
      </c>
      <c r="E106" t="s">
        <v>2007</v>
      </c>
      <c r="F106" t="s">
        <v>2598</v>
      </c>
      <c r="G106" t="s">
        <v>48</v>
      </c>
      <c r="H106" t="s">
        <v>2599</v>
      </c>
      <c r="I106" t="s">
        <v>2210</v>
      </c>
      <c r="J106" t="s">
        <v>1324</v>
      </c>
      <c r="K106" t="s">
        <v>2067</v>
      </c>
      <c r="L106" t="s">
        <v>2001</v>
      </c>
      <c r="M106" t="s">
        <v>2600</v>
      </c>
      <c r="O106" t="s">
        <v>2014</v>
      </c>
      <c r="P106" t="s">
        <v>1667</v>
      </c>
      <c r="Q106" t="s">
        <v>2601</v>
      </c>
      <c r="R106" t="s">
        <v>2602</v>
      </c>
    </row>
    <row r="107" spans="1:18" ht="15.6" x14ac:dyDescent="0.3">
      <c r="A107" t="s">
        <v>2603</v>
      </c>
      <c r="B107" t="s">
        <v>1666</v>
      </c>
      <c r="C107" t="s">
        <v>1666</v>
      </c>
      <c r="D107">
        <v>2024</v>
      </c>
      <c r="E107" t="s">
        <v>2007</v>
      </c>
      <c r="F107" t="s">
        <v>2603</v>
      </c>
      <c r="G107" t="s">
        <v>2254</v>
      </c>
      <c r="H107" t="s">
        <v>1666</v>
      </c>
      <c r="I107" t="s">
        <v>2316</v>
      </c>
      <c r="J107" t="s">
        <v>384</v>
      </c>
      <c r="K107" t="s">
        <v>2067</v>
      </c>
      <c r="L107" t="s">
        <v>2001</v>
      </c>
      <c r="M107" t="s">
        <v>2604</v>
      </c>
      <c r="N107" t="s">
        <v>2605</v>
      </c>
      <c r="O107" t="s">
        <v>2014</v>
      </c>
      <c r="P107" t="s">
        <v>1667</v>
      </c>
      <c r="Q107" t="s">
        <v>2606</v>
      </c>
      <c r="R107" t="s">
        <v>2607</v>
      </c>
    </row>
    <row r="108" spans="1:18" ht="15.6" x14ac:dyDescent="0.3">
      <c r="A108" t="s">
        <v>2608</v>
      </c>
      <c r="B108" t="s">
        <v>1666</v>
      </c>
      <c r="C108" t="s">
        <v>1666</v>
      </c>
      <c r="D108">
        <v>2024</v>
      </c>
      <c r="E108" t="s">
        <v>2007</v>
      </c>
      <c r="F108" t="s">
        <v>2608</v>
      </c>
      <c r="G108" t="s">
        <v>145</v>
      </c>
      <c r="H108" t="s">
        <v>1666</v>
      </c>
      <c r="I108" t="s">
        <v>1666</v>
      </c>
      <c r="J108" t="s">
        <v>775</v>
      </c>
      <c r="K108" t="s">
        <v>39</v>
      </c>
      <c r="L108" t="s">
        <v>2001</v>
      </c>
      <c r="M108" t="s">
        <v>2609</v>
      </c>
      <c r="N108" t="s">
        <v>2610</v>
      </c>
      <c r="O108" t="s">
        <v>2070</v>
      </c>
      <c r="P108" t="s">
        <v>1669</v>
      </c>
      <c r="Q108" t="s">
        <v>2611</v>
      </c>
      <c r="R108" t="s">
        <v>2612</v>
      </c>
    </row>
    <row r="109" spans="1:18" ht="15.6" x14ac:dyDescent="0.3">
      <c r="A109" t="s">
        <v>2613</v>
      </c>
      <c r="B109" t="s">
        <v>1666</v>
      </c>
      <c r="C109" t="s">
        <v>1666</v>
      </c>
      <c r="D109">
        <v>0</v>
      </c>
      <c r="E109" t="s">
        <v>2007</v>
      </c>
      <c r="F109" t="s">
        <v>2613</v>
      </c>
      <c r="G109" t="s">
        <v>2008</v>
      </c>
      <c r="H109" t="s">
        <v>2614</v>
      </c>
      <c r="I109" t="s">
        <v>2210</v>
      </c>
      <c r="J109" t="s">
        <v>516</v>
      </c>
      <c r="K109" t="s">
        <v>2067</v>
      </c>
      <c r="L109" t="s">
        <v>2001</v>
      </c>
      <c r="M109" t="s">
        <v>2615</v>
      </c>
      <c r="O109" t="s">
        <v>2014</v>
      </c>
      <c r="P109" t="s">
        <v>1667</v>
      </c>
      <c r="Q109" t="s">
        <v>2616</v>
      </c>
      <c r="R109" t="s">
        <v>2617</v>
      </c>
    </row>
    <row r="110" spans="1:18" ht="15.6" x14ac:dyDescent="0.3">
      <c r="A110" t="s">
        <v>2618</v>
      </c>
      <c r="B110" t="s">
        <v>1666</v>
      </c>
      <c r="C110" t="s">
        <v>1666</v>
      </c>
      <c r="D110">
        <v>2024</v>
      </c>
      <c r="E110" t="s">
        <v>2007</v>
      </c>
      <c r="F110" t="s">
        <v>2618</v>
      </c>
      <c r="G110" t="s">
        <v>48</v>
      </c>
      <c r="H110" t="s">
        <v>2619</v>
      </c>
      <c r="I110" t="s">
        <v>2210</v>
      </c>
      <c r="J110" t="s">
        <v>770</v>
      </c>
      <c r="K110" t="s">
        <v>2067</v>
      </c>
      <c r="L110" t="s">
        <v>2001</v>
      </c>
      <c r="M110" t="s">
        <v>2620</v>
      </c>
      <c r="N110" t="s">
        <v>2621</v>
      </c>
      <c r="O110" t="s">
        <v>2014</v>
      </c>
      <c r="P110" t="s">
        <v>1669</v>
      </c>
      <c r="Q110" t="s">
        <v>2622</v>
      </c>
      <c r="R110" t="s">
        <v>2623</v>
      </c>
    </row>
    <row r="111" spans="1:18" ht="15.6" x14ac:dyDescent="0.3">
      <c r="A111" t="s">
        <v>2624</v>
      </c>
      <c r="B111" t="s">
        <v>1666</v>
      </c>
      <c r="C111" t="s">
        <v>1666</v>
      </c>
      <c r="D111">
        <v>2024</v>
      </c>
      <c r="E111" t="s">
        <v>2007</v>
      </c>
      <c r="F111" t="s">
        <v>2624</v>
      </c>
      <c r="G111" t="s">
        <v>2008</v>
      </c>
      <c r="H111" t="s">
        <v>2625</v>
      </c>
      <c r="I111" t="s">
        <v>2210</v>
      </c>
      <c r="J111" t="s">
        <v>641</v>
      </c>
      <c r="K111" t="s">
        <v>2067</v>
      </c>
      <c r="L111" t="s">
        <v>2001</v>
      </c>
      <c r="M111" t="s">
        <v>2626</v>
      </c>
      <c r="N111" t="s">
        <v>2627</v>
      </c>
      <c r="O111" t="s">
        <v>2014</v>
      </c>
      <c r="P111" t="s">
        <v>1667</v>
      </c>
      <c r="Q111" t="s">
        <v>2628</v>
      </c>
      <c r="R111" t="s">
        <v>2629</v>
      </c>
    </row>
    <row r="112" spans="1:18" ht="15.6" x14ac:dyDescent="0.3">
      <c r="A112" t="s">
        <v>2630</v>
      </c>
      <c r="B112" t="s">
        <v>1666</v>
      </c>
      <c r="C112" t="s">
        <v>1666</v>
      </c>
      <c r="D112">
        <v>2024</v>
      </c>
      <c r="E112" t="s">
        <v>2007</v>
      </c>
      <c r="F112" t="s">
        <v>2630</v>
      </c>
      <c r="G112" t="s">
        <v>2008</v>
      </c>
      <c r="H112" t="s">
        <v>2631</v>
      </c>
      <c r="I112" t="s">
        <v>2632</v>
      </c>
      <c r="J112" t="s">
        <v>1024</v>
      </c>
      <c r="K112" t="s">
        <v>2093</v>
      </c>
      <c r="L112" t="s">
        <v>2001</v>
      </c>
      <c r="M112" t="s">
        <v>2633</v>
      </c>
      <c r="N112" t="s">
        <v>2634</v>
      </c>
      <c r="O112" t="s">
        <v>2014</v>
      </c>
      <c r="P112" t="s">
        <v>1667</v>
      </c>
      <c r="Q112" t="s">
        <v>2635</v>
      </c>
      <c r="R112" t="s">
        <v>2636</v>
      </c>
    </row>
    <row r="113" spans="1:18" ht="15.6" x14ac:dyDescent="0.3">
      <c r="A113" t="s">
        <v>2637</v>
      </c>
      <c r="B113" t="s">
        <v>1666</v>
      </c>
      <c r="C113" t="s">
        <v>1666</v>
      </c>
      <c r="D113">
        <v>2024</v>
      </c>
      <c r="E113" t="s">
        <v>1997</v>
      </c>
      <c r="F113" t="s">
        <v>2637</v>
      </c>
      <c r="G113" t="s">
        <v>2008</v>
      </c>
      <c r="H113" t="s">
        <v>2638</v>
      </c>
      <c r="I113" t="s">
        <v>48</v>
      </c>
      <c r="J113" t="s">
        <v>1035</v>
      </c>
      <c r="K113" t="s">
        <v>2067</v>
      </c>
      <c r="L113" t="s">
        <v>2001</v>
      </c>
      <c r="M113" t="s">
        <v>2639</v>
      </c>
      <c r="N113" t="s">
        <v>2640</v>
      </c>
      <c r="O113" t="s">
        <v>2014</v>
      </c>
      <c r="P113" t="s">
        <v>1669</v>
      </c>
      <c r="Q113" t="s">
        <v>2641</v>
      </c>
      <c r="R113" t="s">
        <v>2642</v>
      </c>
    </row>
    <row r="114" spans="1:18" ht="15.6" x14ac:dyDescent="0.3">
      <c r="A114" t="s">
        <v>2643</v>
      </c>
      <c r="B114" t="s">
        <v>1666</v>
      </c>
      <c r="C114" t="s">
        <v>1666</v>
      </c>
      <c r="D114">
        <v>2024</v>
      </c>
      <c r="E114" t="s">
        <v>2007</v>
      </c>
      <c r="F114" t="s">
        <v>2643</v>
      </c>
      <c r="G114" t="s">
        <v>2008</v>
      </c>
      <c r="H114" t="s">
        <v>2644</v>
      </c>
      <c r="I114" t="s">
        <v>2420</v>
      </c>
      <c r="J114" t="s">
        <v>948</v>
      </c>
      <c r="K114" t="s">
        <v>2067</v>
      </c>
      <c r="L114" t="s">
        <v>2001</v>
      </c>
      <c r="M114" t="s">
        <v>2645</v>
      </c>
      <c r="N114" t="s">
        <v>2646</v>
      </c>
      <c r="O114" t="s">
        <v>2070</v>
      </c>
      <c r="P114" t="s">
        <v>1667</v>
      </c>
      <c r="Q114" t="s">
        <v>2647</v>
      </c>
      <c r="R114" t="s">
        <v>2648</v>
      </c>
    </row>
    <row r="115" spans="1:18" ht="15.6" x14ac:dyDescent="0.3">
      <c r="A115" t="s">
        <v>2649</v>
      </c>
      <c r="B115" t="s">
        <v>1666</v>
      </c>
      <c r="C115" t="s">
        <v>1666</v>
      </c>
      <c r="D115">
        <v>2025</v>
      </c>
      <c r="E115" t="s">
        <v>2007</v>
      </c>
      <c r="F115" t="s">
        <v>2649</v>
      </c>
      <c r="G115" t="s">
        <v>145</v>
      </c>
      <c r="H115" t="s">
        <v>2650</v>
      </c>
      <c r="I115" t="s">
        <v>48</v>
      </c>
      <c r="J115" t="s">
        <v>651</v>
      </c>
      <c r="K115" t="s">
        <v>2067</v>
      </c>
      <c r="L115" t="s">
        <v>2001</v>
      </c>
      <c r="M115" t="s">
        <v>2651</v>
      </c>
      <c r="N115" t="s">
        <v>2652</v>
      </c>
      <c r="O115" t="s">
        <v>2070</v>
      </c>
      <c r="P115" t="s">
        <v>1669</v>
      </c>
      <c r="Q115" t="s">
        <v>2653</v>
      </c>
      <c r="R115" t="s">
        <v>2654</v>
      </c>
    </row>
    <row r="116" spans="1:18" ht="15.6" x14ac:dyDescent="0.3">
      <c r="A116" t="s">
        <v>2655</v>
      </c>
      <c r="B116" t="s">
        <v>1666</v>
      </c>
      <c r="C116" t="s">
        <v>1666</v>
      </c>
      <c r="D116">
        <v>2025</v>
      </c>
      <c r="E116" t="s">
        <v>2007</v>
      </c>
      <c r="F116" t="s">
        <v>2655</v>
      </c>
      <c r="G116" t="s">
        <v>1623</v>
      </c>
      <c r="H116" t="s">
        <v>2656</v>
      </c>
      <c r="I116" t="s">
        <v>2316</v>
      </c>
      <c r="J116" t="s">
        <v>458</v>
      </c>
      <c r="K116" t="s">
        <v>2067</v>
      </c>
      <c r="L116" t="s">
        <v>2001</v>
      </c>
      <c r="M116" t="s">
        <v>2657</v>
      </c>
      <c r="N116" t="s">
        <v>2658</v>
      </c>
      <c r="O116" t="s">
        <v>2014</v>
      </c>
      <c r="P116" t="s">
        <v>1667</v>
      </c>
      <c r="Q116" t="s">
        <v>39</v>
      </c>
    </row>
    <row r="117" spans="1:18" ht="15.6" x14ac:dyDescent="0.3">
      <c r="A117" t="s">
        <v>2659</v>
      </c>
      <c r="B117" t="s">
        <v>1666</v>
      </c>
      <c r="C117" t="s">
        <v>1666</v>
      </c>
      <c r="D117">
        <v>2025</v>
      </c>
      <c r="E117" t="s">
        <v>1997</v>
      </c>
      <c r="F117" t="s">
        <v>2659</v>
      </c>
      <c r="G117" t="s">
        <v>2086</v>
      </c>
      <c r="H117" t="s">
        <v>2660</v>
      </c>
      <c r="I117" t="s">
        <v>48</v>
      </c>
      <c r="J117" t="s">
        <v>670</v>
      </c>
      <c r="K117" t="s">
        <v>2067</v>
      </c>
      <c r="L117" t="s">
        <v>2001</v>
      </c>
      <c r="M117" t="s">
        <v>2661</v>
      </c>
      <c r="N117" t="s">
        <v>2662</v>
      </c>
      <c r="O117" t="s">
        <v>2014</v>
      </c>
      <c r="P117" t="s">
        <v>1667</v>
      </c>
      <c r="Q117" t="s">
        <v>2663</v>
      </c>
      <c r="R117" t="s">
        <v>2664</v>
      </c>
    </row>
    <row r="118" spans="1:18" ht="15.6" x14ac:dyDescent="0.3">
      <c r="A118" t="s">
        <v>2665</v>
      </c>
      <c r="B118" t="s">
        <v>1666</v>
      </c>
      <c r="C118" t="s">
        <v>1666</v>
      </c>
      <c r="D118">
        <v>2025</v>
      </c>
      <c r="E118" t="s">
        <v>1997</v>
      </c>
      <c r="F118" t="s">
        <v>2665</v>
      </c>
      <c r="G118" t="s">
        <v>1666</v>
      </c>
      <c r="H118" t="s">
        <v>2666</v>
      </c>
      <c r="I118" t="s">
        <v>48</v>
      </c>
      <c r="J118" t="s">
        <v>1642</v>
      </c>
      <c r="K118" t="s">
        <v>2067</v>
      </c>
      <c r="L118" t="s">
        <v>2001</v>
      </c>
      <c r="M118" t="s">
        <v>2667</v>
      </c>
      <c r="N118" t="s">
        <v>2668</v>
      </c>
      <c r="O118" t="s">
        <v>2014</v>
      </c>
      <c r="P118" t="s">
        <v>1669</v>
      </c>
      <c r="Q118" t="s">
        <v>39</v>
      </c>
    </row>
    <row r="119" spans="1:18" ht="15.6" x14ac:dyDescent="0.3">
      <c r="A119" t="s">
        <v>2669</v>
      </c>
      <c r="B119" t="s">
        <v>1666</v>
      </c>
      <c r="C119" t="s">
        <v>1666</v>
      </c>
      <c r="D119">
        <v>2025</v>
      </c>
      <c r="E119" t="s">
        <v>1997</v>
      </c>
      <c r="F119" t="s">
        <v>2669</v>
      </c>
      <c r="G119" t="s">
        <v>2670</v>
      </c>
      <c r="H119" t="s">
        <v>2671</v>
      </c>
      <c r="I119" t="s">
        <v>48</v>
      </c>
      <c r="J119" t="s">
        <v>1602</v>
      </c>
      <c r="K119" t="s">
        <v>2067</v>
      </c>
      <c r="L119" t="s">
        <v>2001</v>
      </c>
      <c r="M119" t="s">
        <v>2672</v>
      </c>
      <c r="N119" t="s">
        <v>2673</v>
      </c>
      <c r="O119" t="s">
        <v>2014</v>
      </c>
      <c r="P119" t="s">
        <v>1669</v>
      </c>
      <c r="Q119" t="s">
        <v>2674</v>
      </c>
      <c r="R119" t="s">
        <v>2675</v>
      </c>
    </row>
    <row r="120" spans="1:18" ht="15.6" x14ac:dyDescent="0.3">
      <c r="A120" t="s">
        <v>2676</v>
      </c>
      <c r="B120" t="s">
        <v>1666</v>
      </c>
      <c r="C120" t="s">
        <v>1666</v>
      </c>
      <c r="D120">
        <v>2025</v>
      </c>
      <c r="E120" t="s">
        <v>2007</v>
      </c>
      <c r="F120" t="s">
        <v>2676</v>
      </c>
      <c r="G120" t="s">
        <v>1666</v>
      </c>
      <c r="H120" t="s">
        <v>2677</v>
      </c>
      <c r="I120" t="s">
        <v>48</v>
      </c>
      <c r="J120" t="s">
        <v>584</v>
      </c>
      <c r="K120" t="s">
        <v>2067</v>
      </c>
      <c r="L120" t="s">
        <v>2001</v>
      </c>
      <c r="M120" t="s">
        <v>2678</v>
      </c>
      <c r="N120" t="s">
        <v>2679</v>
      </c>
      <c r="O120" t="s">
        <v>2014</v>
      </c>
      <c r="P120" t="s">
        <v>1667</v>
      </c>
      <c r="Q120" t="s">
        <v>2680</v>
      </c>
      <c r="R120" t="s">
        <v>2681</v>
      </c>
    </row>
    <row r="121" spans="1:18" ht="15.6" x14ac:dyDescent="0.3">
      <c r="A121" t="s">
        <v>2682</v>
      </c>
      <c r="B121" t="s">
        <v>1666</v>
      </c>
      <c r="C121" t="s">
        <v>1666</v>
      </c>
      <c r="D121">
        <v>2025</v>
      </c>
      <c r="E121" t="s">
        <v>2007</v>
      </c>
      <c r="F121" t="s">
        <v>2682</v>
      </c>
      <c r="G121" t="s">
        <v>145</v>
      </c>
      <c r="H121" t="s">
        <v>2683</v>
      </c>
      <c r="I121" t="s">
        <v>2316</v>
      </c>
      <c r="J121" t="s">
        <v>322</v>
      </c>
      <c r="K121" t="s">
        <v>2067</v>
      </c>
      <c r="L121" t="s">
        <v>2001</v>
      </c>
      <c r="M121" t="s">
        <v>2684</v>
      </c>
      <c r="N121" t="s">
        <v>2685</v>
      </c>
      <c r="O121" t="s">
        <v>2014</v>
      </c>
      <c r="P121" t="s">
        <v>1667</v>
      </c>
      <c r="Q121" t="s">
        <v>2686</v>
      </c>
      <c r="R121" t="s">
        <v>2687</v>
      </c>
    </row>
    <row r="122" spans="1:18" ht="15.6" x14ac:dyDescent="0.3">
      <c r="A122" t="s">
        <v>2688</v>
      </c>
      <c r="B122" t="s">
        <v>1666</v>
      </c>
      <c r="C122" t="s">
        <v>1666</v>
      </c>
      <c r="D122">
        <v>2025</v>
      </c>
      <c r="E122" t="s">
        <v>2007</v>
      </c>
      <c r="F122" t="s">
        <v>2688</v>
      </c>
      <c r="G122" t="s">
        <v>708</v>
      </c>
      <c r="H122" t="s">
        <v>2689</v>
      </c>
      <c r="I122" t="s">
        <v>2690</v>
      </c>
      <c r="J122" t="s">
        <v>330</v>
      </c>
      <c r="K122" t="s">
        <v>2011</v>
      </c>
      <c r="L122" t="s">
        <v>2001</v>
      </c>
      <c r="M122" t="s">
        <v>2691</v>
      </c>
      <c r="N122" t="s">
        <v>2692</v>
      </c>
      <c r="O122" t="s">
        <v>2014</v>
      </c>
      <c r="P122" t="s">
        <v>1669</v>
      </c>
      <c r="Q122" t="s">
        <v>2693</v>
      </c>
      <c r="R122" t="s">
        <v>2694</v>
      </c>
    </row>
    <row r="123" spans="1:18" ht="15.6" x14ac:dyDescent="0.3">
      <c r="A123" t="s">
        <v>2695</v>
      </c>
      <c r="B123" t="s">
        <v>1666</v>
      </c>
      <c r="C123" t="s">
        <v>1666</v>
      </c>
      <c r="D123">
        <v>2025</v>
      </c>
      <c r="E123" t="s">
        <v>2007</v>
      </c>
      <c r="F123" t="s">
        <v>2695</v>
      </c>
      <c r="G123" t="s">
        <v>145</v>
      </c>
      <c r="H123" t="s">
        <v>1666</v>
      </c>
      <c r="I123" t="s">
        <v>2316</v>
      </c>
      <c r="J123" t="s">
        <v>641</v>
      </c>
      <c r="K123" t="s">
        <v>2067</v>
      </c>
      <c r="L123" t="s">
        <v>2001</v>
      </c>
      <c r="M123" t="s">
        <v>1666</v>
      </c>
      <c r="N123" t="s">
        <v>2696</v>
      </c>
      <c r="O123" t="s">
        <v>2014</v>
      </c>
      <c r="P123" t="s">
        <v>1667</v>
      </c>
      <c r="Q123" t="s">
        <v>39</v>
      </c>
    </row>
    <row r="124" spans="1:18" ht="15.6" x14ac:dyDescent="0.3">
      <c r="A124" t="s">
        <v>2697</v>
      </c>
      <c r="B124" t="s">
        <v>1666</v>
      </c>
      <c r="C124" t="s">
        <v>1666</v>
      </c>
      <c r="D124">
        <v>0</v>
      </c>
      <c r="E124" t="s">
        <v>2698</v>
      </c>
      <c r="F124" t="s">
        <v>2697</v>
      </c>
      <c r="G124" t="s">
        <v>2086</v>
      </c>
      <c r="H124" t="s">
        <v>2699</v>
      </c>
      <c r="I124" t="s">
        <v>2316</v>
      </c>
      <c r="J124" t="s">
        <v>15</v>
      </c>
      <c r="K124" t="s">
        <v>2011</v>
      </c>
      <c r="L124" t="s">
        <v>2001</v>
      </c>
      <c r="M124" t="s">
        <v>2700</v>
      </c>
      <c r="O124" t="s">
        <v>2014</v>
      </c>
      <c r="P124" t="s">
        <v>1667</v>
      </c>
      <c r="Q124" t="s">
        <v>2701</v>
      </c>
      <c r="R124" t="s">
        <v>2702</v>
      </c>
    </row>
    <row r="125" spans="1:18" ht="15.6" x14ac:dyDescent="0.3">
      <c r="A125" t="s">
        <v>2703</v>
      </c>
      <c r="B125" t="s">
        <v>1666</v>
      </c>
      <c r="C125" t="s">
        <v>1666</v>
      </c>
      <c r="D125">
        <v>2025</v>
      </c>
      <c r="E125" t="s">
        <v>2007</v>
      </c>
      <c r="F125" t="s">
        <v>2703</v>
      </c>
      <c r="G125" t="s">
        <v>1623</v>
      </c>
      <c r="H125" t="s">
        <v>2704</v>
      </c>
      <c r="I125" t="s">
        <v>48</v>
      </c>
      <c r="J125" t="s">
        <v>926</v>
      </c>
      <c r="K125" t="s">
        <v>2067</v>
      </c>
      <c r="L125" t="s">
        <v>2001</v>
      </c>
      <c r="M125" t="s">
        <v>2705</v>
      </c>
      <c r="N125" t="s">
        <v>2706</v>
      </c>
      <c r="O125" t="s">
        <v>2070</v>
      </c>
      <c r="P125" t="s">
        <v>1667</v>
      </c>
      <c r="Q125" t="s">
        <v>2707</v>
      </c>
      <c r="R125" t="s">
        <v>2708</v>
      </c>
    </row>
    <row r="126" spans="1:18" ht="15.6" x14ac:dyDescent="0.3">
      <c r="A126" t="s">
        <v>2709</v>
      </c>
      <c r="B126" t="s">
        <v>1666</v>
      </c>
      <c r="C126" t="s">
        <v>1666</v>
      </c>
      <c r="D126">
        <v>2025</v>
      </c>
      <c r="E126" t="s">
        <v>2007</v>
      </c>
      <c r="F126" t="s">
        <v>2709</v>
      </c>
      <c r="G126" t="s">
        <v>2670</v>
      </c>
      <c r="H126" t="s">
        <v>2710</v>
      </c>
      <c r="I126" t="s">
        <v>48</v>
      </c>
      <c r="J126" t="s">
        <v>1593</v>
      </c>
      <c r="K126" t="s">
        <v>2067</v>
      </c>
      <c r="L126" t="s">
        <v>2001</v>
      </c>
      <c r="M126" t="s">
        <v>2711</v>
      </c>
      <c r="N126" t="s">
        <v>2712</v>
      </c>
      <c r="O126" t="s">
        <v>2070</v>
      </c>
      <c r="P126" t="s">
        <v>1669</v>
      </c>
      <c r="Q126" t="s">
        <v>2713</v>
      </c>
      <c r="R126" t="s">
        <v>2714</v>
      </c>
    </row>
    <row r="127" spans="1:18" ht="15.6" x14ac:dyDescent="0.3">
      <c r="A127" t="s">
        <v>2715</v>
      </c>
      <c r="B127" t="s">
        <v>1666</v>
      </c>
      <c r="C127" t="s">
        <v>1666</v>
      </c>
      <c r="D127">
        <v>2025</v>
      </c>
      <c r="E127" t="s">
        <v>2007</v>
      </c>
      <c r="F127" t="s">
        <v>2715</v>
      </c>
      <c r="G127" t="s">
        <v>2254</v>
      </c>
      <c r="H127" t="s">
        <v>2716</v>
      </c>
      <c r="I127" t="s">
        <v>48</v>
      </c>
      <c r="J127" t="s">
        <v>567</v>
      </c>
      <c r="K127" t="s">
        <v>2067</v>
      </c>
      <c r="L127" t="s">
        <v>2001</v>
      </c>
      <c r="M127" t="s">
        <v>2717</v>
      </c>
      <c r="N127" t="s">
        <v>2718</v>
      </c>
      <c r="O127" t="s">
        <v>2014</v>
      </c>
      <c r="P127" t="s">
        <v>1669</v>
      </c>
      <c r="Q127" t="s">
        <v>2719</v>
      </c>
      <c r="R127" t="s">
        <v>2720</v>
      </c>
    </row>
    <row r="128" spans="1:18" ht="15.6" x14ac:dyDescent="0.3">
      <c r="A128" t="s">
        <v>2721</v>
      </c>
      <c r="B128" t="s">
        <v>1666</v>
      </c>
      <c r="C128" t="s">
        <v>1666</v>
      </c>
      <c r="D128">
        <v>2025</v>
      </c>
      <c r="E128" t="s">
        <v>2007</v>
      </c>
      <c r="F128" t="s">
        <v>2721</v>
      </c>
      <c r="G128" t="s">
        <v>1666</v>
      </c>
      <c r="H128" t="s">
        <v>2722</v>
      </c>
      <c r="I128" t="s">
        <v>1666</v>
      </c>
      <c r="J128" t="s">
        <v>534</v>
      </c>
      <c r="K128" t="s">
        <v>2067</v>
      </c>
      <c r="L128" t="s">
        <v>2001</v>
      </c>
      <c r="M128" t="s">
        <v>2723</v>
      </c>
      <c r="N128" t="s">
        <v>2724</v>
      </c>
      <c r="O128" t="s">
        <v>2070</v>
      </c>
      <c r="P128" t="s">
        <v>1675</v>
      </c>
      <c r="Q128" t="s">
        <v>2725</v>
      </c>
      <c r="R128" t="s">
        <v>2726</v>
      </c>
    </row>
    <row r="129" spans="1:18" ht="15.6" x14ac:dyDescent="0.3">
      <c r="A129" t="s">
        <v>2727</v>
      </c>
      <c r="B129" t="s">
        <v>1666</v>
      </c>
      <c r="C129" t="s">
        <v>1666</v>
      </c>
      <c r="D129">
        <v>2025</v>
      </c>
      <c r="E129" t="s">
        <v>2007</v>
      </c>
      <c r="F129" t="s">
        <v>2727</v>
      </c>
      <c r="G129" t="s">
        <v>2086</v>
      </c>
      <c r="H129" t="s">
        <v>2728</v>
      </c>
      <c r="I129" t="s">
        <v>2316</v>
      </c>
      <c r="J129" t="s">
        <v>804</v>
      </c>
      <c r="K129" t="s">
        <v>2011</v>
      </c>
      <c r="L129" t="s">
        <v>2001</v>
      </c>
      <c r="M129" t="s">
        <v>2729</v>
      </c>
      <c r="N129" t="s">
        <v>2730</v>
      </c>
      <c r="O129" t="s">
        <v>2014</v>
      </c>
      <c r="P129" t="s">
        <v>1667</v>
      </c>
      <c r="Q129" t="s">
        <v>2731</v>
      </c>
      <c r="R129" t="s">
        <v>2732</v>
      </c>
    </row>
    <row r="130" spans="1:18" ht="15.6" x14ac:dyDescent="0.3">
      <c r="A130" t="s">
        <v>2733</v>
      </c>
      <c r="B130" t="s">
        <v>1666</v>
      </c>
      <c r="C130" t="s">
        <v>1666</v>
      </c>
      <c r="D130">
        <v>2025</v>
      </c>
      <c r="E130" t="s">
        <v>2007</v>
      </c>
      <c r="F130" t="s">
        <v>2733</v>
      </c>
      <c r="G130" t="s">
        <v>145</v>
      </c>
      <c r="H130" t="s">
        <v>2734</v>
      </c>
      <c r="I130" t="s">
        <v>1666</v>
      </c>
      <c r="J130" t="s">
        <v>392</v>
      </c>
      <c r="K130" t="s">
        <v>2067</v>
      </c>
      <c r="L130" t="s">
        <v>2001</v>
      </c>
      <c r="M130" t="s">
        <v>2735</v>
      </c>
      <c r="N130" t="s">
        <v>2736</v>
      </c>
      <c r="O130" t="s">
        <v>2737</v>
      </c>
      <c r="P130" t="s">
        <v>1669</v>
      </c>
      <c r="Q130" t="s">
        <v>2738</v>
      </c>
      <c r="R130" t="s">
        <v>2739</v>
      </c>
    </row>
    <row r="131" spans="1:18" ht="15.6" x14ac:dyDescent="0.3">
      <c r="A131" t="s">
        <v>2740</v>
      </c>
      <c r="B131" t="s">
        <v>1666</v>
      </c>
      <c r="C131" t="s">
        <v>1666</v>
      </c>
      <c r="D131">
        <v>2025</v>
      </c>
      <c r="E131" t="s">
        <v>2007</v>
      </c>
      <c r="F131" t="s">
        <v>2740</v>
      </c>
      <c r="G131" t="s">
        <v>2254</v>
      </c>
      <c r="H131" t="s">
        <v>2741</v>
      </c>
      <c r="I131" t="s">
        <v>2742</v>
      </c>
      <c r="J131" t="s">
        <v>800</v>
      </c>
      <c r="K131" t="s">
        <v>2234</v>
      </c>
      <c r="L131" t="s">
        <v>2001</v>
      </c>
      <c r="M131" t="s">
        <v>2743</v>
      </c>
      <c r="N131" t="s">
        <v>2744</v>
      </c>
      <c r="O131" t="s">
        <v>2070</v>
      </c>
      <c r="P131" t="s">
        <v>1669</v>
      </c>
      <c r="Q131" t="s">
        <v>2745</v>
      </c>
      <c r="R131" t="s">
        <v>2746</v>
      </c>
    </row>
    <row r="132" spans="1:18" ht="15.6" x14ac:dyDescent="0.3">
      <c r="A132" t="s">
        <v>2747</v>
      </c>
      <c r="B132" t="s">
        <v>1666</v>
      </c>
      <c r="C132" t="s">
        <v>1666</v>
      </c>
      <c r="D132">
        <v>2025</v>
      </c>
      <c r="E132" t="s">
        <v>1997</v>
      </c>
      <c r="F132" t="s">
        <v>2747</v>
      </c>
      <c r="G132" t="s">
        <v>1623</v>
      </c>
      <c r="H132" t="s">
        <v>2748</v>
      </c>
      <c r="I132" t="s">
        <v>2002</v>
      </c>
      <c r="J132" t="s">
        <v>732</v>
      </c>
      <c r="K132" t="s">
        <v>2067</v>
      </c>
      <c r="L132" t="s">
        <v>2001</v>
      </c>
      <c r="M132" t="s">
        <v>2749</v>
      </c>
      <c r="N132" t="s">
        <v>2750</v>
      </c>
      <c r="O132" t="s">
        <v>2070</v>
      </c>
      <c r="P132" t="s">
        <v>1667</v>
      </c>
      <c r="Q132" t="s">
        <v>2751</v>
      </c>
      <c r="R132" t="s">
        <v>2752</v>
      </c>
    </row>
    <row r="133" spans="1:18" ht="15.6" x14ac:dyDescent="0.3">
      <c r="A133" t="s">
        <v>2753</v>
      </c>
      <c r="B133" t="s">
        <v>1666</v>
      </c>
      <c r="C133" t="s">
        <v>1666</v>
      </c>
      <c r="D133">
        <v>2025</v>
      </c>
      <c r="E133" t="s">
        <v>2007</v>
      </c>
      <c r="F133" t="s">
        <v>2753</v>
      </c>
      <c r="G133" t="s">
        <v>2670</v>
      </c>
      <c r="H133" t="s">
        <v>2754</v>
      </c>
      <c r="I133" t="s">
        <v>2030</v>
      </c>
      <c r="J133" t="s">
        <v>673</v>
      </c>
      <c r="K133" t="s">
        <v>2067</v>
      </c>
      <c r="L133" t="s">
        <v>2001</v>
      </c>
      <c r="M133" t="s">
        <v>2755</v>
      </c>
      <c r="N133" t="s">
        <v>2756</v>
      </c>
      <c r="O133" t="s">
        <v>2014</v>
      </c>
      <c r="P133" t="s">
        <v>1667</v>
      </c>
      <c r="Q133" t="s">
        <v>39</v>
      </c>
    </row>
    <row r="134" spans="1:18" ht="15.6" x14ac:dyDescent="0.3">
      <c r="A134" t="s">
        <v>2757</v>
      </c>
      <c r="B134" t="s">
        <v>1666</v>
      </c>
      <c r="C134" t="s">
        <v>1666</v>
      </c>
      <c r="D134">
        <v>2025</v>
      </c>
      <c r="E134" t="s">
        <v>2007</v>
      </c>
      <c r="F134" t="s">
        <v>2757</v>
      </c>
      <c r="G134" t="s">
        <v>2670</v>
      </c>
      <c r="H134" t="s">
        <v>2758</v>
      </c>
      <c r="I134" t="s">
        <v>2030</v>
      </c>
      <c r="J134" t="s">
        <v>1537</v>
      </c>
      <c r="K134" t="s">
        <v>2067</v>
      </c>
      <c r="L134" t="s">
        <v>2001</v>
      </c>
      <c r="M134" t="s">
        <v>2759</v>
      </c>
      <c r="N134" t="s">
        <v>2756</v>
      </c>
      <c r="O134" t="s">
        <v>2014</v>
      </c>
      <c r="P134" t="s">
        <v>1667</v>
      </c>
      <c r="Q134" t="s">
        <v>39</v>
      </c>
    </row>
    <row r="135" spans="1:18" ht="15.6" x14ac:dyDescent="0.3">
      <c r="A135" t="s">
        <v>2760</v>
      </c>
      <c r="B135" t="s">
        <v>1666</v>
      </c>
      <c r="C135" t="s">
        <v>1666</v>
      </c>
      <c r="D135">
        <v>2025</v>
      </c>
      <c r="E135" t="s">
        <v>1997</v>
      </c>
      <c r="F135" t="s">
        <v>2760</v>
      </c>
      <c r="G135" t="s">
        <v>1666</v>
      </c>
      <c r="H135" t="s">
        <v>2761</v>
      </c>
      <c r="I135" t="s">
        <v>2002</v>
      </c>
      <c r="J135" t="s">
        <v>207</v>
      </c>
      <c r="K135" t="s">
        <v>2067</v>
      </c>
      <c r="L135" t="s">
        <v>2001</v>
      </c>
      <c r="M135" t="s">
        <v>2762</v>
      </c>
      <c r="N135" t="s">
        <v>2763</v>
      </c>
      <c r="O135" t="s">
        <v>2014</v>
      </c>
      <c r="P135" t="s">
        <v>1667</v>
      </c>
      <c r="Q135" t="s">
        <v>2764</v>
      </c>
      <c r="R135" t="s">
        <v>2765</v>
      </c>
    </row>
    <row r="136" spans="1:18" ht="15.6" x14ac:dyDescent="0.3">
      <c r="A136" t="s">
        <v>2766</v>
      </c>
      <c r="B136" t="s">
        <v>1666</v>
      </c>
      <c r="C136" t="s">
        <v>1666</v>
      </c>
      <c r="D136">
        <v>2025</v>
      </c>
      <c r="E136" t="s">
        <v>1997</v>
      </c>
      <c r="F136" t="s">
        <v>2766</v>
      </c>
      <c r="G136" t="s">
        <v>2008</v>
      </c>
      <c r="H136" t="s">
        <v>2767</v>
      </c>
      <c r="I136" t="s">
        <v>2002</v>
      </c>
      <c r="J136" t="s">
        <v>562</v>
      </c>
      <c r="K136" t="s">
        <v>2067</v>
      </c>
      <c r="L136" t="s">
        <v>2001</v>
      </c>
      <c r="M136" t="s">
        <v>2768</v>
      </c>
      <c r="N136" t="s">
        <v>2769</v>
      </c>
      <c r="O136" t="s">
        <v>48</v>
      </c>
      <c r="P136" t="s">
        <v>1667</v>
      </c>
      <c r="Q136" t="s">
        <v>2770</v>
      </c>
      <c r="R136" t="s">
        <v>2771</v>
      </c>
    </row>
    <row r="137" spans="1:18" ht="15.6" x14ac:dyDescent="0.3">
      <c r="A137" t="s">
        <v>2772</v>
      </c>
      <c r="B137" t="s">
        <v>1666</v>
      </c>
      <c r="C137" t="s">
        <v>1666</v>
      </c>
      <c r="D137">
        <v>0</v>
      </c>
      <c r="E137" t="s">
        <v>2007</v>
      </c>
      <c r="F137" t="s">
        <v>2772</v>
      </c>
      <c r="G137" t="s">
        <v>2086</v>
      </c>
      <c r="H137" t="s">
        <v>2773</v>
      </c>
      <c r="I137" t="s">
        <v>2558</v>
      </c>
      <c r="J137" t="s">
        <v>379</v>
      </c>
      <c r="K137" t="s">
        <v>2234</v>
      </c>
      <c r="L137" t="s">
        <v>2001</v>
      </c>
      <c r="M137" t="s">
        <v>2774</v>
      </c>
      <c r="O137" t="s">
        <v>2304</v>
      </c>
      <c r="P137" t="s">
        <v>1667</v>
      </c>
      <c r="Q137" t="s">
        <v>2775</v>
      </c>
      <c r="R137" t="s">
        <v>2776</v>
      </c>
    </row>
    <row r="138" spans="1:18" ht="15.6" x14ac:dyDescent="0.3">
      <c r="A138" t="s">
        <v>2777</v>
      </c>
      <c r="B138" t="s">
        <v>1666</v>
      </c>
      <c r="C138" t="s">
        <v>1666</v>
      </c>
      <c r="D138">
        <v>2025</v>
      </c>
      <c r="E138" t="s">
        <v>2007</v>
      </c>
      <c r="F138" t="s">
        <v>2777</v>
      </c>
      <c r="G138" t="s">
        <v>2670</v>
      </c>
      <c r="H138" t="s">
        <v>2778</v>
      </c>
      <c r="I138" t="s">
        <v>2779</v>
      </c>
      <c r="J138" t="s">
        <v>1762</v>
      </c>
      <c r="K138" t="s">
        <v>2067</v>
      </c>
      <c r="L138" t="s">
        <v>2001</v>
      </c>
      <c r="M138" t="s">
        <v>2780</v>
      </c>
      <c r="N138" t="s">
        <v>2781</v>
      </c>
      <c r="O138" t="s">
        <v>2324</v>
      </c>
      <c r="P138" t="s">
        <v>1667</v>
      </c>
      <c r="Q138" t="s">
        <v>2782</v>
      </c>
      <c r="R138" t="s">
        <v>2783</v>
      </c>
    </row>
    <row r="139" spans="1:18" ht="15.6" x14ac:dyDescent="0.3">
      <c r="A139" t="s">
        <v>2784</v>
      </c>
      <c r="B139" t="s">
        <v>1666</v>
      </c>
      <c r="C139" t="s">
        <v>1666</v>
      </c>
      <c r="D139">
        <v>2025</v>
      </c>
      <c r="E139" t="s">
        <v>2007</v>
      </c>
      <c r="F139" t="s">
        <v>2784</v>
      </c>
      <c r="G139" t="s">
        <v>2785</v>
      </c>
      <c r="H139" t="s">
        <v>2786</v>
      </c>
      <c r="I139" t="s">
        <v>48</v>
      </c>
      <c r="J139" t="s">
        <v>1567</v>
      </c>
      <c r="K139" t="s">
        <v>2234</v>
      </c>
      <c r="L139" t="s">
        <v>2001</v>
      </c>
      <c r="M139" t="s">
        <v>2787</v>
      </c>
      <c r="N139" t="s">
        <v>2788</v>
      </c>
      <c r="O139" t="s">
        <v>2070</v>
      </c>
      <c r="P139" t="s">
        <v>1667</v>
      </c>
      <c r="Q139" t="s">
        <v>2789</v>
      </c>
      <c r="R139" t="s">
        <v>2790</v>
      </c>
    </row>
    <row r="140" spans="1:18" ht="15.6" x14ac:dyDescent="0.3">
      <c r="A140" t="s">
        <v>2791</v>
      </c>
      <c r="B140" t="s">
        <v>1666</v>
      </c>
      <c r="C140" t="s">
        <v>1666</v>
      </c>
      <c r="D140">
        <v>2025</v>
      </c>
      <c r="E140" t="s">
        <v>2007</v>
      </c>
      <c r="F140" t="s">
        <v>2791</v>
      </c>
      <c r="G140" t="s">
        <v>1666</v>
      </c>
      <c r="H140" t="s">
        <v>2792</v>
      </c>
      <c r="I140" t="s">
        <v>48</v>
      </c>
      <c r="J140" t="s">
        <v>687</v>
      </c>
      <c r="K140" t="s">
        <v>2067</v>
      </c>
      <c r="L140" t="s">
        <v>2001</v>
      </c>
      <c r="M140" t="s">
        <v>2793</v>
      </c>
      <c r="N140" t="s">
        <v>2794</v>
      </c>
      <c r="O140" t="s">
        <v>2070</v>
      </c>
      <c r="P140" t="s">
        <v>1667</v>
      </c>
      <c r="Q140" t="s">
        <v>2795</v>
      </c>
      <c r="R140" t="s">
        <v>2796</v>
      </c>
    </row>
    <row r="141" spans="1:18" ht="15.6" x14ac:dyDescent="0.3">
      <c r="A141" t="s">
        <v>2797</v>
      </c>
      <c r="B141" t="s">
        <v>1666</v>
      </c>
      <c r="C141" t="s">
        <v>1666</v>
      </c>
      <c r="D141">
        <v>2025</v>
      </c>
      <c r="E141" t="s">
        <v>1997</v>
      </c>
      <c r="F141" t="s">
        <v>2797</v>
      </c>
      <c r="G141" t="s">
        <v>1666</v>
      </c>
      <c r="H141" t="s">
        <v>2798</v>
      </c>
      <c r="I141" t="s">
        <v>2002</v>
      </c>
      <c r="J141" t="s">
        <v>1758</v>
      </c>
      <c r="K141" t="s">
        <v>2234</v>
      </c>
      <c r="L141" t="s">
        <v>2001</v>
      </c>
      <c r="M141" t="s">
        <v>1757</v>
      </c>
      <c r="N141" t="s">
        <v>2799</v>
      </c>
      <c r="O141" t="s">
        <v>2070</v>
      </c>
      <c r="P141" t="s">
        <v>1667</v>
      </c>
      <c r="Q141" t="s">
        <v>2800</v>
      </c>
      <c r="R141" t="s">
        <v>2801</v>
      </c>
    </row>
    <row r="142" spans="1:18" ht="15.6" x14ac:dyDescent="0.3">
      <c r="A142" t="s">
        <v>2802</v>
      </c>
      <c r="B142" t="s">
        <v>1666</v>
      </c>
      <c r="C142" t="s">
        <v>1666</v>
      </c>
      <c r="D142">
        <v>2025</v>
      </c>
      <c r="E142" t="s">
        <v>2007</v>
      </c>
      <c r="F142" t="s">
        <v>2802</v>
      </c>
      <c r="G142" t="s">
        <v>1666</v>
      </c>
      <c r="H142" t="s">
        <v>2803</v>
      </c>
      <c r="I142" t="s">
        <v>2804</v>
      </c>
      <c r="J142" t="s">
        <v>134</v>
      </c>
      <c r="K142" t="s">
        <v>39</v>
      </c>
      <c r="L142" t="s">
        <v>2001</v>
      </c>
      <c r="M142" t="s">
        <v>2805</v>
      </c>
      <c r="N142" t="s">
        <v>2799</v>
      </c>
      <c r="O142" t="s">
        <v>2014</v>
      </c>
      <c r="P142" t="s">
        <v>1667</v>
      </c>
      <c r="Q142" t="s">
        <v>2806</v>
      </c>
      <c r="R142" t="s">
        <v>2807</v>
      </c>
    </row>
    <row r="143" spans="1:18" ht="15.6" x14ac:dyDescent="0.3">
      <c r="A143" t="s">
        <v>2808</v>
      </c>
      <c r="B143" t="s">
        <v>1666</v>
      </c>
      <c r="C143" t="s">
        <v>1666</v>
      </c>
      <c r="D143">
        <v>2025</v>
      </c>
      <c r="E143" t="s">
        <v>2007</v>
      </c>
      <c r="F143" t="s">
        <v>2808</v>
      </c>
      <c r="G143" t="s">
        <v>1666</v>
      </c>
      <c r="H143" t="s">
        <v>2809</v>
      </c>
      <c r="I143" t="s">
        <v>48</v>
      </c>
      <c r="J143" t="s">
        <v>1770</v>
      </c>
      <c r="K143" t="s">
        <v>2011</v>
      </c>
      <c r="L143" t="s">
        <v>2001</v>
      </c>
      <c r="M143" t="s">
        <v>2810</v>
      </c>
      <c r="N143" t="s">
        <v>2811</v>
      </c>
      <c r="O143" t="s">
        <v>2014</v>
      </c>
      <c r="P143" t="s">
        <v>1667</v>
      </c>
      <c r="Q143" t="s">
        <v>2812</v>
      </c>
    </row>
    <row r="144" spans="1:18" ht="15.6" x14ac:dyDescent="0.3">
      <c r="A144" t="s">
        <v>2813</v>
      </c>
      <c r="B144" t="s">
        <v>1666</v>
      </c>
      <c r="C144" t="s">
        <v>1666</v>
      </c>
      <c r="D144">
        <v>2025</v>
      </c>
      <c r="E144" t="s">
        <v>2007</v>
      </c>
      <c r="F144" t="s">
        <v>2813</v>
      </c>
      <c r="G144" t="s">
        <v>1666</v>
      </c>
      <c r="H144" t="s">
        <v>2814</v>
      </c>
      <c r="I144" t="s">
        <v>2030</v>
      </c>
      <c r="J144" t="s">
        <v>1768</v>
      </c>
      <c r="K144" t="s">
        <v>2234</v>
      </c>
      <c r="L144" t="s">
        <v>2001</v>
      </c>
      <c r="M144" t="s">
        <v>2815</v>
      </c>
      <c r="N144" t="s">
        <v>2816</v>
      </c>
      <c r="O144" t="s">
        <v>2014</v>
      </c>
      <c r="P144" t="s">
        <v>1667</v>
      </c>
      <c r="Q144" t="s">
        <v>2817</v>
      </c>
    </row>
    <row r="145" spans="1:18" ht="15.6" x14ac:dyDescent="0.3">
      <c r="A145" t="s">
        <v>2818</v>
      </c>
      <c r="B145" t="s">
        <v>1666</v>
      </c>
      <c r="C145" t="s">
        <v>1666</v>
      </c>
      <c r="D145">
        <v>2025</v>
      </c>
      <c r="E145" t="s">
        <v>2007</v>
      </c>
      <c r="F145" t="s">
        <v>2818</v>
      </c>
      <c r="G145" t="s">
        <v>2819</v>
      </c>
      <c r="H145" t="s">
        <v>2820</v>
      </c>
      <c r="I145" t="s">
        <v>2030</v>
      </c>
      <c r="J145" t="s">
        <v>1183</v>
      </c>
      <c r="K145" t="s">
        <v>2067</v>
      </c>
      <c r="L145" t="s">
        <v>2001</v>
      </c>
      <c r="M145" t="s">
        <v>2821</v>
      </c>
      <c r="N145" t="s">
        <v>2822</v>
      </c>
      <c r="O145" t="s">
        <v>2304</v>
      </c>
      <c r="P145" t="s">
        <v>1667</v>
      </c>
      <c r="Q145" t="s">
        <v>2823</v>
      </c>
      <c r="R145" t="s">
        <v>2824</v>
      </c>
    </row>
    <row r="146" spans="1:18" ht="15.6" x14ac:dyDescent="0.3">
      <c r="A146" t="s">
        <v>2825</v>
      </c>
      <c r="B146" t="s">
        <v>1666</v>
      </c>
      <c r="C146" t="s">
        <v>1666</v>
      </c>
      <c r="D146">
        <v>2025</v>
      </c>
      <c r="E146" t="s">
        <v>2007</v>
      </c>
      <c r="F146" t="s">
        <v>2825</v>
      </c>
      <c r="G146" t="s">
        <v>1666</v>
      </c>
      <c r="H146" t="s">
        <v>2826</v>
      </c>
      <c r="I146" t="s">
        <v>2827</v>
      </c>
      <c r="J146" t="s">
        <v>2828</v>
      </c>
      <c r="K146" t="s">
        <v>2234</v>
      </c>
      <c r="L146" t="s">
        <v>2001</v>
      </c>
      <c r="M146" t="s">
        <v>2829</v>
      </c>
      <c r="N146" t="s">
        <v>2830</v>
      </c>
      <c r="O146" t="s">
        <v>2070</v>
      </c>
      <c r="P146" t="s">
        <v>1667</v>
      </c>
      <c r="Q146" t="s">
        <v>2831</v>
      </c>
      <c r="R146" t="s">
        <v>2832</v>
      </c>
    </row>
    <row r="147" spans="1:18" ht="15.6" x14ac:dyDescent="0.3">
      <c r="A147" t="s">
        <v>2833</v>
      </c>
      <c r="B147" t="s">
        <v>1666</v>
      </c>
      <c r="C147" t="s">
        <v>1666</v>
      </c>
      <c r="D147">
        <v>2025</v>
      </c>
      <c r="E147" t="s">
        <v>2007</v>
      </c>
      <c r="F147" t="s">
        <v>2833</v>
      </c>
      <c r="G147" t="s">
        <v>1666</v>
      </c>
      <c r="H147" t="s">
        <v>2834</v>
      </c>
      <c r="I147" t="s">
        <v>48</v>
      </c>
      <c r="J147" t="s">
        <v>1777</v>
      </c>
      <c r="K147" t="s">
        <v>2234</v>
      </c>
      <c r="L147" t="s">
        <v>2001</v>
      </c>
      <c r="M147" t="s">
        <v>2835</v>
      </c>
      <c r="N147" t="s">
        <v>2836</v>
      </c>
      <c r="O147" t="s">
        <v>2070</v>
      </c>
      <c r="P147" t="s">
        <v>1667</v>
      </c>
      <c r="Q147" t="s">
        <v>2837</v>
      </c>
      <c r="R147" t="s">
        <v>2838</v>
      </c>
    </row>
    <row r="148" spans="1:18" ht="15.6" x14ac:dyDescent="0.3">
      <c r="A148" t="s">
        <v>2839</v>
      </c>
      <c r="B148" t="s">
        <v>1666</v>
      </c>
      <c r="C148" t="s">
        <v>1666</v>
      </c>
      <c r="D148">
        <v>2025</v>
      </c>
      <c r="E148" t="s">
        <v>2007</v>
      </c>
      <c r="F148" t="s">
        <v>2839</v>
      </c>
      <c r="G148" t="s">
        <v>1666</v>
      </c>
      <c r="H148" t="s">
        <v>2840</v>
      </c>
      <c r="I148" t="s">
        <v>48</v>
      </c>
      <c r="J148" t="s">
        <v>1783</v>
      </c>
      <c r="K148" t="s">
        <v>2011</v>
      </c>
      <c r="L148" t="s">
        <v>2001</v>
      </c>
      <c r="M148" t="s">
        <v>2841</v>
      </c>
      <c r="N148" t="s">
        <v>2842</v>
      </c>
      <c r="O148" t="s">
        <v>2014</v>
      </c>
      <c r="P148" t="s">
        <v>1667</v>
      </c>
      <c r="Q148" t="s">
        <v>2843</v>
      </c>
      <c r="R148" t="s">
        <v>2844</v>
      </c>
    </row>
    <row r="149" spans="1:18" ht="15.6" x14ac:dyDescent="0.3">
      <c r="A149" t="s">
        <v>2845</v>
      </c>
      <c r="B149" t="s">
        <v>1666</v>
      </c>
      <c r="C149" t="s">
        <v>1666</v>
      </c>
      <c r="D149">
        <v>2025</v>
      </c>
      <c r="E149" t="s">
        <v>2007</v>
      </c>
      <c r="F149" t="s">
        <v>2845</v>
      </c>
      <c r="G149" t="s">
        <v>1666</v>
      </c>
      <c r="H149" t="s">
        <v>2846</v>
      </c>
      <c r="I149" t="s">
        <v>2847</v>
      </c>
      <c r="J149" t="s">
        <v>679</v>
      </c>
      <c r="K149" t="s">
        <v>2848</v>
      </c>
      <c r="L149" t="s">
        <v>2001</v>
      </c>
      <c r="M149" t="s">
        <v>2266</v>
      </c>
      <c r="O149" t="s">
        <v>2304</v>
      </c>
      <c r="P149" t="s">
        <v>1667</v>
      </c>
      <c r="Q149" t="s">
        <v>2849</v>
      </c>
    </row>
    <row r="150" spans="1:18" ht="15.6" x14ac:dyDescent="0.3">
      <c r="A150" t="s">
        <v>2850</v>
      </c>
      <c r="B150" t="s">
        <v>1666</v>
      </c>
      <c r="C150" t="s">
        <v>1666</v>
      </c>
      <c r="D150">
        <v>2025</v>
      </c>
      <c r="E150" t="s">
        <v>48</v>
      </c>
      <c r="F150" t="s">
        <v>2850</v>
      </c>
      <c r="G150" t="s">
        <v>2851</v>
      </c>
      <c r="H150" t="s">
        <v>2852</v>
      </c>
      <c r="I150" t="s">
        <v>48</v>
      </c>
      <c r="J150" t="s">
        <v>2853</v>
      </c>
      <c r="K150" t="s">
        <v>2067</v>
      </c>
      <c r="L150" t="s">
        <v>2001</v>
      </c>
      <c r="M150" t="s">
        <v>2854</v>
      </c>
      <c r="N150" t="s">
        <v>2855</v>
      </c>
      <c r="O150" t="s">
        <v>2070</v>
      </c>
      <c r="P150" t="s">
        <v>1667</v>
      </c>
      <c r="Q150" t="s">
        <v>39</v>
      </c>
      <c r="R150" t="s">
        <v>2856</v>
      </c>
    </row>
    <row r="151" spans="1:18" ht="15.6" x14ac:dyDescent="0.3">
      <c r="A151" t="s">
        <v>2857</v>
      </c>
      <c r="B151" t="s">
        <v>1666</v>
      </c>
      <c r="C151" t="s">
        <v>1666</v>
      </c>
      <c r="D151">
        <v>2025</v>
      </c>
      <c r="E151" t="s">
        <v>1997</v>
      </c>
      <c r="F151" t="s">
        <v>2857</v>
      </c>
      <c r="G151" t="s">
        <v>2858</v>
      </c>
      <c r="H151" t="s">
        <v>2859</v>
      </c>
      <c r="I151" t="s">
        <v>48</v>
      </c>
      <c r="J151" t="s">
        <v>2860</v>
      </c>
      <c r="K151" t="s">
        <v>2011</v>
      </c>
      <c r="L151" t="s">
        <v>2861</v>
      </c>
      <c r="M151" t="s">
        <v>2862</v>
      </c>
      <c r="N151" t="s">
        <v>2863</v>
      </c>
      <c r="O151" t="s">
        <v>2014</v>
      </c>
      <c r="P151" t="s">
        <v>1667</v>
      </c>
      <c r="Q151" t="s">
        <v>39</v>
      </c>
      <c r="R151" t="s">
        <v>2864</v>
      </c>
    </row>
    <row r="152" spans="1:18" ht="15.6" x14ac:dyDescent="0.3">
      <c r="A152" t="s">
        <v>2865</v>
      </c>
      <c r="B152" t="s">
        <v>1666</v>
      </c>
      <c r="C152" t="s">
        <v>1666</v>
      </c>
      <c r="D152">
        <v>2025</v>
      </c>
      <c r="E152" t="s">
        <v>1997</v>
      </c>
      <c r="F152" t="s">
        <v>2865</v>
      </c>
      <c r="G152" t="s">
        <v>2866</v>
      </c>
      <c r="H152" t="s">
        <v>2867</v>
      </c>
      <c r="I152" t="s">
        <v>48</v>
      </c>
      <c r="J152" t="s">
        <v>48</v>
      </c>
      <c r="K152" t="s">
        <v>2868</v>
      </c>
      <c r="L152" t="s">
        <v>2869</v>
      </c>
      <c r="M152" t="s">
        <v>2870</v>
      </c>
      <c r="N152" t="s">
        <v>2871</v>
      </c>
      <c r="O152" t="s">
        <v>2304</v>
      </c>
      <c r="P152" t="s">
        <v>1667</v>
      </c>
      <c r="Q152" t="s">
        <v>39</v>
      </c>
      <c r="R152" t="s">
        <v>2872</v>
      </c>
    </row>
    <row r="153" spans="1:18" ht="15.6" x14ac:dyDescent="0.3">
      <c r="A153" t="s">
        <v>2873</v>
      </c>
      <c r="B153" t="s">
        <v>1666</v>
      </c>
      <c r="C153" t="s">
        <v>1666</v>
      </c>
      <c r="D153">
        <v>2025</v>
      </c>
      <c r="E153" t="s">
        <v>1997</v>
      </c>
      <c r="F153" t="s">
        <v>2873</v>
      </c>
      <c r="G153" t="s">
        <v>2670</v>
      </c>
      <c r="H153" t="s">
        <v>2874</v>
      </c>
      <c r="I153" t="s">
        <v>1997</v>
      </c>
      <c r="J153" t="s">
        <v>1765</v>
      </c>
      <c r="K153" t="s">
        <v>2234</v>
      </c>
      <c r="L153" t="s">
        <v>2875</v>
      </c>
      <c r="M153" t="s">
        <v>2876</v>
      </c>
      <c r="N153" t="s">
        <v>2863</v>
      </c>
      <c r="O153" t="s">
        <v>2014</v>
      </c>
      <c r="P153" t="s">
        <v>1667</v>
      </c>
      <c r="Q153" t="s">
        <v>39</v>
      </c>
      <c r="R153" t="s">
        <v>2877</v>
      </c>
    </row>
    <row r="154" spans="1:18" ht="15.6" x14ac:dyDescent="0.3">
      <c r="A154" t="s">
        <v>2878</v>
      </c>
      <c r="B154" t="s">
        <v>1666</v>
      </c>
      <c r="C154" t="s">
        <v>1666</v>
      </c>
      <c r="D154">
        <v>2025</v>
      </c>
      <c r="E154" t="s">
        <v>2007</v>
      </c>
      <c r="F154" t="s">
        <v>2878</v>
      </c>
      <c r="G154" t="s">
        <v>1666</v>
      </c>
      <c r="H154" t="s">
        <v>2879</v>
      </c>
      <c r="I154" t="s">
        <v>2007</v>
      </c>
      <c r="J154" t="s">
        <v>2880</v>
      </c>
      <c r="K154" t="s">
        <v>2067</v>
      </c>
      <c r="L154" t="s">
        <v>2881</v>
      </c>
      <c r="M154" t="s">
        <v>2882</v>
      </c>
      <c r="N154" t="s">
        <v>2883</v>
      </c>
      <c r="O154" t="s">
        <v>2304</v>
      </c>
      <c r="P154" t="s">
        <v>1667</v>
      </c>
      <c r="Q154" t="s">
        <v>39</v>
      </c>
      <c r="R154" t="s">
        <v>2884</v>
      </c>
    </row>
    <row r="155" spans="1:18" ht="15.6" x14ac:dyDescent="0.3">
      <c r="A155" t="s">
        <v>2885</v>
      </c>
      <c r="B155" t="s">
        <v>1666</v>
      </c>
      <c r="C155" t="s">
        <v>359</v>
      </c>
      <c r="D155">
        <v>2026</v>
      </c>
      <c r="E155" t="s">
        <v>2007</v>
      </c>
      <c r="F155" t="s">
        <v>2885</v>
      </c>
      <c r="G155" t="s">
        <v>2886</v>
      </c>
      <c r="H155" t="s">
        <v>2887</v>
      </c>
      <c r="I155" t="s">
        <v>2007</v>
      </c>
      <c r="J155" t="s">
        <v>48</v>
      </c>
      <c r="K155" t="s">
        <v>2067</v>
      </c>
      <c r="L155" t="s">
        <v>2888</v>
      </c>
      <c r="M155" t="s">
        <v>2889</v>
      </c>
      <c r="N155" t="s">
        <v>2890</v>
      </c>
      <c r="O155" t="s">
        <v>2304</v>
      </c>
      <c r="P155" t="s">
        <v>1667</v>
      </c>
      <c r="Q155" t="s">
        <v>2891</v>
      </c>
    </row>
    <row r="156" spans="1:18" ht="15.6" x14ac:dyDescent="0.3">
      <c r="A156" t="s">
        <v>2892</v>
      </c>
      <c r="B156" t="s">
        <v>1666</v>
      </c>
      <c r="C156" t="s">
        <v>57</v>
      </c>
      <c r="D156">
        <v>2026</v>
      </c>
      <c r="E156" t="s">
        <v>2007</v>
      </c>
      <c r="F156" t="s">
        <v>2892</v>
      </c>
      <c r="G156" t="s">
        <v>2886</v>
      </c>
      <c r="H156" t="s">
        <v>2893</v>
      </c>
      <c r="I156" t="s">
        <v>2894</v>
      </c>
      <c r="J156" t="s">
        <v>48</v>
      </c>
      <c r="K156" t="s">
        <v>2234</v>
      </c>
      <c r="L156" t="s">
        <v>2895</v>
      </c>
      <c r="M156" t="s">
        <v>2896</v>
      </c>
      <c r="N156" t="s">
        <v>2897</v>
      </c>
      <c r="O156" t="s">
        <v>2070</v>
      </c>
      <c r="P156" t="s">
        <v>1667</v>
      </c>
      <c r="Q156" t="s">
        <v>2898</v>
      </c>
      <c r="R156" t="s">
        <v>2899</v>
      </c>
    </row>
    <row r="157" spans="1:18" ht="15.6" x14ac:dyDescent="0.3">
      <c r="A157" t="s">
        <v>2900</v>
      </c>
      <c r="B157" t="s">
        <v>1666</v>
      </c>
      <c r="C157" t="s">
        <v>1492</v>
      </c>
      <c r="D157">
        <v>2026</v>
      </c>
      <c r="E157" t="s">
        <v>2007</v>
      </c>
      <c r="F157" t="s">
        <v>2900</v>
      </c>
      <c r="G157" t="s">
        <v>2901</v>
      </c>
      <c r="H157" t="s">
        <v>2902</v>
      </c>
      <c r="I157" t="s">
        <v>48</v>
      </c>
      <c r="J157" t="s">
        <v>48</v>
      </c>
      <c r="K157" t="s">
        <v>2067</v>
      </c>
      <c r="L157" t="s">
        <v>2903</v>
      </c>
      <c r="M157" t="s">
        <v>2904</v>
      </c>
      <c r="N157" t="s">
        <v>2905</v>
      </c>
      <c r="O157" t="s">
        <v>2070</v>
      </c>
      <c r="P157" t="s">
        <v>1667</v>
      </c>
      <c r="Q157" t="s">
        <v>2906</v>
      </c>
    </row>
    <row r="158" spans="1:18" ht="15.6" x14ac:dyDescent="0.3">
      <c r="A158" t="s">
        <v>2907</v>
      </c>
      <c r="B158" t="s">
        <v>1666</v>
      </c>
      <c r="C158" t="s">
        <v>470</v>
      </c>
      <c r="D158">
        <v>2026</v>
      </c>
      <c r="E158" t="s">
        <v>2007</v>
      </c>
      <c r="F158" t="s">
        <v>2907</v>
      </c>
      <c r="G158" t="s">
        <v>1666</v>
      </c>
      <c r="H158" t="s">
        <v>2908</v>
      </c>
      <c r="I158" t="s">
        <v>48</v>
      </c>
      <c r="J158" t="s">
        <v>48</v>
      </c>
      <c r="K158" t="s">
        <v>2067</v>
      </c>
      <c r="L158" t="s">
        <v>2909</v>
      </c>
      <c r="M158" t="s">
        <v>2910</v>
      </c>
      <c r="N158" t="s">
        <v>2911</v>
      </c>
      <c r="O158" t="s">
        <v>2070</v>
      </c>
      <c r="P158" t="s">
        <v>1667</v>
      </c>
      <c r="Q158" t="s">
        <v>2912</v>
      </c>
    </row>
    <row r="159" spans="1:18" ht="15.6" x14ac:dyDescent="0.3">
      <c r="A159" t="s">
        <v>2913</v>
      </c>
      <c r="B159" t="s">
        <v>1666</v>
      </c>
      <c r="C159" t="s">
        <v>323</v>
      </c>
      <c r="D159">
        <v>2026</v>
      </c>
      <c r="E159" t="s">
        <v>2007</v>
      </c>
      <c r="F159" t="s">
        <v>2913</v>
      </c>
      <c r="G159" t="s">
        <v>2901</v>
      </c>
      <c r="H159" t="s">
        <v>2914</v>
      </c>
      <c r="I159" t="s">
        <v>48</v>
      </c>
      <c r="J159" t="s">
        <v>48</v>
      </c>
      <c r="K159" t="s">
        <v>2067</v>
      </c>
      <c r="L159" t="s">
        <v>2915</v>
      </c>
      <c r="M159" t="s">
        <v>2916</v>
      </c>
      <c r="N159" t="s">
        <v>2917</v>
      </c>
      <c r="O159" t="s">
        <v>2070</v>
      </c>
      <c r="P159" t="s">
        <v>1667</v>
      </c>
      <c r="Q159" t="s">
        <v>2918</v>
      </c>
    </row>
    <row r="160" spans="1:18" ht="15.6" x14ac:dyDescent="0.3">
      <c r="A160" t="s">
        <v>2919</v>
      </c>
      <c r="B160" t="s">
        <v>1666</v>
      </c>
      <c r="C160" t="s">
        <v>1666</v>
      </c>
      <c r="D160">
        <v>2026</v>
      </c>
      <c r="E160" t="s">
        <v>1997</v>
      </c>
      <c r="F160" t="s">
        <v>2919</v>
      </c>
      <c r="G160" t="s">
        <v>2086</v>
      </c>
      <c r="H160" t="s">
        <v>2920</v>
      </c>
      <c r="I160" t="s">
        <v>48</v>
      </c>
      <c r="J160" t="s">
        <v>2860</v>
      </c>
      <c r="K160" t="s">
        <v>2504</v>
      </c>
      <c r="L160" t="s">
        <v>2921</v>
      </c>
      <c r="M160" t="s">
        <v>2922</v>
      </c>
      <c r="N160" t="s">
        <v>2923</v>
      </c>
      <c r="O160" t="s">
        <v>2014</v>
      </c>
      <c r="P160" t="s">
        <v>1667</v>
      </c>
      <c r="Q160" t="s">
        <v>2924</v>
      </c>
    </row>
    <row r="161" spans="1:19" ht="15.6" x14ac:dyDescent="0.3">
      <c r="A161" t="s">
        <v>2925</v>
      </c>
      <c r="B161" t="s">
        <v>1666</v>
      </c>
      <c r="C161" t="s">
        <v>1666</v>
      </c>
      <c r="D161">
        <v>2026</v>
      </c>
      <c r="E161" t="s">
        <v>1997</v>
      </c>
      <c r="F161" t="s">
        <v>2925</v>
      </c>
      <c r="G161" t="s">
        <v>2086</v>
      </c>
      <c r="H161" t="s">
        <v>2926</v>
      </c>
      <c r="I161" t="s">
        <v>1997</v>
      </c>
      <c r="J161" t="s">
        <v>2860</v>
      </c>
      <c r="K161" t="s">
        <v>2234</v>
      </c>
      <c r="L161" t="s">
        <v>2927</v>
      </c>
      <c r="M161" t="s">
        <v>2926</v>
      </c>
      <c r="N161" t="s">
        <v>2923</v>
      </c>
      <c r="O161" t="s">
        <v>2014</v>
      </c>
      <c r="P161" t="s">
        <v>1667</v>
      </c>
      <c r="Q161" t="s">
        <v>39</v>
      </c>
      <c r="R161" t="s">
        <v>2928</v>
      </c>
    </row>
    <row r="162" spans="1:19" ht="15.6" x14ac:dyDescent="0.3">
      <c r="A162" t="s">
        <v>2929</v>
      </c>
      <c r="B162" t="s">
        <v>1666</v>
      </c>
      <c r="C162" t="s">
        <v>1666</v>
      </c>
      <c r="D162">
        <v>2026</v>
      </c>
      <c r="E162" t="s">
        <v>2007</v>
      </c>
      <c r="F162" t="s">
        <v>2929</v>
      </c>
      <c r="G162" t="s">
        <v>1666</v>
      </c>
      <c r="H162" t="s">
        <v>2930</v>
      </c>
      <c r="I162" t="s">
        <v>48</v>
      </c>
      <c r="J162" t="s">
        <v>2828</v>
      </c>
      <c r="K162" t="s">
        <v>2931</v>
      </c>
      <c r="L162" t="s">
        <v>2932</v>
      </c>
      <c r="M162" t="s">
        <v>2933</v>
      </c>
      <c r="N162" t="s">
        <v>2934</v>
      </c>
      <c r="O162" t="s">
        <v>2070</v>
      </c>
      <c r="P162" t="s">
        <v>1667</v>
      </c>
      <c r="Q162" t="s">
        <v>2831</v>
      </c>
      <c r="R162" t="s">
        <v>2935</v>
      </c>
    </row>
    <row r="163" spans="1:19" ht="15.6" x14ac:dyDescent="0.3">
      <c r="A163" t="s">
        <v>2936</v>
      </c>
      <c r="B163" t="s">
        <v>1666</v>
      </c>
      <c r="C163" t="s">
        <v>1328</v>
      </c>
      <c r="D163">
        <v>2026</v>
      </c>
      <c r="E163" t="s">
        <v>1997</v>
      </c>
      <c r="F163" t="s">
        <v>2936</v>
      </c>
      <c r="G163" t="s">
        <v>2937</v>
      </c>
      <c r="H163" t="s">
        <v>2938</v>
      </c>
      <c r="I163" t="s">
        <v>1997</v>
      </c>
      <c r="J163" t="s">
        <v>2860</v>
      </c>
      <c r="K163" t="s">
        <v>2011</v>
      </c>
      <c r="L163" t="s">
        <v>2939</v>
      </c>
      <c r="M163" t="s">
        <v>2940</v>
      </c>
      <c r="N163" t="s">
        <v>2941</v>
      </c>
      <c r="O163" t="s">
        <v>2014</v>
      </c>
      <c r="P163" t="s">
        <v>1667</v>
      </c>
      <c r="Q163" t="s">
        <v>2942</v>
      </c>
    </row>
    <row r="164" spans="1:19" ht="15.6" x14ac:dyDescent="0.3">
      <c r="A164" t="s">
        <v>2943</v>
      </c>
      <c r="B164" t="s">
        <v>1666</v>
      </c>
      <c r="C164" t="s">
        <v>1631</v>
      </c>
      <c r="D164">
        <v>2026</v>
      </c>
      <c r="E164" t="s">
        <v>2007</v>
      </c>
      <c r="F164" t="s">
        <v>2943</v>
      </c>
      <c r="G164" t="s">
        <v>2944</v>
      </c>
      <c r="H164" t="s">
        <v>2945</v>
      </c>
      <c r="I164" t="s">
        <v>2946</v>
      </c>
      <c r="J164" t="s">
        <v>1636</v>
      </c>
      <c r="K164" t="s">
        <v>2067</v>
      </c>
      <c r="L164" t="s">
        <v>2947</v>
      </c>
      <c r="M164" t="s">
        <v>2948</v>
      </c>
      <c r="N164" t="s">
        <v>2949</v>
      </c>
      <c r="O164" t="s">
        <v>2324</v>
      </c>
      <c r="P164" t="s">
        <v>1667</v>
      </c>
      <c r="Q164" t="s">
        <v>2950</v>
      </c>
    </row>
    <row r="165" spans="1:19" ht="15.6" x14ac:dyDescent="0.3">
      <c r="A165" t="s">
        <v>2951</v>
      </c>
      <c r="B165" t="s">
        <v>1666</v>
      </c>
      <c r="C165" t="s">
        <v>63</v>
      </c>
      <c r="D165">
        <v>2026</v>
      </c>
      <c r="E165" t="s">
        <v>2007</v>
      </c>
      <c r="F165" t="s">
        <v>2951</v>
      </c>
      <c r="G165" t="s">
        <v>1765</v>
      </c>
      <c r="H165" t="s">
        <v>2952</v>
      </c>
      <c r="I165" t="s">
        <v>48</v>
      </c>
      <c r="J165" t="s">
        <v>2953</v>
      </c>
      <c r="K165" t="s">
        <v>2234</v>
      </c>
      <c r="L165" t="s">
        <v>2954</v>
      </c>
      <c r="M165" t="s">
        <v>2955</v>
      </c>
      <c r="N165" t="s">
        <v>2956</v>
      </c>
      <c r="O165" t="s">
        <v>2737</v>
      </c>
      <c r="P165" t="s">
        <v>1667</v>
      </c>
      <c r="Q165" t="s">
        <v>2957</v>
      </c>
    </row>
    <row r="166" spans="1:19" ht="15.6" x14ac:dyDescent="0.3">
      <c r="A166" t="s">
        <v>2958</v>
      </c>
      <c r="B166" t="s">
        <v>1666</v>
      </c>
      <c r="C166" t="s">
        <v>760</v>
      </c>
      <c r="D166">
        <v>2026</v>
      </c>
      <c r="E166" t="s">
        <v>2007</v>
      </c>
      <c r="F166" t="s">
        <v>2958</v>
      </c>
      <c r="G166" t="s">
        <v>2959</v>
      </c>
      <c r="H166" t="s">
        <v>2960</v>
      </c>
      <c r="I166" t="s">
        <v>2961</v>
      </c>
      <c r="J166" t="s">
        <v>2962</v>
      </c>
      <c r="K166" t="s">
        <v>2504</v>
      </c>
      <c r="L166" t="s">
        <v>2963</v>
      </c>
      <c r="M166" t="s">
        <v>2964</v>
      </c>
      <c r="N166" t="s">
        <v>2965</v>
      </c>
      <c r="O166" t="s">
        <v>2014</v>
      </c>
      <c r="P166" t="s">
        <v>1667</v>
      </c>
      <c r="Q166" t="s">
        <v>39</v>
      </c>
    </row>
    <row r="167" spans="1:19" ht="15.6" x14ac:dyDescent="0.3">
      <c r="A167" t="s">
        <v>2966</v>
      </c>
      <c r="B167" t="s">
        <v>1666</v>
      </c>
      <c r="C167" t="s">
        <v>2967</v>
      </c>
      <c r="D167">
        <v>2026</v>
      </c>
      <c r="E167" t="s">
        <v>2007</v>
      </c>
      <c r="F167" t="s">
        <v>2966</v>
      </c>
      <c r="G167" t="s">
        <v>2968</v>
      </c>
      <c r="H167" t="s">
        <v>746</v>
      </c>
      <c r="I167" t="s">
        <v>2969</v>
      </c>
      <c r="J167" t="s">
        <v>141</v>
      </c>
      <c r="K167" t="s">
        <v>2970</v>
      </c>
      <c r="L167" t="s">
        <v>2971</v>
      </c>
      <c r="M167" t="s">
        <v>2972</v>
      </c>
      <c r="N167" t="s">
        <v>2973</v>
      </c>
      <c r="O167" t="s">
        <v>2304</v>
      </c>
      <c r="P167" t="s">
        <v>1667</v>
      </c>
      <c r="Q167" t="s">
        <v>2974</v>
      </c>
    </row>
    <row r="168" spans="1:19" ht="15.6" x14ac:dyDescent="0.3">
      <c r="A168" t="s">
        <v>2975</v>
      </c>
      <c r="C168" t="s">
        <v>622</v>
      </c>
      <c r="F168" t="s">
        <v>2975</v>
      </c>
      <c r="H168" t="s">
        <v>2976</v>
      </c>
      <c r="I168" t="s">
        <v>2977</v>
      </c>
      <c r="L168" t="s">
        <v>2978</v>
      </c>
      <c r="N168" t="s">
        <v>2979</v>
      </c>
      <c r="O168" t="s">
        <v>2070</v>
      </c>
      <c r="P168" t="s">
        <v>1667</v>
      </c>
      <c r="Q168" t="s">
        <v>2980</v>
      </c>
      <c r="R168" t="s">
        <v>2978</v>
      </c>
      <c r="S168" t="s">
        <v>1912</v>
      </c>
    </row>
    <row r="169" spans="1:19" ht="15.6" x14ac:dyDescent="0.3">
      <c r="A169" t="s">
        <v>2981</v>
      </c>
      <c r="C169" t="s">
        <v>517</v>
      </c>
      <c r="F169" t="s">
        <v>2981</v>
      </c>
      <c r="H169" t="s">
        <v>2982</v>
      </c>
      <c r="I169" t="s">
        <v>2983</v>
      </c>
      <c r="L169" t="s">
        <v>2984</v>
      </c>
      <c r="N169" t="s">
        <v>2985</v>
      </c>
      <c r="O169" t="s">
        <v>2014</v>
      </c>
      <c r="P169" t="s">
        <v>1667</v>
      </c>
      <c r="Q169" t="s">
        <v>2986</v>
      </c>
      <c r="R169" t="s">
        <v>2984</v>
      </c>
      <c r="S169" t="s">
        <v>521</v>
      </c>
    </row>
    <row r="170" spans="1:19" ht="15.6" x14ac:dyDescent="0.3">
      <c r="A170" t="s">
        <v>2987</v>
      </c>
      <c r="B170" t="s">
        <v>2988</v>
      </c>
      <c r="C170" t="s">
        <v>2989</v>
      </c>
      <c r="D170">
        <v>2026</v>
      </c>
      <c r="E170" t="s">
        <v>1997</v>
      </c>
      <c r="F170" t="s">
        <v>2987</v>
      </c>
      <c r="G170" t="s">
        <v>1765</v>
      </c>
      <c r="H170" t="s">
        <v>2990</v>
      </c>
      <c r="I170" t="s">
        <v>2991</v>
      </c>
      <c r="J170" t="s">
        <v>1666</v>
      </c>
      <c r="K170" t="s">
        <v>39</v>
      </c>
      <c r="L170" t="s">
        <v>2992</v>
      </c>
      <c r="M170" t="s">
        <v>1666</v>
      </c>
      <c r="N170" t="s">
        <v>2993</v>
      </c>
      <c r="O170" t="s">
        <v>2304</v>
      </c>
      <c r="P170" t="s">
        <v>1667</v>
      </c>
      <c r="Q170" t="s">
        <v>2994</v>
      </c>
      <c r="R170" t="s">
        <v>2992</v>
      </c>
      <c r="S170" t="s">
        <v>2995</v>
      </c>
    </row>
    <row r="171" spans="1:19" ht="15.6" x14ac:dyDescent="0.3">
      <c r="A171" t="s">
        <v>2996</v>
      </c>
      <c r="C171" t="s">
        <v>304</v>
      </c>
      <c r="F171" t="s">
        <v>2996</v>
      </c>
      <c r="H171" t="s">
        <v>2997</v>
      </c>
      <c r="I171" t="s">
        <v>1308</v>
      </c>
      <c r="L171" t="s">
        <v>2998</v>
      </c>
      <c r="N171" t="s">
        <v>2999</v>
      </c>
      <c r="O171" t="s">
        <v>2014</v>
      </c>
      <c r="P171" t="s">
        <v>1667</v>
      </c>
      <c r="Q171" t="s">
        <v>3000</v>
      </c>
      <c r="R171" t="s">
        <v>2998</v>
      </c>
      <c r="S171" t="s">
        <v>308</v>
      </c>
    </row>
  </sheetData>
  <pageMargins left="0.7" right="0.7" top="0.75" bottom="0.75" header="0.3" footer="0.3"/>
  <ignoredErrors>
    <ignoredError sqref="A1:S17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02"/>
  <sheetViews>
    <sheetView topLeftCell="K1" workbookViewId="0">
      <selection activeCell="J76" sqref="J76"/>
    </sheetView>
  </sheetViews>
  <sheetFormatPr defaultRowHeight="14.4" x14ac:dyDescent="0.3"/>
  <cols>
    <col min="1" max="1" width="17.19921875" bestFit="1" customWidth="1"/>
    <col min="2" max="2" width="16.3984375" customWidth="1"/>
    <col min="3" max="3" width="19.09765625" customWidth="1"/>
    <col min="4" max="4" width="20.69921875" customWidth="1"/>
    <col min="5" max="5" width="19.69921875" customWidth="1"/>
    <col min="7" max="7" width="31.296875" customWidth="1"/>
    <col min="9" max="9" width="19.09765625" customWidth="1"/>
    <col min="10" max="10" width="29.19921875" customWidth="1"/>
    <col min="11" max="11" width="18.19921875" customWidth="1"/>
    <col min="12" max="12" width="15.8984375" customWidth="1"/>
  </cols>
  <sheetData>
    <row r="1" spans="1:31" ht="15.6" x14ac:dyDescent="0.3">
      <c r="A1" t="s">
        <v>0</v>
      </c>
      <c r="B1" t="s">
        <v>7</v>
      </c>
      <c r="C1" t="s">
        <v>3001</v>
      </c>
      <c r="D1" t="s">
        <v>3</v>
      </c>
      <c r="E1" t="s">
        <v>4</v>
      </c>
      <c r="F1" t="s">
        <v>3002</v>
      </c>
      <c r="G1" t="s">
        <v>3003</v>
      </c>
      <c r="H1" t="s">
        <v>1665</v>
      </c>
      <c r="I1" t="s">
        <v>3004</v>
      </c>
      <c r="J1" t="s">
        <v>1983</v>
      </c>
      <c r="K1" t="s">
        <v>3005</v>
      </c>
      <c r="L1" t="s">
        <v>3006</v>
      </c>
      <c r="M1" t="s">
        <v>3007</v>
      </c>
      <c r="N1" t="s">
        <v>3008</v>
      </c>
      <c r="O1" t="s">
        <v>3009</v>
      </c>
      <c r="P1" t="s">
        <v>3010</v>
      </c>
      <c r="Q1" t="s">
        <v>3011</v>
      </c>
      <c r="R1" t="s">
        <v>3012</v>
      </c>
      <c r="S1" t="s">
        <v>3013</v>
      </c>
      <c r="T1" t="s">
        <v>3014</v>
      </c>
      <c r="U1" t="s">
        <v>3015</v>
      </c>
      <c r="V1" t="s">
        <v>1658</v>
      </c>
      <c r="W1" t="s">
        <v>3016</v>
      </c>
      <c r="X1" t="s">
        <v>3017</v>
      </c>
      <c r="Y1" t="s">
        <v>3018</v>
      </c>
      <c r="Z1" t="s">
        <v>3019</v>
      </c>
      <c r="AA1" t="s">
        <v>3020</v>
      </c>
      <c r="AB1" t="s">
        <v>3021</v>
      </c>
      <c r="AC1" t="s">
        <v>3022</v>
      </c>
      <c r="AD1" t="s">
        <v>3023</v>
      </c>
      <c r="AE1" t="s">
        <v>3024</v>
      </c>
    </row>
    <row r="2" spans="1:31" ht="15.6" x14ac:dyDescent="0.3">
      <c r="A2" t="s">
        <v>3025</v>
      </c>
      <c r="B2" t="s">
        <v>893</v>
      </c>
      <c r="C2" t="s">
        <v>159</v>
      </c>
      <c r="D2" t="s">
        <v>514</v>
      </c>
      <c r="E2" t="s">
        <v>892</v>
      </c>
      <c r="F2" t="b">
        <v>1</v>
      </c>
      <c r="G2" t="s">
        <v>3026</v>
      </c>
      <c r="H2" t="s">
        <v>890</v>
      </c>
      <c r="I2">
        <v>0.12</v>
      </c>
      <c r="J2" t="s">
        <v>3027</v>
      </c>
      <c r="K2">
        <v>1309.44</v>
      </c>
      <c r="L2">
        <v>158897.07999999999</v>
      </c>
      <c r="M2">
        <v>10912</v>
      </c>
      <c r="N2">
        <v>149294.51999999999</v>
      </c>
      <c r="O2">
        <v>9602.56</v>
      </c>
      <c r="P2" t="s">
        <v>3028</v>
      </c>
      <c r="Q2">
        <v>158897.07999999999</v>
      </c>
      <c r="R2">
        <v>160206.51999999999</v>
      </c>
      <c r="S2">
        <v>1309.44</v>
      </c>
      <c r="T2" t="s">
        <v>3029</v>
      </c>
      <c r="U2" t="s">
        <v>3030</v>
      </c>
      <c r="V2">
        <v>2020</v>
      </c>
      <c r="W2" t="s">
        <v>3025</v>
      </c>
      <c r="X2" t="b">
        <v>1</v>
      </c>
    </row>
    <row r="3" spans="1:31" ht="15.6" x14ac:dyDescent="0.3">
      <c r="A3" t="s">
        <v>3031</v>
      </c>
      <c r="B3" t="s">
        <v>893</v>
      </c>
      <c r="C3" t="s">
        <v>159</v>
      </c>
      <c r="D3" t="s">
        <v>514</v>
      </c>
      <c r="E3" t="s">
        <v>892</v>
      </c>
      <c r="F3" t="b">
        <v>1</v>
      </c>
      <c r="G3" t="s">
        <v>3026</v>
      </c>
      <c r="H3" t="s">
        <v>890</v>
      </c>
      <c r="I3">
        <v>0.12</v>
      </c>
      <c r="J3" t="s">
        <v>3032</v>
      </c>
      <c r="K3">
        <v>5772.96</v>
      </c>
      <c r="L3">
        <v>42335.040000000001</v>
      </c>
      <c r="M3">
        <v>48108</v>
      </c>
      <c r="N3">
        <v>0</v>
      </c>
      <c r="O3">
        <v>42335.040000000001</v>
      </c>
      <c r="P3" t="s">
        <v>3033</v>
      </c>
      <c r="Q3">
        <v>42335.040000000001</v>
      </c>
      <c r="R3">
        <v>48108</v>
      </c>
      <c r="S3">
        <v>5772.96</v>
      </c>
      <c r="T3" t="s">
        <v>3029</v>
      </c>
      <c r="U3" t="s">
        <v>3034</v>
      </c>
      <c r="V3">
        <v>2021</v>
      </c>
      <c r="W3" t="s">
        <v>3031</v>
      </c>
    </row>
    <row r="4" spans="1:31" ht="15.6" x14ac:dyDescent="0.3">
      <c r="A4" t="s">
        <v>3035</v>
      </c>
      <c r="B4" t="s">
        <v>893</v>
      </c>
      <c r="C4" t="s">
        <v>159</v>
      </c>
      <c r="D4" t="s">
        <v>514</v>
      </c>
      <c r="E4" t="s">
        <v>892</v>
      </c>
      <c r="F4" t="b">
        <v>1</v>
      </c>
      <c r="G4" t="s">
        <v>3036</v>
      </c>
      <c r="H4" t="s">
        <v>890</v>
      </c>
      <c r="I4">
        <v>0.12</v>
      </c>
      <c r="J4" t="s">
        <v>3037</v>
      </c>
      <c r="K4">
        <v>9904.32</v>
      </c>
      <c r="L4">
        <v>72631.679999999993</v>
      </c>
      <c r="M4">
        <v>53010</v>
      </c>
      <c r="N4">
        <v>29526</v>
      </c>
      <c r="O4">
        <v>53010</v>
      </c>
      <c r="P4" t="s">
        <v>3038</v>
      </c>
      <c r="Q4">
        <v>72631.679999999993</v>
      </c>
      <c r="R4">
        <v>82536</v>
      </c>
      <c r="S4">
        <v>9904.32</v>
      </c>
      <c r="T4" t="s">
        <v>3029</v>
      </c>
      <c r="U4" t="s">
        <v>3039</v>
      </c>
      <c r="V4">
        <v>2021</v>
      </c>
      <c r="W4" t="s">
        <v>3035</v>
      </c>
      <c r="Y4" t="s">
        <v>3040</v>
      </c>
      <c r="Z4">
        <v>72631.679999999993</v>
      </c>
    </row>
    <row r="5" spans="1:31" ht="15.6" x14ac:dyDescent="0.3">
      <c r="A5" t="s">
        <v>3041</v>
      </c>
      <c r="B5" t="s">
        <v>1630</v>
      </c>
      <c r="C5" t="s">
        <v>1629</v>
      </c>
      <c r="D5" t="s">
        <v>514</v>
      </c>
      <c r="E5" t="s">
        <v>21</v>
      </c>
      <c r="F5" t="b">
        <v>1</v>
      </c>
      <c r="G5" t="s">
        <v>3042</v>
      </c>
      <c r="H5" t="s">
        <v>1628</v>
      </c>
      <c r="I5">
        <v>0.12</v>
      </c>
      <c r="J5" t="s">
        <v>3037</v>
      </c>
      <c r="K5">
        <v>119910.12</v>
      </c>
      <c r="L5">
        <v>879340.88</v>
      </c>
      <c r="M5">
        <v>0</v>
      </c>
      <c r="N5">
        <v>999251</v>
      </c>
      <c r="O5">
        <v>0</v>
      </c>
      <c r="P5" t="s">
        <v>3043</v>
      </c>
      <c r="Q5">
        <v>879340.88</v>
      </c>
      <c r="R5">
        <v>999251</v>
      </c>
      <c r="S5">
        <v>119910.12</v>
      </c>
      <c r="T5" t="s">
        <v>3029</v>
      </c>
      <c r="U5" t="s">
        <v>3044</v>
      </c>
      <c r="V5">
        <v>2025</v>
      </c>
      <c r="W5" t="s">
        <v>3041</v>
      </c>
      <c r="Y5" t="s">
        <v>3040</v>
      </c>
      <c r="Z5">
        <v>879340.88</v>
      </c>
    </row>
    <row r="6" spans="1:31" ht="15.6" x14ac:dyDescent="0.3">
      <c r="A6" t="s">
        <v>3045</v>
      </c>
      <c r="B6" t="s">
        <v>1630</v>
      </c>
      <c r="C6" t="s">
        <v>1629</v>
      </c>
      <c r="D6" t="s">
        <v>514</v>
      </c>
      <c r="E6" t="s">
        <v>21</v>
      </c>
      <c r="F6" t="b">
        <v>1</v>
      </c>
      <c r="G6" t="s">
        <v>3042</v>
      </c>
      <c r="H6" t="s">
        <v>1628</v>
      </c>
      <c r="I6">
        <v>0.12</v>
      </c>
      <c r="J6" t="s">
        <v>3037</v>
      </c>
      <c r="K6">
        <v>11206.8</v>
      </c>
      <c r="L6">
        <v>82183.199999999997</v>
      </c>
      <c r="M6">
        <v>0</v>
      </c>
      <c r="N6">
        <v>93390</v>
      </c>
      <c r="O6">
        <v>0</v>
      </c>
      <c r="P6" t="s">
        <v>3046</v>
      </c>
      <c r="Q6">
        <v>82183.199999999997</v>
      </c>
      <c r="R6">
        <v>93390</v>
      </c>
      <c r="S6">
        <v>11206.8</v>
      </c>
      <c r="T6" t="s">
        <v>3047</v>
      </c>
      <c r="U6" t="s">
        <v>3048</v>
      </c>
      <c r="V6">
        <v>2021</v>
      </c>
      <c r="W6" t="s">
        <v>3045</v>
      </c>
      <c r="Y6" t="s">
        <v>3040</v>
      </c>
      <c r="Z6">
        <v>82183.199999999997</v>
      </c>
    </row>
    <row r="7" spans="1:31" ht="15.6" x14ac:dyDescent="0.3">
      <c r="A7" t="s">
        <v>3049</v>
      </c>
      <c r="B7" t="s">
        <v>108</v>
      </c>
      <c r="C7" t="s">
        <v>105</v>
      </c>
      <c r="D7" t="s">
        <v>13</v>
      </c>
      <c r="E7" t="s">
        <v>107</v>
      </c>
      <c r="F7" t="b">
        <v>1</v>
      </c>
      <c r="G7" t="s">
        <v>3026</v>
      </c>
      <c r="H7" t="s">
        <v>104</v>
      </c>
      <c r="I7">
        <v>0.12</v>
      </c>
      <c r="J7" t="s">
        <v>3037</v>
      </c>
      <c r="K7">
        <v>544.67999999999995</v>
      </c>
      <c r="L7">
        <v>3951.2</v>
      </c>
      <c r="M7">
        <v>4539</v>
      </c>
      <c r="N7">
        <v>0</v>
      </c>
      <c r="O7">
        <v>4539</v>
      </c>
      <c r="P7" t="s">
        <v>3050</v>
      </c>
      <c r="Q7">
        <v>3951.2</v>
      </c>
      <c r="R7">
        <v>4490</v>
      </c>
      <c r="S7">
        <v>538.79999999999995</v>
      </c>
      <c r="T7" t="s">
        <v>3029</v>
      </c>
      <c r="U7" t="s">
        <v>3051</v>
      </c>
      <c r="V7">
        <v>2025</v>
      </c>
      <c r="W7" t="s">
        <v>3049</v>
      </c>
      <c r="Y7" t="s">
        <v>3040</v>
      </c>
      <c r="Z7">
        <v>3951.2</v>
      </c>
    </row>
    <row r="8" spans="1:31" ht="15.6" x14ac:dyDescent="0.3">
      <c r="A8" t="s">
        <v>3052</v>
      </c>
      <c r="B8" t="s">
        <v>1630</v>
      </c>
      <c r="C8" t="s">
        <v>1629</v>
      </c>
      <c r="D8" t="s">
        <v>514</v>
      </c>
      <c r="E8" t="s">
        <v>21</v>
      </c>
      <c r="F8" t="b">
        <v>0</v>
      </c>
      <c r="G8" t="s">
        <v>3042</v>
      </c>
      <c r="H8" t="s">
        <v>1628</v>
      </c>
      <c r="I8">
        <v>0</v>
      </c>
      <c r="J8" t="s">
        <v>3053</v>
      </c>
      <c r="K8">
        <v>0</v>
      </c>
      <c r="L8">
        <v>145249.97</v>
      </c>
      <c r="M8">
        <v>0</v>
      </c>
      <c r="N8">
        <v>145249.97</v>
      </c>
      <c r="O8">
        <v>0</v>
      </c>
      <c r="P8" t="s">
        <v>3054</v>
      </c>
      <c r="Q8">
        <v>145249.97</v>
      </c>
      <c r="R8">
        <v>145249.97</v>
      </c>
      <c r="S8">
        <v>0</v>
      </c>
      <c r="T8" t="s">
        <v>3029</v>
      </c>
      <c r="U8" t="s">
        <v>3055</v>
      </c>
      <c r="V8">
        <v>2022</v>
      </c>
      <c r="W8" t="s">
        <v>3052</v>
      </c>
      <c r="Y8" t="s">
        <v>724</v>
      </c>
      <c r="Z8">
        <v>145249.97</v>
      </c>
    </row>
    <row r="9" spans="1:31" ht="15.6" x14ac:dyDescent="0.3">
      <c r="A9" t="s">
        <v>3056</v>
      </c>
      <c r="B9" t="s">
        <v>516</v>
      </c>
      <c r="C9" t="s">
        <v>80</v>
      </c>
      <c r="D9" t="s">
        <v>514</v>
      </c>
      <c r="E9" t="s">
        <v>515</v>
      </c>
      <c r="F9" t="b">
        <v>0</v>
      </c>
      <c r="G9" t="s">
        <v>3042</v>
      </c>
      <c r="H9" t="s">
        <v>512</v>
      </c>
      <c r="I9">
        <v>0</v>
      </c>
      <c r="J9" t="s">
        <v>3053</v>
      </c>
      <c r="K9">
        <v>0</v>
      </c>
      <c r="L9">
        <v>403926.49</v>
      </c>
      <c r="M9">
        <v>0</v>
      </c>
      <c r="N9">
        <v>403926.49</v>
      </c>
      <c r="O9">
        <v>0</v>
      </c>
      <c r="P9" t="s">
        <v>3057</v>
      </c>
      <c r="Q9">
        <v>403926.49</v>
      </c>
      <c r="R9">
        <v>403926.49</v>
      </c>
      <c r="S9">
        <v>0</v>
      </c>
      <c r="T9" t="s">
        <v>3029</v>
      </c>
      <c r="U9" t="s">
        <v>1470</v>
      </c>
      <c r="V9">
        <v>2022</v>
      </c>
      <c r="W9" t="s">
        <v>3056</v>
      </c>
      <c r="Y9" t="s">
        <v>724</v>
      </c>
      <c r="Z9">
        <v>403926.49</v>
      </c>
    </row>
    <row r="10" spans="1:31" ht="15.6" x14ac:dyDescent="0.3">
      <c r="A10" t="s">
        <v>3058</v>
      </c>
      <c r="B10" t="s">
        <v>134</v>
      </c>
      <c r="C10" t="s">
        <v>131</v>
      </c>
      <c r="D10" t="s">
        <v>60</v>
      </c>
      <c r="E10" t="s">
        <v>133</v>
      </c>
      <c r="F10" t="b">
        <v>1</v>
      </c>
      <c r="G10" t="s">
        <v>3026</v>
      </c>
      <c r="H10" t="s">
        <v>130</v>
      </c>
      <c r="I10">
        <v>0.12</v>
      </c>
      <c r="J10" t="s">
        <v>3053</v>
      </c>
      <c r="K10">
        <v>0</v>
      </c>
      <c r="L10">
        <v>946893.6</v>
      </c>
      <c r="M10">
        <v>0</v>
      </c>
      <c r="N10">
        <v>946893.6</v>
      </c>
      <c r="O10">
        <v>0</v>
      </c>
      <c r="P10" t="s">
        <v>3059</v>
      </c>
      <c r="Q10">
        <v>882651.72</v>
      </c>
      <c r="R10">
        <v>946893.6</v>
      </c>
      <c r="S10">
        <v>64241.88</v>
      </c>
      <c r="T10" t="s">
        <v>3029</v>
      </c>
      <c r="U10" t="s">
        <v>3060</v>
      </c>
      <c r="V10">
        <v>2022</v>
      </c>
      <c r="W10" t="s">
        <v>3058</v>
      </c>
      <c r="Y10" t="s">
        <v>724</v>
      </c>
      <c r="Z10">
        <v>946893.6</v>
      </c>
    </row>
    <row r="11" spans="1:31" ht="15.6" x14ac:dyDescent="0.3">
      <c r="A11" t="s">
        <v>3061</v>
      </c>
      <c r="B11" t="s">
        <v>1537</v>
      </c>
      <c r="C11" t="s">
        <v>1536</v>
      </c>
      <c r="D11" t="s">
        <v>60</v>
      </c>
      <c r="E11" t="s">
        <v>1402</v>
      </c>
      <c r="F11" t="b">
        <v>1</v>
      </c>
      <c r="G11" t="s">
        <v>3062</v>
      </c>
      <c r="H11" t="s">
        <v>1535</v>
      </c>
      <c r="I11">
        <v>0.12</v>
      </c>
      <c r="J11" t="s">
        <v>3053</v>
      </c>
      <c r="K11">
        <v>0</v>
      </c>
      <c r="L11">
        <v>307740.99</v>
      </c>
      <c r="M11">
        <v>0</v>
      </c>
      <c r="N11">
        <v>307740.99</v>
      </c>
      <c r="O11">
        <v>0</v>
      </c>
      <c r="P11" t="s">
        <v>3063</v>
      </c>
      <c r="Q11">
        <v>270812.07</v>
      </c>
      <c r="R11">
        <v>307740.99</v>
      </c>
      <c r="S11">
        <v>36928.92</v>
      </c>
      <c r="T11" t="s">
        <v>3029</v>
      </c>
      <c r="U11" t="s">
        <v>3060</v>
      </c>
      <c r="V11">
        <v>2022</v>
      </c>
      <c r="W11" t="s">
        <v>3061</v>
      </c>
      <c r="Y11" t="s">
        <v>724</v>
      </c>
      <c r="Z11">
        <v>270812.07</v>
      </c>
    </row>
    <row r="12" spans="1:31" ht="15.6" x14ac:dyDescent="0.3">
      <c r="A12" t="s">
        <v>3064</v>
      </c>
      <c r="B12" t="s">
        <v>1630</v>
      </c>
      <c r="C12" t="s">
        <v>1629</v>
      </c>
      <c r="D12" t="s">
        <v>514</v>
      </c>
      <c r="E12" t="s">
        <v>21</v>
      </c>
      <c r="F12" t="b">
        <v>1</v>
      </c>
      <c r="G12" t="s">
        <v>3062</v>
      </c>
      <c r="H12" t="s">
        <v>1628</v>
      </c>
      <c r="I12">
        <v>0.12</v>
      </c>
      <c r="J12" t="s">
        <v>3053</v>
      </c>
      <c r="K12">
        <v>233.64</v>
      </c>
      <c r="L12">
        <v>106823.5</v>
      </c>
      <c r="M12">
        <v>1947</v>
      </c>
      <c r="N12">
        <v>105110.14</v>
      </c>
      <c r="O12">
        <v>1713.36</v>
      </c>
      <c r="P12" t="s">
        <v>3065</v>
      </c>
      <c r="Q12">
        <v>2437.6</v>
      </c>
      <c r="R12">
        <v>107057.14</v>
      </c>
      <c r="S12">
        <v>233.64</v>
      </c>
      <c r="T12" t="s">
        <v>3029</v>
      </c>
      <c r="U12" t="s">
        <v>1304</v>
      </c>
      <c r="V12">
        <v>2022</v>
      </c>
      <c r="W12" t="s">
        <v>3064</v>
      </c>
      <c r="Y12" t="s">
        <v>724</v>
      </c>
      <c r="Z12">
        <v>106823.5</v>
      </c>
    </row>
    <row r="13" spans="1:31" ht="15.6" x14ac:dyDescent="0.3">
      <c r="A13" t="s">
        <v>3066</v>
      </c>
      <c r="B13" t="s">
        <v>78</v>
      </c>
      <c r="C13" t="s">
        <v>75</v>
      </c>
      <c r="D13" t="s">
        <v>77</v>
      </c>
      <c r="E13" t="s">
        <v>55</v>
      </c>
      <c r="F13" t="b">
        <v>0</v>
      </c>
      <c r="G13" t="s">
        <v>3042</v>
      </c>
      <c r="H13" t="s">
        <v>74</v>
      </c>
      <c r="I13">
        <v>0</v>
      </c>
      <c r="J13" t="s">
        <v>3053</v>
      </c>
      <c r="K13">
        <v>0</v>
      </c>
      <c r="L13">
        <v>37124</v>
      </c>
      <c r="M13">
        <v>0</v>
      </c>
      <c r="N13">
        <v>37124</v>
      </c>
      <c r="O13">
        <v>0</v>
      </c>
      <c r="P13" t="s">
        <v>3067</v>
      </c>
      <c r="Q13">
        <v>37124</v>
      </c>
      <c r="R13">
        <v>37124</v>
      </c>
      <c r="S13">
        <v>0</v>
      </c>
      <c r="T13" t="s">
        <v>3029</v>
      </c>
      <c r="U13" t="s">
        <v>3068</v>
      </c>
      <c r="V13">
        <v>2022</v>
      </c>
      <c r="W13" t="s">
        <v>3066</v>
      </c>
      <c r="Y13" t="s">
        <v>724</v>
      </c>
      <c r="Z13">
        <v>37124</v>
      </c>
    </row>
    <row r="14" spans="1:31" ht="15.6" x14ac:dyDescent="0.3">
      <c r="A14" t="s">
        <v>3069</v>
      </c>
      <c r="B14" t="s">
        <v>1220</v>
      </c>
      <c r="C14" t="s">
        <v>1217</v>
      </c>
      <c r="D14" t="s">
        <v>60</v>
      </c>
      <c r="E14" t="s">
        <v>1219</v>
      </c>
      <c r="F14" t="b">
        <v>1</v>
      </c>
      <c r="G14" t="s">
        <v>3070</v>
      </c>
      <c r="H14" t="s">
        <v>1216</v>
      </c>
      <c r="I14">
        <v>0.12</v>
      </c>
      <c r="J14" t="s">
        <v>3071</v>
      </c>
      <c r="K14">
        <v>515.52</v>
      </c>
      <c r="L14">
        <v>122936.54</v>
      </c>
      <c r="M14">
        <v>4296</v>
      </c>
      <c r="N14">
        <v>119156.06</v>
      </c>
      <c r="O14">
        <v>3780.48</v>
      </c>
      <c r="P14" t="s">
        <v>3072</v>
      </c>
      <c r="Q14">
        <v>122936.54</v>
      </c>
      <c r="R14">
        <v>123452.06</v>
      </c>
      <c r="S14">
        <v>515.52</v>
      </c>
      <c r="T14" t="s">
        <v>3029</v>
      </c>
      <c r="U14" t="s">
        <v>3068</v>
      </c>
      <c r="V14">
        <v>2022</v>
      </c>
      <c r="W14" t="s">
        <v>3069</v>
      </c>
      <c r="Y14" t="s">
        <v>724</v>
      </c>
      <c r="Z14">
        <v>122936.54</v>
      </c>
    </row>
    <row r="15" spans="1:31" ht="15.6" x14ac:dyDescent="0.3">
      <c r="A15" t="s">
        <v>3073</v>
      </c>
      <c r="B15" t="s">
        <v>1630</v>
      </c>
      <c r="C15" t="s">
        <v>1629</v>
      </c>
      <c r="D15" t="s">
        <v>514</v>
      </c>
      <c r="E15" t="s">
        <v>21</v>
      </c>
      <c r="F15" t="b">
        <v>1</v>
      </c>
      <c r="G15" t="s">
        <v>3026</v>
      </c>
      <c r="H15" t="s">
        <v>1628</v>
      </c>
      <c r="I15">
        <v>0.12</v>
      </c>
      <c r="J15" t="s">
        <v>3071</v>
      </c>
      <c r="K15">
        <v>17043.84</v>
      </c>
      <c r="L15">
        <v>124988.16</v>
      </c>
      <c r="M15">
        <v>142032</v>
      </c>
      <c r="N15">
        <v>0</v>
      </c>
      <c r="O15">
        <v>124988.16</v>
      </c>
      <c r="P15" t="s">
        <v>3074</v>
      </c>
      <c r="Q15">
        <v>124988.16</v>
      </c>
      <c r="R15">
        <v>142032</v>
      </c>
      <c r="S15">
        <v>17043.84</v>
      </c>
      <c r="T15" t="s">
        <v>3029</v>
      </c>
      <c r="U15" t="s">
        <v>3075</v>
      </c>
      <c r="V15">
        <v>2022</v>
      </c>
      <c r="W15" t="s">
        <v>3073</v>
      </c>
      <c r="Y15" t="s">
        <v>724</v>
      </c>
      <c r="Z15">
        <v>124988.16</v>
      </c>
    </row>
    <row r="16" spans="1:31" ht="15.6" x14ac:dyDescent="0.3">
      <c r="A16" t="s">
        <v>3076</v>
      </c>
      <c r="B16" t="s">
        <v>1343</v>
      </c>
      <c r="C16" t="s">
        <v>706</v>
      </c>
      <c r="D16" t="s">
        <v>122</v>
      </c>
      <c r="E16" t="s">
        <v>1342</v>
      </c>
      <c r="F16" t="b">
        <v>0</v>
      </c>
      <c r="G16" t="s">
        <v>3062</v>
      </c>
      <c r="H16" t="s">
        <v>1340</v>
      </c>
      <c r="I16">
        <v>0</v>
      </c>
      <c r="J16" t="s">
        <v>3077</v>
      </c>
      <c r="K16">
        <v>0</v>
      </c>
      <c r="L16">
        <v>197813.18</v>
      </c>
      <c r="M16">
        <v>0</v>
      </c>
      <c r="N16">
        <v>197813.18</v>
      </c>
      <c r="O16">
        <v>0</v>
      </c>
      <c r="P16" t="s">
        <v>3078</v>
      </c>
      <c r="Q16">
        <v>197813.18</v>
      </c>
      <c r="R16">
        <v>197813.18</v>
      </c>
      <c r="S16">
        <v>0</v>
      </c>
      <c r="T16" t="s">
        <v>3029</v>
      </c>
      <c r="U16" t="s">
        <v>3079</v>
      </c>
      <c r="V16">
        <v>2022</v>
      </c>
      <c r="W16" t="s">
        <v>3076</v>
      </c>
      <c r="Y16" t="s">
        <v>3080</v>
      </c>
      <c r="Z16">
        <v>197813.18</v>
      </c>
    </row>
    <row r="17" spans="1:28" ht="15.6" x14ac:dyDescent="0.3">
      <c r="A17" t="s">
        <v>3081</v>
      </c>
      <c r="B17" t="s">
        <v>83</v>
      </c>
      <c r="C17" t="s">
        <v>80</v>
      </c>
      <c r="D17" t="s">
        <v>13</v>
      </c>
      <c r="E17" t="s">
        <v>82</v>
      </c>
      <c r="F17" t="b">
        <v>1</v>
      </c>
      <c r="G17" t="s">
        <v>3062</v>
      </c>
      <c r="H17" t="s">
        <v>79</v>
      </c>
      <c r="I17">
        <v>0.12</v>
      </c>
      <c r="J17" t="s">
        <v>3082</v>
      </c>
      <c r="K17">
        <v>0</v>
      </c>
      <c r="L17">
        <v>173632.88</v>
      </c>
      <c r="M17">
        <v>0</v>
      </c>
      <c r="N17">
        <v>130416.96000000001</v>
      </c>
      <c r="O17">
        <v>0</v>
      </c>
      <c r="P17" t="s">
        <v>3083</v>
      </c>
      <c r="Q17">
        <v>173632.88</v>
      </c>
      <c r="R17">
        <v>179525.96</v>
      </c>
      <c r="S17">
        <v>5893.08</v>
      </c>
      <c r="T17" t="s">
        <v>3029</v>
      </c>
      <c r="U17" t="s">
        <v>3084</v>
      </c>
      <c r="V17">
        <v>2022</v>
      </c>
      <c r="W17" t="s">
        <v>3081</v>
      </c>
      <c r="Y17" t="s">
        <v>3010</v>
      </c>
      <c r="Z17">
        <v>173632.88</v>
      </c>
      <c r="AA17">
        <v>179525.96</v>
      </c>
      <c r="AB17">
        <v>49109</v>
      </c>
    </row>
    <row r="18" spans="1:28" ht="15.6" x14ac:dyDescent="0.3">
      <c r="A18" t="s">
        <v>3085</v>
      </c>
      <c r="B18" t="s">
        <v>253</v>
      </c>
      <c r="C18" t="s">
        <v>250</v>
      </c>
      <c r="D18" t="s">
        <v>13</v>
      </c>
      <c r="E18" t="s">
        <v>252</v>
      </c>
      <c r="F18" t="b">
        <v>1</v>
      </c>
      <c r="G18" t="s">
        <v>3042</v>
      </c>
      <c r="H18" t="s">
        <v>249</v>
      </c>
      <c r="I18">
        <v>0.12</v>
      </c>
      <c r="J18" t="s">
        <v>3082</v>
      </c>
      <c r="K18">
        <v>0</v>
      </c>
      <c r="L18">
        <v>32941.97</v>
      </c>
      <c r="M18">
        <v>0</v>
      </c>
      <c r="N18">
        <v>32153.49</v>
      </c>
      <c r="O18">
        <v>0</v>
      </c>
      <c r="P18" t="s">
        <v>3086</v>
      </c>
      <c r="Q18">
        <v>32941.97</v>
      </c>
      <c r="R18">
        <v>33049.49</v>
      </c>
      <c r="S18">
        <v>107.52</v>
      </c>
      <c r="T18" t="s">
        <v>3029</v>
      </c>
      <c r="U18" t="s">
        <v>3087</v>
      </c>
      <c r="V18">
        <v>2022</v>
      </c>
      <c r="W18" t="s">
        <v>3085</v>
      </c>
      <c r="Y18" t="s">
        <v>3010</v>
      </c>
      <c r="Z18">
        <v>32941.97</v>
      </c>
      <c r="AB18">
        <v>896</v>
      </c>
    </row>
    <row r="19" spans="1:28" ht="15.6" x14ac:dyDescent="0.3">
      <c r="A19" t="s">
        <v>3088</v>
      </c>
      <c r="B19" t="s">
        <v>221</v>
      </c>
      <c r="C19" t="s">
        <v>218</v>
      </c>
      <c r="D19" t="s">
        <v>220</v>
      </c>
      <c r="E19" t="s">
        <v>55</v>
      </c>
      <c r="F19" t="b">
        <v>1</v>
      </c>
      <c r="G19" t="s">
        <v>39</v>
      </c>
      <c r="H19" t="s">
        <v>217</v>
      </c>
      <c r="I19">
        <v>0.12</v>
      </c>
      <c r="J19" t="s">
        <v>3082</v>
      </c>
      <c r="K19">
        <v>0</v>
      </c>
      <c r="L19">
        <v>75021.919999999998</v>
      </c>
      <c r="M19">
        <v>0</v>
      </c>
      <c r="N19">
        <v>75021.919999999998</v>
      </c>
      <c r="O19">
        <v>0</v>
      </c>
      <c r="P19" t="s">
        <v>3089</v>
      </c>
      <c r="Q19">
        <v>75021.919999999998</v>
      </c>
      <c r="R19">
        <v>75021.919999999998</v>
      </c>
      <c r="S19">
        <v>0</v>
      </c>
      <c r="T19" t="s">
        <v>3029</v>
      </c>
      <c r="U19" t="s">
        <v>1066</v>
      </c>
      <c r="V19">
        <v>2022</v>
      </c>
      <c r="W19" t="s">
        <v>3088</v>
      </c>
      <c r="Y19" t="s">
        <v>3010</v>
      </c>
      <c r="Z19">
        <v>75021.919999999998</v>
      </c>
      <c r="AB19">
        <v>0</v>
      </c>
    </row>
    <row r="20" spans="1:28" ht="15.6" x14ac:dyDescent="0.3">
      <c r="A20" t="s">
        <v>3090</v>
      </c>
      <c r="B20" t="s">
        <v>83</v>
      </c>
      <c r="C20" t="s">
        <v>80</v>
      </c>
      <c r="D20" t="s">
        <v>13</v>
      </c>
      <c r="E20" t="s">
        <v>82</v>
      </c>
      <c r="F20" t="b">
        <v>1</v>
      </c>
      <c r="G20" t="s">
        <v>39</v>
      </c>
      <c r="H20" t="s">
        <v>79</v>
      </c>
      <c r="I20">
        <v>0.12</v>
      </c>
      <c r="J20" t="s">
        <v>3082</v>
      </c>
      <c r="K20">
        <v>0</v>
      </c>
      <c r="L20">
        <v>93827.03</v>
      </c>
      <c r="M20">
        <v>0</v>
      </c>
      <c r="N20">
        <v>79026.31</v>
      </c>
      <c r="O20">
        <v>0</v>
      </c>
      <c r="P20" t="s">
        <v>3091</v>
      </c>
      <c r="Q20">
        <v>93827.03</v>
      </c>
      <c r="R20">
        <v>95845.31</v>
      </c>
      <c r="S20">
        <v>2018.28</v>
      </c>
      <c r="T20" t="s">
        <v>3029</v>
      </c>
      <c r="U20" t="s">
        <v>3092</v>
      </c>
      <c r="V20">
        <v>2022</v>
      </c>
      <c r="W20" t="s">
        <v>3090</v>
      </c>
      <c r="Y20" t="s">
        <v>3010</v>
      </c>
      <c r="Z20">
        <v>93827.03</v>
      </c>
      <c r="AB20">
        <v>16819</v>
      </c>
    </row>
    <row r="21" spans="1:28" ht="15.6" x14ac:dyDescent="0.3">
      <c r="A21" t="s">
        <v>3093</v>
      </c>
      <c r="B21" t="s">
        <v>469</v>
      </c>
      <c r="C21" t="s">
        <v>70</v>
      </c>
      <c r="D21" t="s">
        <v>13</v>
      </c>
      <c r="E21" t="s">
        <v>468</v>
      </c>
      <c r="F21" t="b">
        <v>0</v>
      </c>
      <c r="G21" t="s">
        <v>3094</v>
      </c>
      <c r="H21" t="s">
        <v>467</v>
      </c>
      <c r="I21">
        <v>0</v>
      </c>
      <c r="J21" t="s">
        <v>3077</v>
      </c>
      <c r="K21">
        <v>0</v>
      </c>
      <c r="L21">
        <v>79700</v>
      </c>
      <c r="M21">
        <v>0</v>
      </c>
      <c r="N21">
        <v>0</v>
      </c>
      <c r="O21">
        <v>0</v>
      </c>
      <c r="P21" t="s">
        <v>3095</v>
      </c>
      <c r="Q21">
        <v>79700</v>
      </c>
      <c r="R21">
        <v>79700</v>
      </c>
      <c r="S21">
        <v>0</v>
      </c>
      <c r="T21" t="s">
        <v>3096</v>
      </c>
      <c r="U21" t="s">
        <v>3097</v>
      </c>
      <c r="V21">
        <v>2022</v>
      </c>
      <c r="W21" t="s">
        <v>3093</v>
      </c>
      <c r="Y21" t="s">
        <v>3080</v>
      </c>
      <c r="Z21">
        <v>79700</v>
      </c>
      <c r="AB21">
        <v>79700</v>
      </c>
    </row>
    <row r="22" spans="1:28" ht="15.6" x14ac:dyDescent="0.3">
      <c r="A22" t="s">
        <v>3098</v>
      </c>
      <c r="B22" t="s">
        <v>516</v>
      </c>
      <c r="C22" t="s">
        <v>80</v>
      </c>
      <c r="D22" t="s">
        <v>514</v>
      </c>
      <c r="E22" t="s">
        <v>515</v>
      </c>
      <c r="F22" t="b">
        <v>1</v>
      </c>
      <c r="G22" t="s">
        <v>3042</v>
      </c>
      <c r="H22" t="s">
        <v>512</v>
      </c>
      <c r="I22">
        <v>0.12</v>
      </c>
      <c r="J22" t="s">
        <v>3082</v>
      </c>
      <c r="K22">
        <v>0</v>
      </c>
      <c r="L22">
        <v>642419.41</v>
      </c>
      <c r="M22">
        <v>0</v>
      </c>
      <c r="N22">
        <v>598243.41</v>
      </c>
      <c r="O22">
        <v>0</v>
      </c>
      <c r="P22" t="s">
        <v>3099</v>
      </c>
      <c r="Q22">
        <v>642419.41</v>
      </c>
      <c r="R22">
        <v>648443.41</v>
      </c>
      <c r="S22">
        <v>6024</v>
      </c>
      <c r="T22" t="s">
        <v>3029</v>
      </c>
      <c r="U22" t="s">
        <v>3100</v>
      </c>
      <c r="V22">
        <v>2022</v>
      </c>
      <c r="W22" t="s">
        <v>3098</v>
      </c>
      <c r="Y22" t="s">
        <v>3010</v>
      </c>
      <c r="Z22">
        <v>642419.41</v>
      </c>
      <c r="AB22">
        <v>50200</v>
      </c>
    </row>
    <row r="23" spans="1:28" ht="15.6" x14ac:dyDescent="0.3">
      <c r="A23" t="s">
        <v>3101</v>
      </c>
      <c r="B23" t="s">
        <v>1220</v>
      </c>
      <c r="C23" t="s">
        <v>1217</v>
      </c>
      <c r="D23" t="s">
        <v>60</v>
      </c>
      <c r="E23" t="s">
        <v>1219</v>
      </c>
      <c r="F23" t="b">
        <v>1</v>
      </c>
      <c r="G23" t="s">
        <v>3062</v>
      </c>
      <c r="H23" t="s">
        <v>1216</v>
      </c>
      <c r="I23">
        <v>0.12</v>
      </c>
      <c r="J23" t="s">
        <v>3082</v>
      </c>
      <c r="K23">
        <v>0</v>
      </c>
      <c r="L23">
        <v>110062.21</v>
      </c>
      <c r="M23">
        <v>0</v>
      </c>
      <c r="N23">
        <v>93011.33</v>
      </c>
      <c r="O23">
        <v>0</v>
      </c>
      <c r="P23" t="s">
        <v>3102</v>
      </c>
      <c r="Q23">
        <v>110062.21</v>
      </c>
      <c r="R23">
        <v>112387.33</v>
      </c>
      <c r="S23">
        <v>2325.12</v>
      </c>
      <c r="T23" t="s">
        <v>3029</v>
      </c>
      <c r="U23" t="s">
        <v>3103</v>
      </c>
      <c r="V23">
        <v>2022</v>
      </c>
      <c r="W23" t="s">
        <v>3101</v>
      </c>
      <c r="Y23" t="s">
        <v>3010</v>
      </c>
      <c r="Z23">
        <v>110062.21</v>
      </c>
      <c r="AB23">
        <v>19376</v>
      </c>
    </row>
    <row r="24" spans="1:28" ht="15.6" x14ac:dyDescent="0.3">
      <c r="A24" t="s">
        <v>3104</v>
      </c>
      <c r="B24" t="s">
        <v>1249</v>
      </c>
      <c r="C24" t="s">
        <v>1247</v>
      </c>
      <c r="D24" t="s">
        <v>60</v>
      </c>
      <c r="E24" t="s">
        <v>21</v>
      </c>
      <c r="F24" t="b">
        <v>1</v>
      </c>
      <c r="G24" t="s">
        <v>3042</v>
      </c>
      <c r="H24" t="s">
        <v>1246</v>
      </c>
      <c r="I24">
        <v>0.12</v>
      </c>
      <c r="J24" t="s">
        <v>3082</v>
      </c>
      <c r="K24">
        <v>0</v>
      </c>
      <c r="L24">
        <v>8247.36</v>
      </c>
      <c r="M24">
        <v>0</v>
      </c>
      <c r="N24">
        <v>0</v>
      </c>
      <c r="O24">
        <v>0</v>
      </c>
      <c r="P24" t="s">
        <v>3105</v>
      </c>
      <c r="Q24">
        <v>8247.36</v>
      </c>
      <c r="R24">
        <v>9372</v>
      </c>
      <c r="S24">
        <v>1124.6400000000001</v>
      </c>
      <c r="T24" t="s">
        <v>3029</v>
      </c>
      <c r="U24" t="s">
        <v>3106</v>
      </c>
      <c r="V24">
        <v>2022</v>
      </c>
      <c r="W24" t="s">
        <v>3104</v>
      </c>
      <c r="Y24" t="s">
        <v>3010</v>
      </c>
      <c r="Z24">
        <v>8247.36</v>
      </c>
      <c r="AB24">
        <v>9372</v>
      </c>
    </row>
    <row r="25" spans="1:28" ht="15.6" x14ac:dyDescent="0.3">
      <c r="A25" t="s">
        <v>3107</v>
      </c>
      <c r="B25" t="s">
        <v>1249</v>
      </c>
      <c r="C25" t="s">
        <v>1247</v>
      </c>
      <c r="D25" t="s">
        <v>60</v>
      </c>
      <c r="E25" t="s">
        <v>21</v>
      </c>
      <c r="F25" t="b">
        <v>0</v>
      </c>
      <c r="G25" t="s">
        <v>3108</v>
      </c>
      <c r="H25" t="s">
        <v>1246</v>
      </c>
      <c r="I25">
        <v>0</v>
      </c>
      <c r="J25" t="s">
        <v>3109</v>
      </c>
      <c r="K25">
        <v>0</v>
      </c>
      <c r="L25">
        <v>75982.25</v>
      </c>
      <c r="M25">
        <v>0</v>
      </c>
      <c r="N25">
        <v>75982.25</v>
      </c>
      <c r="O25">
        <v>0</v>
      </c>
      <c r="P25" t="s">
        <v>3110</v>
      </c>
      <c r="Q25">
        <v>75982.25</v>
      </c>
      <c r="R25">
        <v>75982.25</v>
      </c>
      <c r="S25">
        <v>0</v>
      </c>
      <c r="T25" t="s">
        <v>3029</v>
      </c>
      <c r="U25" t="s">
        <v>3111</v>
      </c>
      <c r="V25">
        <v>2022</v>
      </c>
      <c r="W25" t="s">
        <v>3107</v>
      </c>
      <c r="Y25" t="s">
        <v>3040</v>
      </c>
      <c r="Z25">
        <v>75982.25</v>
      </c>
      <c r="AB25">
        <v>0</v>
      </c>
    </row>
    <row r="26" spans="1:28" ht="15.6" x14ac:dyDescent="0.3">
      <c r="A26" t="s">
        <v>3112</v>
      </c>
      <c r="B26" t="s">
        <v>516</v>
      </c>
      <c r="C26" t="s">
        <v>80</v>
      </c>
      <c r="D26" t="s">
        <v>514</v>
      </c>
      <c r="E26" t="s">
        <v>515</v>
      </c>
      <c r="F26" t="b">
        <v>0</v>
      </c>
      <c r="G26" t="s">
        <v>3042</v>
      </c>
      <c r="H26" t="s">
        <v>512</v>
      </c>
      <c r="I26">
        <v>0</v>
      </c>
      <c r="J26" t="s">
        <v>3109</v>
      </c>
      <c r="K26">
        <v>0</v>
      </c>
      <c r="L26">
        <v>473500.42</v>
      </c>
      <c r="M26">
        <v>0</v>
      </c>
      <c r="N26">
        <v>0</v>
      </c>
      <c r="O26">
        <v>0</v>
      </c>
      <c r="P26" t="s">
        <v>3113</v>
      </c>
      <c r="Q26">
        <v>473500.42</v>
      </c>
      <c r="R26">
        <v>473500.42</v>
      </c>
      <c r="S26">
        <v>0</v>
      </c>
      <c r="T26" t="s">
        <v>3029</v>
      </c>
      <c r="U26" t="s">
        <v>3114</v>
      </c>
      <c r="V26">
        <v>2022</v>
      </c>
      <c r="W26" t="s">
        <v>3112</v>
      </c>
      <c r="Y26" t="s">
        <v>3040</v>
      </c>
      <c r="Z26">
        <v>473500.42</v>
      </c>
      <c r="AB26">
        <v>473500.42</v>
      </c>
    </row>
    <row r="27" spans="1:28" ht="15.6" x14ac:dyDescent="0.3">
      <c r="A27" t="s">
        <v>3115</v>
      </c>
      <c r="B27" t="s">
        <v>134</v>
      </c>
      <c r="C27" t="s">
        <v>131</v>
      </c>
      <c r="D27" t="s">
        <v>60</v>
      </c>
      <c r="E27" t="s">
        <v>133</v>
      </c>
      <c r="F27" t="b">
        <v>1</v>
      </c>
      <c r="G27" t="s">
        <v>3026</v>
      </c>
      <c r="H27" t="s">
        <v>130</v>
      </c>
      <c r="I27">
        <v>0.12</v>
      </c>
      <c r="J27" t="s">
        <v>3116</v>
      </c>
      <c r="K27">
        <v>1415.88</v>
      </c>
      <c r="L27">
        <v>10383.120000000001</v>
      </c>
      <c r="M27">
        <v>11799</v>
      </c>
      <c r="N27">
        <v>0</v>
      </c>
      <c r="O27">
        <v>11799</v>
      </c>
      <c r="P27" t="s">
        <v>3117</v>
      </c>
      <c r="Q27">
        <v>10383.120000000001</v>
      </c>
      <c r="R27">
        <v>11799</v>
      </c>
      <c r="S27">
        <v>1415.88</v>
      </c>
      <c r="T27" t="s">
        <v>3029</v>
      </c>
      <c r="U27" t="s">
        <v>3118</v>
      </c>
      <c r="V27">
        <v>2022</v>
      </c>
      <c r="W27" t="s">
        <v>3115</v>
      </c>
      <c r="Y27" t="s">
        <v>3040</v>
      </c>
      <c r="Z27">
        <v>10383.120000000001</v>
      </c>
      <c r="AB27">
        <v>11799</v>
      </c>
    </row>
    <row r="28" spans="1:28" ht="15.6" x14ac:dyDescent="0.3">
      <c r="A28" t="s">
        <v>3119</v>
      </c>
      <c r="B28" t="s">
        <v>1220</v>
      </c>
      <c r="C28" t="s">
        <v>1217</v>
      </c>
      <c r="D28" t="s">
        <v>60</v>
      </c>
      <c r="E28" t="s">
        <v>1219</v>
      </c>
      <c r="F28" t="b">
        <v>0</v>
      </c>
      <c r="G28" t="s">
        <v>3094</v>
      </c>
      <c r="H28" t="s">
        <v>1216</v>
      </c>
      <c r="I28">
        <v>0</v>
      </c>
      <c r="J28" t="s">
        <v>3109</v>
      </c>
      <c r="K28">
        <v>0</v>
      </c>
      <c r="L28">
        <v>58367.86</v>
      </c>
      <c r="M28">
        <v>0</v>
      </c>
      <c r="N28">
        <v>0</v>
      </c>
      <c r="O28">
        <v>0</v>
      </c>
      <c r="P28" t="s">
        <v>3120</v>
      </c>
      <c r="Q28">
        <v>58367.86</v>
      </c>
      <c r="R28">
        <v>58367.86</v>
      </c>
      <c r="S28">
        <v>0</v>
      </c>
      <c r="T28" t="s">
        <v>3121</v>
      </c>
      <c r="U28" t="s">
        <v>3122</v>
      </c>
      <c r="V28">
        <v>2022</v>
      </c>
      <c r="W28" t="s">
        <v>3119</v>
      </c>
      <c r="Y28" t="s">
        <v>3040</v>
      </c>
      <c r="Z28">
        <v>58367.86</v>
      </c>
      <c r="AB28">
        <v>58367.86</v>
      </c>
    </row>
    <row r="29" spans="1:28" ht="15.6" x14ac:dyDescent="0.3">
      <c r="A29" t="s">
        <v>3123</v>
      </c>
      <c r="B29" t="s">
        <v>1350</v>
      </c>
      <c r="C29" t="s">
        <v>1074</v>
      </c>
      <c r="D29" t="s">
        <v>1349</v>
      </c>
      <c r="E29" t="s">
        <v>55</v>
      </c>
      <c r="F29" t="b">
        <v>0</v>
      </c>
      <c r="G29" t="s">
        <v>3094</v>
      </c>
      <c r="H29" t="s">
        <v>1347</v>
      </c>
      <c r="I29">
        <v>0</v>
      </c>
      <c r="J29" t="s">
        <v>3109</v>
      </c>
      <c r="K29">
        <v>0</v>
      </c>
      <c r="L29">
        <v>100546.74</v>
      </c>
      <c r="M29">
        <v>0</v>
      </c>
      <c r="N29">
        <v>0</v>
      </c>
      <c r="O29">
        <v>0</v>
      </c>
      <c r="P29" t="s">
        <v>3124</v>
      </c>
      <c r="Q29">
        <v>100546.74</v>
      </c>
      <c r="R29">
        <v>100546.74</v>
      </c>
      <c r="S29">
        <v>0</v>
      </c>
      <c r="T29" t="s">
        <v>3029</v>
      </c>
      <c r="U29" t="s">
        <v>3125</v>
      </c>
      <c r="V29">
        <v>2022</v>
      </c>
      <c r="W29" t="s">
        <v>3123</v>
      </c>
      <c r="Y29" t="s">
        <v>3040</v>
      </c>
      <c r="Z29">
        <v>100546.74</v>
      </c>
      <c r="AB29">
        <v>100546.74</v>
      </c>
    </row>
    <row r="30" spans="1:28" ht="15.6" x14ac:dyDescent="0.3">
      <c r="A30" t="s">
        <v>3126</v>
      </c>
      <c r="B30" t="s">
        <v>1630</v>
      </c>
      <c r="C30" t="s">
        <v>1629</v>
      </c>
      <c r="D30" t="s">
        <v>514</v>
      </c>
      <c r="E30" t="s">
        <v>21</v>
      </c>
      <c r="F30" t="b">
        <v>1</v>
      </c>
      <c r="G30" t="s">
        <v>3026</v>
      </c>
      <c r="H30" t="s">
        <v>1628</v>
      </c>
      <c r="I30">
        <v>0.12</v>
      </c>
      <c r="J30" t="s">
        <v>3116</v>
      </c>
      <c r="K30">
        <v>16840.5</v>
      </c>
      <c r="L30">
        <v>123497</v>
      </c>
      <c r="M30">
        <v>140337.5</v>
      </c>
      <c r="N30">
        <v>140337.5</v>
      </c>
      <c r="O30">
        <v>140337.5</v>
      </c>
      <c r="P30" t="s">
        <v>3127</v>
      </c>
      <c r="Q30">
        <v>123497</v>
      </c>
      <c r="R30">
        <v>140337.5</v>
      </c>
      <c r="S30">
        <v>16840.5</v>
      </c>
      <c r="T30" t="s">
        <v>3029</v>
      </c>
      <c r="U30" t="s">
        <v>3125</v>
      </c>
      <c r="V30">
        <v>2022</v>
      </c>
      <c r="W30" t="s">
        <v>3126</v>
      </c>
      <c r="Y30" t="s">
        <v>3040</v>
      </c>
      <c r="Z30">
        <v>123497</v>
      </c>
      <c r="AB30">
        <v>0</v>
      </c>
    </row>
    <row r="31" spans="1:28" ht="15.6" x14ac:dyDescent="0.3">
      <c r="A31" t="s">
        <v>3128</v>
      </c>
      <c r="B31" t="s">
        <v>340</v>
      </c>
      <c r="C31" t="s">
        <v>339</v>
      </c>
      <c r="D31" t="s">
        <v>60</v>
      </c>
      <c r="E31" t="s">
        <v>21</v>
      </c>
      <c r="F31" t="b">
        <v>1</v>
      </c>
      <c r="G31" t="s">
        <v>3062</v>
      </c>
      <c r="H31" t="s">
        <v>338</v>
      </c>
      <c r="I31">
        <v>0.12</v>
      </c>
      <c r="J31" t="s">
        <v>3082</v>
      </c>
      <c r="K31">
        <v>0</v>
      </c>
      <c r="L31">
        <v>39162.720000000001</v>
      </c>
      <c r="M31">
        <v>0</v>
      </c>
      <c r="N31">
        <v>29177.360000000001</v>
      </c>
      <c r="O31">
        <v>0</v>
      </c>
      <c r="P31" t="s">
        <v>3129</v>
      </c>
      <c r="Q31">
        <v>39162.720000000001</v>
      </c>
      <c r="R31">
        <v>40524.36</v>
      </c>
      <c r="S31">
        <v>1361.64</v>
      </c>
      <c r="T31" t="s">
        <v>3029</v>
      </c>
      <c r="U31" t="s">
        <v>3130</v>
      </c>
      <c r="V31">
        <v>2022</v>
      </c>
      <c r="W31" t="s">
        <v>3128</v>
      </c>
      <c r="Y31" t="s">
        <v>3010</v>
      </c>
      <c r="Z31">
        <v>39162.720000000001</v>
      </c>
      <c r="AB31">
        <v>11347</v>
      </c>
    </row>
    <row r="32" spans="1:28" ht="15.6" x14ac:dyDescent="0.3">
      <c r="A32" t="s">
        <v>3131</v>
      </c>
      <c r="B32" t="s">
        <v>1220</v>
      </c>
      <c r="C32" t="s">
        <v>1217</v>
      </c>
      <c r="D32" t="s">
        <v>60</v>
      </c>
      <c r="E32" t="s">
        <v>1219</v>
      </c>
      <c r="F32" t="b">
        <v>1</v>
      </c>
      <c r="G32" t="s">
        <v>3042</v>
      </c>
      <c r="H32" t="s">
        <v>1216</v>
      </c>
      <c r="I32">
        <v>0.12</v>
      </c>
      <c r="J32" t="s">
        <v>3116</v>
      </c>
      <c r="K32">
        <v>0</v>
      </c>
      <c r="L32">
        <v>76070.720000000001</v>
      </c>
      <c r="M32">
        <v>0</v>
      </c>
      <c r="N32">
        <v>0</v>
      </c>
      <c r="O32">
        <v>0</v>
      </c>
      <c r="P32" t="s">
        <v>3132</v>
      </c>
      <c r="Q32">
        <v>76070.720000000001</v>
      </c>
      <c r="R32">
        <v>86444</v>
      </c>
      <c r="S32">
        <v>10373.280000000001</v>
      </c>
      <c r="T32" t="s">
        <v>3029</v>
      </c>
      <c r="U32" t="s">
        <v>3133</v>
      </c>
      <c r="V32">
        <v>2022</v>
      </c>
      <c r="W32" t="s">
        <v>3131</v>
      </c>
      <c r="Y32" t="s">
        <v>3040</v>
      </c>
      <c r="Z32">
        <v>76070.720000000001</v>
      </c>
      <c r="AB32">
        <v>86444</v>
      </c>
    </row>
    <row r="33" spans="1:28" ht="15.6" x14ac:dyDescent="0.3">
      <c r="A33" t="s">
        <v>3134</v>
      </c>
      <c r="B33" t="s">
        <v>1318</v>
      </c>
      <c r="C33" t="s">
        <v>355</v>
      </c>
      <c r="D33" t="s">
        <v>112</v>
      </c>
      <c r="E33" t="s">
        <v>1317</v>
      </c>
      <c r="F33" t="b">
        <v>1</v>
      </c>
      <c r="G33" t="s">
        <v>3042</v>
      </c>
      <c r="H33" t="s">
        <v>1315</v>
      </c>
      <c r="I33">
        <v>0.12</v>
      </c>
      <c r="J33" t="s">
        <v>3116</v>
      </c>
      <c r="K33">
        <v>0</v>
      </c>
      <c r="L33">
        <v>76863.600000000006</v>
      </c>
      <c r="M33">
        <v>0</v>
      </c>
      <c r="N33">
        <v>0</v>
      </c>
      <c r="O33">
        <v>0</v>
      </c>
      <c r="P33" t="s">
        <v>3135</v>
      </c>
      <c r="Q33">
        <v>76863.600000000006</v>
      </c>
      <c r="R33">
        <v>87345</v>
      </c>
      <c r="S33">
        <v>10481.4</v>
      </c>
      <c r="T33" t="s">
        <v>3029</v>
      </c>
      <c r="U33" t="s">
        <v>264</v>
      </c>
      <c r="V33">
        <v>2022</v>
      </c>
      <c r="W33" t="s">
        <v>3134</v>
      </c>
      <c r="Y33" t="s">
        <v>3040</v>
      </c>
      <c r="Z33">
        <v>76863.600000000006</v>
      </c>
      <c r="AB33">
        <v>87345</v>
      </c>
    </row>
    <row r="34" spans="1:28" ht="15.6" x14ac:dyDescent="0.3">
      <c r="A34" t="s">
        <v>3136</v>
      </c>
      <c r="B34" t="s">
        <v>1318</v>
      </c>
      <c r="C34" t="s">
        <v>355</v>
      </c>
      <c r="D34" t="s">
        <v>112</v>
      </c>
      <c r="E34" t="s">
        <v>1317</v>
      </c>
      <c r="F34" t="b">
        <v>1</v>
      </c>
      <c r="G34" t="s">
        <v>3042</v>
      </c>
      <c r="H34" t="s">
        <v>1315</v>
      </c>
      <c r="I34">
        <v>0.12</v>
      </c>
      <c r="J34" t="s">
        <v>3116</v>
      </c>
      <c r="K34">
        <v>0</v>
      </c>
      <c r="L34">
        <v>14774.32</v>
      </c>
      <c r="M34">
        <v>0</v>
      </c>
      <c r="N34">
        <v>0</v>
      </c>
      <c r="O34">
        <v>0</v>
      </c>
      <c r="P34" t="s">
        <v>3137</v>
      </c>
      <c r="Q34">
        <v>14774.32</v>
      </c>
      <c r="R34">
        <v>16789</v>
      </c>
      <c r="S34">
        <v>2014.68</v>
      </c>
      <c r="T34" t="s">
        <v>3138</v>
      </c>
      <c r="U34" t="s">
        <v>3139</v>
      </c>
      <c r="V34">
        <v>2022</v>
      </c>
      <c r="W34" t="s">
        <v>3136</v>
      </c>
      <c r="Y34" t="s">
        <v>3040</v>
      </c>
      <c r="Z34">
        <v>14774.32</v>
      </c>
      <c r="AB34">
        <v>16789</v>
      </c>
    </row>
    <row r="35" spans="1:28" ht="15.6" x14ac:dyDescent="0.3">
      <c r="A35" t="s">
        <v>3140</v>
      </c>
      <c r="B35" t="s">
        <v>1162</v>
      </c>
      <c r="C35" t="s">
        <v>1159</v>
      </c>
      <c r="D35" t="s">
        <v>1161</v>
      </c>
      <c r="E35" t="s">
        <v>55</v>
      </c>
      <c r="F35" t="b">
        <v>1</v>
      </c>
      <c r="G35" t="s">
        <v>3026</v>
      </c>
      <c r="H35" t="s">
        <v>1158</v>
      </c>
      <c r="I35">
        <v>0.12</v>
      </c>
      <c r="J35" t="s">
        <v>3116</v>
      </c>
      <c r="K35">
        <v>752.64</v>
      </c>
      <c r="L35">
        <v>5519.36</v>
      </c>
      <c r="M35">
        <v>6272</v>
      </c>
      <c r="N35">
        <v>6272</v>
      </c>
      <c r="O35">
        <v>6272</v>
      </c>
      <c r="P35" t="s">
        <v>3141</v>
      </c>
      <c r="Q35">
        <v>5519.36</v>
      </c>
      <c r="R35">
        <v>6272</v>
      </c>
      <c r="S35">
        <v>752.64</v>
      </c>
      <c r="T35" t="s">
        <v>3142</v>
      </c>
      <c r="U35" t="s">
        <v>3139</v>
      </c>
      <c r="V35">
        <v>2022</v>
      </c>
      <c r="W35" t="s">
        <v>3140</v>
      </c>
      <c r="Y35" t="s">
        <v>3040</v>
      </c>
      <c r="Z35">
        <v>5519.36</v>
      </c>
      <c r="AB35">
        <v>0</v>
      </c>
    </row>
    <row r="36" spans="1:28" ht="15.6" x14ac:dyDescent="0.3">
      <c r="A36" t="s">
        <v>3143</v>
      </c>
      <c r="B36" t="s">
        <v>633</v>
      </c>
      <c r="C36" t="s">
        <v>630</v>
      </c>
      <c r="D36" t="s">
        <v>632</v>
      </c>
      <c r="E36" t="s">
        <v>55</v>
      </c>
      <c r="F36" t="b">
        <v>0</v>
      </c>
      <c r="G36" t="s">
        <v>3042</v>
      </c>
      <c r="H36" t="s">
        <v>629</v>
      </c>
      <c r="I36">
        <v>0</v>
      </c>
      <c r="J36" t="s">
        <v>3077</v>
      </c>
      <c r="K36">
        <v>0</v>
      </c>
      <c r="L36">
        <v>134514.72</v>
      </c>
      <c r="M36">
        <v>0</v>
      </c>
      <c r="N36">
        <v>0</v>
      </c>
      <c r="O36">
        <v>0</v>
      </c>
      <c r="P36" t="s">
        <v>3144</v>
      </c>
      <c r="Q36">
        <v>134514.72</v>
      </c>
      <c r="R36">
        <v>134514.72</v>
      </c>
      <c r="S36">
        <v>0</v>
      </c>
      <c r="T36" t="s">
        <v>3145</v>
      </c>
      <c r="U36" t="s">
        <v>3146</v>
      </c>
      <c r="V36">
        <v>2022</v>
      </c>
      <c r="W36" t="s">
        <v>3143</v>
      </c>
      <c r="Y36" t="s">
        <v>3080</v>
      </c>
      <c r="Z36">
        <v>134514.72</v>
      </c>
      <c r="AB36">
        <v>134514.72</v>
      </c>
    </row>
    <row r="37" spans="1:28" ht="15.6" x14ac:dyDescent="0.3">
      <c r="A37" t="s">
        <v>3147</v>
      </c>
      <c r="B37" t="s">
        <v>934</v>
      </c>
      <c r="C37" t="s">
        <v>932</v>
      </c>
      <c r="D37" t="s">
        <v>60</v>
      </c>
      <c r="E37" t="s">
        <v>933</v>
      </c>
      <c r="F37" t="b">
        <v>1</v>
      </c>
      <c r="G37" t="s">
        <v>3042</v>
      </c>
      <c r="H37" t="s">
        <v>931</v>
      </c>
      <c r="I37">
        <v>0.12</v>
      </c>
      <c r="J37" t="s">
        <v>3116</v>
      </c>
      <c r="K37">
        <v>0</v>
      </c>
      <c r="L37">
        <v>179937.12</v>
      </c>
      <c r="M37">
        <v>0</v>
      </c>
      <c r="N37">
        <v>0</v>
      </c>
      <c r="O37">
        <v>0</v>
      </c>
      <c r="P37" t="s">
        <v>3148</v>
      </c>
      <c r="Q37">
        <v>179937.12</v>
      </c>
      <c r="R37">
        <v>204474</v>
      </c>
      <c r="S37">
        <v>24536.880000000001</v>
      </c>
      <c r="T37" t="s">
        <v>3149</v>
      </c>
      <c r="U37" t="s">
        <v>3150</v>
      </c>
      <c r="V37">
        <v>2022</v>
      </c>
      <c r="W37" t="s">
        <v>3147</v>
      </c>
      <c r="Y37" t="s">
        <v>3040</v>
      </c>
      <c r="Z37">
        <v>179937.12</v>
      </c>
      <c r="AB37">
        <v>204474</v>
      </c>
    </row>
    <row r="38" spans="1:28" ht="15.6" x14ac:dyDescent="0.3">
      <c r="A38" t="s">
        <v>3151</v>
      </c>
      <c r="B38" t="s">
        <v>1318</v>
      </c>
      <c r="C38" t="s">
        <v>355</v>
      </c>
      <c r="D38" t="s">
        <v>112</v>
      </c>
      <c r="E38" t="s">
        <v>1317</v>
      </c>
      <c r="F38" t="b">
        <v>1</v>
      </c>
      <c r="G38" t="s">
        <v>3026</v>
      </c>
      <c r="H38" t="s">
        <v>1315</v>
      </c>
      <c r="I38">
        <v>0.12</v>
      </c>
      <c r="J38" t="s">
        <v>3116</v>
      </c>
      <c r="K38">
        <v>450.48</v>
      </c>
      <c r="L38">
        <v>3303.52</v>
      </c>
      <c r="M38">
        <v>3754</v>
      </c>
      <c r="N38">
        <v>3754</v>
      </c>
      <c r="O38">
        <v>3754</v>
      </c>
      <c r="P38" t="s">
        <v>3152</v>
      </c>
      <c r="Q38">
        <v>3303.52</v>
      </c>
      <c r="R38">
        <v>3754</v>
      </c>
      <c r="S38">
        <v>450.48</v>
      </c>
      <c r="T38" t="s">
        <v>3149</v>
      </c>
      <c r="U38" t="s">
        <v>3150</v>
      </c>
      <c r="V38">
        <v>2022</v>
      </c>
      <c r="W38" t="s">
        <v>3151</v>
      </c>
      <c r="Y38" t="s">
        <v>3040</v>
      </c>
      <c r="Z38">
        <v>3303.52</v>
      </c>
      <c r="AB38">
        <v>0</v>
      </c>
    </row>
    <row r="39" spans="1:28" ht="15.6" x14ac:dyDescent="0.3">
      <c r="A39" t="s">
        <v>3153</v>
      </c>
      <c r="B39" t="s">
        <v>934</v>
      </c>
      <c r="C39" t="s">
        <v>932</v>
      </c>
      <c r="D39" t="s">
        <v>60</v>
      </c>
      <c r="E39" t="s">
        <v>933</v>
      </c>
      <c r="F39" t="b">
        <v>1</v>
      </c>
      <c r="G39" t="s">
        <v>3042</v>
      </c>
      <c r="H39" t="s">
        <v>931</v>
      </c>
      <c r="I39">
        <v>0.12</v>
      </c>
      <c r="J39" t="s">
        <v>3116</v>
      </c>
      <c r="K39">
        <v>0</v>
      </c>
      <c r="L39">
        <v>325081.68</v>
      </c>
      <c r="M39">
        <v>0</v>
      </c>
      <c r="N39">
        <v>0</v>
      </c>
      <c r="O39">
        <v>0</v>
      </c>
      <c r="P39" t="s">
        <v>3154</v>
      </c>
      <c r="Q39">
        <v>325081.68</v>
      </c>
      <c r="R39">
        <v>369411</v>
      </c>
      <c r="S39">
        <v>44329.32</v>
      </c>
      <c r="T39" t="s">
        <v>3155</v>
      </c>
      <c r="U39" t="s">
        <v>3156</v>
      </c>
      <c r="V39">
        <v>2022</v>
      </c>
      <c r="W39" t="s">
        <v>3153</v>
      </c>
      <c r="Y39" t="s">
        <v>3040</v>
      </c>
      <c r="Z39">
        <v>325081.68</v>
      </c>
      <c r="AB39">
        <v>369411</v>
      </c>
    </row>
    <row r="40" spans="1:28" ht="15.6" x14ac:dyDescent="0.3">
      <c r="A40" t="s">
        <v>3157</v>
      </c>
      <c r="B40" t="s">
        <v>56</v>
      </c>
      <c r="C40" t="s">
        <v>52</v>
      </c>
      <c r="D40" t="s">
        <v>54</v>
      </c>
      <c r="E40" t="s">
        <v>55</v>
      </c>
      <c r="F40" t="b">
        <v>1</v>
      </c>
      <c r="G40" t="s">
        <v>3042</v>
      </c>
      <c r="H40" t="s">
        <v>51</v>
      </c>
      <c r="I40">
        <v>0.12</v>
      </c>
      <c r="J40" t="s">
        <v>3116</v>
      </c>
      <c r="K40">
        <v>0</v>
      </c>
      <c r="L40">
        <v>142494</v>
      </c>
      <c r="M40">
        <v>0</v>
      </c>
      <c r="N40">
        <v>0</v>
      </c>
      <c r="O40">
        <v>0</v>
      </c>
      <c r="P40" t="s">
        <v>3158</v>
      </c>
      <c r="Q40">
        <v>142494</v>
      </c>
      <c r="R40">
        <v>161925</v>
      </c>
      <c r="S40">
        <v>19431</v>
      </c>
      <c r="T40" t="s">
        <v>3155</v>
      </c>
      <c r="U40" t="s">
        <v>3159</v>
      </c>
      <c r="V40">
        <v>2022</v>
      </c>
      <c r="W40" t="s">
        <v>3157</v>
      </c>
      <c r="Y40" t="s">
        <v>3040</v>
      </c>
      <c r="Z40">
        <v>142494</v>
      </c>
      <c r="AB40">
        <v>161925</v>
      </c>
    </row>
    <row r="41" spans="1:28" ht="15.6" x14ac:dyDescent="0.3">
      <c r="A41" t="s">
        <v>3160</v>
      </c>
      <c r="B41" t="s">
        <v>495</v>
      </c>
      <c r="C41" t="s">
        <v>492</v>
      </c>
      <c r="D41" t="s">
        <v>494</v>
      </c>
      <c r="E41" t="s">
        <v>55</v>
      </c>
      <c r="F41" t="b">
        <v>1</v>
      </c>
      <c r="G41" t="s">
        <v>3042</v>
      </c>
      <c r="H41" t="s">
        <v>491</v>
      </c>
      <c r="I41">
        <v>0.12</v>
      </c>
      <c r="J41" t="s">
        <v>3116</v>
      </c>
      <c r="K41">
        <v>0</v>
      </c>
      <c r="L41">
        <v>98767.679999999993</v>
      </c>
      <c r="M41">
        <v>0</v>
      </c>
      <c r="N41">
        <v>0</v>
      </c>
      <c r="O41">
        <v>0</v>
      </c>
      <c r="P41" t="s">
        <v>3161</v>
      </c>
      <c r="Q41">
        <v>98767.679999999993</v>
      </c>
      <c r="R41">
        <v>112236</v>
      </c>
      <c r="S41">
        <v>13468.32</v>
      </c>
      <c r="T41" t="s">
        <v>3155</v>
      </c>
      <c r="U41" t="s">
        <v>3162</v>
      </c>
      <c r="V41">
        <v>2022</v>
      </c>
      <c r="W41" t="s">
        <v>3160</v>
      </c>
      <c r="Y41" t="s">
        <v>3040</v>
      </c>
      <c r="Z41">
        <v>98767.679999999993</v>
      </c>
      <c r="AB41">
        <v>112236</v>
      </c>
    </row>
    <row r="42" spans="1:28" ht="15.6" x14ac:dyDescent="0.3">
      <c r="A42" t="s">
        <v>3163</v>
      </c>
      <c r="B42" t="s">
        <v>1614</v>
      </c>
      <c r="C42" t="s">
        <v>1610</v>
      </c>
      <c r="D42" t="s">
        <v>1612</v>
      </c>
      <c r="E42" t="s">
        <v>1613</v>
      </c>
      <c r="F42" t="b">
        <v>0</v>
      </c>
      <c r="G42" t="s">
        <v>3042</v>
      </c>
      <c r="H42" t="s">
        <v>1609</v>
      </c>
      <c r="I42">
        <v>0</v>
      </c>
      <c r="J42" t="s">
        <v>3109</v>
      </c>
      <c r="K42">
        <v>0</v>
      </c>
      <c r="L42">
        <v>445629.62</v>
      </c>
      <c r="M42">
        <v>0</v>
      </c>
      <c r="N42">
        <v>0</v>
      </c>
      <c r="O42">
        <v>0</v>
      </c>
      <c r="P42" t="s">
        <v>3164</v>
      </c>
      <c r="Q42">
        <v>445629.62</v>
      </c>
      <c r="R42">
        <v>445629.62</v>
      </c>
      <c r="S42">
        <v>0</v>
      </c>
      <c r="T42" t="s">
        <v>3165</v>
      </c>
      <c r="U42" t="s">
        <v>1057</v>
      </c>
      <c r="V42">
        <v>2022</v>
      </c>
      <c r="W42" t="s">
        <v>3163</v>
      </c>
      <c r="Y42" t="s">
        <v>3040</v>
      </c>
      <c r="Z42">
        <v>445629.62</v>
      </c>
      <c r="AB42">
        <v>445629.62</v>
      </c>
    </row>
    <row r="43" spans="1:28" ht="15.6" x14ac:dyDescent="0.3">
      <c r="A43" t="s">
        <v>3166</v>
      </c>
      <c r="B43" t="s">
        <v>1077</v>
      </c>
      <c r="C43" t="s">
        <v>1074</v>
      </c>
      <c r="D43" t="s">
        <v>1076</v>
      </c>
      <c r="E43" t="s">
        <v>55</v>
      </c>
      <c r="F43" t="b">
        <v>1</v>
      </c>
      <c r="G43" t="s">
        <v>3167</v>
      </c>
      <c r="H43" t="s">
        <v>1073</v>
      </c>
      <c r="I43">
        <v>0.12</v>
      </c>
      <c r="J43" t="s">
        <v>3116</v>
      </c>
      <c r="K43">
        <v>252.36</v>
      </c>
      <c r="L43">
        <v>17767.2</v>
      </c>
      <c r="M43">
        <v>2103</v>
      </c>
      <c r="N43">
        <v>2103</v>
      </c>
      <c r="O43">
        <v>2103</v>
      </c>
      <c r="P43" t="s">
        <v>3168</v>
      </c>
      <c r="Q43">
        <v>17767.2</v>
      </c>
      <c r="R43">
        <v>20190</v>
      </c>
      <c r="S43">
        <v>2422.8000000000002</v>
      </c>
      <c r="T43" t="s">
        <v>3169</v>
      </c>
      <c r="U43" t="s">
        <v>3170</v>
      </c>
      <c r="V43">
        <v>2023</v>
      </c>
      <c r="W43" t="s">
        <v>3166</v>
      </c>
      <c r="Y43" t="s">
        <v>3040</v>
      </c>
      <c r="Z43">
        <v>17767.2</v>
      </c>
      <c r="AB43">
        <v>18087</v>
      </c>
    </row>
    <row r="44" spans="1:28" ht="15.6" x14ac:dyDescent="0.3">
      <c r="A44" t="s">
        <v>3171</v>
      </c>
      <c r="B44" t="s">
        <v>1220</v>
      </c>
      <c r="C44" t="s">
        <v>1217</v>
      </c>
      <c r="D44" t="s">
        <v>60</v>
      </c>
      <c r="E44" t="s">
        <v>1219</v>
      </c>
      <c r="F44" t="b">
        <v>0</v>
      </c>
      <c r="G44" t="s">
        <v>3042</v>
      </c>
      <c r="H44" t="s">
        <v>1216</v>
      </c>
      <c r="I44">
        <v>0</v>
      </c>
      <c r="J44" t="s">
        <v>3109</v>
      </c>
      <c r="K44">
        <v>0</v>
      </c>
      <c r="L44">
        <v>0</v>
      </c>
      <c r="M44">
        <v>0</v>
      </c>
      <c r="N44">
        <v>0</v>
      </c>
      <c r="O44">
        <v>0</v>
      </c>
      <c r="P44" t="s">
        <v>3172</v>
      </c>
      <c r="Q44">
        <v>0</v>
      </c>
      <c r="R44">
        <v>0</v>
      </c>
      <c r="S44">
        <v>0</v>
      </c>
      <c r="T44" t="s">
        <v>3169</v>
      </c>
      <c r="U44" t="s">
        <v>3173</v>
      </c>
      <c r="V44">
        <v>2023</v>
      </c>
      <c r="W44" t="s">
        <v>3171</v>
      </c>
      <c r="Y44" t="s">
        <v>3040</v>
      </c>
      <c r="Z44">
        <v>0</v>
      </c>
      <c r="AB44">
        <v>0</v>
      </c>
    </row>
    <row r="45" spans="1:28" ht="15.6" x14ac:dyDescent="0.3">
      <c r="A45" t="s">
        <v>3174</v>
      </c>
      <c r="B45" t="s">
        <v>661</v>
      </c>
      <c r="C45" t="s">
        <v>659</v>
      </c>
      <c r="D45" t="s">
        <v>617</v>
      </c>
      <c r="E45" t="s">
        <v>55</v>
      </c>
      <c r="F45" t="b">
        <v>0</v>
      </c>
      <c r="G45" t="s">
        <v>3167</v>
      </c>
      <c r="H45" t="s">
        <v>658</v>
      </c>
      <c r="I45">
        <v>0</v>
      </c>
      <c r="J45" t="s">
        <v>3109</v>
      </c>
      <c r="K45">
        <v>0</v>
      </c>
      <c r="L45">
        <v>1281824.92</v>
      </c>
      <c r="M45">
        <v>58178</v>
      </c>
      <c r="N45">
        <v>58178</v>
      </c>
      <c r="O45">
        <v>58178</v>
      </c>
      <c r="P45" t="s">
        <v>3175</v>
      </c>
      <c r="Q45">
        <v>1281824.92</v>
      </c>
      <c r="R45">
        <v>1281824.92</v>
      </c>
      <c r="S45">
        <v>0</v>
      </c>
      <c r="T45" t="s">
        <v>3169</v>
      </c>
      <c r="U45" t="s">
        <v>3176</v>
      </c>
      <c r="V45">
        <v>2023</v>
      </c>
      <c r="W45" t="s">
        <v>3174</v>
      </c>
      <c r="Y45" t="s">
        <v>3040</v>
      </c>
      <c r="Z45">
        <v>1281824.92</v>
      </c>
      <c r="AB45">
        <v>1223646.92</v>
      </c>
    </row>
    <row r="46" spans="1:28" ht="15.6" x14ac:dyDescent="0.3">
      <c r="A46" t="s">
        <v>3177</v>
      </c>
      <c r="B46" t="s">
        <v>684</v>
      </c>
      <c r="C46" t="s">
        <v>681</v>
      </c>
      <c r="D46" t="s">
        <v>514</v>
      </c>
      <c r="E46" t="s">
        <v>683</v>
      </c>
      <c r="F46" t="b">
        <v>0</v>
      </c>
      <c r="G46" t="s">
        <v>3042</v>
      </c>
      <c r="H46" t="s">
        <v>680</v>
      </c>
      <c r="I46">
        <v>0</v>
      </c>
      <c r="J46" t="s">
        <v>3109</v>
      </c>
      <c r="K46">
        <v>0</v>
      </c>
      <c r="L46">
        <v>378384.13</v>
      </c>
      <c r="M46">
        <v>0</v>
      </c>
      <c r="N46">
        <v>0</v>
      </c>
      <c r="O46">
        <v>0</v>
      </c>
      <c r="P46" t="s">
        <v>3178</v>
      </c>
      <c r="Q46">
        <v>378384.13</v>
      </c>
      <c r="R46">
        <v>378384.13</v>
      </c>
      <c r="S46">
        <v>0</v>
      </c>
      <c r="T46" t="s">
        <v>3169</v>
      </c>
      <c r="U46" t="s">
        <v>682</v>
      </c>
      <c r="V46">
        <v>2023</v>
      </c>
      <c r="W46" t="s">
        <v>3177</v>
      </c>
      <c r="Y46" t="s">
        <v>3040</v>
      </c>
      <c r="Z46">
        <v>378384.13</v>
      </c>
      <c r="AB46">
        <v>378384.13</v>
      </c>
    </row>
    <row r="47" spans="1:28" ht="15.6" x14ac:dyDescent="0.3">
      <c r="A47" t="s">
        <v>3179</v>
      </c>
      <c r="B47" t="s">
        <v>736</v>
      </c>
      <c r="C47" t="s">
        <v>734</v>
      </c>
      <c r="D47" t="s">
        <v>112</v>
      </c>
      <c r="E47" t="s">
        <v>21</v>
      </c>
      <c r="F47" t="b">
        <v>0</v>
      </c>
      <c r="G47" t="s">
        <v>3026</v>
      </c>
      <c r="H47" t="s">
        <v>733</v>
      </c>
      <c r="I47">
        <v>0</v>
      </c>
      <c r="J47" t="s">
        <v>3109</v>
      </c>
      <c r="K47">
        <v>0</v>
      </c>
      <c r="L47">
        <v>4800</v>
      </c>
      <c r="M47">
        <v>4800</v>
      </c>
      <c r="N47">
        <v>4800</v>
      </c>
      <c r="O47">
        <v>4800</v>
      </c>
      <c r="P47" t="s">
        <v>3180</v>
      </c>
      <c r="Q47">
        <v>4800</v>
      </c>
      <c r="R47">
        <v>4800</v>
      </c>
      <c r="S47">
        <v>0</v>
      </c>
      <c r="T47" t="s">
        <v>3181</v>
      </c>
      <c r="U47" t="s">
        <v>3182</v>
      </c>
      <c r="V47">
        <v>2023</v>
      </c>
      <c r="W47" t="s">
        <v>3179</v>
      </c>
      <c r="Y47" t="s">
        <v>3040</v>
      </c>
      <c r="Z47">
        <v>4800</v>
      </c>
      <c r="AB47">
        <v>0</v>
      </c>
    </row>
    <row r="48" spans="1:28" ht="15.6" x14ac:dyDescent="0.3">
      <c r="A48" t="s">
        <v>3183</v>
      </c>
      <c r="B48" t="s">
        <v>1293</v>
      </c>
      <c r="C48" t="s">
        <v>64</v>
      </c>
      <c r="D48" t="s">
        <v>152</v>
      </c>
      <c r="E48" t="s">
        <v>55</v>
      </c>
      <c r="F48" t="b">
        <v>0</v>
      </c>
      <c r="G48" t="s">
        <v>3062</v>
      </c>
      <c r="H48" t="s">
        <v>1291</v>
      </c>
      <c r="I48">
        <v>0</v>
      </c>
      <c r="J48" t="s">
        <v>3077</v>
      </c>
      <c r="K48">
        <v>0</v>
      </c>
      <c r="L48">
        <v>14268</v>
      </c>
      <c r="M48">
        <v>0</v>
      </c>
      <c r="N48">
        <v>0</v>
      </c>
      <c r="O48">
        <v>0</v>
      </c>
      <c r="P48" t="s">
        <v>3184</v>
      </c>
      <c r="Q48">
        <v>14268</v>
      </c>
      <c r="R48">
        <v>14268</v>
      </c>
      <c r="S48">
        <v>0</v>
      </c>
      <c r="T48" t="s">
        <v>3169</v>
      </c>
      <c r="U48" t="s">
        <v>3182</v>
      </c>
      <c r="V48">
        <v>2023</v>
      </c>
      <c r="W48" t="s">
        <v>3183</v>
      </c>
      <c r="Y48" t="s">
        <v>3080</v>
      </c>
      <c r="Z48">
        <v>14268</v>
      </c>
      <c r="AB48">
        <v>14268</v>
      </c>
    </row>
    <row r="49" spans="1:28" ht="15.6" x14ac:dyDescent="0.3">
      <c r="A49" t="s">
        <v>3185</v>
      </c>
      <c r="B49" t="s">
        <v>1550</v>
      </c>
      <c r="C49" t="s">
        <v>152</v>
      </c>
      <c r="D49" t="s">
        <v>152</v>
      </c>
      <c r="E49" t="s">
        <v>55</v>
      </c>
      <c r="F49" t="b">
        <v>0</v>
      </c>
      <c r="G49" t="s">
        <v>3042</v>
      </c>
      <c r="H49" t="s">
        <v>1548</v>
      </c>
      <c r="I49">
        <v>0</v>
      </c>
      <c r="J49" t="s">
        <v>3109</v>
      </c>
      <c r="K49">
        <v>0</v>
      </c>
      <c r="L49">
        <v>183440</v>
      </c>
      <c r="M49">
        <v>0</v>
      </c>
      <c r="N49">
        <v>0</v>
      </c>
      <c r="O49">
        <v>0</v>
      </c>
      <c r="P49" t="s">
        <v>3186</v>
      </c>
      <c r="Q49">
        <v>183440</v>
      </c>
      <c r="R49">
        <v>183440</v>
      </c>
      <c r="S49">
        <v>0</v>
      </c>
      <c r="T49" t="s">
        <v>3169</v>
      </c>
      <c r="U49" t="s">
        <v>3187</v>
      </c>
      <c r="V49">
        <v>2023</v>
      </c>
      <c r="W49" t="s">
        <v>3185</v>
      </c>
      <c r="Y49" t="s">
        <v>3040</v>
      </c>
      <c r="Z49">
        <v>183440</v>
      </c>
      <c r="AB49">
        <v>183440</v>
      </c>
    </row>
    <row r="50" spans="1:28" ht="15.6" x14ac:dyDescent="0.3">
      <c r="A50" t="s">
        <v>3188</v>
      </c>
      <c r="B50" t="s">
        <v>637</v>
      </c>
      <c r="C50" t="s">
        <v>635</v>
      </c>
      <c r="D50" t="s">
        <v>152</v>
      </c>
      <c r="E50" t="s">
        <v>55</v>
      </c>
      <c r="F50" t="b">
        <v>1</v>
      </c>
      <c r="G50" t="s">
        <v>3108</v>
      </c>
      <c r="H50" t="s">
        <v>634</v>
      </c>
      <c r="I50">
        <v>0.12</v>
      </c>
      <c r="J50" t="s">
        <v>3116</v>
      </c>
      <c r="K50">
        <v>0</v>
      </c>
      <c r="L50">
        <v>7480</v>
      </c>
      <c r="M50">
        <v>0</v>
      </c>
      <c r="N50">
        <v>8500</v>
      </c>
      <c r="O50">
        <v>0</v>
      </c>
      <c r="P50" t="s">
        <v>3189</v>
      </c>
      <c r="Q50">
        <v>7480</v>
      </c>
      <c r="R50">
        <v>8500</v>
      </c>
      <c r="S50">
        <v>1020</v>
      </c>
      <c r="T50" t="s">
        <v>3181</v>
      </c>
      <c r="U50" t="s">
        <v>3190</v>
      </c>
      <c r="V50">
        <v>2023</v>
      </c>
      <c r="W50" t="s">
        <v>3188</v>
      </c>
      <c r="Y50" t="s">
        <v>3040</v>
      </c>
      <c r="Z50">
        <v>7480</v>
      </c>
      <c r="AB50">
        <v>0</v>
      </c>
    </row>
    <row r="51" spans="1:28" ht="15.6" x14ac:dyDescent="0.3">
      <c r="A51" t="s">
        <v>3191</v>
      </c>
      <c r="B51" t="s">
        <v>1424</v>
      </c>
      <c r="C51" t="s">
        <v>1074</v>
      </c>
      <c r="D51" t="s">
        <v>60</v>
      </c>
      <c r="E51" t="s">
        <v>55</v>
      </c>
      <c r="F51" t="b">
        <v>1</v>
      </c>
      <c r="G51" t="s">
        <v>3062</v>
      </c>
      <c r="H51" t="s">
        <v>1422</v>
      </c>
      <c r="I51">
        <v>0.12</v>
      </c>
      <c r="J51" t="s">
        <v>3116</v>
      </c>
      <c r="K51">
        <v>0</v>
      </c>
      <c r="L51">
        <v>47694.02</v>
      </c>
      <c r="M51">
        <v>0</v>
      </c>
      <c r="N51">
        <v>0</v>
      </c>
      <c r="O51">
        <v>0</v>
      </c>
      <c r="P51" t="s">
        <v>3192</v>
      </c>
      <c r="Q51">
        <v>47694.02</v>
      </c>
      <c r="R51">
        <v>54197.75</v>
      </c>
      <c r="S51">
        <v>6503.73</v>
      </c>
      <c r="T51" t="s">
        <v>3169</v>
      </c>
      <c r="U51" t="s">
        <v>3193</v>
      </c>
      <c r="V51">
        <v>2023</v>
      </c>
      <c r="W51" t="s">
        <v>3191</v>
      </c>
      <c r="Y51" t="s">
        <v>3040</v>
      </c>
      <c r="Z51">
        <v>47694.02</v>
      </c>
      <c r="AB51">
        <v>54197.75</v>
      </c>
    </row>
    <row r="52" spans="1:28" ht="15.6" x14ac:dyDescent="0.3">
      <c r="A52" t="s">
        <v>3194</v>
      </c>
      <c r="B52" t="s">
        <v>256</v>
      </c>
      <c r="C52" t="s">
        <v>64</v>
      </c>
      <c r="D52" t="s">
        <v>60</v>
      </c>
      <c r="E52" t="s">
        <v>55</v>
      </c>
      <c r="F52" t="b">
        <v>0</v>
      </c>
      <c r="G52" t="s">
        <v>3195</v>
      </c>
      <c r="H52" t="s">
        <v>254</v>
      </c>
      <c r="I52">
        <v>0</v>
      </c>
      <c r="J52" t="s">
        <v>3109</v>
      </c>
      <c r="K52">
        <v>0</v>
      </c>
      <c r="L52">
        <v>1880</v>
      </c>
      <c r="M52">
        <v>1610</v>
      </c>
      <c r="N52">
        <v>1880</v>
      </c>
      <c r="O52">
        <v>1610</v>
      </c>
      <c r="P52" t="s">
        <v>3196</v>
      </c>
      <c r="Q52">
        <v>1880</v>
      </c>
      <c r="R52">
        <v>1880</v>
      </c>
      <c r="S52">
        <v>0</v>
      </c>
      <c r="T52" t="s">
        <v>3169</v>
      </c>
      <c r="U52" t="s">
        <v>672</v>
      </c>
      <c r="V52">
        <v>2023</v>
      </c>
      <c r="W52" t="s">
        <v>3194</v>
      </c>
      <c r="Y52" t="s">
        <v>3040</v>
      </c>
      <c r="Z52">
        <v>1880</v>
      </c>
      <c r="AB52">
        <v>0</v>
      </c>
    </row>
    <row r="53" spans="1:28" ht="15.6" x14ac:dyDescent="0.3">
      <c r="A53" t="s">
        <v>3197</v>
      </c>
      <c r="B53" t="s">
        <v>1398</v>
      </c>
      <c r="C53" t="s">
        <v>147</v>
      </c>
      <c r="D53" t="s">
        <v>148</v>
      </c>
      <c r="E53" t="s">
        <v>1397</v>
      </c>
      <c r="F53" t="b">
        <v>1</v>
      </c>
      <c r="G53" t="s">
        <v>3042</v>
      </c>
      <c r="H53" t="s">
        <v>1396</v>
      </c>
      <c r="I53">
        <v>0.12</v>
      </c>
      <c r="J53" t="s">
        <v>3116</v>
      </c>
      <c r="K53">
        <v>0</v>
      </c>
      <c r="L53">
        <v>26602.400000000001</v>
      </c>
      <c r="M53">
        <v>0</v>
      </c>
      <c r="N53">
        <v>0</v>
      </c>
      <c r="O53">
        <v>0</v>
      </c>
      <c r="P53" t="s">
        <v>3198</v>
      </c>
      <c r="Q53">
        <v>26602.400000000001</v>
      </c>
      <c r="R53">
        <v>30230</v>
      </c>
      <c r="S53">
        <v>3627.6</v>
      </c>
      <c r="T53" t="s">
        <v>3199</v>
      </c>
      <c r="U53" t="s">
        <v>3200</v>
      </c>
      <c r="V53">
        <v>2023</v>
      </c>
      <c r="W53" t="s">
        <v>3197</v>
      </c>
      <c r="Y53" t="s">
        <v>3040</v>
      </c>
      <c r="Z53">
        <v>26602.400000000001</v>
      </c>
      <c r="AB53">
        <v>30230</v>
      </c>
    </row>
    <row r="54" spans="1:28" ht="15.6" x14ac:dyDescent="0.3">
      <c r="A54" t="s">
        <v>3201</v>
      </c>
      <c r="B54" t="s">
        <v>1228</v>
      </c>
      <c r="C54" t="s">
        <v>1207</v>
      </c>
      <c r="D54" t="s">
        <v>152</v>
      </c>
      <c r="E54" t="s">
        <v>1227</v>
      </c>
      <c r="F54" t="b">
        <v>0</v>
      </c>
      <c r="G54" t="s">
        <v>3042</v>
      </c>
      <c r="H54" t="s">
        <v>1225</v>
      </c>
      <c r="I54">
        <v>0</v>
      </c>
      <c r="J54" t="s">
        <v>3109</v>
      </c>
      <c r="K54">
        <v>0</v>
      </c>
      <c r="L54">
        <v>81410</v>
      </c>
      <c r="M54">
        <v>0</v>
      </c>
      <c r="N54">
        <v>0</v>
      </c>
      <c r="O54">
        <v>0</v>
      </c>
      <c r="P54" t="s">
        <v>3202</v>
      </c>
      <c r="Q54">
        <v>81410</v>
      </c>
      <c r="R54">
        <v>81410</v>
      </c>
      <c r="S54">
        <v>0</v>
      </c>
      <c r="T54" t="s">
        <v>3199</v>
      </c>
      <c r="U54" t="s">
        <v>3200</v>
      </c>
      <c r="V54">
        <v>2023</v>
      </c>
      <c r="W54" t="s">
        <v>3201</v>
      </c>
      <c r="Y54" t="s">
        <v>3040</v>
      </c>
      <c r="Z54">
        <v>81410</v>
      </c>
      <c r="AB54">
        <v>81410</v>
      </c>
    </row>
    <row r="55" spans="1:28" ht="15.6" x14ac:dyDescent="0.3">
      <c r="A55" t="s">
        <v>3203</v>
      </c>
      <c r="B55" t="s">
        <v>1205</v>
      </c>
      <c r="C55" t="s">
        <v>1202</v>
      </c>
      <c r="D55" t="s">
        <v>1204</v>
      </c>
      <c r="E55" t="s">
        <v>55</v>
      </c>
      <c r="F55" t="b">
        <v>0</v>
      </c>
      <c r="G55" t="s">
        <v>3042</v>
      </c>
      <c r="H55" t="s">
        <v>1201</v>
      </c>
      <c r="I55">
        <v>0</v>
      </c>
      <c r="J55" t="s">
        <v>3109</v>
      </c>
      <c r="K55">
        <v>0</v>
      </c>
      <c r="L55">
        <v>74880</v>
      </c>
      <c r="M55">
        <v>0</v>
      </c>
      <c r="N55">
        <v>0</v>
      </c>
      <c r="O55">
        <v>0</v>
      </c>
      <c r="P55" t="s">
        <v>3204</v>
      </c>
      <c r="Q55">
        <v>74880</v>
      </c>
      <c r="R55">
        <v>74880</v>
      </c>
      <c r="S55">
        <v>0</v>
      </c>
      <c r="T55" t="s">
        <v>3199</v>
      </c>
      <c r="U55" t="s">
        <v>3205</v>
      </c>
      <c r="V55">
        <v>2023</v>
      </c>
      <c r="W55" t="s">
        <v>3203</v>
      </c>
      <c r="Y55" t="s">
        <v>3040</v>
      </c>
      <c r="Z55">
        <v>74880</v>
      </c>
      <c r="AB55">
        <v>74880</v>
      </c>
    </row>
    <row r="56" spans="1:28" ht="15.6" x14ac:dyDescent="0.3">
      <c r="A56" t="s">
        <v>3206</v>
      </c>
      <c r="B56" t="s">
        <v>959</v>
      </c>
      <c r="C56" t="s">
        <v>956</v>
      </c>
      <c r="D56" t="s">
        <v>958</v>
      </c>
      <c r="E56" t="s">
        <v>55</v>
      </c>
      <c r="F56" t="b">
        <v>1</v>
      </c>
      <c r="G56" t="s">
        <v>3042</v>
      </c>
      <c r="H56" t="s">
        <v>955</v>
      </c>
      <c r="I56">
        <v>0.12</v>
      </c>
      <c r="J56" t="s">
        <v>3116</v>
      </c>
      <c r="K56">
        <v>0</v>
      </c>
      <c r="L56">
        <v>18999.2</v>
      </c>
      <c r="M56">
        <v>0</v>
      </c>
      <c r="N56">
        <v>0</v>
      </c>
      <c r="O56">
        <v>0</v>
      </c>
      <c r="P56" t="s">
        <v>3207</v>
      </c>
      <c r="Q56">
        <v>18999.2</v>
      </c>
      <c r="R56">
        <v>21590</v>
      </c>
      <c r="S56">
        <v>2590.8000000000002</v>
      </c>
      <c r="T56" t="s">
        <v>3169</v>
      </c>
      <c r="U56" t="s">
        <v>3205</v>
      </c>
      <c r="V56">
        <v>2023</v>
      </c>
      <c r="W56" t="s">
        <v>3206</v>
      </c>
      <c r="Y56" t="s">
        <v>3040</v>
      </c>
      <c r="Z56">
        <v>18999.2</v>
      </c>
      <c r="AB56">
        <v>21590</v>
      </c>
    </row>
    <row r="57" spans="1:28" ht="15.6" x14ac:dyDescent="0.3">
      <c r="A57" t="s">
        <v>3208</v>
      </c>
      <c r="B57" t="s">
        <v>657</v>
      </c>
      <c r="C57" t="s">
        <v>152</v>
      </c>
      <c r="D57" t="s">
        <v>152</v>
      </c>
      <c r="E57" t="s">
        <v>55</v>
      </c>
      <c r="F57" t="b">
        <v>1</v>
      </c>
      <c r="G57" t="s">
        <v>39</v>
      </c>
      <c r="H57" t="s">
        <v>655</v>
      </c>
      <c r="I57">
        <v>0.12</v>
      </c>
      <c r="J57" t="s">
        <v>3116</v>
      </c>
      <c r="K57">
        <v>0</v>
      </c>
      <c r="L57">
        <v>0</v>
      </c>
      <c r="M57">
        <v>0</v>
      </c>
      <c r="N57">
        <v>0</v>
      </c>
      <c r="O57">
        <v>0</v>
      </c>
      <c r="P57" t="s">
        <v>39</v>
      </c>
      <c r="Q57">
        <v>0</v>
      </c>
      <c r="R57">
        <v>0</v>
      </c>
      <c r="S57">
        <v>0</v>
      </c>
      <c r="T57" t="s">
        <v>3169</v>
      </c>
      <c r="U57" t="s">
        <v>3205</v>
      </c>
      <c r="V57">
        <v>2023</v>
      </c>
      <c r="W57" t="s">
        <v>3208</v>
      </c>
      <c r="Y57" t="s">
        <v>3040</v>
      </c>
      <c r="Z57">
        <v>0</v>
      </c>
      <c r="AB57">
        <v>0</v>
      </c>
    </row>
    <row r="58" spans="1:28" ht="15.6" x14ac:dyDescent="0.3">
      <c r="A58" t="s">
        <v>3209</v>
      </c>
      <c r="B58" t="s">
        <v>791</v>
      </c>
      <c r="C58" t="s">
        <v>789</v>
      </c>
      <c r="D58" t="s">
        <v>152</v>
      </c>
      <c r="E58" t="s">
        <v>55</v>
      </c>
      <c r="F58" t="b">
        <v>1</v>
      </c>
      <c r="G58" t="s">
        <v>3042</v>
      </c>
      <c r="H58" t="s">
        <v>788</v>
      </c>
      <c r="I58">
        <v>0.12</v>
      </c>
      <c r="J58" t="s">
        <v>3116</v>
      </c>
      <c r="K58">
        <v>0</v>
      </c>
      <c r="L58">
        <v>89064.8</v>
      </c>
      <c r="M58">
        <v>0</v>
      </c>
      <c r="N58">
        <v>0</v>
      </c>
      <c r="O58">
        <v>0</v>
      </c>
      <c r="P58" t="s">
        <v>3210</v>
      </c>
      <c r="Q58">
        <v>89064.8</v>
      </c>
      <c r="R58">
        <v>101210</v>
      </c>
      <c r="S58">
        <v>12145.2</v>
      </c>
      <c r="T58" t="s">
        <v>3169</v>
      </c>
      <c r="U58" t="s">
        <v>3211</v>
      </c>
      <c r="V58">
        <v>2023</v>
      </c>
      <c r="W58" t="s">
        <v>3209</v>
      </c>
      <c r="Y58" t="s">
        <v>3040</v>
      </c>
      <c r="Z58">
        <v>89064.8</v>
      </c>
      <c r="AB58">
        <v>101210</v>
      </c>
    </row>
    <row r="59" spans="1:28" ht="15.6" x14ac:dyDescent="0.3">
      <c r="A59" t="s">
        <v>3212</v>
      </c>
      <c r="B59" t="s">
        <v>863</v>
      </c>
      <c r="C59" t="s">
        <v>861</v>
      </c>
      <c r="D59" t="s">
        <v>48</v>
      </c>
      <c r="E59" t="s">
        <v>21</v>
      </c>
      <c r="F59" t="b">
        <v>0</v>
      </c>
      <c r="G59" t="s">
        <v>3042</v>
      </c>
      <c r="H59" t="s">
        <v>860</v>
      </c>
      <c r="I59">
        <v>0</v>
      </c>
      <c r="J59" t="s">
        <v>3109</v>
      </c>
      <c r="K59">
        <v>0</v>
      </c>
      <c r="L59">
        <v>4870</v>
      </c>
      <c r="M59">
        <v>0</v>
      </c>
      <c r="N59">
        <v>0</v>
      </c>
      <c r="O59">
        <v>0</v>
      </c>
      <c r="P59" t="s">
        <v>3213</v>
      </c>
      <c r="Q59">
        <v>4870</v>
      </c>
      <c r="R59">
        <v>4870</v>
      </c>
      <c r="S59">
        <v>0</v>
      </c>
      <c r="T59" t="s">
        <v>3169</v>
      </c>
      <c r="U59" t="s">
        <v>3214</v>
      </c>
      <c r="V59">
        <v>2023</v>
      </c>
      <c r="W59" t="s">
        <v>3212</v>
      </c>
      <c r="Y59" t="s">
        <v>3040</v>
      </c>
      <c r="Z59">
        <v>4870</v>
      </c>
      <c r="AB59">
        <v>4870</v>
      </c>
    </row>
    <row r="60" spans="1:28" ht="15.6" x14ac:dyDescent="0.3">
      <c r="A60" t="s">
        <v>3215</v>
      </c>
      <c r="B60" t="s">
        <v>900</v>
      </c>
      <c r="C60" t="s">
        <v>64</v>
      </c>
      <c r="D60" t="s">
        <v>899</v>
      </c>
      <c r="E60" t="s">
        <v>55</v>
      </c>
      <c r="F60" t="b">
        <v>0</v>
      </c>
      <c r="G60" t="s">
        <v>3108</v>
      </c>
      <c r="H60" t="s">
        <v>897</v>
      </c>
      <c r="I60">
        <v>0</v>
      </c>
      <c r="J60" t="s">
        <v>3109</v>
      </c>
      <c r="K60">
        <v>0</v>
      </c>
      <c r="L60">
        <v>4740</v>
      </c>
      <c r="M60">
        <v>0</v>
      </c>
      <c r="N60">
        <v>4740</v>
      </c>
      <c r="O60">
        <v>0</v>
      </c>
      <c r="P60" t="s">
        <v>3216</v>
      </c>
      <c r="Q60">
        <v>4740</v>
      </c>
      <c r="R60">
        <v>4740</v>
      </c>
      <c r="S60">
        <v>0</v>
      </c>
      <c r="T60" t="s">
        <v>3169</v>
      </c>
      <c r="U60" t="s">
        <v>3217</v>
      </c>
      <c r="V60">
        <v>2023</v>
      </c>
      <c r="W60" t="s">
        <v>3215</v>
      </c>
      <c r="Y60" t="s">
        <v>3040</v>
      </c>
      <c r="Z60">
        <v>4740</v>
      </c>
      <c r="AB60">
        <v>0</v>
      </c>
    </row>
    <row r="61" spans="1:28" ht="15.6" x14ac:dyDescent="0.3">
      <c r="A61" t="s">
        <v>3218</v>
      </c>
      <c r="B61" t="s">
        <v>134</v>
      </c>
      <c r="C61" t="s">
        <v>131</v>
      </c>
      <c r="D61" t="s">
        <v>60</v>
      </c>
      <c r="E61" t="s">
        <v>133</v>
      </c>
      <c r="F61" t="b">
        <v>1</v>
      </c>
      <c r="G61" t="s">
        <v>3042</v>
      </c>
      <c r="H61" t="s">
        <v>130</v>
      </c>
      <c r="I61">
        <v>0.12</v>
      </c>
      <c r="J61" t="s">
        <v>3116</v>
      </c>
      <c r="K61">
        <v>0</v>
      </c>
      <c r="L61">
        <v>483991.2</v>
      </c>
      <c r="M61">
        <v>0</v>
      </c>
      <c r="N61">
        <v>0</v>
      </c>
      <c r="O61">
        <v>0</v>
      </c>
      <c r="P61" t="s">
        <v>3219</v>
      </c>
      <c r="Q61">
        <v>483991.2</v>
      </c>
      <c r="R61">
        <v>549990</v>
      </c>
      <c r="S61">
        <v>65998.8</v>
      </c>
      <c r="T61" t="s">
        <v>3169</v>
      </c>
      <c r="U61" t="s">
        <v>3220</v>
      </c>
      <c r="V61">
        <v>2023</v>
      </c>
      <c r="W61" t="s">
        <v>3218</v>
      </c>
      <c r="Y61" t="s">
        <v>3040</v>
      </c>
      <c r="Z61">
        <v>483991.2</v>
      </c>
      <c r="AB61">
        <v>549990</v>
      </c>
    </row>
    <row r="62" spans="1:28" ht="15.6" x14ac:dyDescent="0.3">
      <c r="A62" t="s">
        <v>3221</v>
      </c>
      <c r="B62" t="s">
        <v>1586</v>
      </c>
      <c r="C62" t="s">
        <v>1583</v>
      </c>
      <c r="D62" t="s">
        <v>1585</v>
      </c>
      <c r="E62" t="s">
        <v>55</v>
      </c>
      <c r="F62" t="b">
        <v>0</v>
      </c>
      <c r="G62" t="s">
        <v>3042</v>
      </c>
      <c r="H62" t="s">
        <v>1582</v>
      </c>
      <c r="I62">
        <v>0</v>
      </c>
      <c r="J62" t="s">
        <v>3109</v>
      </c>
      <c r="K62">
        <v>0</v>
      </c>
      <c r="L62">
        <v>21520</v>
      </c>
      <c r="M62">
        <v>0</v>
      </c>
      <c r="N62">
        <v>0</v>
      </c>
      <c r="O62">
        <v>0</v>
      </c>
      <c r="P62" t="s">
        <v>3222</v>
      </c>
      <c r="Q62">
        <v>21520</v>
      </c>
      <c r="R62">
        <v>21520</v>
      </c>
      <c r="S62">
        <v>0</v>
      </c>
      <c r="T62" t="s">
        <v>3169</v>
      </c>
      <c r="U62" t="s">
        <v>3223</v>
      </c>
      <c r="V62">
        <v>2023</v>
      </c>
      <c r="W62" t="s">
        <v>3221</v>
      </c>
      <c r="Y62" t="s">
        <v>3040</v>
      </c>
      <c r="Z62">
        <v>21520</v>
      </c>
      <c r="AB62">
        <v>21520</v>
      </c>
    </row>
    <row r="63" spans="1:28" ht="15.6" x14ac:dyDescent="0.3">
      <c r="A63" t="s">
        <v>3224</v>
      </c>
      <c r="B63" t="s">
        <v>173</v>
      </c>
      <c r="C63" t="s">
        <v>152</v>
      </c>
      <c r="D63" t="s">
        <v>152</v>
      </c>
      <c r="E63" t="s">
        <v>55</v>
      </c>
      <c r="F63" t="b">
        <v>0</v>
      </c>
      <c r="G63" t="s">
        <v>39</v>
      </c>
      <c r="H63" t="s">
        <v>171</v>
      </c>
      <c r="I63">
        <v>0</v>
      </c>
      <c r="J63" t="s">
        <v>3109</v>
      </c>
      <c r="K63">
        <v>0</v>
      </c>
      <c r="L63">
        <v>0</v>
      </c>
      <c r="M63">
        <v>0</v>
      </c>
      <c r="N63">
        <v>0</v>
      </c>
      <c r="O63">
        <v>0</v>
      </c>
      <c r="P63" t="s">
        <v>39</v>
      </c>
      <c r="Q63">
        <v>0</v>
      </c>
      <c r="R63">
        <v>0</v>
      </c>
      <c r="S63">
        <v>0</v>
      </c>
      <c r="T63" t="s">
        <v>3169</v>
      </c>
      <c r="U63" t="s">
        <v>3223</v>
      </c>
      <c r="V63">
        <v>2023</v>
      </c>
      <c r="W63" t="s">
        <v>3224</v>
      </c>
      <c r="Y63" t="s">
        <v>3040</v>
      </c>
      <c r="Z63">
        <v>0</v>
      </c>
      <c r="AB63">
        <v>0</v>
      </c>
    </row>
    <row r="64" spans="1:28" ht="15.6" x14ac:dyDescent="0.3">
      <c r="A64" t="s">
        <v>3225</v>
      </c>
      <c r="B64" t="s">
        <v>762</v>
      </c>
      <c r="C64" t="s">
        <v>31</v>
      </c>
      <c r="D64" t="s">
        <v>48</v>
      </c>
      <c r="E64" t="s">
        <v>761</v>
      </c>
      <c r="F64" t="b">
        <v>1</v>
      </c>
      <c r="G64" t="s">
        <v>3042</v>
      </c>
      <c r="H64" t="s">
        <v>760</v>
      </c>
      <c r="I64">
        <v>0.12</v>
      </c>
      <c r="J64" t="s">
        <v>3116</v>
      </c>
      <c r="K64">
        <v>0</v>
      </c>
      <c r="L64">
        <v>260779.2</v>
      </c>
      <c r="M64">
        <v>0</v>
      </c>
      <c r="N64">
        <v>0</v>
      </c>
      <c r="O64">
        <v>0</v>
      </c>
      <c r="P64" t="s">
        <v>3226</v>
      </c>
      <c r="Q64">
        <v>260779.2</v>
      </c>
      <c r="R64">
        <v>296340</v>
      </c>
      <c r="S64">
        <v>35560.800000000003</v>
      </c>
      <c r="T64" t="s">
        <v>3169</v>
      </c>
      <c r="U64" t="s">
        <v>3227</v>
      </c>
      <c r="V64">
        <v>2023</v>
      </c>
      <c r="W64" t="s">
        <v>3225</v>
      </c>
      <c r="Y64" t="s">
        <v>3040</v>
      </c>
      <c r="Z64">
        <v>260779.2</v>
      </c>
      <c r="AB64">
        <v>296340</v>
      </c>
    </row>
    <row r="65" spans="1:28" ht="15.6" x14ac:dyDescent="0.3">
      <c r="A65" t="s">
        <v>3228</v>
      </c>
      <c r="B65" t="s">
        <v>134</v>
      </c>
      <c r="C65" t="s">
        <v>131</v>
      </c>
      <c r="D65" t="s">
        <v>60</v>
      </c>
      <c r="E65" t="s">
        <v>133</v>
      </c>
      <c r="F65" t="b">
        <v>1</v>
      </c>
      <c r="G65" t="s">
        <v>3042</v>
      </c>
      <c r="H65" t="s">
        <v>130</v>
      </c>
      <c r="I65">
        <v>0.12</v>
      </c>
      <c r="J65" t="s">
        <v>3116</v>
      </c>
      <c r="K65">
        <v>0</v>
      </c>
      <c r="L65">
        <v>229948.4</v>
      </c>
      <c r="M65">
        <v>0</v>
      </c>
      <c r="N65">
        <v>0</v>
      </c>
      <c r="O65">
        <v>0</v>
      </c>
      <c r="P65" t="s">
        <v>3229</v>
      </c>
      <c r="Q65">
        <v>229948.4</v>
      </c>
      <c r="R65">
        <v>261305</v>
      </c>
      <c r="S65">
        <v>31356.6</v>
      </c>
      <c r="T65" t="s">
        <v>3169</v>
      </c>
      <c r="U65" t="s">
        <v>3230</v>
      </c>
      <c r="V65">
        <v>2023</v>
      </c>
      <c r="W65" t="s">
        <v>3228</v>
      </c>
      <c r="Y65" t="s">
        <v>3040</v>
      </c>
      <c r="Z65">
        <v>229948.4</v>
      </c>
      <c r="AB65">
        <v>261305</v>
      </c>
    </row>
    <row r="66" spans="1:28" ht="15.6" x14ac:dyDescent="0.3">
      <c r="A66" t="s">
        <v>3231</v>
      </c>
      <c r="B66" t="s">
        <v>959</v>
      </c>
      <c r="C66" t="s">
        <v>956</v>
      </c>
      <c r="D66" t="s">
        <v>958</v>
      </c>
      <c r="E66" t="s">
        <v>55</v>
      </c>
      <c r="F66" t="b">
        <v>1</v>
      </c>
      <c r="G66" t="s">
        <v>3042</v>
      </c>
      <c r="H66" t="s">
        <v>955</v>
      </c>
      <c r="I66">
        <v>0.12</v>
      </c>
      <c r="J66" t="s">
        <v>3116</v>
      </c>
      <c r="K66">
        <v>0</v>
      </c>
      <c r="L66">
        <v>11874.72</v>
      </c>
      <c r="M66">
        <v>0</v>
      </c>
      <c r="N66">
        <v>0</v>
      </c>
      <c r="O66">
        <v>0</v>
      </c>
      <c r="P66" t="s">
        <v>3232</v>
      </c>
      <c r="Q66">
        <v>11874.72</v>
      </c>
      <c r="R66">
        <v>13494</v>
      </c>
      <c r="S66">
        <v>1619.28</v>
      </c>
      <c r="T66" t="s">
        <v>3233</v>
      </c>
      <c r="U66" t="s">
        <v>3234</v>
      </c>
      <c r="V66">
        <v>2023</v>
      </c>
      <c r="W66" t="s">
        <v>3231</v>
      </c>
      <c r="Y66" t="s">
        <v>3040</v>
      </c>
      <c r="Z66">
        <v>11874.72</v>
      </c>
      <c r="AB66">
        <v>13494</v>
      </c>
    </row>
    <row r="67" spans="1:28" ht="15.6" x14ac:dyDescent="0.3">
      <c r="A67" t="s">
        <v>3235</v>
      </c>
      <c r="B67" t="s">
        <v>1370</v>
      </c>
      <c r="C67" t="s">
        <v>1367</v>
      </c>
      <c r="D67" t="s">
        <v>48</v>
      </c>
      <c r="E67" t="s">
        <v>1369</v>
      </c>
      <c r="F67" t="b">
        <v>0</v>
      </c>
      <c r="G67" t="s">
        <v>3236</v>
      </c>
      <c r="H67" t="s">
        <v>1366</v>
      </c>
      <c r="I67">
        <v>0</v>
      </c>
      <c r="J67" t="s">
        <v>3109</v>
      </c>
      <c r="K67">
        <v>0</v>
      </c>
      <c r="L67">
        <v>428124</v>
      </c>
      <c r="M67">
        <v>0</v>
      </c>
      <c r="N67">
        <v>0</v>
      </c>
      <c r="O67">
        <v>0</v>
      </c>
      <c r="P67" t="s">
        <v>3237</v>
      </c>
      <c r="Q67">
        <v>428124</v>
      </c>
      <c r="R67">
        <v>428124</v>
      </c>
      <c r="S67">
        <v>0</v>
      </c>
      <c r="T67" t="s">
        <v>3199</v>
      </c>
      <c r="U67" t="s">
        <v>3234</v>
      </c>
      <c r="V67">
        <v>2023</v>
      </c>
      <c r="W67" t="s">
        <v>3235</v>
      </c>
      <c r="Y67" t="s">
        <v>3040</v>
      </c>
      <c r="Z67">
        <v>428124</v>
      </c>
      <c r="AB67">
        <v>428124</v>
      </c>
    </row>
    <row r="68" spans="1:28" ht="15.6" x14ac:dyDescent="0.3">
      <c r="A68" t="s">
        <v>3238</v>
      </c>
      <c r="B68" t="s">
        <v>1015</v>
      </c>
      <c r="C68" t="s">
        <v>1012</v>
      </c>
      <c r="D68" t="s">
        <v>1014</v>
      </c>
      <c r="E68" t="s">
        <v>55</v>
      </c>
      <c r="F68" t="b">
        <v>1</v>
      </c>
      <c r="G68" t="s">
        <v>3042</v>
      </c>
      <c r="H68" t="s">
        <v>1011</v>
      </c>
      <c r="I68">
        <v>0.12</v>
      </c>
      <c r="J68" t="s">
        <v>3116</v>
      </c>
      <c r="K68">
        <v>0</v>
      </c>
      <c r="L68">
        <v>119847.2</v>
      </c>
      <c r="M68">
        <v>0</v>
      </c>
      <c r="N68">
        <v>0</v>
      </c>
      <c r="O68">
        <v>0</v>
      </c>
      <c r="P68" t="s">
        <v>3239</v>
      </c>
      <c r="Q68">
        <v>119847.2</v>
      </c>
      <c r="R68">
        <v>136190</v>
      </c>
      <c r="S68">
        <v>16342.8</v>
      </c>
      <c r="T68" t="s">
        <v>3199</v>
      </c>
      <c r="U68" t="s">
        <v>3240</v>
      </c>
      <c r="V68">
        <v>2023</v>
      </c>
      <c r="W68" t="s">
        <v>3238</v>
      </c>
      <c r="Y68" t="s">
        <v>3040</v>
      </c>
      <c r="Z68">
        <v>119847.2</v>
      </c>
      <c r="AB68">
        <v>136190</v>
      </c>
    </row>
    <row r="69" spans="1:28" ht="15.6" x14ac:dyDescent="0.3">
      <c r="A69" t="s">
        <v>3241</v>
      </c>
      <c r="B69" t="s">
        <v>704</v>
      </c>
      <c r="C69" t="s">
        <v>52</v>
      </c>
      <c r="D69" t="s">
        <v>152</v>
      </c>
      <c r="E69" t="s">
        <v>55</v>
      </c>
      <c r="F69" t="b">
        <v>1</v>
      </c>
      <c r="G69" t="s">
        <v>3042</v>
      </c>
      <c r="H69" t="s">
        <v>702</v>
      </c>
      <c r="I69">
        <v>0.12</v>
      </c>
      <c r="J69" t="s">
        <v>3116</v>
      </c>
      <c r="K69">
        <v>0</v>
      </c>
      <c r="L69">
        <v>164568.79999999999</v>
      </c>
      <c r="M69">
        <v>0</v>
      </c>
      <c r="N69">
        <v>0</v>
      </c>
      <c r="O69">
        <v>0</v>
      </c>
      <c r="P69" t="s">
        <v>3242</v>
      </c>
      <c r="Q69">
        <v>164568.79999999999</v>
      </c>
      <c r="R69">
        <v>187010</v>
      </c>
      <c r="S69">
        <v>22441.200000000001</v>
      </c>
      <c r="T69" t="s">
        <v>3199</v>
      </c>
      <c r="U69" t="s">
        <v>3240</v>
      </c>
      <c r="V69">
        <v>2023</v>
      </c>
      <c r="W69" t="s">
        <v>3241</v>
      </c>
      <c r="Y69" t="s">
        <v>3040</v>
      </c>
      <c r="Z69">
        <v>164568.79999999999</v>
      </c>
      <c r="AB69">
        <v>187010</v>
      </c>
    </row>
    <row r="70" spans="1:28" ht="15.6" x14ac:dyDescent="0.3">
      <c r="A70" t="s">
        <v>3243</v>
      </c>
      <c r="B70" t="s">
        <v>704</v>
      </c>
      <c r="C70" t="s">
        <v>52</v>
      </c>
      <c r="D70" t="s">
        <v>152</v>
      </c>
      <c r="E70" t="s">
        <v>55</v>
      </c>
      <c r="F70" t="b">
        <v>1</v>
      </c>
      <c r="G70" t="s">
        <v>3042</v>
      </c>
      <c r="H70" t="s">
        <v>702</v>
      </c>
      <c r="I70">
        <v>0.12</v>
      </c>
      <c r="J70" t="s">
        <v>3116</v>
      </c>
      <c r="K70">
        <v>0</v>
      </c>
      <c r="L70">
        <v>1108800</v>
      </c>
      <c r="M70">
        <v>0</v>
      </c>
      <c r="N70">
        <v>0</v>
      </c>
      <c r="O70">
        <v>0</v>
      </c>
      <c r="P70" t="s">
        <v>3244</v>
      </c>
      <c r="Q70">
        <v>1108800</v>
      </c>
      <c r="R70">
        <v>1260000</v>
      </c>
      <c r="S70">
        <v>151200</v>
      </c>
      <c r="T70" t="s">
        <v>3169</v>
      </c>
      <c r="U70" t="s">
        <v>3240</v>
      </c>
      <c r="V70">
        <v>2023</v>
      </c>
      <c r="W70" t="s">
        <v>3243</v>
      </c>
      <c r="Y70" t="s">
        <v>3040</v>
      </c>
      <c r="Z70">
        <v>1108800</v>
      </c>
      <c r="AB70">
        <v>1260000</v>
      </c>
    </row>
    <row r="71" spans="1:28" ht="15.6" x14ac:dyDescent="0.3">
      <c r="A71" t="s">
        <v>3245</v>
      </c>
      <c r="B71" t="s">
        <v>261</v>
      </c>
      <c r="C71" t="s">
        <v>258</v>
      </c>
      <c r="D71" t="s">
        <v>203</v>
      </c>
      <c r="E71" t="s">
        <v>260</v>
      </c>
      <c r="F71" t="b">
        <v>0</v>
      </c>
      <c r="G71" t="s">
        <v>3042</v>
      </c>
      <c r="H71" t="s">
        <v>257</v>
      </c>
      <c r="I71">
        <v>0</v>
      </c>
      <c r="J71" t="s">
        <v>3109</v>
      </c>
      <c r="K71">
        <v>0</v>
      </c>
      <c r="L71">
        <v>207760</v>
      </c>
      <c r="M71">
        <v>0</v>
      </c>
      <c r="N71">
        <v>0</v>
      </c>
      <c r="O71">
        <v>0</v>
      </c>
      <c r="P71" t="s">
        <v>3246</v>
      </c>
      <c r="Q71">
        <v>207760</v>
      </c>
      <c r="R71">
        <v>207760</v>
      </c>
      <c r="S71">
        <v>0</v>
      </c>
      <c r="T71" t="s">
        <v>3165</v>
      </c>
      <c r="U71" t="s">
        <v>3247</v>
      </c>
      <c r="V71">
        <v>2023</v>
      </c>
      <c r="W71" t="s">
        <v>3245</v>
      </c>
      <c r="Y71" t="s">
        <v>3040</v>
      </c>
      <c r="Z71">
        <v>207760</v>
      </c>
      <c r="AB71">
        <v>207760</v>
      </c>
    </row>
    <row r="72" spans="1:28" ht="15.6" x14ac:dyDescent="0.3">
      <c r="A72" t="s">
        <v>3248</v>
      </c>
      <c r="B72" t="s">
        <v>1007</v>
      </c>
      <c r="C72" t="s">
        <v>1004</v>
      </c>
      <c r="D72" t="s">
        <v>1006</v>
      </c>
      <c r="E72" t="s">
        <v>55</v>
      </c>
      <c r="F72" t="b">
        <v>0</v>
      </c>
      <c r="G72" t="s">
        <v>3042</v>
      </c>
      <c r="H72" t="s">
        <v>1003</v>
      </c>
      <c r="I72">
        <v>0</v>
      </c>
      <c r="J72" t="s">
        <v>3109</v>
      </c>
      <c r="K72">
        <v>0</v>
      </c>
      <c r="L72">
        <v>95760</v>
      </c>
      <c r="M72">
        <v>0</v>
      </c>
      <c r="N72">
        <v>0</v>
      </c>
      <c r="O72">
        <v>0</v>
      </c>
      <c r="P72" t="s">
        <v>3249</v>
      </c>
      <c r="Q72">
        <v>95760</v>
      </c>
      <c r="R72">
        <v>95760</v>
      </c>
      <c r="S72">
        <v>0</v>
      </c>
      <c r="T72" t="s">
        <v>3250</v>
      </c>
      <c r="U72" t="s">
        <v>3251</v>
      </c>
      <c r="V72">
        <v>2023</v>
      </c>
      <c r="W72" t="s">
        <v>3248</v>
      </c>
      <c r="Y72" t="s">
        <v>3040</v>
      </c>
      <c r="Z72">
        <v>95760</v>
      </c>
      <c r="AB72">
        <v>95760</v>
      </c>
    </row>
    <row r="73" spans="1:28" ht="15.6" x14ac:dyDescent="0.3">
      <c r="A73" t="s">
        <v>3252</v>
      </c>
      <c r="B73" t="s">
        <v>1137</v>
      </c>
      <c r="C73" t="s">
        <v>1134</v>
      </c>
      <c r="D73" t="s">
        <v>122</v>
      </c>
      <c r="E73" t="s">
        <v>1136</v>
      </c>
      <c r="F73" t="b">
        <v>0</v>
      </c>
      <c r="G73" t="s">
        <v>3042</v>
      </c>
      <c r="H73" t="s">
        <v>1133</v>
      </c>
      <c r="I73">
        <v>0</v>
      </c>
      <c r="J73" t="s">
        <v>3109</v>
      </c>
      <c r="K73">
        <v>0</v>
      </c>
      <c r="L73">
        <v>41160</v>
      </c>
      <c r="M73">
        <v>0</v>
      </c>
      <c r="N73">
        <v>0</v>
      </c>
      <c r="O73">
        <v>0</v>
      </c>
      <c r="P73" t="s">
        <v>3253</v>
      </c>
      <c r="Q73">
        <v>41160</v>
      </c>
      <c r="R73">
        <v>41160</v>
      </c>
      <c r="S73">
        <v>0</v>
      </c>
      <c r="T73" t="s">
        <v>3199</v>
      </c>
      <c r="U73" t="s">
        <v>3254</v>
      </c>
      <c r="V73">
        <v>2023</v>
      </c>
      <c r="W73" t="s">
        <v>3252</v>
      </c>
      <c r="Y73" t="s">
        <v>3040</v>
      </c>
      <c r="Z73">
        <v>41160</v>
      </c>
      <c r="AB73">
        <v>41160</v>
      </c>
    </row>
    <row r="74" spans="1:28" ht="15.6" x14ac:dyDescent="0.3">
      <c r="A74" t="s">
        <v>3255</v>
      </c>
      <c r="B74" t="s">
        <v>88</v>
      </c>
      <c r="C74" t="s">
        <v>85</v>
      </c>
      <c r="D74" t="s">
        <v>13</v>
      </c>
      <c r="E74" t="s">
        <v>87</v>
      </c>
      <c r="F74" t="b">
        <v>1</v>
      </c>
      <c r="G74" t="s">
        <v>3042</v>
      </c>
      <c r="H74" t="s">
        <v>84</v>
      </c>
      <c r="I74">
        <v>0.12</v>
      </c>
      <c r="J74" t="s">
        <v>3116</v>
      </c>
      <c r="K74">
        <v>0</v>
      </c>
      <c r="L74">
        <v>191259.2</v>
      </c>
      <c r="M74">
        <v>0</v>
      </c>
      <c r="N74">
        <v>0</v>
      </c>
      <c r="O74">
        <v>0</v>
      </c>
      <c r="P74" t="s">
        <v>3256</v>
      </c>
      <c r="Q74">
        <v>191259.2</v>
      </c>
      <c r="R74">
        <v>217340</v>
      </c>
      <c r="S74">
        <v>26080.799999999999</v>
      </c>
      <c r="T74" t="s">
        <v>3257</v>
      </c>
      <c r="U74" t="s">
        <v>3258</v>
      </c>
      <c r="V74">
        <v>2023</v>
      </c>
      <c r="W74" t="s">
        <v>3255</v>
      </c>
      <c r="Y74" t="s">
        <v>3040</v>
      </c>
      <c r="Z74">
        <v>191259.2</v>
      </c>
      <c r="AB74">
        <v>217340</v>
      </c>
    </row>
    <row r="75" spans="1:28" ht="15.6" x14ac:dyDescent="0.3">
      <c r="A75" t="s">
        <v>3259</v>
      </c>
      <c r="B75" t="s">
        <v>571</v>
      </c>
      <c r="C75" t="s">
        <v>31</v>
      </c>
      <c r="D75" t="s">
        <v>48</v>
      </c>
      <c r="E75" t="s">
        <v>570</v>
      </c>
      <c r="F75" t="b">
        <v>1</v>
      </c>
      <c r="G75" t="s">
        <v>3042</v>
      </c>
      <c r="H75" t="s">
        <v>568</v>
      </c>
      <c r="I75">
        <v>0.12</v>
      </c>
      <c r="J75" t="s">
        <v>3116</v>
      </c>
      <c r="K75">
        <v>0</v>
      </c>
      <c r="L75">
        <v>521558.4</v>
      </c>
      <c r="M75">
        <v>0</v>
      </c>
      <c r="N75">
        <v>0</v>
      </c>
      <c r="O75">
        <v>0</v>
      </c>
      <c r="P75" t="s">
        <v>3260</v>
      </c>
      <c r="Q75">
        <v>521558.4</v>
      </c>
      <c r="R75">
        <v>592680</v>
      </c>
      <c r="S75">
        <v>71121.600000000006</v>
      </c>
      <c r="T75" t="s">
        <v>3261</v>
      </c>
      <c r="U75" t="s">
        <v>3262</v>
      </c>
      <c r="V75">
        <v>2023</v>
      </c>
      <c r="W75" t="s">
        <v>3259</v>
      </c>
      <c r="Y75" t="s">
        <v>3040</v>
      </c>
      <c r="Z75">
        <v>521558.4</v>
      </c>
      <c r="AB75">
        <v>592680</v>
      </c>
    </row>
    <row r="76" spans="1:28" ht="15.6" x14ac:dyDescent="0.3">
      <c r="A76" t="s">
        <v>3263</v>
      </c>
      <c r="B76" t="s">
        <v>1537</v>
      </c>
      <c r="C76" t="s">
        <v>1536</v>
      </c>
      <c r="D76" t="s">
        <v>60</v>
      </c>
      <c r="E76" t="s">
        <v>1402</v>
      </c>
      <c r="F76" t="b">
        <v>1</v>
      </c>
      <c r="G76" t="s">
        <v>3026</v>
      </c>
      <c r="H76" t="s">
        <v>1535</v>
      </c>
      <c r="I76">
        <v>0.12</v>
      </c>
      <c r="J76" t="s">
        <v>3116</v>
      </c>
      <c r="K76">
        <v>507.6</v>
      </c>
      <c r="L76">
        <v>3722.4</v>
      </c>
      <c r="M76">
        <v>4230</v>
      </c>
      <c r="N76">
        <v>4230</v>
      </c>
      <c r="O76">
        <v>4230</v>
      </c>
      <c r="P76" t="s">
        <v>3264</v>
      </c>
      <c r="Q76">
        <v>3722.4</v>
      </c>
      <c r="R76">
        <v>4230</v>
      </c>
      <c r="S76">
        <v>507.6</v>
      </c>
      <c r="T76" t="s">
        <v>3261</v>
      </c>
      <c r="U76" t="s">
        <v>3262</v>
      </c>
      <c r="V76">
        <v>2023</v>
      </c>
      <c r="W76" t="s">
        <v>3263</v>
      </c>
      <c r="Y76" t="s">
        <v>3040</v>
      </c>
      <c r="Z76">
        <v>3722.4</v>
      </c>
      <c r="AB76">
        <v>0</v>
      </c>
    </row>
    <row r="77" spans="1:28" ht="15.6" x14ac:dyDescent="0.3">
      <c r="A77" t="s">
        <v>3265</v>
      </c>
      <c r="B77" t="s">
        <v>1124</v>
      </c>
      <c r="C77" t="s">
        <v>1121</v>
      </c>
      <c r="D77" t="s">
        <v>1123</v>
      </c>
      <c r="E77" t="s">
        <v>55</v>
      </c>
      <c r="F77" t="b">
        <v>1</v>
      </c>
      <c r="G77" t="s">
        <v>3042</v>
      </c>
      <c r="H77" t="s">
        <v>1120</v>
      </c>
      <c r="I77">
        <v>0.12</v>
      </c>
      <c r="J77" t="s">
        <v>3116</v>
      </c>
      <c r="K77">
        <v>0</v>
      </c>
      <c r="L77">
        <v>9240</v>
      </c>
      <c r="M77">
        <v>0</v>
      </c>
      <c r="N77">
        <v>0</v>
      </c>
      <c r="O77">
        <v>0</v>
      </c>
      <c r="P77" t="s">
        <v>3266</v>
      </c>
      <c r="Q77">
        <v>9240</v>
      </c>
      <c r="R77">
        <v>10500</v>
      </c>
      <c r="S77">
        <v>1260</v>
      </c>
      <c r="T77" t="s">
        <v>3261</v>
      </c>
      <c r="U77" t="s">
        <v>1368</v>
      </c>
      <c r="V77">
        <v>2023</v>
      </c>
      <c r="W77" t="s">
        <v>3265</v>
      </c>
      <c r="Y77" t="s">
        <v>3040</v>
      </c>
      <c r="Z77">
        <v>9240</v>
      </c>
      <c r="AB77">
        <v>10500</v>
      </c>
    </row>
    <row r="78" spans="1:28" ht="15.6" x14ac:dyDescent="0.3">
      <c r="A78" t="s">
        <v>3267</v>
      </c>
      <c r="B78" t="s">
        <v>371</v>
      </c>
      <c r="C78" t="s">
        <v>368</v>
      </c>
      <c r="D78" t="s">
        <v>370</v>
      </c>
      <c r="E78" t="s">
        <v>55</v>
      </c>
      <c r="F78" t="b">
        <v>0</v>
      </c>
      <c r="G78" t="s">
        <v>3042</v>
      </c>
      <c r="H78" t="s">
        <v>367</v>
      </c>
      <c r="I78">
        <v>0</v>
      </c>
      <c r="J78" t="s">
        <v>3077</v>
      </c>
      <c r="K78">
        <v>0</v>
      </c>
      <c r="L78">
        <v>8850</v>
      </c>
      <c r="M78">
        <v>0</v>
      </c>
      <c r="N78">
        <v>0</v>
      </c>
      <c r="O78">
        <v>0</v>
      </c>
      <c r="P78" t="s">
        <v>3268</v>
      </c>
      <c r="Q78">
        <v>8850</v>
      </c>
      <c r="R78">
        <v>8850</v>
      </c>
      <c r="S78">
        <v>0</v>
      </c>
      <c r="T78" t="s">
        <v>3261</v>
      </c>
      <c r="U78" t="s">
        <v>3269</v>
      </c>
      <c r="V78">
        <v>2023</v>
      </c>
      <c r="W78" t="s">
        <v>3267</v>
      </c>
      <c r="Y78" t="s">
        <v>3080</v>
      </c>
      <c r="Z78">
        <v>8850</v>
      </c>
      <c r="AB78">
        <v>8850</v>
      </c>
    </row>
    <row r="79" spans="1:28" ht="15.6" x14ac:dyDescent="0.3">
      <c r="A79" t="s">
        <v>3270</v>
      </c>
      <c r="B79" t="s">
        <v>1415</v>
      </c>
      <c r="C79" t="s">
        <v>1413</v>
      </c>
      <c r="D79" t="s">
        <v>884</v>
      </c>
      <c r="E79" t="s">
        <v>55</v>
      </c>
      <c r="F79" t="b">
        <v>1</v>
      </c>
      <c r="G79" t="s">
        <v>3042</v>
      </c>
      <c r="H79" t="s">
        <v>1412</v>
      </c>
      <c r="I79">
        <v>0.12</v>
      </c>
      <c r="J79" t="s">
        <v>3116</v>
      </c>
      <c r="K79">
        <v>0</v>
      </c>
      <c r="L79">
        <v>7233.6</v>
      </c>
      <c r="M79">
        <v>0</v>
      </c>
      <c r="N79">
        <v>0</v>
      </c>
      <c r="O79">
        <v>0</v>
      </c>
      <c r="P79" t="s">
        <v>3271</v>
      </c>
      <c r="Q79">
        <v>7233.6</v>
      </c>
      <c r="R79">
        <v>8220</v>
      </c>
      <c r="S79">
        <v>986.4</v>
      </c>
      <c r="T79" t="s">
        <v>3261</v>
      </c>
      <c r="U79" t="s">
        <v>3272</v>
      </c>
      <c r="V79">
        <v>2023</v>
      </c>
      <c r="W79" t="s">
        <v>3270</v>
      </c>
      <c r="Y79" t="s">
        <v>3040</v>
      </c>
      <c r="Z79">
        <v>7233.6</v>
      </c>
      <c r="AB79">
        <v>8220</v>
      </c>
    </row>
    <row r="80" spans="1:28" ht="15.6" x14ac:dyDescent="0.3">
      <c r="A80" t="s">
        <v>3273</v>
      </c>
      <c r="B80" t="s">
        <v>1647</v>
      </c>
      <c r="C80" t="s">
        <v>1644</v>
      </c>
      <c r="D80" t="s">
        <v>1646</v>
      </c>
      <c r="E80" t="s">
        <v>55</v>
      </c>
      <c r="F80" t="b">
        <v>1</v>
      </c>
      <c r="G80" t="s">
        <v>3042</v>
      </c>
      <c r="H80" t="s">
        <v>1643</v>
      </c>
      <c r="I80">
        <v>0.12</v>
      </c>
      <c r="J80" t="s">
        <v>3116</v>
      </c>
      <c r="K80">
        <v>0</v>
      </c>
      <c r="L80">
        <v>260858.4</v>
      </c>
      <c r="M80">
        <v>0</v>
      </c>
      <c r="N80">
        <v>0</v>
      </c>
      <c r="O80">
        <v>0</v>
      </c>
      <c r="P80" t="s">
        <v>3274</v>
      </c>
      <c r="Q80">
        <v>260858.4</v>
      </c>
      <c r="R80">
        <v>296430</v>
      </c>
      <c r="S80">
        <v>35571.599999999999</v>
      </c>
      <c r="T80" t="s">
        <v>3261</v>
      </c>
      <c r="U80" t="s">
        <v>3275</v>
      </c>
      <c r="V80">
        <v>2023</v>
      </c>
      <c r="W80" t="s">
        <v>3273</v>
      </c>
      <c r="Y80" t="s">
        <v>3040</v>
      </c>
      <c r="Z80">
        <v>260858.4</v>
      </c>
      <c r="AB80">
        <v>296430</v>
      </c>
    </row>
    <row r="81" spans="1:30" ht="15.6" x14ac:dyDescent="0.3">
      <c r="A81" t="s">
        <v>3276</v>
      </c>
      <c r="B81" t="s">
        <v>1456</v>
      </c>
      <c r="C81" t="s">
        <v>1453</v>
      </c>
      <c r="D81" t="s">
        <v>1455</v>
      </c>
      <c r="E81" t="s">
        <v>55</v>
      </c>
      <c r="F81" t="b">
        <v>1</v>
      </c>
      <c r="G81" t="s">
        <v>3042</v>
      </c>
      <c r="H81" t="s">
        <v>1452</v>
      </c>
      <c r="I81">
        <v>0.12</v>
      </c>
      <c r="J81" t="s">
        <v>3116</v>
      </c>
      <c r="K81">
        <v>0</v>
      </c>
      <c r="L81">
        <v>140456.79999999999</v>
      </c>
      <c r="M81">
        <v>0</v>
      </c>
      <c r="N81">
        <v>0</v>
      </c>
      <c r="O81">
        <v>0</v>
      </c>
      <c r="P81" t="s">
        <v>3277</v>
      </c>
      <c r="Q81">
        <v>140456.79999999999</v>
      </c>
      <c r="R81">
        <v>159610</v>
      </c>
      <c r="S81">
        <v>19153.2</v>
      </c>
      <c r="T81" t="s">
        <v>3261</v>
      </c>
      <c r="U81" t="s">
        <v>3278</v>
      </c>
      <c r="V81">
        <v>2023</v>
      </c>
      <c r="W81" t="s">
        <v>3276</v>
      </c>
      <c r="Y81" t="s">
        <v>3040</v>
      </c>
      <c r="Z81">
        <v>140456.79999999999</v>
      </c>
      <c r="AB81">
        <v>159610</v>
      </c>
    </row>
    <row r="82" spans="1:30" ht="15.6" x14ac:dyDescent="0.3">
      <c r="A82" t="s">
        <v>3279</v>
      </c>
      <c r="B82" t="s">
        <v>1113</v>
      </c>
      <c r="C82" t="s">
        <v>1110</v>
      </c>
      <c r="D82" t="s">
        <v>1112</v>
      </c>
      <c r="E82" t="s">
        <v>55</v>
      </c>
      <c r="F82" t="b">
        <v>1</v>
      </c>
      <c r="G82" t="s">
        <v>3042</v>
      </c>
      <c r="H82" t="s">
        <v>1109</v>
      </c>
      <c r="I82">
        <v>0.12</v>
      </c>
      <c r="J82" t="s">
        <v>3116</v>
      </c>
      <c r="K82">
        <v>0</v>
      </c>
      <c r="L82">
        <v>84418.4</v>
      </c>
      <c r="M82">
        <v>0</v>
      </c>
      <c r="N82">
        <v>0</v>
      </c>
      <c r="O82">
        <v>0</v>
      </c>
      <c r="P82" t="s">
        <v>3280</v>
      </c>
      <c r="Q82">
        <v>84418.4</v>
      </c>
      <c r="R82">
        <v>95930</v>
      </c>
      <c r="S82">
        <v>11511.6</v>
      </c>
      <c r="T82" t="s">
        <v>3261</v>
      </c>
      <c r="U82" t="s">
        <v>3281</v>
      </c>
      <c r="V82">
        <v>2024</v>
      </c>
      <c r="W82" t="s">
        <v>3279</v>
      </c>
      <c r="Y82" t="s">
        <v>3040</v>
      </c>
      <c r="Z82">
        <v>84418.4</v>
      </c>
      <c r="AB82">
        <v>95930</v>
      </c>
    </row>
    <row r="83" spans="1:30" ht="15.6" x14ac:dyDescent="0.3">
      <c r="A83" t="s">
        <v>3282</v>
      </c>
      <c r="B83" t="s">
        <v>1072</v>
      </c>
      <c r="C83" t="s">
        <v>1069</v>
      </c>
      <c r="D83" t="s">
        <v>1071</v>
      </c>
      <c r="E83" t="s">
        <v>55</v>
      </c>
      <c r="F83" t="b">
        <v>0</v>
      </c>
      <c r="G83" t="s">
        <v>3195</v>
      </c>
      <c r="H83" t="s">
        <v>1068</v>
      </c>
      <c r="I83">
        <v>0</v>
      </c>
      <c r="J83" t="s">
        <v>3109</v>
      </c>
      <c r="K83">
        <v>0</v>
      </c>
      <c r="L83">
        <v>16960</v>
      </c>
      <c r="M83">
        <v>10760</v>
      </c>
      <c r="N83">
        <v>16960</v>
      </c>
      <c r="O83">
        <v>10760</v>
      </c>
      <c r="P83" t="s">
        <v>3283</v>
      </c>
      <c r="Q83">
        <v>16960</v>
      </c>
      <c r="R83">
        <v>16960</v>
      </c>
      <c r="S83">
        <v>0</v>
      </c>
      <c r="T83" t="s">
        <v>3261</v>
      </c>
      <c r="U83" t="s">
        <v>3281</v>
      </c>
      <c r="V83">
        <v>2024</v>
      </c>
      <c r="W83" t="s">
        <v>3282</v>
      </c>
      <c r="Y83" t="s">
        <v>3040</v>
      </c>
      <c r="Z83">
        <v>16960</v>
      </c>
      <c r="AB83">
        <v>0</v>
      </c>
    </row>
    <row r="84" spans="1:30" ht="15.6" x14ac:dyDescent="0.3">
      <c r="A84" t="s">
        <v>3284</v>
      </c>
      <c r="B84" t="s">
        <v>1652</v>
      </c>
      <c r="C84" t="s">
        <v>1649</v>
      </c>
      <c r="D84" t="s">
        <v>1651</v>
      </c>
      <c r="E84" t="s">
        <v>55</v>
      </c>
      <c r="F84" t="b">
        <v>1</v>
      </c>
      <c r="G84" t="s">
        <v>3042</v>
      </c>
      <c r="H84" t="s">
        <v>1648</v>
      </c>
      <c r="I84">
        <v>0.12</v>
      </c>
      <c r="J84" t="s">
        <v>3116</v>
      </c>
      <c r="K84">
        <v>0</v>
      </c>
      <c r="L84">
        <v>217518.4</v>
      </c>
      <c r="M84">
        <v>0</v>
      </c>
      <c r="N84">
        <v>0</v>
      </c>
      <c r="O84">
        <v>0</v>
      </c>
      <c r="P84" t="s">
        <v>3285</v>
      </c>
      <c r="Q84">
        <v>217518.4</v>
      </c>
      <c r="R84">
        <v>247180</v>
      </c>
      <c r="S84">
        <v>29661.599999999999</v>
      </c>
      <c r="T84" t="s">
        <v>3261</v>
      </c>
      <c r="U84" t="s">
        <v>3281</v>
      </c>
      <c r="V84">
        <v>2024</v>
      </c>
      <c r="W84" t="s">
        <v>3284</v>
      </c>
      <c r="Y84" t="s">
        <v>3040</v>
      </c>
      <c r="Z84">
        <v>217518.4</v>
      </c>
      <c r="AB84">
        <v>247180</v>
      </c>
    </row>
    <row r="85" spans="1:30" ht="15.6" x14ac:dyDescent="0.3">
      <c r="A85" t="s">
        <v>3286</v>
      </c>
      <c r="B85" t="s">
        <v>1456</v>
      </c>
      <c r="C85" t="s">
        <v>1453</v>
      </c>
      <c r="D85" t="s">
        <v>1455</v>
      </c>
      <c r="E85" t="s">
        <v>55</v>
      </c>
      <c r="F85" t="b">
        <v>1</v>
      </c>
      <c r="G85" t="s">
        <v>3042</v>
      </c>
      <c r="H85" t="s">
        <v>1452</v>
      </c>
      <c r="I85">
        <v>0.12</v>
      </c>
      <c r="J85" t="s">
        <v>3116</v>
      </c>
      <c r="K85">
        <v>0</v>
      </c>
      <c r="L85">
        <v>173685.6</v>
      </c>
      <c r="M85">
        <v>0</v>
      </c>
      <c r="N85">
        <v>0</v>
      </c>
      <c r="O85">
        <v>0</v>
      </c>
      <c r="P85" t="s">
        <v>3287</v>
      </c>
      <c r="Q85">
        <v>173685.6</v>
      </c>
      <c r="R85">
        <v>197370</v>
      </c>
      <c r="S85">
        <v>23684.400000000001</v>
      </c>
      <c r="T85" t="s">
        <v>3288</v>
      </c>
      <c r="U85" t="s">
        <v>3289</v>
      </c>
      <c r="V85">
        <v>2024</v>
      </c>
      <c r="W85" t="s">
        <v>3286</v>
      </c>
      <c r="Y85" t="s">
        <v>3040</v>
      </c>
      <c r="Z85">
        <v>173685.6</v>
      </c>
      <c r="AB85">
        <v>197370</v>
      </c>
    </row>
    <row r="86" spans="1:30" ht="15.6" x14ac:dyDescent="0.3">
      <c r="A86" t="s">
        <v>3290</v>
      </c>
      <c r="B86" t="s">
        <v>1224</v>
      </c>
      <c r="C86" t="s">
        <v>923</v>
      </c>
      <c r="D86" t="s">
        <v>112</v>
      </c>
      <c r="E86" t="s">
        <v>1223</v>
      </c>
      <c r="F86" t="b">
        <v>1</v>
      </c>
      <c r="G86" t="s">
        <v>3042</v>
      </c>
      <c r="H86" t="s">
        <v>1221</v>
      </c>
      <c r="I86">
        <v>0.12</v>
      </c>
      <c r="J86" t="s">
        <v>3116</v>
      </c>
      <c r="K86">
        <v>0</v>
      </c>
      <c r="L86">
        <v>255140.16</v>
      </c>
      <c r="M86">
        <v>0</v>
      </c>
      <c r="N86">
        <v>0</v>
      </c>
      <c r="O86">
        <v>0</v>
      </c>
      <c r="P86" t="s">
        <v>3291</v>
      </c>
      <c r="Q86">
        <v>255140.16</v>
      </c>
      <c r="R86">
        <v>289932</v>
      </c>
      <c r="S86">
        <v>34791.839999999997</v>
      </c>
      <c r="T86" t="s">
        <v>3261</v>
      </c>
      <c r="U86" t="s">
        <v>259</v>
      </c>
      <c r="V86">
        <v>2024</v>
      </c>
      <c r="W86" t="s">
        <v>3290</v>
      </c>
      <c r="Y86" t="s">
        <v>3040</v>
      </c>
      <c r="Z86">
        <v>255140.16</v>
      </c>
      <c r="AB86">
        <v>289932</v>
      </c>
    </row>
    <row r="87" spans="1:30" ht="15.6" x14ac:dyDescent="0.3">
      <c r="A87" t="s">
        <v>3292</v>
      </c>
      <c r="B87" t="s">
        <v>637</v>
      </c>
      <c r="C87" t="s">
        <v>635</v>
      </c>
      <c r="D87" t="s">
        <v>152</v>
      </c>
      <c r="E87" t="s">
        <v>55</v>
      </c>
      <c r="F87" t="b">
        <v>1</v>
      </c>
      <c r="G87" t="s">
        <v>3042</v>
      </c>
      <c r="H87" t="s">
        <v>634</v>
      </c>
      <c r="I87">
        <v>0.12</v>
      </c>
      <c r="J87" t="s">
        <v>3116</v>
      </c>
      <c r="K87">
        <v>0</v>
      </c>
      <c r="L87">
        <v>13638.24</v>
      </c>
      <c r="M87">
        <v>0</v>
      </c>
      <c r="N87">
        <v>0</v>
      </c>
      <c r="O87">
        <v>0</v>
      </c>
      <c r="P87" t="s">
        <v>3293</v>
      </c>
      <c r="Q87">
        <v>13638.24</v>
      </c>
      <c r="R87">
        <v>15498</v>
      </c>
      <c r="S87">
        <v>1859.76</v>
      </c>
      <c r="T87" t="s">
        <v>3261</v>
      </c>
      <c r="U87" t="s">
        <v>3294</v>
      </c>
      <c r="V87">
        <v>2024</v>
      </c>
      <c r="W87" t="s">
        <v>3292</v>
      </c>
      <c r="Y87" t="s">
        <v>3040</v>
      </c>
      <c r="Z87">
        <v>13638.24</v>
      </c>
      <c r="AB87">
        <v>15498</v>
      </c>
    </row>
    <row r="88" spans="1:30" ht="15.6" x14ac:dyDescent="0.3">
      <c r="A88" t="s">
        <v>3295</v>
      </c>
      <c r="B88" t="s">
        <v>1210</v>
      </c>
      <c r="C88" t="s">
        <v>1207</v>
      </c>
      <c r="D88" t="s">
        <v>1209</v>
      </c>
      <c r="E88" t="s">
        <v>55</v>
      </c>
      <c r="F88" t="b">
        <v>0</v>
      </c>
      <c r="G88" t="s">
        <v>3042</v>
      </c>
      <c r="H88" t="s">
        <v>1206</v>
      </c>
      <c r="I88">
        <v>0</v>
      </c>
      <c r="J88" t="s">
        <v>3109</v>
      </c>
      <c r="K88">
        <v>0</v>
      </c>
      <c r="L88">
        <v>21838</v>
      </c>
      <c r="M88">
        <v>0</v>
      </c>
      <c r="N88">
        <v>0</v>
      </c>
      <c r="O88">
        <v>0</v>
      </c>
      <c r="P88" t="s">
        <v>3296</v>
      </c>
      <c r="Q88">
        <v>21838</v>
      </c>
      <c r="R88">
        <v>21838</v>
      </c>
      <c r="S88">
        <v>0</v>
      </c>
      <c r="T88" t="s">
        <v>3261</v>
      </c>
      <c r="U88" t="s">
        <v>3294</v>
      </c>
      <c r="V88">
        <v>2024</v>
      </c>
      <c r="W88" t="s">
        <v>3295</v>
      </c>
      <c r="Y88" t="s">
        <v>3040</v>
      </c>
      <c r="Z88">
        <v>21838</v>
      </c>
      <c r="AB88">
        <v>21838</v>
      </c>
    </row>
    <row r="89" spans="1:30" ht="15.6" x14ac:dyDescent="0.3">
      <c r="A89" t="s">
        <v>3297</v>
      </c>
      <c r="B89" t="s">
        <v>1370</v>
      </c>
      <c r="C89" t="s">
        <v>1367</v>
      </c>
      <c r="D89" t="s">
        <v>48</v>
      </c>
      <c r="E89" t="s">
        <v>1369</v>
      </c>
      <c r="F89" t="b">
        <v>0</v>
      </c>
      <c r="G89" t="s">
        <v>3042</v>
      </c>
      <c r="H89" t="s">
        <v>1366</v>
      </c>
      <c r="I89">
        <v>0</v>
      </c>
      <c r="J89" t="s">
        <v>3109</v>
      </c>
      <c r="K89">
        <v>0</v>
      </c>
      <c r="L89">
        <v>298625</v>
      </c>
      <c r="M89">
        <v>0</v>
      </c>
      <c r="N89">
        <v>0</v>
      </c>
      <c r="O89">
        <v>0</v>
      </c>
      <c r="P89" t="s">
        <v>3298</v>
      </c>
      <c r="Q89">
        <v>298625</v>
      </c>
      <c r="R89">
        <v>298625</v>
      </c>
      <c r="S89">
        <v>0</v>
      </c>
      <c r="T89" t="s">
        <v>3261</v>
      </c>
      <c r="U89" t="s">
        <v>3299</v>
      </c>
      <c r="V89">
        <v>2024</v>
      </c>
      <c r="W89" t="s">
        <v>3297</v>
      </c>
      <c r="Y89" t="s">
        <v>3040</v>
      </c>
      <c r="Z89">
        <v>298625</v>
      </c>
      <c r="AB89">
        <v>298625</v>
      </c>
    </row>
    <row r="90" spans="1:30" ht="15.6" x14ac:dyDescent="0.3">
      <c r="A90" t="s">
        <v>3300</v>
      </c>
      <c r="B90" t="s">
        <v>1224</v>
      </c>
      <c r="C90" t="s">
        <v>923</v>
      </c>
      <c r="D90" t="s">
        <v>112</v>
      </c>
      <c r="E90" t="s">
        <v>1223</v>
      </c>
      <c r="F90" t="b">
        <v>1</v>
      </c>
      <c r="G90" t="s">
        <v>3042</v>
      </c>
      <c r="H90" t="s">
        <v>1221</v>
      </c>
      <c r="I90">
        <v>0.12</v>
      </c>
      <c r="J90" t="s">
        <v>3116</v>
      </c>
      <c r="K90">
        <v>0</v>
      </c>
      <c r="L90">
        <v>27012.48</v>
      </c>
      <c r="M90">
        <v>0</v>
      </c>
      <c r="N90">
        <v>0</v>
      </c>
      <c r="O90">
        <v>0</v>
      </c>
      <c r="P90" t="s">
        <v>3301</v>
      </c>
      <c r="Q90">
        <v>27012.48</v>
      </c>
      <c r="R90">
        <v>30696</v>
      </c>
      <c r="S90">
        <v>3683.52</v>
      </c>
      <c r="T90" t="s">
        <v>3261</v>
      </c>
      <c r="U90" t="s">
        <v>3302</v>
      </c>
      <c r="V90">
        <v>2024</v>
      </c>
      <c r="W90" t="s">
        <v>3300</v>
      </c>
      <c r="Y90" t="s">
        <v>3040</v>
      </c>
      <c r="Z90">
        <v>27012.48</v>
      </c>
      <c r="AB90">
        <v>30696</v>
      </c>
    </row>
    <row r="91" spans="1:30" ht="15.6" x14ac:dyDescent="0.3">
      <c r="A91" t="s">
        <v>3303</v>
      </c>
      <c r="B91" t="s">
        <v>1370</v>
      </c>
      <c r="C91" t="s">
        <v>1367</v>
      </c>
      <c r="D91" t="s">
        <v>48</v>
      </c>
      <c r="E91" t="s">
        <v>1369</v>
      </c>
      <c r="F91" t="b">
        <v>0</v>
      </c>
      <c r="G91" t="s">
        <v>3094</v>
      </c>
      <c r="H91" t="s">
        <v>1366</v>
      </c>
      <c r="I91">
        <v>0</v>
      </c>
      <c r="J91" t="s">
        <v>3109</v>
      </c>
      <c r="K91">
        <v>0</v>
      </c>
      <c r="L91">
        <v>146288</v>
      </c>
      <c r="M91">
        <v>0</v>
      </c>
      <c r="N91">
        <v>0</v>
      </c>
      <c r="O91">
        <v>0</v>
      </c>
      <c r="P91" t="s">
        <v>3304</v>
      </c>
      <c r="Q91">
        <v>146288</v>
      </c>
      <c r="R91">
        <v>146288</v>
      </c>
      <c r="S91">
        <v>0</v>
      </c>
      <c r="T91" t="s">
        <v>3261</v>
      </c>
      <c r="U91" t="s">
        <v>3305</v>
      </c>
      <c r="V91">
        <v>2024</v>
      </c>
      <c r="W91" t="s">
        <v>3303</v>
      </c>
      <c r="Y91" t="s">
        <v>3040</v>
      </c>
      <c r="Z91">
        <v>146288</v>
      </c>
      <c r="AB91">
        <v>146288</v>
      </c>
    </row>
    <row r="92" spans="1:30" ht="15.6" x14ac:dyDescent="0.3">
      <c r="A92" t="s">
        <v>3306</v>
      </c>
      <c r="B92" t="s">
        <v>934</v>
      </c>
      <c r="C92" t="s">
        <v>932</v>
      </c>
      <c r="D92" t="s">
        <v>60</v>
      </c>
      <c r="E92" t="s">
        <v>933</v>
      </c>
      <c r="F92" t="b">
        <v>1</v>
      </c>
      <c r="G92" t="s">
        <v>3042</v>
      </c>
      <c r="H92" t="s">
        <v>931</v>
      </c>
      <c r="I92">
        <v>0.12</v>
      </c>
      <c r="J92" t="s">
        <v>3116</v>
      </c>
      <c r="K92">
        <v>0</v>
      </c>
      <c r="L92">
        <v>225324</v>
      </c>
      <c r="M92">
        <v>0</v>
      </c>
      <c r="N92">
        <v>0</v>
      </c>
      <c r="O92">
        <v>0</v>
      </c>
      <c r="P92" t="s">
        <v>3307</v>
      </c>
      <c r="Q92">
        <v>225324</v>
      </c>
      <c r="R92">
        <v>256050</v>
      </c>
      <c r="S92">
        <v>30726</v>
      </c>
      <c r="T92" t="s">
        <v>3261</v>
      </c>
      <c r="U92" t="s">
        <v>3308</v>
      </c>
      <c r="V92">
        <v>2024</v>
      </c>
      <c r="W92" t="s">
        <v>3306</v>
      </c>
      <c r="Y92" t="s">
        <v>3040</v>
      </c>
      <c r="Z92">
        <v>225324</v>
      </c>
      <c r="AB92">
        <v>256050</v>
      </c>
    </row>
    <row r="93" spans="1:30" ht="15.6" x14ac:dyDescent="0.3">
      <c r="A93" t="s">
        <v>3309</v>
      </c>
      <c r="B93" t="s">
        <v>236</v>
      </c>
      <c r="C93" t="s">
        <v>233</v>
      </c>
      <c r="D93" t="s">
        <v>235</v>
      </c>
      <c r="E93" t="s">
        <v>55</v>
      </c>
      <c r="F93" t="b">
        <v>1</v>
      </c>
      <c r="G93" t="s">
        <v>3042</v>
      </c>
      <c r="H93" t="s">
        <v>232</v>
      </c>
      <c r="I93">
        <v>0.12</v>
      </c>
      <c r="J93" t="s">
        <v>3116</v>
      </c>
      <c r="K93">
        <v>0</v>
      </c>
      <c r="L93">
        <v>71126.880000000005</v>
      </c>
      <c r="M93">
        <v>0</v>
      </c>
      <c r="N93">
        <v>0</v>
      </c>
      <c r="O93">
        <v>0</v>
      </c>
      <c r="P93" t="s">
        <v>3310</v>
      </c>
      <c r="Q93">
        <v>71126.880000000005</v>
      </c>
      <c r="R93">
        <v>80826</v>
      </c>
      <c r="S93">
        <v>9699.1200000000008</v>
      </c>
      <c r="T93" t="s">
        <v>3261</v>
      </c>
      <c r="U93" t="s">
        <v>3308</v>
      </c>
      <c r="V93">
        <v>2024</v>
      </c>
      <c r="W93" t="s">
        <v>3309</v>
      </c>
      <c r="Y93" t="s">
        <v>3040</v>
      </c>
      <c r="Z93">
        <v>71126.880000000005</v>
      </c>
      <c r="AB93">
        <v>80826</v>
      </c>
    </row>
    <row r="94" spans="1:30" ht="15.6" x14ac:dyDescent="0.3">
      <c r="A94" t="s">
        <v>3311</v>
      </c>
      <c r="B94" t="s">
        <v>236</v>
      </c>
      <c r="C94" t="s">
        <v>233</v>
      </c>
      <c r="D94" t="s">
        <v>235</v>
      </c>
      <c r="E94" t="s">
        <v>55</v>
      </c>
      <c r="F94" t="b">
        <v>1</v>
      </c>
      <c r="G94" t="s">
        <v>3094</v>
      </c>
      <c r="H94" t="s">
        <v>232</v>
      </c>
      <c r="P94" t="s">
        <v>3312</v>
      </c>
      <c r="Q94">
        <v>20181.95</v>
      </c>
      <c r="R94">
        <v>22934.03</v>
      </c>
      <c r="S94">
        <v>2752.08</v>
      </c>
      <c r="T94" t="s">
        <v>3261</v>
      </c>
      <c r="U94" t="s">
        <v>321</v>
      </c>
      <c r="V94">
        <v>2025</v>
      </c>
      <c r="W94" t="s">
        <v>3311</v>
      </c>
      <c r="AC94" t="s">
        <v>3040</v>
      </c>
    </row>
    <row r="95" spans="1:30" ht="15.6" x14ac:dyDescent="0.3">
      <c r="A95" t="s">
        <v>3313</v>
      </c>
      <c r="B95" t="s">
        <v>775</v>
      </c>
      <c r="C95" t="s">
        <v>772</v>
      </c>
      <c r="D95" t="s">
        <v>60</v>
      </c>
      <c r="E95" t="s">
        <v>774</v>
      </c>
      <c r="F95" t="b">
        <v>1</v>
      </c>
      <c r="G95" t="s">
        <v>3070</v>
      </c>
      <c r="H95" t="s">
        <v>771</v>
      </c>
      <c r="P95" t="s">
        <v>3314</v>
      </c>
      <c r="Q95">
        <v>157674.88</v>
      </c>
      <c r="R95">
        <v>179176</v>
      </c>
      <c r="S95">
        <v>21501.119999999999</v>
      </c>
      <c r="T95" t="s">
        <v>3261</v>
      </c>
      <c r="U95" t="s">
        <v>3315</v>
      </c>
      <c r="V95">
        <v>2025</v>
      </c>
      <c r="W95" t="s">
        <v>3313</v>
      </c>
      <c r="AC95" t="s">
        <v>3040</v>
      </c>
    </row>
    <row r="96" spans="1:30" ht="15.6" x14ac:dyDescent="0.3">
      <c r="A96" t="s">
        <v>3316</v>
      </c>
      <c r="B96" t="s">
        <v>679</v>
      </c>
      <c r="C96" t="s">
        <v>677</v>
      </c>
      <c r="D96" t="s">
        <v>13</v>
      </c>
      <c r="E96" t="s">
        <v>678</v>
      </c>
      <c r="F96" t="b">
        <v>0</v>
      </c>
      <c r="G96" t="s">
        <v>3094</v>
      </c>
      <c r="H96" t="s">
        <v>676</v>
      </c>
      <c r="P96" t="s">
        <v>3317</v>
      </c>
      <c r="Q96">
        <v>58205.75</v>
      </c>
      <c r="R96">
        <v>58205.75</v>
      </c>
      <c r="S96">
        <v>0</v>
      </c>
      <c r="T96" t="s">
        <v>3261</v>
      </c>
      <c r="U96" t="s">
        <v>3318</v>
      </c>
      <c r="V96">
        <v>2025</v>
      </c>
      <c r="W96" t="s">
        <v>3316</v>
      </c>
      <c r="AC96" t="s">
        <v>3040</v>
      </c>
      <c r="AD96" t="s">
        <v>309</v>
      </c>
    </row>
    <row r="97" spans="1:30" ht="15.6" x14ac:dyDescent="0.3">
      <c r="A97" t="s">
        <v>3319</v>
      </c>
      <c r="B97" t="s">
        <v>1310</v>
      </c>
      <c r="C97" t="s">
        <v>1308</v>
      </c>
      <c r="D97" t="s">
        <v>152</v>
      </c>
      <c r="E97" t="s">
        <v>55</v>
      </c>
      <c r="F97" t="b">
        <v>1</v>
      </c>
      <c r="G97" t="s">
        <v>3042</v>
      </c>
      <c r="H97" t="s">
        <v>1307</v>
      </c>
      <c r="P97" t="s">
        <v>3320</v>
      </c>
      <c r="Q97">
        <v>204506.72</v>
      </c>
      <c r="R97">
        <v>232394</v>
      </c>
      <c r="S97">
        <v>27887.279999999999</v>
      </c>
      <c r="T97" t="s">
        <v>3261</v>
      </c>
      <c r="U97" t="s">
        <v>875</v>
      </c>
      <c r="V97">
        <v>2025</v>
      </c>
      <c r="W97" t="s">
        <v>3319</v>
      </c>
      <c r="AC97" t="s">
        <v>3040</v>
      </c>
      <c r="AD97" t="s">
        <v>37</v>
      </c>
    </row>
    <row r="98" spans="1:30" ht="15.6" x14ac:dyDescent="0.3">
      <c r="A98" t="s">
        <v>3321</v>
      </c>
      <c r="B98" t="s">
        <v>701</v>
      </c>
      <c r="C98" t="s">
        <v>699</v>
      </c>
      <c r="D98" t="s">
        <v>66</v>
      </c>
      <c r="E98" t="s">
        <v>55</v>
      </c>
      <c r="F98" t="b">
        <v>1</v>
      </c>
      <c r="G98" t="s">
        <v>3042</v>
      </c>
      <c r="H98" t="s">
        <v>698</v>
      </c>
      <c r="P98" t="s">
        <v>3322</v>
      </c>
      <c r="Q98">
        <v>28679.200000000001</v>
      </c>
      <c r="R98">
        <v>32590</v>
      </c>
      <c r="S98">
        <v>3910.8</v>
      </c>
      <c r="T98" t="s">
        <v>3261</v>
      </c>
      <c r="U98" t="s">
        <v>3323</v>
      </c>
      <c r="V98">
        <v>2025</v>
      </c>
      <c r="W98" t="s">
        <v>3321</v>
      </c>
      <c r="AC98" t="s">
        <v>3040</v>
      </c>
      <c r="AD98" t="s">
        <v>37</v>
      </c>
    </row>
    <row r="99" spans="1:30" ht="15.6" x14ac:dyDescent="0.3">
      <c r="A99" t="s">
        <v>3324</v>
      </c>
      <c r="B99" t="s">
        <v>701</v>
      </c>
      <c r="C99" t="s">
        <v>699</v>
      </c>
      <c r="D99" t="s">
        <v>66</v>
      </c>
      <c r="E99" t="s">
        <v>55</v>
      </c>
      <c r="F99" t="b">
        <v>1</v>
      </c>
      <c r="G99" t="s">
        <v>3042</v>
      </c>
      <c r="H99" t="s">
        <v>698</v>
      </c>
      <c r="P99" t="s">
        <v>3325</v>
      </c>
      <c r="Q99">
        <v>22440</v>
      </c>
      <c r="R99">
        <v>25500</v>
      </c>
      <c r="S99">
        <v>3060</v>
      </c>
      <c r="T99" t="s">
        <v>3261</v>
      </c>
      <c r="U99" t="s">
        <v>3323</v>
      </c>
      <c r="V99">
        <v>2025</v>
      </c>
      <c r="W99" t="s">
        <v>3324</v>
      </c>
      <c r="AC99" t="s">
        <v>3040</v>
      </c>
    </row>
    <row r="100" spans="1:30" ht="15.6" x14ac:dyDescent="0.3">
      <c r="A100" t="s">
        <v>3326</v>
      </c>
      <c r="B100" t="s">
        <v>193</v>
      </c>
      <c r="C100" t="s">
        <v>191</v>
      </c>
      <c r="D100" t="s">
        <v>152</v>
      </c>
      <c r="E100" t="s">
        <v>55</v>
      </c>
      <c r="F100" t="b">
        <v>0</v>
      </c>
      <c r="G100" t="s">
        <v>3042</v>
      </c>
      <c r="H100" t="s">
        <v>190</v>
      </c>
      <c r="P100" t="s">
        <v>3327</v>
      </c>
      <c r="Q100">
        <v>185100</v>
      </c>
      <c r="R100">
        <v>185100</v>
      </c>
      <c r="S100">
        <v>0</v>
      </c>
      <c r="T100" t="s">
        <v>3261</v>
      </c>
      <c r="U100" t="s">
        <v>3323</v>
      </c>
      <c r="V100">
        <v>2025</v>
      </c>
      <c r="W100" t="s">
        <v>3326</v>
      </c>
      <c r="AC100" t="s">
        <v>3040</v>
      </c>
    </row>
    <row r="101" spans="1:30" ht="15.6" x14ac:dyDescent="0.3">
      <c r="A101" t="s">
        <v>3328</v>
      </c>
      <c r="B101" t="s">
        <v>1437</v>
      </c>
      <c r="C101" t="s">
        <v>1434</v>
      </c>
      <c r="D101" t="s">
        <v>1436</v>
      </c>
      <c r="E101" t="s">
        <v>55</v>
      </c>
      <c r="F101" t="b">
        <v>0</v>
      </c>
      <c r="G101" t="s">
        <v>3026</v>
      </c>
      <c r="H101" t="s">
        <v>1433</v>
      </c>
      <c r="P101" t="s">
        <v>3329</v>
      </c>
      <c r="Q101">
        <v>79000</v>
      </c>
      <c r="R101">
        <v>79000</v>
      </c>
      <c r="S101">
        <v>0</v>
      </c>
      <c r="T101" t="s">
        <v>3261</v>
      </c>
      <c r="U101" t="s">
        <v>3330</v>
      </c>
      <c r="V101">
        <v>2025</v>
      </c>
      <c r="W101" t="s">
        <v>3328</v>
      </c>
      <c r="AC101" t="s">
        <v>3040</v>
      </c>
    </row>
    <row r="102" spans="1:30" ht="15.6" x14ac:dyDescent="0.3">
      <c r="A102" t="s">
        <v>3331</v>
      </c>
      <c r="B102" t="s">
        <v>1461</v>
      </c>
      <c r="C102" t="s">
        <v>1458</v>
      </c>
      <c r="D102" t="s">
        <v>112</v>
      </c>
      <c r="E102" t="s">
        <v>1460</v>
      </c>
      <c r="F102" t="b">
        <v>0</v>
      </c>
      <c r="G102" t="s">
        <v>3094</v>
      </c>
      <c r="H102" t="s">
        <v>1457</v>
      </c>
      <c r="P102" t="s">
        <v>3332</v>
      </c>
      <c r="Q102">
        <v>2175.9</v>
      </c>
      <c r="R102">
        <v>2175.9</v>
      </c>
      <c r="S102">
        <v>0</v>
      </c>
      <c r="T102" t="s">
        <v>3261</v>
      </c>
      <c r="U102" t="s">
        <v>3333</v>
      </c>
      <c r="V102">
        <v>2025</v>
      </c>
      <c r="W102" t="s">
        <v>3331</v>
      </c>
      <c r="AC102" t="s">
        <v>3040</v>
      </c>
    </row>
    <row r="103" spans="1:30" ht="15.6" x14ac:dyDescent="0.3">
      <c r="A103" t="s">
        <v>3334</v>
      </c>
      <c r="B103" t="s">
        <v>1370</v>
      </c>
      <c r="C103" t="s">
        <v>1367</v>
      </c>
      <c r="D103" t="s">
        <v>48</v>
      </c>
      <c r="E103" t="s">
        <v>1369</v>
      </c>
      <c r="F103" t="b">
        <v>0</v>
      </c>
      <c r="G103" t="s">
        <v>3042</v>
      </c>
      <c r="H103" t="s">
        <v>1366</v>
      </c>
      <c r="P103" t="s">
        <v>3335</v>
      </c>
      <c r="Q103">
        <v>298625</v>
      </c>
      <c r="R103">
        <v>298625</v>
      </c>
      <c r="S103">
        <v>0</v>
      </c>
      <c r="T103" t="s">
        <v>3261</v>
      </c>
      <c r="U103" t="s">
        <v>3333</v>
      </c>
      <c r="V103">
        <v>2025</v>
      </c>
      <c r="W103" t="s">
        <v>3334</v>
      </c>
      <c r="AC103" t="s">
        <v>3040</v>
      </c>
    </row>
    <row r="104" spans="1:30" ht="15.6" x14ac:dyDescent="0.3">
      <c r="A104" t="s">
        <v>3336</v>
      </c>
      <c r="B104" t="s">
        <v>1370</v>
      </c>
      <c r="C104" t="s">
        <v>1367</v>
      </c>
      <c r="D104" t="s">
        <v>48</v>
      </c>
      <c r="E104" t="s">
        <v>1369</v>
      </c>
      <c r="F104" t="b">
        <v>0</v>
      </c>
      <c r="G104" t="s">
        <v>3094</v>
      </c>
      <c r="H104" t="s">
        <v>1366</v>
      </c>
      <c r="P104" t="s">
        <v>3337</v>
      </c>
      <c r="Q104">
        <v>146288</v>
      </c>
      <c r="R104">
        <v>146288</v>
      </c>
      <c r="S104">
        <v>0</v>
      </c>
      <c r="T104" t="s">
        <v>3261</v>
      </c>
      <c r="U104" t="s">
        <v>3333</v>
      </c>
      <c r="V104">
        <v>2025</v>
      </c>
      <c r="W104" t="s">
        <v>3336</v>
      </c>
      <c r="AC104" t="s">
        <v>3040</v>
      </c>
    </row>
    <row r="105" spans="1:30" ht="15.6" x14ac:dyDescent="0.3">
      <c r="A105" t="s">
        <v>3338</v>
      </c>
      <c r="B105" t="s">
        <v>193</v>
      </c>
      <c r="C105" t="s">
        <v>191</v>
      </c>
      <c r="D105" t="s">
        <v>152</v>
      </c>
      <c r="E105" t="s">
        <v>55</v>
      </c>
      <c r="F105" t="b">
        <v>0</v>
      </c>
      <c r="G105" t="s">
        <v>3094</v>
      </c>
      <c r="H105" t="s">
        <v>190</v>
      </c>
      <c r="P105" t="s">
        <v>3339</v>
      </c>
      <c r="Q105">
        <v>201172.3</v>
      </c>
      <c r="R105">
        <v>201172.3</v>
      </c>
      <c r="S105">
        <v>0</v>
      </c>
      <c r="T105" t="s">
        <v>3261</v>
      </c>
      <c r="U105" t="s">
        <v>3340</v>
      </c>
      <c r="V105">
        <v>2025</v>
      </c>
      <c r="W105" t="s">
        <v>3338</v>
      </c>
      <c r="AC105" t="s">
        <v>3040</v>
      </c>
    </row>
    <row r="106" spans="1:30" ht="15.6" x14ac:dyDescent="0.3">
      <c r="A106" t="s">
        <v>3341</v>
      </c>
      <c r="B106" t="s">
        <v>679</v>
      </c>
      <c r="C106" t="s">
        <v>677</v>
      </c>
      <c r="D106" t="s">
        <v>13</v>
      </c>
      <c r="E106" t="s">
        <v>678</v>
      </c>
      <c r="F106" t="b">
        <v>0</v>
      </c>
      <c r="G106" t="s">
        <v>3094</v>
      </c>
      <c r="H106" t="s">
        <v>676</v>
      </c>
      <c r="P106" t="s">
        <v>3342</v>
      </c>
      <c r="Q106">
        <v>4875.58</v>
      </c>
      <c r="R106">
        <v>4875.58</v>
      </c>
      <c r="S106">
        <v>0</v>
      </c>
      <c r="T106" t="s">
        <v>3261</v>
      </c>
      <c r="U106" t="s">
        <v>3343</v>
      </c>
      <c r="V106">
        <v>2025</v>
      </c>
      <c r="W106" t="s">
        <v>3341</v>
      </c>
      <c r="AC106" t="s">
        <v>3040</v>
      </c>
    </row>
    <row r="107" spans="1:30" ht="15.6" x14ac:dyDescent="0.3">
      <c r="A107" t="s">
        <v>3344</v>
      </c>
      <c r="B107" t="s">
        <v>679</v>
      </c>
      <c r="C107" t="s">
        <v>677</v>
      </c>
      <c r="D107" t="s">
        <v>13</v>
      </c>
      <c r="E107" t="s">
        <v>678</v>
      </c>
      <c r="F107" t="b">
        <v>0</v>
      </c>
      <c r="G107" t="s">
        <v>3094</v>
      </c>
      <c r="H107" t="s">
        <v>676</v>
      </c>
      <c r="P107" t="s">
        <v>3345</v>
      </c>
      <c r="Q107">
        <v>10096.15</v>
      </c>
      <c r="R107">
        <v>10096.15</v>
      </c>
      <c r="S107">
        <v>0</v>
      </c>
      <c r="T107" t="s">
        <v>3261</v>
      </c>
      <c r="U107" t="s">
        <v>3346</v>
      </c>
      <c r="V107">
        <v>2025</v>
      </c>
      <c r="W107" t="s">
        <v>3344</v>
      </c>
      <c r="AC107" t="s">
        <v>3040</v>
      </c>
    </row>
    <row r="108" spans="1:30" ht="15.6" x14ac:dyDescent="0.3">
      <c r="A108" t="s">
        <v>3347</v>
      </c>
      <c r="B108" t="s">
        <v>1655</v>
      </c>
      <c r="C108" t="s">
        <v>116</v>
      </c>
      <c r="D108" t="s">
        <v>13</v>
      </c>
      <c r="E108" t="s">
        <v>1654</v>
      </c>
      <c r="F108" t="b">
        <v>0</v>
      </c>
      <c r="G108" t="s">
        <v>3042</v>
      </c>
      <c r="H108" t="s">
        <v>1653</v>
      </c>
      <c r="P108" t="s">
        <v>3348</v>
      </c>
      <c r="Q108">
        <v>110965</v>
      </c>
      <c r="R108">
        <v>110965</v>
      </c>
      <c r="S108">
        <v>0</v>
      </c>
      <c r="T108" t="s">
        <v>3261</v>
      </c>
      <c r="U108" t="s">
        <v>3346</v>
      </c>
      <c r="V108">
        <v>2025</v>
      </c>
      <c r="W108" t="s">
        <v>3347</v>
      </c>
      <c r="AC108" t="s">
        <v>3349</v>
      </c>
    </row>
    <row r="109" spans="1:30" ht="15.6" x14ac:dyDescent="0.3">
      <c r="A109" t="s">
        <v>3350</v>
      </c>
      <c r="B109" t="s">
        <v>1153</v>
      </c>
      <c r="C109" t="s">
        <v>1150</v>
      </c>
      <c r="D109" t="s">
        <v>1152</v>
      </c>
      <c r="E109" t="s">
        <v>55</v>
      </c>
      <c r="F109" t="b">
        <v>0</v>
      </c>
      <c r="G109" t="s">
        <v>3042</v>
      </c>
      <c r="H109" t="s">
        <v>1149</v>
      </c>
      <c r="P109" t="s">
        <v>3351</v>
      </c>
      <c r="Q109">
        <v>475020</v>
      </c>
      <c r="R109">
        <v>475020</v>
      </c>
      <c r="S109">
        <v>0</v>
      </c>
      <c r="T109" t="s">
        <v>3261</v>
      </c>
      <c r="U109" t="s">
        <v>3352</v>
      </c>
      <c r="V109">
        <v>2025</v>
      </c>
      <c r="W109" t="s">
        <v>3350</v>
      </c>
      <c r="AC109" t="s">
        <v>3349</v>
      </c>
    </row>
    <row r="110" spans="1:30" ht="15.6" x14ac:dyDescent="0.3">
      <c r="A110" t="s">
        <v>3353</v>
      </c>
      <c r="B110" t="s">
        <v>594</v>
      </c>
      <c r="C110" t="s">
        <v>591</v>
      </c>
      <c r="D110" t="s">
        <v>143</v>
      </c>
      <c r="E110" t="s">
        <v>593</v>
      </c>
      <c r="F110" t="b">
        <v>1</v>
      </c>
      <c r="G110" t="s">
        <v>3042</v>
      </c>
      <c r="H110" t="s">
        <v>590</v>
      </c>
      <c r="P110" t="s">
        <v>3354</v>
      </c>
      <c r="Q110">
        <v>6239.2</v>
      </c>
      <c r="R110">
        <v>7090</v>
      </c>
      <c r="S110">
        <v>850.8</v>
      </c>
      <c r="T110" t="s">
        <v>3261</v>
      </c>
      <c r="U110" t="s">
        <v>3352</v>
      </c>
      <c r="V110">
        <v>2024</v>
      </c>
      <c r="W110" t="s">
        <v>3353</v>
      </c>
      <c r="AC110" t="s">
        <v>3040</v>
      </c>
    </row>
    <row r="111" spans="1:30" ht="15.6" x14ac:dyDescent="0.3">
      <c r="A111" t="s">
        <v>3355</v>
      </c>
      <c r="B111" t="s">
        <v>594</v>
      </c>
      <c r="C111" t="s">
        <v>591</v>
      </c>
      <c r="D111" t="s">
        <v>143</v>
      </c>
      <c r="E111" t="s">
        <v>593</v>
      </c>
      <c r="F111" t="b">
        <v>1</v>
      </c>
      <c r="G111" t="s">
        <v>3042</v>
      </c>
      <c r="H111" t="s">
        <v>590</v>
      </c>
      <c r="P111" t="s">
        <v>3356</v>
      </c>
      <c r="Q111">
        <v>1839.2</v>
      </c>
      <c r="R111">
        <v>2090</v>
      </c>
      <c r="S111">
        <v>250.8</v>
      </c>
      <c r="T111" t="s">
        <v>3261</v>
      </c>
      <c r="U111" t="s">
        <v>3352</v>
      </c>
      <c r="V111">
        <v>2024</v>
      </c>
      <c r="W111" t="s">
        <v>3355</v>
      </c>
      <c r="AC111" t="s">
        <v>3040</v>
      </c>
    </row>
    <row r="112" spans="1:30" ht="15.6" x14ac:dyDescent="0.3">
      <c r="A112" t="s">
        <v>3357</v>
      </c>
      <c r="B112" t="s">
        <v>613</v>
      </c>
      <c r="C112" t="s">
        <v>610</v>
      </c>
      <c r="D112" t="s">
        <v>612</v>
      </c>
      <c r="E112" t="s">
        <v>55</v>
      </c>
      <c r="F112" t="b">
        <v>1</v>
      </c>
      <c r="G112" t="s">
        <v>3094</v>
      </c>
      <c r="H112" t="s">
        <v>609</v>
      </c>
      <c r="P112" t="s">
        <v>3358</v>
      </c>
      <c r="Q112">
        <v>3829.59</v>
      </c>
      <c r="R112">
        <v>4351.8100000000004</v>
      </c>
      <c r="S112">
        <v>522.22</v>
      </c>
      <c r="T112" t="s">
        <v>3261</v>
      </c>
      <c r="U112" t="s">
        <v>3359</v>
      </c>
      <c r="V112">
        <v>2024</v>
      </c>
      <c r="W112" t="s">
        <v>3357</v>
      </c>
      <c r="AC112" t="s">
        <v>3040</v>
      </c>
    </row>
    <row r="113" spans="1:29" ht="15.6" x14ac:dyDescent="0.3">
      <c r="A113" t="s">
        <v>3360</v>
      </c>
      <c r="B113" t="s">
        <v>1153</v>
      </c>
      <c r="C113" t="s">
        <v>1150</v>
      </c>
      <c r="D113" t="s">
        <v>1152</v>
      </c>
      <c r="E113" t="s">
        <v>55</v>
      </c>
      <c r="F113" t="b">
        <v>0</v>
      </c>
      <c r="G113" t="s">
        <v>3094</v>
      </c>
      <c r="H113" t="s">
        <v>1149</v>
      </c>
      <c r="P113" t="s">
        <v>3361</v>
      </c>
      <c r="Q113">
        <v>366408.43</v>
      </c>
      <c r="R113">
        <v>366408.43</v>
      </c>
      <c r="S113">
        <v>0</v>
      </c>
      <c r="T113" t="s">
        <v>3261</v>
      </c>
      <c r="U113" t="s">
        <v>3362</v>
      </c>
      <c r="V113">
        <v>2024</v>
      </c>
      <c r="W113" t="s">
        <v>3360</v>
      </c>
      <c r="AC113" t="s">
        <v>3080</v>
      </c>
    </row>
    <row r="114" spans="1:29" ht="15.6" x14ac:dyDescent="0.3">
      <c r="A114" t="s">
        <v>3363</v>
      </c>
      <c r="B114" t="s">
        <v>1537</v>
      </c>
      <c r="C114" t="s">
        <v>1536</v>
      </c>
      <c r="D114" t="s">
        <v>60</v>
      </c>
      <c r="E114" t="s">
        <v>1402</v>
      </c>
      <c r="F114" t="b">
        <v>1</v>
      </c>
      <c r="G114" t="s">
        <v>3042</v>
      </c>
      <c r="H114" t="s">
        <v>1535</v>
      </c>
      <c r="P114" t="s">
        <v>3364</v>
      </c>
      <c r="Q114">
        <v>9512.7999999999993</v>
      </c>
      <c r="R114">
        <v>10810</v>
      </c>
      <c r="S114">
        <v>1297.2</v>
      </c>
      <c r="T114" t="s">
        <v>3261</v>
      </c>
      <c r="U114" t="s">
        <v>3362</v>
      </c>
      <c r="V114">
        <v>2024</v>
      </c>
      <c r="W114" t="s">
        <v>3363</v>
      </c>
      <c r="AC114" t="s">
        <v>3040</v>
      </c>
    </row>
    <row r="115" spans="1:29" ht="15.6" x14ac:dyDescent="0.3">
      <c r="A115" t="s">
        <v>3365</v>
      </c>
      <c r="B115" t="s">
        <v>1145</v>
      </c>
      <c r="C115" t="s">
        <v>1142</v>
      </c>
      <c r="D115" t="s">
        <v>13</v>
      </c>
      <c r="E115" t="s">
        <v>1144</v>
      </c>
      <c r="F115" t="b">
        <v>1</v>
      </c>
      <c r="G115" t="s">
        <v>3042</v>
      </c>
      <c r="H115" t="s">
        <v>1141</v>
      </c>
      <c r="P115" t="s">
        <v>3366</v>
      </c>
      <c r="Q115">
        <v>8976</v>
      </c>
      <c r="R115">
        <v>10200</v>
      </c>
      <c r="S115">
        <v>1224</v>
      </c>
      <c r="T115" t="s">
        <v>3261</v>
      </c>
      <c r="U115" t="s">
        <v>3367</v>
      </c>
      <c r="V115">
        <v>2024</v>
      </c>
      <c r="W115" t="s">
        <v>3365</v>
      </c>
      <c r="AC115" t="s">
        <v>3040</v>
      </c>
    </row>
    <row r="116" spans="1:29" ht="15.6" x14ac:dyDescent="0.3">
      <c r="A116" t="s">
        <v>3368</v>
      </c>
      <c r="B116" t="s">
        <v>1655</v>
      </c>
      <c r="C116" t="s">
        <v>116</v>
      </c>
      <c r="D116" t="s">
        <v>13</v>
      </c>
      <c r="E116" t="s">
        <v>1654</v>
      </c>
      <c r="F116" t="b">
        <v>1</v>
      </c>
      <c r="G116" t="s">
        <v>3042</v>
      </c>
      <c r="H116" t="s">
        <v>1653</v>
      </c>
      <c r="P116" t="s">
        <v>3369</v>
      </c>
      <c r="Q116">
        <v>199328.8</v>
      </c>
      <c r="R116">
        <v>226510</v>
      </c>
      <c r="S116">
        <v>27181.200000000001</v>
      </c>
      <c r="T116" t="s">
        <v>3261</v>
      </c>
      <c r="U116" t="s">
        <v>3367</v>
      </c>
      <c r="V116">
        <v>2024</v>
      </c>
      <c r="W116" t="s">
        <v>3368</v>
      </c>
      <c r="AC116" t="s">
        <v>3040</v>
      </c>
    </row>
    <row r="117" spans="1:29" ht="15.6" x14ac:dyDescent="0.3">
      <c r="A117" t="s">
        <v>3370</v>
      </c>
      <c r="B117" t="s">
        <v>1655</v>
      </c>
      <c r="C117" t="s">
        <v>116</v>
      </c>
      <c r="D117" t="s">
        <v>13</v>
      </c>
      <c r="E117" t="s">
        <v>1654</v>
      </c>
      <c r="F117" t="b">
        <v>1</v>
      </c>
      <c r="G117" t="s">
        <v>3042</v>
      </c>
      <c r="H117" t="s">
        <v>1653</v>
      </c>
      <c r="P117" t="s">
        <v>3371</v>
      </c>
      <c r="Q117">
        <v>8228</v>
      </c>
      <c r="R117">
        <v>9350</v>
      </c>
      <c r="S117">
        <v>1122</v>
      </c>
      <c r="T117" t="s">
        <v>3261</v>
      </c>
      <c r="U117" t="s">
        <v>3367</v>
      </c>
      <c r="V117">
        <v>2024</v>
      </c>
      <c r="W117" t="s">
        <v>3370</v>
      </c>
      <c r="AC117" t="s">
        <v>3040</v>
      </c>
    </row>
    <row r="118" spans="1:29" ht="15.6" x14ac:dyDescent="0.3">
      <c r="A118" t="s">
        <v>3372</v>
      </c>
      <c r="B118" t="s">
        <v>995</v>
      </c>
      <c r="C118" t="s">
        <v>126</v>
      </c>
      <c r="D118" t="s">
        <v>152</v>
      </c>
      <c r="E118" t="s">
        <v>55</v>
      </c>
      <c r="F118" t="b">
        <v>1</v>
      </c>
      <c r="G118" t="s">
        <v>3042</v>
      </c>
      <c r="H118" t="s">
        <v>993</v>
      </c>
      <c r="P118" t="s">
        <v>3373</v>
      </c>
      <c r="Q118">
        <v>32296</v>
      </c>
      <c r="R118">
        <v>36700</v>
      </c>
      <c r="S118">
        <v>4404</v>
      </c>
      <c r="T118" t="s">
        <v>3261</v>
      </c>
      <c r="U118" t="s">
        <v>3367</v>
      </c>
      <c r="V118">
        <v>2024</v>
      </c>
      <c r="W118" t="s">
        <v>3372</v>
      </c>
      <c r="AC118" t="s">
        <v>3040</v>
      </c>
    </row>
    <row r="119" spans="1:29" ht="15.6" x14ac:dyDescent="0.3">
      <c r="A119" t="s">
        <v>3374</v>
      </c>
      <c r="B119" t="s">
        <v>995</v>
      </c>
      <c r="C119" t="s">
        <v>126</v>
      </c>
      <c r="D119" t="s">
        <v>152</v>
      </c>
      <c r="E119" t="s">
        <v>55</v>
      </c>
      <c r="F119" t="b">
        <v>1</v>
      </c>
      <c r="G119" t="s">
        <v>3070</v>
      </c>
      <c r="H119" t="s">
        <v>993</v>
      </c>
      <c r="P119" t="s">
        <v>3375</v>
      </c>
      <c r="Q119">
        <v>19016.8</v>
      </c>
      <c r="R119">
        <v>21610</v>
      </c>
      <c r="S119">
        <v>2593.1999999999998</v>
      </c>
      <c r="T119" t="s">
        <v>3261</v>
      </c>
      <c r="U119" t="s">
        <v>3367</v>
      </c>
      <c r="V119">
        <v>2024</v>
      </c>
      <c r="W119" t="s">
        <v>3374</v>
      </c>
      <c r="AC119" t="s">
        <v>3040</v>
      </c>
    </row>
    <row r="120" spans="1:29" ht="15.6" x14ac:dyDescent="0.3">
      <c r="A120" t="s">
        <v>3376</v>
      </c>
      <c r="B120" t="s">
        <v>1137</v>
      </c>
      <c r="C120" t="s">
        <v>1134</v>
      </c>
      <c r="D120" t="s">
        <v>122</v>
      </c>
      <c r="E120" t="s">
        <v>1136</v>
      </c>
      <c r="F120" t="b">
        <v>1</v>
      </c>
      <c r="G120" t="s">
        <v>3042</v>
      </c>
      <c r="H120" t="s">
        <v>1133</v>
      </c>
      <c r="P120" t="s">
        <v>3377</v>
      </c>
      <c r="Q120">
        <v>8228</v>
      </c>
      <c r="R120">
        <v>9350</v>
      </c>
      <c r="S120">
        <v>1122</v>
      </c>
      <c r="T120" t="s">
        <v>3261</v>
      </c>
      <c r="U120" t="s">
        <v>1213</v>
      </c>
      <c r="V120">
        <v>2024</v>
      </c>
      <c r="W120" t="s">
        <v>3376</v>
      </c>
      <c r="AC120" t="s">
        <v>3040</v>
      </c>
    </row>
    <row r="121" spans="1:29" ht="15.6" x14ac:dyDescent="0.3">
      <c r="A121" t="s">
        <v>3378</v>
      </c>
      <c r="B121" t="s">
        <v>757</v>
      </c>
      <c r="C121" t="s">
        <v>754</v>
      </c>
      <c r="D121" t="s">
        <v>112</v>
      </c>
      <c r="E121" t="s">
        <v>756</v>
      </c>
      <c r="F121" t="b">
        <v>0</v>
      </c>
      <c r="G121" t="s">
        <v>3042</v>
      </c>
      <c r="H121" t="s">
        <v>753</v>
      </c>
      <c r="P121" t="s">
        <v>3379</v>
      </c>
      <c r="Q121">
        <v>15577.2</v>
      </c>
      <c r="R121">
        <v>15577.2</v>
      </c>
      <c r="S121">
        <v>0</v>
      </c>
      <c r="T121" t="s">
        <v>3261</v>
      </c>
      <c r="U121" t="s">
        <v>3380</v>
      </c>
      <c r="V121">
        <v>2024</v>
      </c>
      <c r="W121" t="s">
        <v>3378</v>
      </c>
      <c r="AC121" t="s">
        <v>3040</v>
      </c>
    </row>
    <row r="122" spans="1:29" ht="15.6" x14ac:dyDescent="0.3">
      <c r="A122" t="s">
        <v>3381</v>
      </c>
      <c r="B122" t="s">
        <v>103</v>
      </c>
      <c r="C122" t="s">
        <v>85</v>
      </c>
      <c r="D122" t="s">
        <v>13</v>
      </c>
      <c r="E122" t="s">
        <v>102</v>
      </c>
      <c r="F122" t="b">
        <v>1</v>
      </c>
      <c r="G122" t="s">
        <v>3042</v>
      </c>
      <c r="H122" t="s">
        <v>1042</v>
      </c>
      <c r="P122" t="s">
        <v>3382</v>
      </c>
      <c r="Q122">
        <v>103584.8</v>
      </c>
      <c r="R122">
        <v>117710</v>
      </c>
      <c r="S122">
        <v>14125.2</v>
      </c>
      <c r="T122" t="s">
        <v>3261</v>
      </c>
      <c r="U122" t="s">
        <v>3383</v>
      </c>
      <c r="V122">
        <v>2024</v>
      </c>
      <c r="W122" t="s">
        <v>3381</v>
      </c>
      <c r="AC122" t="s">
        <v>3040</v>
      </c>
    </row>
    <row r="123" spans="1:29" ht="15.6" x14ac:dyDescent="0.3">
      <c r="A123" t="s">
        <v>3384</v>
      </c>
      <c r="B123" t="s">
        <v>103</v>
      </c>
      <c r="C123" t="s">
        <v>85</v>
      </c>
      <c r="D123" t="s">
        <v>13</v>
      </c>
      <c r="E123" t="s">
        <v>102</v>
      </c>
      <c r="F123" t="b">
        <v>1</v>
      </c>
      <c r="G123" t="s">
        <v>3042</v>
      </c>
      <c r="H123" t="s">
        <v>1042</v>
      </c>
      <c r="P123" t="s">
        <v>3385</v>
      </c>
      <c r="Q123">
        <v>83556</v>
      </c>
      <c r="R123">
        <v>94950</v>
      </c>
      <c r="S123">
        <v>11394</v>
      </c>
      <c r="T123" t="s">
        <v>3261</v>
      </c>
      <c r="U123" t="s">
        <v>3383</v>
      </c>
      <c r="V123">
        <v>2024</v>
      </c>
      <c r="W123" t="s">
        <v>3384</v>
      </c>
      <c r="AC123" t="s">
        <v>3040</v>
      </c>
    </row>
    <row r="124" spans="1:29" ht="15.6" x14ac:dyDescent="0.3">
      <c r="A124" t="s">
        <v>3386</v>
      </c>
      <c r="B124" t="s">
        <v>1406</v>
      </c>
      <c r="C124" t="s">
        <v>52</v>
      </c>
      <c r="D124" t="s">
        <v>884</v>
      </c>
      <c r="E124" t="s">
        <v>55</v>
      </c>
      <c r="F124" t="b">
        <v>1</v>
      </c>
      <c r="G124" t="s">
        <v>3042</v>
      </c>
      <c r="H124" t="s">
        <v>1404</v>
      </c>
      <c r="P124" t="s">
        <v>3387</v>
      </c>
      <c r="Q124">
        <v>26529.54</v>
      </c>
      <c r="R124">
        <v>30147.200000000001</v>
      </c>
      <c r="S124">
        <v>3617.66</v>
      </c>
      <c r="T124" t="s">
        <v>3261</v>
      </c>
      <c r="U124" t="s">
        <v>1135</v>
      </c>
      <c r="V124">
        <v>2024</v>
      </c>
      <c r="W124" t="s">
        <v>3386</v>
      </c>
      <c r="AC124" t="s">
        <v>3040</v>
      </c>
    </row>
    <row r="125" spans="1:29" ht="15.6" x14ac:dyDescent="0.3">
      <c r="A125" t="s">
        <v>3388</v>
      </c>
      <c r="B125" t="s">
        <v>1575</v>
      </c>
      <c r="C125" t="s">
        <v>1572</v>
      </c>
      <c r="D125" t="s">
        <v>1574</v>
      </c>
      <c r="E125" t="s">
        <v>55</v>
      </c>
      <c r="F125" t="b">
        <v>1</v>
      </c>
      <c r="G125" t="s">
        <v>3042</v>
      </c>
      <c r="H125" t="s">
        <v>1571</v>
      </c>
      <c r="P125" t="s">
        <v>3389</v>
      </c>
      <c r="Q125">
        <v>17952</v>
      </c>
      <c r="R125">
        <v>20400</v>
      </c>
      <c r="S125">
        <v>2448</v>
      </c>
      <c r="T125" t="s">
        <v>3261</v>
      </c>
      <c r="U125" t="s">
        <v>1135</v>
      </c>
      <c r="V125">
        <v>2024</v>
      </c>
      <c r="W125" t="s">
        <v>3388</v>
      </c>
      <c r="AC125" t="s">
        <v>3040</v>
      </c>
    </row>
    <row r="126" spans="1:29" ht="15.6" x14ac:dyDescent="0.3">
      <c r="A126" t="s">
        <v>3390</v>
      </c>
      <c r="B126" t="s">
        <v>648</v>
      </c>
      <c r="C126" t="s">
        <v>75</v>
      </c>
      <c r="D126" t="s">
        <v>66</v>
      </c>
      <c r="E126" t="s">
        <v>55</v>
      </c>
      <c r="F126" t="b">
        <v>0</v>
      </c>
      <c r="G126" t="s">
        <v>3042</v>
      </c>
      <c r="H126" t="s">
        <v>646</v>
      </c>
      <c r="P126" t="s">
        <v>3391</v>
      </c>
      <c r="Q126">
        <v>69014</v>
      </c>
      <c r="R126">
        <v>69014</v>
      </c>
      <c r="S126">
        <v>0</v>
      </c>
      <c r="T126" t="s">
        <v>3261</v>
      </c>
      <c r="U126" t="s">
        <v>755</v>
      </c>
      <c r="V126">
        <v>2024</v>
      </c>
      <c r="W126" t="s">
        <v>3390</v>
      </c>
      <c r="AC126" t="s">
        <v>3080</v>
      </c>
    </row>
    <row r="127" spans="1:29" ht="15.6" x14ac:dyDescent="0.3">
      <c r="A127" t="s">
        <v>3392</v>
      </c>
      <c r="B127" t="s">
        <v>456</v>
      </c>
      <c r="C127" t="s">
        <v>453</v>
      </c>
      <c r="D127" t="s">
        <v>455</v>
      </c>
      <c r="E127" t="s">
        <v>55</v>
      </c>
      <c r="F127" t="b">
        <v>0</v>
      </c>
      <c r="G127" t="s">
        <v>3042</v>
      </c>
      <c r="H127" t="s">
        <v>452</v>
      </c>
      <c r="P127" t="s">
        <v>3393</v>
      </c>
      <c r="Q127">
        <v>101230</v>
      </c>
      <c r="R127">
        <v>101230</v>
      </c>
      <c r="S127">
        <v>0</v>
      </c>
      <c r="T127" t="s">
        <v>3261</v>
      </c>
      <c r="U127" t="s">
        <v>1222</v>
      </c>
      <c r="V127">
        <v>2024</v>
      </c>
      <c r="W127" t="s">
        <v>3392</v>
      </c>
      <c r="AC127" t="s">
        <v>3080</v>
      </c>
    </row>
    <row r="128" spans="1:29" ht="15.6" x14ac:dyDescent="0.3">
      <c r="A128" t="s">
        <v>3394</v>
      </c>
      <c r="B128" t="s">
        <v>334</v>
      </c>
      <c r="C128" t="s">
        <v>332</v>
      </c>
      <c r="D128" t="s">
        <v>60</v>
      </c>
      <c r="E128" t="s">
        <v>55</v>
      </c>
      <c r="F128" t="b">
        <v>0</v>
      </c>
      <c r="G128" t="s">
        <v>3042</v>
      </c>
      <c r="H128" t="s">
        <v>331</v>
      </c>
      <c r="P128" t="s">
        <v>3395</v>
      </c>
      <c r="Q128">
        <v>5943.17</v>
      </c>
      <c r="R128">
        <v>6753.6</v>
      </c>
      <c r="S128">
        <v>810.43</v>
      </c>
      <c r="T128" t="s">
        <v>3261</v>
      </c>
      <c r="U128" t="s">
        <v>3396</v>
      </c>
      <c r="V128">
        <v>2024</v>
      </c>
      <c r="W128" t="s">
        <v>3394</v>
      </c>
      <c r="AC128" t="s">
        <v>3040</v>
      </c>
    </row>
    <row r="129" spans="1:29" ht="15.6" x14ac:dyDescent="0.3">
      <c r="A129" t="s">
        <v>3397</v>
      </c>
      <c r="B129" t="s">
        <v>1370</v>
      </c>
      <c r="C129" t="s">
        <v>1367</v>
      </c>
      <c r="D129" t="s">
        <v>48</v>
      </c>
      <c r="E129" t="s">
        <v>1369</v>
      </c>
      <c r="F129" t="b">
        <v>0</v>
      </c>
      <c r="G129" t="s">
        <v>3042</v>
      </c>
      <c r="H129" t="s">
        <v>1366</v>
      </c>
      <c r="P129" t="s">
        <v>3398</v>
      </c>
      <c r="Q129">
        <v>167546</v>
      </c>
      <c r="R129">
        <v>167546</v>
      </c>
      <c r="S129">
        <v>0</v>
      </c>
      <c r="T129" t="s">
        <v>3261</v>
      </c>
      <c r="U129" t="s">
        <v>3399</v>
      </c>
      <c r="V129">
        <v>2025</v>
      </c>
      <c r="W129" t="s">
        <v>3397</v>
      </c>
      <c r="AC129" t="s">
        <v>3080</v>
      </c>
    </row>
    <row r="130" spans="1:29" ht="15.6" x14ac:dyDescent="0.3">
      <c r="A130" t="s">
        <v>3400</v>
      </c>
      <c r="B130" t="s">
        <v>1058</v>
      </c>
      <c r="C130" t="s">
        <v>85</v>
      </c>
      <c r="D130" t="s">
        <v>730</v>
      </c>
      <c r="E130" t="s">
        <v>21</v>
      </c>
      <c r="F130" t="b">
        <v>1</v>
      </c>
      <c r="G130" t="s">
        <v>3042</v>
      </c>
      <c r="H130" t="s">
        <v>1056</v>
      </c>
      <c r="P130" t="s">
        <v>3401</v>
      </c>
      <c r="Q130">
        <v>575326.4</v>
      </c>
      <c r="R130">
        <v>653780</v>
      </c>
      <c r="S130">
        <v>78453.600000000006</v>
      </c>
      <c r="T130" t="s">
        <v>3261</v>
      </c>
      <c r="U130" t="s">
        <v>3402</v>
      </c>
      <c r="V130">
        <v>2025</v>
      </c>
      <c r="W130" t="s">
        <v>3400</v>
      </c>
      <c r="AC130" t="s">
        <v>3040</v>
      </c>
    </row>
    <row r="131" spans="1:29" ht="15.6" x14ac:dyDescent="0.3">
      <c r="A131" t="s">
        <v>3403</v>
      </c>
      <c r="B131" t="s">
        <v>1370</v>
      </c>
      <c r="C131" t="s">
        <v>1367</v>
      </c>
      <c r="D131" t="s">
        <v>48</v>
      </c>
      <c r="E131" t="s">
        <v>1369</v>
      </c>
      <c r="F131" t="b">
        <v>0</v>
      </c>
      <c r="G131" t="s">
        <v>3042</v>
      </c>
      <c r="H131" t="s">
        <v>1366</v>
      </c>
      <c r="P131" t="s">
        <v>3404</v>
      </c>
      <c r="Q131">
        <v>21257.599999999999</v>
      </c>
      <c r="R131">
        <v>21257.599999999999</v>
      </c>
      <c r="S131">
        <v>0</v>
      </c>
      <c r="T131" t="s">
        <v>3261</v>
      </c>
      <c r="U131" t="s">
        <v>3405</v>
      </c>
      <c r="V131">
        <v>2025</v>
      </c>
      <c r="W131" t="s">
        <v>3403</v>
      </c>
      <c r="AC131" t="s">
        <v>3080</v>
      </c>
    </row>
    <row r="132" spans="1:29" ht="15.6" x14ac:dyDescent="0.3">
      <c r="A132" t="s">
        <v>3406</v>
      </c>
      <c r="B132" t="s">
        <v>757</v>
      </c>
      <c r="C132" t="s">
        <v>754</v>
      </c>
      <c r="D132" t="s">
        <v>112</v>
      </c>
      <c r="E132" t="s">
        <v>756</v>
      </c>
      <c r="F132" t="b">
        <v>0</v>
      </c>
      <c r="G132" t="s">
        <v>3042</v>
      </c>
      <c r="H132" t="s">
        <v>753</v>
      </c>
      <c r="P132" t="s">
        <v>3407</v>
      </c>
      <c r="Q132">
        <v>0</v>
      </c>
      <c r="R132">
        <v>0</v>
      </c>
      <c r="S132">
        <v>0</v>
      </c>
      <c r="T132" t="s">
        <v>3261</v>
      </c>
      <c r="U132" t="s">
        <v>3408</v>
      </c>
      <c r="V132">
        <v>2025</v>
      </c>
      <c r="W132" t="s">
        <v>3406</v>
      </c>
      <c r="AC132" t="s">
        <v>3080</v>
      </c>
    </row>
    <row r="133" spans="1:29" ht="15.6" x14ac:dyDescent="0.3">
      <c r="A133" t="s">
        <v>3409</v>
      </c>
      <c r="B133" t="s">
        <v>974</v>
      </c>
      <c r="C133" t="s">
        <v>85</v>
      </c>
      <c r="D133" t="s">
        <v>122</v>
      </c>
      <c r="E133" t="s">
        <v>973</v>
      </c>
      <c r="F133" t="b">
        <v>1</v>
      </c>
      <c r="G133" t="s">
        <v>3042</v>
      </c>
      <c r="H133" t="s">
        <v>971</v>
      </c>
      <c r="P133" t="s">
        <v>3410</v>
      </c>
      <c r="Q133">
        <v>366326.4</v>
      </c>
      <c r="R133">
        <v>416280</v>
      </c>
      <c r="S133">
        <v>49953.599999999999</v>
      </c>
      <c r="T133" t="s">
        <v>3261</v>
      </c>
      <c r="U133" t="s">
        <v>3411</v>
      </c>
      <c r="V133">
        <v>2025</v>
      </c>
      <c r="W133" t="s">
        <v>3409</v>
      </c>
      <c r="AC133" t="s">
        <v>3040</v>
      </c>
    </row>
    <row r="134" spans="1:29" ht="15.6" x14ac:dyDescent="0.3">
      <c r="A134" t="s">
        <v>3412</v>
      </c>
      <c r="B134" t="s">
        <v>1137</v>
      </c>
      <c r="C134" t="s">
        <v>1134</v>
      </c>
      <c r="D134" t="s">
        <v>122</v>
      </c>
      <c r="E134" t="s">
        <v>1136</v>
      </c>
      <c r="F134" t="b">
        <v>1</v>
      </c>
      <c r="G134" t="s">
        <v>3042</v>
      </c>
      <c r="H134" t="s">
        <v>1133</v>
      </c>
      <c r="P134" t="s">
        <v>3413</v>
      </c>
      <c r="Q134">
        <v>60271.199999999997</v>
      </c>
      <c r="R134">
        <v>68490</v>
      </c>
      <c r="S134">
        <v>8218.7999999999993</v>
      </c>
      <c r="T134" t="s">
        <v>3261</v>
      </c>
      <c r="U134" t="s">
        <v>3411</v>
      </c>
      <c r="V134">
        <v>2025</v>
      </c>
      <c r="W134" t="s">
        <v>3412</v>
      </c>
      <c r="AC134" t="s">
        <v>3040</v>
      </c>
    </row>
    <row r="135" spans="1:29" ht="15.6" x14ac:dyDescent="0.3">
      <c r="A135" t="s">
        <v>3414</v>
      </c>
      <c r="B135" t="s">
        <v>1655</v>
      </c>
      <c r="C135" t="s">
        <v>116</v>
      </c>
      <c r="D135" t="s">
        <v>13</v>
      </c>
      <c r="E135" t="s">
        <v>1654</v>
      </c>
      <c r="F135" t="b">
        <v>1</v>
      </c>
      <c r="G135" t="s">
        <v>3042</v>
      </c>
      <c r="H135" t="s">
        <v>1653</v>
      </c>
      <c r="P135" t="s">
        <v>3415</v>
      </c>
      <c r="Q135">
        <v>416930.8</v>
      </c>
      <c r="R135">
        <v>473785</v>
      </c>
      <c r="S135">
        <v>56854.2</v>
      </c>
      <c r="T135" t="s">
        <v>3261</v>
      </c>
      <c r="U135" t="s">
        <v>1143</v>
      </c>
      <c r="V135">
        <v>2025</v>
      </c>
      <c r="W135" t="s">
        <v>3414</v>
      </c>
      <c r="AC135" t="s">
        <v>3040</v>
      </c>
    </row>
    <row r="136" spans="1:29" ht="15.6" x14ac:dyDescent="0.3">
      <c r="A136" t="s">
        <v>3416</v>
      </c>
      <c r="B136" t="s">
        <v>366</v>
      </c>
      <c r="C136" t="s">
        <v>364</v>
      </c>
      <c r="D136" t="s">
        <v>66</v>
      </c>
      <c r="E136" t="s">
        <v>55</v>
      </c>
      <c r="F136" t="b">
        <v>1</v>
      </c>
      <c r="G136" t="s">
        <v>3026</v>
      </c>
      <c r="H136" t="s">
        <v>363</v>
      </c>
      <c r="P136" t="s">
        <v>3417</v>
      </c>
      <c r="Q136">
        <v>4720</v>
      </c>
      <c r="R136">
        <v>4720</v>
      </c>
      <c r="S136">
        <v>0</v>
      </c>
      <c r="T136" t="s">
        <v>3261</v>
      </c>
      <c r="U136" t="s">
        <v>1143</v>
      </c>
      <c r="V136">
        <v>2025</v>
      </c>
      <c r="W136" t="s">
        <v>3416</v>
      </c>
      <c r="AC136" t="s">
        <v>3080</v>
      </c>
    </row>
    <row r="137" spans="1:29" ht="15.6" x14ac:dyDescent="0.3">
      <c r="A137" t="s">
        <v>3418</v>
      </c>
      <c r="B137" t="s">
        <v>1655</v>
      </c>
      <c r="C137" t="s">
        <v>116</v>
      </c>
      <c r="D137" t="s">
        <v>13</v>
      </c>
      <c r="E137" t="s">
        <v>1654</v>
      </c>
      <c r="F137" t="b">
        <v>1</v>
      </c>
      <c r="G137" t="s">
        <v>3042</v>
      </c>
      <c r="H137" t="s">
        <v>1653</v>
      </c>
      <c r="P137" t="s">
        <v>3419</v>
      </c>
      <c r="Q137">
        <v>118606.39999999999</v>
      </c>
      <c r="R137">
        <v>134780</v>
      </c>
      <c r="S137">
        <v>16173.6</v>
      </c>
      <c r="T137" t="s">
        <v>3261</v>
      </c>
      <c r="U137" t="s">
        <v>3420</v>
      </c>
      <c r="V137">
        <v>2025</v>
      </c>
      <c r="W137" t="s">
        <v>3418</v>
      </c>
      <c r="AC137" t="s">
        <v>3040</v>
      </c>
    </row>
    <row r="138" spans="1:29" ht="15.6" x14ac:dyDescent="0.3">
      <c r="A138" t="s">
        <v>3421</v>
      </c>
      <c r="B138" t="s">
        <v>1655</v>
      </c>
      <c r="C138" t="s">
        <v>116</v>
      </c>
      <c r="D138" t="s">
        <v>13</v>
      </c>
      <c r="E138" t="s">
        <v>1654</v>
      </c>
      <c r="F138" t="b">
        <v>1</v>
      </c>
      <c r="G138" t="s">
        <v>3042</v>
      </c>
      <c r="H138" t="s">
        <v>1653</v>
      </c>
      <c r="P138" t="s">
        <v>3422</v>
      </c>
      <c r="Q138">
        <v>110378.4</v>
      </c>
      <c r="R138">
        <v>125430</v>
      </c>
      <c r="S138">
        <v>15051.6</v>
      </c>
      <c r="T138" t="s">
        <v>3261</v>
      </c>
      <c r="U138" t="s">
        <v>3423</v>
      </c>
      <c r="V138">
        <v>2025</v>
      </c>
      <c r="W138" t="s">
        <v>3421</v>
      </c>
      <c r="AC138" t="s">
        <v>3040</v>
      </c>
    </row>
    <row r="139" spans="1:29" ht="15.6" x14ac:dyDescent="0.3">
      <c r="A139" t="s">
        <v>3424</v>
      </c>
      <c r="B139" t="s">
        <v>1266</v>
      </c>
      <c r="C139" t="s">
        <v>85</v>
      </c>
      <c r="D139" t="s">
        <v>60</v>
      </c>
      <c r="E139" t="s">
        <v>1265</v>
      </c>
      <c r="F139" t="b">
        <v>1</v>
      </c>
      <c r="G139" t="s">
        <v>3042</v>
      </c>
      <c r="H139" t="s">
        <v>1264</v>
      </c>
      <c r="P139" t="s">
        <v>3425</v>
      </c>
      <c r="Q139">
        <v>2347092</v>
      </c>
      <c r="R139">
        <v>2667150</v>
      </c>
      <c r="S139">
        <v>320058</v>
      </c>
      <c r="T139" t="s">
        <v>3250</v>
      </c>
      <c r="U139" t="s">
        <v>3426</v>
      </c>
      <c r="V139">
        <v>2025</v>
      </c>
      <c r="W139" t="s">
        <v>3424</v>
      </c>
      <c r="AC139" t="s">
        <v>3040</v>
      </c>
    </row>
    <row r="140" spans="1:29" ht="15.6" x14ac:dyDescent="0.3">
      <c r="A140" t="s">
        <v>3427</v>
      </c>
      <c r="B140" t="s">
        <v>280</v>
      </c>
      <c r="C140" t="s">
        <v>277</v>
      </c>
      <c r="D140" t="s">
        <v>279</v>
      </c>
      <c r="E140" t="s">
        <v>55</v>
      </c>
      <c r="F140" t="b">
        <v>1</v>
      </c>
      <c r="G140" t="s">
        <v>3042</v>
      </c>
      <c r="H140" t="s">
        <v>276</v>
      </c>
      <c r="P140" t="s">
        <v>3428</v>
      </c>
      <c r="Q140">
        <v>249962.98</v>
      </c>
      <c r="R140">
        <v>284048.84000000003</v>
      </c>
      <c r="S140">
        <v>34085.86</v>
      </c>
      <c r="T140" t="s">
        <v>3257</v>
      </c>
      <c r="U140" t="s">
        <v>121</v>
      </c>
      <c r="V140">
        <v>2025</v>
      </c>
      <c r="W140" t="s">
        <v>3427</v>
      </c>
      <c r="AC140" t="s">
        <v>3040</v>
      </c>
    </row>
    <row r="141" spans="1:29" ht="15.6" x14ac:dyDescent="0.3">
      <c r="A141" t="s">
        <v>3429</v>
      </c>
      <c r="B141" t="s">
        <v>1655</v>
      </c>
      <c r="C141" t="s">
        <v>116</v>
      </c>
      <c r="D141" t="s">
        <v>13</v>
      </c>
      <c r="E141" t="s">
        <v>1654</v>
      </c>
      <c r="F141" t="b">
        <v>1</v>
      </c>
      <c r="G141" t="s">
        <v>3042</v>
      </c>
      <c r="H141" t="s">
        <v>1653</v>
      </c>
      <c r="P141" t="s">
        <v>3430</v>
      </c>
      <c r="Q141">
        <v>206965.44</v>
      </c>
      <c r="R141">
        <v>235188</v>
      </c>
      <c r="S141">
        <v>28222.560000000001</v>
      </c>
      <c r="T141" t="s">
        <v>3257</v>
      </c>
      <c r="U141" t="s">
        <v>3431</v>
      </c>
      <c r="V141">
        <v>2025</v>
      </c>
      <c r="W141" t="s">
        <v>3429</v>
      </c>
      <c r="AC141" t="s">
        <v>3040</v>
      </c>
    </row>
    <row r="142" spans="1:29" ht="15.6" x14ac:dyDescent="0.3">
      <c r="A142" t="s">
        <v>3432</v>
      </c>
      <c r="B142" t="s">
        <v>944</v>
      </c>
      <c r="C142" t="s">
        <v>105</v>
      </c>
      <c r="D142" t="s">
        <v>60</v>
      </c>
      <c r="E142" t="s">
        <v>943</v>
      </c>
      <c r="F142" t="b">
        <v>1</v>
      </c>
      <c r="G142" t="s">
        <v>3042</v>
      </c>
      <c r="H142" t="s">
        <v>942</v>
      </c>
      <c r="P142" t="s">
        <v>3433</v>
      </c>
      <c r="Q142">
        <v>249981.6</v>
      </c>
      <c r="R142">
        <v>284070</v>
      </c>
      <c r="S142">
        <v>34088.400000000001</v>
      </c>
      <c r="T142" t="s">
        <v>3434</v>
      </c>
      <c r="U142" t="s">
        <v>3435</v>
      </c>
      <c r="V142">
        <v>2025</v>
      </c>
      <c r="W142" t="s">
        <v>3432</v>
      </c>
      <c r="AC142" t="s">
        <v>3040</v>
      </c>
    </row>
    <row r="143" spans="1:29" ht="15.6" x14ac:dyDescent="0.3">
      <c r="A143" t="s">
        <v>3436</v>
      </c>
      <c r="B143" t="s">
        <v>880</v>
      </c>
      <c r="C143" t="s">
        <v>110</v>
      </c>
      <c r="D143" t="s">
        <v>66</v>
      </c>
      <c r="E143" t="s">
        <v>55</v>
      </c>
      <c r="F143" t="b">
        <v>1</v>
      </c>
      <c r="G143" t="s">
        <v>3026</v>
      </c>
      <c r="H143" t="s">
        <v>878</v>
      </c>
      <c r="P143" t="s">
        <v>3437</v>
      </c>
      <c r="Q143">
        <v>3990</v>
      </c>
      <c r="R143">
        <v>3990</v>
      </c>
      <c r="S143">
        <v>0</v>
      </c>
      <c r="T143" t="s">
        <v>3257</v>
      </c>
      <c r="U143" t="s">
        <v>3438</v>
      </c>
      <c r="V143">
        <v>2025</v>
      </c>
      <c r="W143" t="s">
        <v>3436</v>
      </c>
      <c r="AC143" t="s">
        <v>3080</v>
      </c>
    </row>
    <row r="144" spans="1:29" ht="15.6" x14ac:dyDescent="0.3">
      <c r="A144" t="s">
        <v>3439</v>
      </c>
      <c r="B144" t="s">
        <v>129</v>
      </c>
      <c r="C144" t="s">
        <v>126</v>
      </c>
      <c r="D144" t="s">
        <v>128</v>
      </c>
      <c r="E144" t="s">
        <v>55</v>
      </c>
      <c r="F144" t="b">
        <v>1</v>
      </c>
      <c r="G144" t="s">
        <v>3042</v>
      </c>
      <c r="H144" t="s">
        <v>125</v>
      </c>
      <c r="P144" t="s">
        <v>3440</v>
      </c>
      <c r="Q144">
        <v>6758.4</v>
      </c>
      <c r="R144">
        <v>7680</v>
      </c>
      <c r="S144">
        <v>921.6</v>
      </c>
      <c r="T144" t="s">
        <v>3257</v>
      </c>
      <c r="U144" t="s">
        <v>3441</v>
      </c>
      <c r="V144">
        <v>2025</v>
      </c>
      <c r="W144" t="s">
        <v>3439</v>
      </c>
      <c r="AC144" t="s">
        <v>3040</v>
      </c>
    </row>
    <row r="145" spans="1:29" ht="15.6" x14ac:dyDescent="0.3">
      <c r="A145" t="s">
        <v>3442</v>
      </c>
      <c r="B145" t="s">
        <v>1446</v>
      </c>
      <c r="C145" t="s">
        <v>463</v>
      </c>
      <c r="D145" t="s">
        <v>13</v>
      </c>
      <c r="E145" t="s">
        <v>865</v>
      </c>
      <c r="F145" t="b">
        <v>0</v>
      </c>
      <c r="G145" t="s">
        <v>3094</v>
      </c>
      <c r="H145" t="s">
        <v>1445</v>
      </c>
      <c r="P145" t="s">
        <v>3443</v>
      </c>
      <c r="Q145">
        <v>56522.59</v>
      </c>
      <c r="R145">
        <v>56522.59</v>
      </c>
      <c r="S145">
        <v>0</v>
      </c>
      <c r="T145" t="s">
        <v>3257</v>
      </c>
      <c r="U145" t="s">
        <v>3444</v>
      </c>
      <c r="V145">
        <v>2025</v>
      </c>
      <c r="W145" t="s">
        <v>3442</v>
      </c>
      <c r="AC145" t="s">
        <v>3080</v>
      </c>
    </row>
    <row r="146" spans="1:29" ht="15.6" x14ac:dyDescent="0.3">
      <c r="A146" t="s">
        <v>3445</v>
      </c>
      <c r="B146" t="s">
        <v>261</v>
      </c>
      <c r="C146" t="s">
        <v>258</v>
      </c>
      <c r="D146" t="s">
        <v>203</v>
      </c>
      <c r="E146" t="s">
        <v>260</v>
      </c>
      <c r="F146" t="b">
        <v>0</v>
      </c>
      <c r="G146" t="s">
        <v>3094</v>
      </c>
      <c r="H146" t="s">
        <v>257</v>
      </c>
      <c r="P146" t="s">
        <v>3446</v>
      </c>
      <c r="Q146">
        <v>0</v>
      </c>
      <c r="R146">
        <v>0</v>
      </c>
      <c r="S146">
        <v>0</v>
      </c>
      <c r="T146" t="s">
        <v>3257</v>
      </c>
      <c r="U146" t="s">
        <v>3447</v>
      </c>
      <c r="V146">
        <v>2025</v>
      </c>
      <c r="W146" t="s">
        <v>3445</v>
      </c>
      <c r="AC146" t="s">
        <v>3080</v>
      </c>
    </row>
    <row r="147" spans="1:29" ht="15.6" x14ac:dyDescent="0.3">
      <c r="A147" t="s">
        <v>3448</v>
      </c>
      <c r="B147" t="s">
        <v>204</v>
      </c>
      <c r="C147" t="s">
        <v>201</v>
      </c>
      <c r="D147" t="s">
        <v>203</v>
      </c>
      <c r="E147" t="s">
        <v>55</v>
      </c>
      <c r="F147" t="b">
        <v>0</v>
      </c>
      <c r="G147" t="s">
        <v>3094</v>
      </c>
      <c r="H147" t="s">
        <v>200</v>
      </c>
      <c r="P147" t="s">
        <v>3446</v>
      </c>
      <c r="Q147">
        <v>0</v>
      </c>
      <c r="R147">
        <v>0</v>
      </c>
      <c r="S147">
        <v>0</v>
      </c>
      <c r="T147" t="s">
        <v>3257</v>
      </c>
      <c r="U147" t="s">
        <v>3447</v>
      </c>
      <c r="V147">
        <v>2025</v>
      </c>
      <c r="W147" t="s">
        <v>3448</v>
      </c>
      <c r="AC147" t="s">
        <v>3080</v>
      </c>
    </row>
    <row r="148" spans="1:29" ht="15.6" x14ac:dyDescent="0.3">
      <c r="A148" t="s">
        <v>3449</v>
      </c>
      <c r="B148" t="s">
        <v>261</v>
      </c>
      <c r="C148" t="s">
        <v>258</v>
      </c>
      <c r="D148" t="s">
        <v>203</v>
      </c>
      <c r="E148" t="s">
        <v>260</v>
      </c>
      <c r="F148" t="b">
        <v>1</v>
      </c>
      <c r="G148" t="s">
        <v>3042</v>
      </c>
      <c r="H148" t="s">
        <v>257</v>
      </c>
      <c r="P148" t="s">
        <v>3450</v>
      </c>
      <c r="Q148">
        <v>18777.439999999999</v>
      </c>
      <c r="R148">
        <v>21338</v>
      </c>
      <c r="S148">
        <v>2560.56</v>
      </c>
      <c r="T148" t="s">
        <v>3257</v>
      </c>
      <c r="U148" t="s">
        <v>3451</v>
      </c>
      <c r="V148">
        <v>2025</v>
      </c>
      <c r="W148" t="s">
        <v>3449</v>
      </c>
      <c r="AC148" t="s">
        <v>3040</v>
      </c>
    </row>
    <row r="149" spans="1:29" ht="15.6" x14ac:dyDescent="0.3">
      <c r="A149" t="s">
        <v>3452</v>
      </c>
      <c r="B149" t="s">
        <v>1188</v>
      </c>
      <c r="C149" t="s">
        <v>1185</v>
      </c>
      <c r="D149" t="s">
        <v>122</v>
      </c>
      <c r="E149" t="s">
        <v>1187</v>
      </c>
      <c r="F149" t="b">
        <v>1</v>
      </c>
      <c r="G149" t="s">
        <v>3042</v>
      </c>
      <c r="H149" t="s">
        <v>1184</v>
      </c>
      <c r="P149" t="s">
        <v>3453</v>
      </c>
      <c r="Q149">
        <v>0</v>
      </c>
      <c r="R149">
        <v>0</v>
      </c>
      <c r="S149">
        <v>0</v>
      </c>
      <c r="T149" t="s">
        <v>3257</v>
      </c>
      <c r="U149" t="s">
        <v>3451</v>
      </c>
      <c r="V149">
        <v>2025</v>
      </c>
      <c r="W149" t="s">
        <v>3452</v>
      </c>
      <c r="AC149" t="s">
        <v>3040</v>
      </c>
    </row>
    <row r="150" spans="1:29" ht="15.6" x14ac:dyDescent="0.3">
      <c r="A150" t="s">
        <v>3454</v>
      </c>
      <c r="B150" t="s">
        <v>1188</v>
      </c>
      <c r="C150" t="s">
        <v>1185</v>
      </c>
      <c r="D150" t="s">
        <v>122</v>
      </c>
      <c r="E150" t="s">
        <v>1187</v>
      </c>
      <c r="F150" t="b">
        <v>0</v>
      </c>
      <c r="G150" t="s">
        <v>3094</v>
      </c>
      <c r="H150" t="s">
        <v>1184</v>
      </c>
      <c r="P150" t="s">
        <v>3455</v>
      </c>
      <c r="Q150">
        <v>12279.52</v>
      </c>
      <c r="R150">
        <v>12279.52</v>
      </c>
      <c r="S150">
        <v>0</v>
      </c>
      <c r="T150" t="s">
        <v>3257</v>
      </c>
      <c r="U150" t="s">
        <v>3451</v>
      </c>
      <c r="V150">
        <v>2025</v>
      </c>
      <c r="W150" t="s">
        <v>3454</v>
      </c>
      <c r="AC150" t="s">
        <v>3080</v>
      </c>
    </row>
    <row r="151" spans="1:29" ht="15.6" x14ac:dyDescent="0.3">
      <c r="A151" t="s">
        <v>3456</v>
      </c>
      <c r="B151" t="s">
        <v>944</v>
      </c>
      <c r="C151" t="s">
        <v>105</v>
      </c>
      <c r="D151" t="s">
        <v>60</v>
      </c>
      <c r="E151" t="s">
        <v>943</v>
      </c>
      <c r="F151" t="b">
        <v>1</v>
      </c>
      <c r="G151" t="s">
        <v>3042</v>
      </c>
      <c r="H151" t="s">
        <v>942</v>
      </c>
      <c r="P151" t="s">
        <v>3457</v>
      </c>
      <c r="Q151">
        <v>149888.64000000001</v>
      </c>
      <c r="R151">
        <v>170328</v>
      </c>
      <c r="S151">
        <v>20439.36</v>
      </c>
      <c r="T151" t="s">
        <v>3257</v>
      </c>
      <c r="U151" t="s">
        <v>287</v>
      </c>
      <c r="V151">
        <v>2025</v>
      </c>
      <c r="W151" t="s">
        <v>3456</v>
      </c>
      <c r="AC151" t="s">
        <v>3040</v>
      </c>
    </row>
    <row r="152" spans="1:29" ht="15.6" x14ac:dyDescent="0.3">
      <c r="A152" t="s">
        <v>3458</v>
      </c>
      <c r="B152" t="s">
        <v>944</v>
      </c>
      <c r="C152" t="s">
        <v>105</v>
      </c>
      <c r="D152" t="s">
        <v>60</v>
      </c>
      <c r="E152" t="s">
        <v>943</v>
      </c>
      <c r="F152" t="b">
        <v>1</v>
      </c>
      <c r="G152" t="s">
        <v>3042</v>
      </c>
      <c r="H152" t="s">
        <v>942</v>
      </c>
      <c r="P152" t="s">
        <v>3459</v>
      </c>
      <c r="Q152">
        <v>149943.20000000001</v>
      </c>
      <c r="R152">
        <v>170390</v>
      </c>
      <c r="S152">
        <v>20446.8</v>
      </c>
      <c r="T152" t="s">
        <v>3257</v>
      </c>
      <c r="U152" t="s">
        <v>287</v>
      </c>
      <c r="V152">
        <v>2025</v>
      </c>
      <c r="W152" t="s">
        <v>3458</v>
      </c>
      <c r="AC152" t="s">
        <v>3040</v>
      </c>
    </row>
    <row r="153" spans="1:29" ht="15.6" x14ac:dyDescent="0.3">
      <c r="A153" t="s">
        <v>3460</v>
      </c>
      <c r="B153" t="s">
        <v>289</v>
      </c>
      <c r="C153" t="s">
        <v>286</v>
      </c>
      <c r="D153" t="s">
        <v>148</v>
      </c>
      <c r="E153" t="s">
        <v>288</v>
      </c>
      <c r="F153" t="b">
        <v>0</v>
      </c>
      <c r="G153" t="s">
        <v>3026</v>
      </c>
      <c r="H153" t="s">
        <v>285</v>
      </c>
      <c r="P153" t="s">
        <v>3461</v>
      </c>
      <c r="Q153">
        <v>3888.63</v>
      </c>
      <c r="R153">
        <v>3888.63</v>
      </c>
      <c r="S153">
        <v>0</v>
      </c>
      <c r="T153" t="s">
        <v>3257</v>
      </c>
      <c r="U153" t="s">
        <v>287</v>
      </c>
      <c r="V153">
        <v>2025</v>
      </c>
      <c r="W153" t="s">
        <v>3460</v>
      </c>
      <c r="AC153" t="s">
        <v>3080</v>
      </c>
    </row>
    <row r="154" spans="1:29" ht="15.6" x14ac:dyDescent="0.3">
      <c r="A154" t="s">
        <v>3462</v>
      </c>
      <c r="B154" t="s">
        <v>261</v>
      </c>
      <c r="C154" t="s">
        <v>258</v>
      </c>
      <c r="D154" t="s">
        <v>203</v>
      </c>
      <c r="E154" t="s">
        <v>260</v>
      </c>
      <c r="F154" t="b">
        <v>0</v>
      </c>
      <c r="G154" t="s">
        <v>3042</v>
      </c>
      <c r="H154" t="s">
        <v>257</v>
      </c>
      <c r="P154" t="s">
        <v>3463</v>
      </c>
      <c r="Q154">
        <v>23650</v>
      </c>
      <c r="R154">
        <v>23650</v>
      </c>
      <c r="S154">
        <v>0</v>
      </c>
      <c r="T154" t="s">
        <v>3257</v>
      </c>
      <c r="U154" t="s">
        <v>3464</v>
      </c>
      <c r="V154">
        <v>2025</v>
      </c>
      <c r="W154" t="s">
        <v>3462</v>
      </c>
      <c r="AC154" t="s">
        <v>3080</v>
      </c>
    </row>
    <row r="155" spans="1:29" ht="15.6" x14ac:dyDescent="0.3">
      <c r="A155" t="s">
        <v>3465</v>
      </c>
      <c r="B155" t="s">
        <v>261</v>
      </c>
      <c r="C155" t="s">
        <v>258</v>
      </c>
      <c r="D155" t="s">
        <v>203</v>
      </c>
      <c r="E155" t="s">
        <v>260</v>
      </c>
      <c r="F155" t="b">
        <v>0</v>
      </c>
      <c r="G155" t="s">
        <v>3094</v>
      </c>
      <c r="H155" t="s">
        <v>257</v>
      </c>
      <c r="P155" t="s">
        <v>3466</v>
      </c>
      <c r="Q155">
        <v>4611.07</v>
      </c>
      <c r="R155">
        <v>4611.07</v>
      </c>
      <c r="S155">
        <v>0</v>
      </c>
      <c r="T155" t="s">
        <v>3257</v>
      </c>
      <c r="U155" t="s">
        <v>3467</v>
      </c>
      <c r="V155">
        <v>2025</v>
      </c>
      <c r="W155" t="s">
        <v>3465</v>
      </c>
      <c r="AC155" t="s">
        <v>3080</v>
      </c>
    </row>
    <row r="156" spans="1:29" ht="15.6" x14ac:dyDescent="0.3">
      <c r="A156" t="s">
        <v>3468</v>
      </c>
      <c r="B156" t="s">
        <v>762</v>
      </c>
      <c r="C156" t="s">
        <v>31</v>
      </c>
      <c r="D156" t="s">
        <v>48</v>
      </c>
      <c r="E156" t="s">
        <v>761</v>
      </c>
      <c r="F156" t="b">
        <v>1</v>
      </c>
      <c r="G156" t="s">
        <v>3042</v>
      </c>
      <c r="H156" t="s">
        <v>760</v>
      </c>
      <c r="P156" t="s">
        <v>3469</v>
      </c>
      <c r="Q156">
        <v>183101.6</v>
      </c>
      <c r="R156">
        <v>208070</v>
      </c>
      <c r="S156">
        <v>24968.400000000001</v>
      </c>
      <c r="T156" t="s">
        <v>3257</v>
      </c>
      <c r="U156" t="s">
        <v>3470</v>
      </c>
      <c r="V156">
        <v>2025</v>
      </c>
      <c r="W156" t="s">
        <v>3468</v>
      </c>
      <c r="AC156" t="s">
        <v>3040</v>
      </c>
    </row>
    <row r="157" spans="1:29" ht="15.6" x14ac:dyDescent="0.3">
      <c r="A157" t="s">
        <v>3471</v>
      </c>
      <c r="B157" t="s">
        <v>762</v>
      </c>
      <c r="C157" t="s">
        <v>31</v>
      </c>
      <c r="D157" t="s">
        <v>48</v>
      </c>
      <c r="E157" t="s">
        <v>761</v>
      </c>
      <c r="F157" t="b">
        <v>1</v>
      </c>
      <c r="G157" t="s">
        <v>3042</v>
      </c>
      <c r="H157" t="s">
        <v>760</v>
      </c>
      <c r="P157" t="s">
        <v>3472</v>
      </c>
      <c r="Q157">
        <v>119847.2</v>
      </c>
      <c r="R157">
        <v>136190</v>
      </c>
      <c r="S157">
        <v>16342.8</v>
      </c>
      <c r="T157" t="s">
        <v>3257</v>
      </c>
      <c r="U157" t="s">
        <v>3470</v>
      </c>
      <c r="V157">
        <v>2025</v>
      </c>
      <c r="W157" t="s">
        <v>3471</v>
      </c>
      <c r="AC157" t="s">
        <v>3040</v>
      </c>
    </row>
    <row r="158" spans="1:29" ht="15.6" x14ac:dyDescent="0.3">
      <c r="A158" t="s">
        <v>3473</v>
      </c>
      <c r="B158" t="s">
        <v>1232</v>
      </c>
      <c r="C158" t="s">
        <v>423</v>
      </c>
      <c r="D158" t="s">
        <v>13</v>
      </c>
      <c r="E158" t="s">
        <v>1231</v>
      </c>
      <c r="F158" t="b">
        <v>1</v>
      </c>
      <c r="G158" t="s">
        <v>3042</v>
      </c>
      <c r="H158" t="s">
        <v>1229</v>
      </c>
      <c r="P158" t="s">
        <v>3474</v>
      </c>
      <c r="Q158">
        <v>18777.439999999999</v>
      </c>
      <c r="R158">
        <v>21338</v>
      </c>
      <c r="S158">
        <v>2560.56</v>
      </c>
      <c r="T158" t="s">
        <v>3257</v>
      </c>
      <c r="U158" t="s">
        <v>3470</v>
      </c>
      <c r="V158">
        <v>2025</v>
      </c>
      <c r="W158" t="s">
        <v>3473</v>
      </c>
      <c r="AC158" t="s">
        <v>3040</v>
      </c>
    </row>
    <row r="159" spans="1:29" ht="15.6" x14ac:dyDescent="0.3">
      <c r="A159" t="s">
        <v>3475</v>
      </c>
      <c r="B159" t="s">
        <v>1038</v>
      </c>
      <c r="C159" t="s">
        <v>152</v>
      </c>
      <c r="D159" t="s">
        <v>66</v>
      </c>
      <c r="E159" t="s">
        <v>55</v>
      </c>
      <c r="F159" t="b">
        <v>0</v>
      </c>
      <c r="G159" t="s">
        <v>3042</v>
      </c>
      <c r="H159" t="s">
        <v>1036</v>
      </c>
      <c r="P159" t="s">
        <v>3476</v>
      </c>
      <c r="Q159">
        <v>89740</v>
      </c>
      <c r="R159">
        <v>89740</v>
      </c>
      <c r="S159">
        <v>0</v>
      </c>
      <c r="T159" t="s">
        <v>3257</v>
      </c>
      <c r="U159" t="s">
        <v>3477</v>
      </c>
      <c r="V159">
        <v>2025</v>
      </c>
      <c r="W159" t="s">
        <v>3475</v>
      </c>
      <c r="AC159" t="s">
        <v>3080</v>
      </c>
    </row>
    <row r="160" spans="1:29" ht="15.6" x14ac:dyDescent="0.3">
      <c r="A160" t="s">
        <v>3478</v>
      </c>
      <c r="B160" t="s">
        <v>1581</v>
      </c>
      <c r="C160" t="s">
        <v>152</v>
      </c>
      <c r="D160" t="s">
        <v>1580</v>
      </c>
      <c r="E160" t="s">
        <v>55</v>
      </c>
      <c r="F160" t="b">
        <v>0</v>
      </c>
      <c r="G160" t="s">
        <v>3042</v>
      </c>
      <c r="H160" t="s">
        <v>1578</v>
      </c>
      <c r="P160" t="s">
        <v>3479</v>
      </c>
      <c r="Q160">
        <v>31580</v>
      </c>
      <c r="R160">
        <v>31580</v>
      </c>
      <c r="S160">
        <v>0</v>
      </c>
      <c r="T160" t="s">
        <v>3257</v>
      </c>
      <c r="U160" t="s">
        <v>3477</v>
      </c>
      <c r="V160">
        <v>2025</v>
      </c>
      <c r="W160" t="s">
        <v>3478</v>
      </c>
      <c r="AC160" t="s">
        <v>3080</v>
      </c>
    </row>
    <row r="161" spans="1:29" ht="15.6" x14ac:dyDescent="0.3">
      <c r="A161" t="s">
        <v>3480</v>
      </c>
      <c r="B161" t="s">
        <v>926</v>
      </c>
      <c r="C161" t="s">
        <v>923</v>
      </c>
      <c r="D161" t="s">
        <v>60</v>
      </c>
      <c r="E161" t="s">
        <v>925</v>
      </c>
      <c r="F161" t="b">
        <v>1</v>
      </c>
      <c r="G161" t="s">
        <v>3042</v>
      </c>
      <c r="H161" t="s">
        <v>922</v>
      </c>
      <c r="P161" t="s">
        <v>3481</v>
      </c>
      <c r="Q161">
        <v>180628.8</v>
      </c>
      <c r="R161">
        <v>205260</v>
      </c>
      <c r="S161">
        <v>24631.200000000001</v>
      </c>
      <c r="T161" t="s">
        <v>3257</v>
      </c>
      <c r="U161" t="s">
        <v>3482</v>
      </c>
      <c r="V161">
        <v>2025</v>
      </c>
      <c r="W161" t="s">
        <v>3480</v>
      </c>
      <c r="AC161" t="s">
        <v>3040</v>
      </c>
    </row>
    <row r="162" spans="1:29" ht="15.6" x14ac:dyDescent="0.3">
      <c r="A162" t="s">
        <v>3483</v>
      </c>
      <c r="B162" t="s">
        <v>859</v>
      </c>
      <c r="C162" t="s">
        <v>857</v>
      </c>
      <c r="D162" t="s">
        <v>101</v>
      </c>
      <c r="E162" t="s">
        <v>55</v>
      </c>
      <c r="F162" t="b">
        <v>0</v>
      </c>
      <c r="G162" t="s">
        <v>3042</v>
      </c>
      <c r="H162" t="s">
        <v>856</v>
      </c>
      <c r="P162" t="s">
        <v>3484</v>
      </c>
      <c r="Q162">
        <v>5300</v>
      </c>
      <c r="R162">
        <v>5300</v>
      </c>
      <c r="S162">
        <v>0</v>
      </c>
      <c r="T162" t="s">
        <v>3257</v>
      </c>
      <c r="U162" t="s">
        <v>3485</v>
      </c>
      <c r="V162">
        <v>2025</v>
      </c>
      <c r="W162" t="s">
        <v>3483</v>
      </c>
      <c r="AC162" t="s">
        <v>3080</v>
      </c>
    </row>
    <row r="163" spans="1:29" ht="15.6" x14ac:dyDescent="0.3">
      <c r="A163" t="s">
        <v>3486</v>
      </c>
      <c r="B163" t="s">
        <v>944</v>
      </c>
      <c r="C163" t="s">
        <v>105</v>
      </c>
      <c r="D163" t="s">
        <v>60</v>
      </c>
      <c r="E163" t="s">
        <v>943</v>
      </c>
      <c r="F163" t="b">
        <v>0</v>
      </c>
      <c r="G163" t="s">
        <v>3042</v>
      </c>
      <c r="H163" t="s">
        <v>942</v>
      </c>
      <c r="P163" t="s">
        <v>3487</v>
      </c>
      <c r="Q163">
        <v>496820</v>
      </c>
      <c r="R163">
        <v>496820</v>
      </c>
      <c r="S163">
        <v>0</v>
      </c>
      <c r="T163" t="s">
        <v>3257</v>
      </c>
      <c r="U163" t="s">
        <v>3488</v>
      </c>
      <c r="V163">
        <v>2025</v>
      </c>
      <c r="W163" t="s">
        <v>3486</v>
      </c>
      <c r="AC163" t="s">
        <v>3040</v>
      </c>
    </row>
    <row r="164" spans="1:29" ht="15.6" x14ac:dyDescent="0.3">
      <c r="A164" t="s">
        <v>3489</v>
      </c>
      <c r="B164" t="s">
        <v>1235</v>
      </c>
      <c r="C164" t="s">
        <v>152</v>
      </c>
      <c r="D164" t="s">
        <v>60</v>
      </c>
      <c r="E164" t="s">
        <v>55</v>
      </c>
      <c r="F164" t="b">
        <v>0</v>
      </c>
      <c r="G164" t="s">
        <v>3042</v>
      </c>
      <c r="H164" t="s">
        <v>1233</v>
      </c>
      <c r="P164" t="s">
        <v>3490</v>
      </c>
      <c r="Q164">
        <v>15198</v>
      </c>
      <c r="R164">
        <v>15198</v>
      </c>
      <c r="S164">
        <v>0</v>
      </c>
      <c r="T164" t="s">
        <v>3257</v>
      </c>
      <c r="U164" t="s">
        <v>3491</v>
      </c>
      <c r="V164">
        <v>2025</v>
      </c>
      <c r="W164" t="s">
        <v>3489</v>
      </c>
      <c r="AC164" t="s">
        <v>3080</v>
      </c>
    </row>
    <row r="165" spans="1:29" ht="15.6" x14ac:dyDescent="0.3">
      <c r="A165" t="s">
        <v>3492</v>
      </c>
      <c r="B165" t="s">
        <v>1541</v>
      </c>
      <c r="C165" t="s">
        <v>1539</v>
      </c>
      <c r="D165" t="s">
        <v>66</v>
      </c>
      <c r="E165" t="s">
        <v>55</v>
      </c>
      <c r="F165" t="b">
        <v>0</v>
      </c>
      <c r="G165" t="s">
        <v>3042</v>
      </c>
      <c r="H165" t="s">
        <v>1538</v>
      </c>
      <c r="P165" t="s">
        <v>3493</v>
      </c>
      <c r="Q165">
        <v>15198</v>
      </c>
      <c r="R165">
        <v>15198</v>
      </c>
      <c r="S165">
        <v>0</v>
      </c>
      <c r="T165" t="s">
        <v>3257</v>
      </c>
      <c r="U165" t="s">
        <v>3494</v>
      </c>
      <c r="V165">
        <v>2025</v>
      </c>
      <c r="W165" t="s">
        <v>3492</v>
      </c>
      <c r="AC165" t="s">
        <v>3080</v>
      </c>
    </row>
    <row r="166" spans="1:29" ht="15.6" x14ac:dyDescent="0.3">
      <c r="A166" t="s">
        <v>3495</v>
      </c>
      <c r="B166" t="s">
        <v>944</v>
      </c>
      <c r="C166" t="s">
        <v>105</v>
      </c>
      <c r="D166" t="s">
        <v>60</v>
      </c>
      <c r="E166" t="s">
        <v>943</v>
      </c>
      <c r="F166" t="b">
        <v>1</v>
      </c>
      <c r="G166" t="s">
        <v>3042</v>
      </c>
      <c r="H166" t="s">
        <v>942</v>
      </c>
      <c r="P166" t="s">
        <v>3496</v>
      </c>
      <c r="Q166">
        <v>104931.2</v>
      </c>
      <c r="R166">
        <v>119240</v>
      </c>
      <c r="S166">
        <v>14308.8</v>
      </c>
      <c r="T166" t="s">
        <v>3257</v>
      </c>
      <c r="U166" t="s">
        <v>3497</v>
      </c>
      <c r="V166">
        <v>2025</v>
      </c>
      <c r="W166" t="s">
        <v>3495</v>
      </c>
      <c r="AC166" t="s">
        <v>3040</v>
      </c>
    </row>
    <row r="167" spans="1:29" ht="15.6" x14ac:dyDescent="0.3">
      <c r="A167" t="s">
        <v>3498</v>
      </c>
      <c r="B167" t="s">
        <v>1271</v>
      </c>
      <c r="C167" t="s">
        <v>1268</v>
      </c>
      <c r="D167" t="s">
        <v>13</v>
      </c>
      <c r="E167" t="s">
        <v>1270</v>
      </c>
      <c r="F167" t="b">
        <v>1</v>
      </c>
      <c r="G167" t="s">
        <v>3042</v>
      </c>
      <c r="H167" t="s">
        <v>1267</v>
      </c>
      <c r="P167" t="s">
        <v>3499</v>
      </c>
      <c r="Q167">
        <v>40035.599999999999</v>
      </c>
      <c r="R167">
        <v>45495</v>
      </c>
      <c r="S167">
        <v>5459.4</v>
      </c>
      <c r="T167" t="s">
        <v>3257</v>
      </c>
      <c r="U167" t="s">
        <v>3497</v>
      </c>
      <c r="V167">
        <v>2025</v>
      </c>
      <c r="W167" t="s">
        <v>3498</v>
      </c>
      <c r="AC167" t="s">
        <v>3040</v>
      </c>
    </row>
    <row r="168" spans="1:29" ht="15.6" x14ac:dyDescent="0.3">
      <c r="A168" t="s">
        <v>3500</v>
      </c>
      <c r="B168" t="s">
        <v>944</v>
      </c>
      <c r="C168" t="s">
        <v>105</v>
      </c>
      <c r="D168" t="s">
        <v>60</v>
      </c>
      <c r="E168" t="s">
        <v>943</v>
      </c>
      <c r="F168" t="b">
        <v>0</v>
      </c>
      <c r="G168" t="s">
        <v>3094</v>
      </c>
      <c r="H168" t="s">
        <v>942</v>
      </c>
      <c r="P168" t="s">
        <v>3501</v>
      </c>
      <c r="Q168">
        <v>45363.46</v>
      </c>
      <c r="R168">
        <v>45363.46</v>
      </c>
      <c r="S168">
        <v>0</v>
      </c>
      <c r="T168" t="s">
        <v>3257</v>
      </c>
      <c r="U168" t="s">
        <v>3502</v>
      </c>
      <c r="V168">
        <v>2025</v>
      </c>
      <c r="W168" t="s">
        <v>3500</v>
      </c>
      <c r="AC168" t="s">
        <v>3080</v>
      </c>
    </row>
    <row r="169" spans="1:29" ht="15.6" x14ac:dyDescent="0.3">
      <c r="A169" t="s">
        <v>3503</v>
      </c>
      <c r="B169" t="s">
        <v>944</v>
      </c>
      <c r="C169" t="s">
        <v>105</v>
      </c>
      <c r="D169" t="s">
        <v>60</v>
      </c>
      <c r="E169" t="s">
        <v>943</v>
      </c>
      <c r="F169" t="b">
        <v>0</v>
      </c>
      <c r="G169" t="s">
        <v>3094</v>
      </c>
      <c r="H169" t="s">
        <v>942</v>
      </c>
      <c r="P169" t="s">
        <v>3504</v>
      </c>
      <c r="Q169">
        <v>54403.839999999997</v>
      </c>
      <c r="R169">
        <v>54403.839999999997</v>
      </c>
      <c r="S169">
        <v>0</v>
      </c>
      <c r="T169" t="s">
        <v>3257</v>
      </c>
      <c r="U169" t="s">
        <v>3502</v>
      </c>
      <c r="V169">
        <v>2025</v>
      </c>
      <c r="W169" t="s">
        <v>3503</v>
      </c>
      <c r="AC169" t="s">
        <v>3080</v>
      </c>
    </row>
    <row r="170" spans="1:29" ht="15.6" x14ac:dyDescent="0.3">
      <c r="A170" t="s">
        <v>3505</v>
      </c>
      <c r="B170" t="s">
        <v>152</v>
      </c>
      <c r="C170" t="s">
        <v>152</v>
      </c>
      <c r="D170" t="s">
        <v>152</v>
      </c>
      <c r="E170" t="s">
        <v>55</v>
      </c>
      <c r="F170" t="b">
        <v>0</v>
      </c>
      <c r="G170" t="s">
        <v>3042</v>
      </c>
      <c r="H170" t="s">
        <v>1168</v>
      </c>
      <c r="P170" t="s">
        <v>3506</v>
      </c>
      <c r="Q170">
        <v>0</v>
      </c>
      <c r="R170">
        <v>0</v>
      </c>
      <c r="S170">
        <v>0</v>
      </c>
      <c r="T170" t="s">
        <v>3257</v>
      </c>
      <c r="U170" t="s">
        <v>3502</v>
      </c>
      <c r="V170">
        <v>2025</v>
      </c>
      <c r="W170" t="s">
        <v>3505</v>
      </c>
      <c r="AC170" t="s">
        <v>3080</v>
      </c>
    </row>
    <row r="171" spans="1:29" ht="15.6" x14ac:dyDescent="0.3">
      <c r="A171" t="s">
        <v>3507</v>
      </c>
      <c r="B171" t="s">
        <v>1387</v>
      </c>
      <c r="C171" t="s">
        <v>1384</v>
      </c>
      <c r="D171" t="s">
        <v>60</v>
      </c>
      <c r="E171" t="s">
        <v>1386</v>
      </c>
      <c r="F171" t="b">
        <v>0</v>
      </c>
      <c r="G171" t="s">
        <v>3236</v>
      </c>
      <c r="H171" t="s">
        <v>1383</v>
      </c>
      <c r="P171" t="s">
        <v>3508</v>
      </c>
      <c r="Q171">
        <v>60108.91</v>
      </c>
      <c r="R171">
        <v>60108.91</v>
      </c>
      <c r="S171">
        <v>0</v>
      </c>
      <c r="T171" t="s">
        <v>3257</v>
      </c>
      <c r="U171" t="s">
        <v>3502</v>
      </c>
      <c r="V171">
        <v>2025</v>
      </c>
      <c r="W171" t="s">
        <v>3507</v>
      </c>
      <c r="AC171" t="s">
        <v>3080</v>
      </c>
    </row>
    <row r="172" spans="1:29" ht="15.6" x14ac:dyDescent="0.3">
      <c r="A172" t="s">
        <v>3509</v>
      </c>
      <c r="B172" t="s">
        <v>261</v>
      </c>
      <c r="C172" t="s">
        <v>258</v>
      </c>
      <c r="D172" t="s">
        <v>203</v>
      </c>
      <c r="E172" t="s">
        <v>260</v>
      </c>
      <c r="F172" t="b">
        <v>0</v>
      </c>
      <c r="G172" t="s">
        <v>3042</v>
      </c>
      <c r="H172" t="s">
        <v>257</v>
      </c>
      <c r="P172" t="s">
        <v>3510</v>
      </c>
      <c r="Q172">
        <v>183500</v>
      </c>
      <c r="R172">
        <v>183500</v>
      </c>
      <c r="S172">
        <v>0</v>
      </c>
      <c r="T172" t="s">
        <v>3257</v>
      </c>
      <c r="U172" t="s">
        <v>3502</v>
      </c>
      <c r="V172">
        <v>2025</v>
      </c>
      <c r="W172" t="s">
        <v>3509</v>
      </c>
      <c r="AC172" t="s">
        <v>3080</v>
      </c>
    </row>
    <row r="173" spans="1:29" ht="15.6" x14ac:dyDescent="0.3">
      <c r="A173" t="s">
        <v>3511</v>
      </c>
      <c r="B173" t="s">
        <v>1512</v>
      </c>
      <c r="C173" t="s">
        <v>1478</v>
      </c>
      <c r="D173" t="s">
        <v>122</v>
      </c>
      <c r="E173" t="s">
        <v>21</v>
      </c>
      <c r="F173" t="b">
        <v>1</v>
      </c>
      <c r="G173" t="s">
        <v>3094</v>
      </c>
      <c r="H173" t="s">
        <v>1511</v>
      </c>
      <c r="P173" t="s">
        <v>3512</v>
      </c>
      <c r="Q173">
        <v>4343.3100000000004</v>
      </c>
      <c r="R173">
        <v>4935.58</v>
      </c>
      <c r="S173">
        <v>592.27</v>
      </c>
      <c r="T173" t="s">
        <v>3257</v>
      </c>
      <c r="U173" t="s">
        <v>3513</v>
      </c>
      <c r="V173">
        <v>2025</v>
      </c>
      <c r="W173" t="s">
        <v>3511</v>
      </c>
      <c r="AC173" t="s">
        <v>3040</v>
      </c>
    </row>
    <row r="174" spans="1:29" ht="15.6" x14ac:dyDescent="0.3">
      <c r="A174" t="s">
        <v>3514</v>
      </c>
      <c r="B174" t="s">
        <v>1567</v>
      </c>
      <c r="C174" t="s">
        <v>1565</v>
      </c>
      <c r="D174" t="s">
        <v>152</v>
      </c>
      <c r="E174" t="s">
        <v>55</v>
      </c>
      <c r="F174" t="b">
        <v>0</v>
      </c>
      <c r="G174" t="s">
        <v>3094</v>
      </c>
      <c r="H174" t="s">
        <v>1564</v>
      </c>
      <c r="P174" t="s">
        <v>3515</v>
      </c>
      <c r="Q174">
        <v>49817.29</v>
      </c>
      <c r="R174">
        <v>49817.29</v>
      </c>
      <c r="S174">
        <v>0</v>
      </c>
      <c r="T174" t="s">
        <v>3257</v>
      </c>
      <c r="U174" t="s">
        <v>317</v>
      </c>
      <c r="V174">
        <v>2025</v>
      </c>
      <c r="W174" t="s">
        <v>3514</v>
      </c>
      <c r="AC174" t="s">
        <v>3080</v>
      </c>
    </row>
    <row r="175" spans="1:29" ht="15.6" x14ac:dyDescent="0.3">
      <c r="A175" t="s">
        <v>3516</v>
      </c>
      <c r="B175" t="s">
        <v>1567</v>
      </c>
      <c r="C175" t="s">
        <v>1565</v>
      </c>
      <c r="D175" t="s">
        <v>152</v>
      </c>
      <c r="E175" t="s">
        <v>55</v>
      </c>
      <c r="F175" t="b">
        <v>0</v>
      </c>
      <c r="G175" t="s">
        <v>3042</v>
      </c>
      <c r="H175" t="s">
        <v>1564</v>
      </c>
      <c r="P175" t="s">
        <v>3517</v>
      </c>
      <c r="Q175">
        <v>19462.5</v>
      </c>
      <c r="R175">
        <v>19462.5</v>
      </c>
      <c r="S175">
        <v>0</v>
      </c>
      <c r="T175" t="s">
        <v>3257</v>
      </c>
      <c r="U175" t="s">
        <v>317</v>
      </c>
      <c r="V175">
        <v>2025</v>
      </c>
      <c r="W175" t="s">
        <v>3516</v>
      </c>
      <c r="AC175" t="s">
        <v>3080</v>
      </c>
    </row>
    <row r="176" spans="1:29" ht="15.6" x14ac:dyDescent="0.3">
      <c r="A176" t="s">
        <v>3518</v>
      </c>
      <c r="B176" t="s">
        <v>1310</v>
      </c>
      <c r="C176" t="s">
        <v>1308</v>
      </c>
      <c r="D176" t="s">
        <v>152</v>
      </c>
      <c r="E176" t="s">
        <v>55</v>
      </c>
      <c r="F176" t="b">
        <v>1</v>
      </c>
      <c r="G176" t="s">
        <v>3042</v>
      </c>
      <c r="H176" t="s">
        <v>1307</v>
      </c>
      <c r="P176" t="s">
        <v>3519</v>
      </c>
      <c r="Q176">
        <v>158526.72</v>
      </c>
      <c r="R176">
        <v>180144</v>
      </c>
      <c r="S176">
        <v>21617.279999999999</v>
      </c>
      <c r="T176" t="s">
        <v>3257</v>
      </c>
      <c r="U176" t="s">
        <v>377</v>
      </c>
      <c r="V176">
        <v>2025</v>
      </c>
      <c r="W176" t="s">
        <v>3518</v>
      </c>
      <c r="AC176" t="s">
        <v>3040</v>
      </c>
    </row>
    <row r="177" spans="1:29" ht="15.6" x14ac:dyDescent="0.3">
      <c r="A177" t="s">
        <v>3520</v>
      </c>
      <c r="B177" t="s">
        <v>481</v>
      </c>
      <c r="C177" t="s">
        <v>423</v>
      </c>
      <c r="D177" t="s">
        <v>13</v>
      </c>
      <c r="E177" t="s">
        <v>480</v>
      </c>
      <c r="F177" t="b">
        <v>1</v>
      </c>
      <c r="G177" t="s">
        <v>3042</v>
      </c>
      <c r="H177" t="s">
        <v>478</v>
      </c>
      <c r="P177" t="s">
        <v>3521</v>
      </c>
      <c r="Q177">
        <v>91747.04</v>
      </c>
      <c r="R177">
        <v>104258</v>
      </c>
      <c r="S177">
        <v>12510.96</v>
      </c>
      <c r="T177" t="s">
        <v>3257</v>
      </c>
      <c r="U177" t="s">
        <v>3522</v>
      </c>
      <c r="V177">
        <v>2025</v>
      </c>
      <c r="W177" t="s">
        <v>3520</v>
      </c>
      <c r="AC177" t="s">
        <v>3040</v>
      </c>
    </row>
    <row r="178" spans="1:29" ht="15.6" x14ac:dyDescent="0.3">
      <c r="A178" t="s">
        <v>3523</v>
      </c>
      <c r="B178" t="s">
        <v>1547</v>
      </c>
      <c r="C178" t="s">
        <v>1543</v>
      </c>
      <c r="D178" t="s">
        <v>1545</v>
      </c>
      <c r="E178" t="s">
        <v>1546</v>
      </c>
      <c r="F178" t="b">
        <v>0</v>
      </c>
      <c r="G178" t="s">
        <v>3042</v>
      </c>
      <c r="H178" t="s">
        <v>1542</v>
      </c>
      <c r="P178" t="s">
        <v>3524</v>
      </c>
      <c r="Q178">
        <v>68406.8</v>
      </c>
      <c r="R178">
        <v>68406.8</v>
      </c>
      <c r="S178">
        <v>0</v>
      </c>
      <c r="T178" t="s">
        <v>3257</v>
      </c>
      <c r="U178" t="s">
        <v>977</v>
      </c>
      <c r="V178">
        <v>2025</v>
      </c>
      <c r="W178" t="s">
        <v>3523</v>
      </c>
      <c r="AC178" t="s">
        <v>3080</v>
      </c>
    </row>
    <row r="179" spans="1:29" ht="15.6" x14ac:dyDescent="0.3">
      <c r="A179" t="s">
        <v>3525</v>
      </c>
      <c r="B179" t="s">
        <v>1365</v>
      </c>
      <c r="C179" t="s">
        <v>301</v>
      </c>
      <c r="D179" t="s">
        <v>1364</v>
      </c>
      <c r="E179" t="s">
        <v>55</v>
      </c>
      <c r="F179" t="b">
        <v>1</v>
      </c>
      <c r="G179" t="s">
        <v>3042</v>
      </c>
      <c r="H179" t="s">
        <v>1362</v>
      </c>
      <c r="P179" t="s">
        <v>3526</v>
      </c>
      <c r="Q179">
        <v>234606.24</v>
      </c>
      <c r="R179">
        <v>266598</v>
      </c>
      <c r="S179">
        <v>31991.759999999998</v>
      </c>
      <c r="T179" t="s">
        <v>3257</v>
      </c>
      <c r="U179" t="s">
        <v>3527</v>
      </c>
      <c r="V179">
        <v>2025</v>
      </c>
      <c r="W179" t="s">
        <v>3525</v>
      </c>
      <c r="AC179" t="s">
        <v>3040</v>
      </c>
    </row>
    <row r="180" spans="1:29" ht="15.6" x14ac:dyDescent="0.3">
      <c r="A180" t="s">
        <v>3528</v>
      </c>
      <c r="B180" t="s">
        <v>691</v>
      </c>
      <c r="C180" t="s">
        <v>689</v>
      </c>
      <c r="D180" t="s">
        <v>66</v>
      </c>
      <c r="E180" t="s">
        <v>55</v>
      </c>
      <c r="F180" t="b">
        <v>0</v>
      </c>
      <c r="G180" t="s">
        <v>3042</v>
      </c>
      <c r="H180" t="s">
        <v>688</v>
      </c>
      <c r="P180" t="s">
        <v>3529</v>
      </c>
      <c r="Q180">
        <v>14396.8</v>
      </c>
      <c r="R180">
        <v>14396.8</v>
      </c>
      <c r="S180">
        <v>0</v>
      </c>
      <c r="T180" t="s">
        <v>3257</v>
      </c>
      <c r="U180" t="s">
        <v>3530</v>
      </c>
      <c r="V180">
        <v>2025</v>
      </c>
      <c r="W180" t="s">
        <v>3528</v>
      </c>
      <c r="AC180" t="s">
        <v>3080</v>
      </c>
    </row>
    <row r="181" spans="1:29" ht="15.6" x14ac:dyDescent="0.3">
      <c r="A181" t="s">
        <v>3531</v>
      </c>
      <c r="B181" t="s">
        <v>775</v>
      </c>
      <c r="C181" t="s">
        <v>772</v>
      </c>
      <c r="D181" t="s">
        <v>60</v>
      </c>
      <c r="E181" t="s">
        <v>774</v>
      </c>
      <c r="F181" t="b">
        <v>1</v>
      </c>
      <c r="G181" t="s">
        <v>3042</v>
      </c>
      <c r="H181" t="s">
        <v>771</v>
      </c>
      <c r="P181" t="s">
        <v>3532</v>
      </c>
      <c r="Q181">
        <v>124006.71</v>
      </c>
      <c r="R181">
        <v>140916.72</v>
      </c>
      <c r="S181">
        <v>16910.009999999998</v>
      </c>
      <c r="T181" t="s">
        <v>3257</v>
      </c>
      <c r="U181" t="s">
        <v>3533</v>
      </c>
      <c r="V181">
        <v>2025</v>
      </c>
      <c r="W181" t="s">
        <v>3531</v>
      </c>
      <c r="AC181" t="s">
        <v>3040</v>
      </c>
    </row>
    <row r="182" spans="1:29" ht="15.6" x14ac:dyDescent="0.3">
      <c r="A182" t="s">
        <v>3534</v>
      </c>
      <c r="B182" t="s">
        <v>384</v>
      </c>
      <c r="C182" t="s">
        <v>381</v>
      </c>
      <c r="D182" t="s">
        <v>122</v>
      </c>
      <c r="E182" t="s">
        <v>383</v>
      </c>
      <c r="F182" t="b">
        <v>1</v>
      </c>
      <c r="G182" t="s">
        <v>3042</v>
      </c>
      <c r="H182" t="s">
        <v>380</v>
      </c>
      <c r="P182" t="s">
        <v>3535</v>
      </c>
      <c r="Q182">
        <v>19944.330000000002</v>
      </c>
      <c r="R182">
        <v>22664.01</v>
      </c>
      <c r="S182">
        <v>2719.68</v>
      </c>
      <c r="T182" t="s">
        <v>3257</v>
      </c>
      <c r="U182" t="s">
        <v>3536</v>
      </c>
      <c r="V182">
        <v>2025</v>
      </c>
      <c r="W182" t="s">
        <v>3534</v>
      </c>
      <c r="AC182" t="s">
        <v>3040</v>
      </c>
    </row>
    <row r="183" spans="1:29" ht="15.6" x14ac:dyDescent="0.3">
      <c r="A183" t="s">
        <v>3537</v>
      </c>
      <c r="B183" t="s">
        <v>458</v>
      </c>
      <c r="C183" t="s">
        <v>159</v>
      </c>
      <c r="D183" t="s">
        <v>112</v>
      </c>
      <c r="E183" t="s">
        <v>21</v>
      </c>
      <c r="F183" t="b">
        <v>1</v>
      </c>
      <c r="G183" t="s">
        <v>3042</v>
      </c>
      <c r="H183" t="s">
        <v>457</v>
      </c>
      <c r="P183" t="s">
        <v>3538</v>
      </c>
      <c r="Q183">
        <v>0</v>
      </c>
      <c r="R183">
        <v>0</v>
      </c>
      <c r="S183">
        <v>0</v>
      </c>
      <c r="T183" t="s">
        <v>3257</v>
      </c>
      <c r="U183" t="s">
        <v>347</v>
      </c>
      <c r="V183">
        <v>2025</v>
      </c>
      <c r="W183" t="s">
        <v>3537</v>
      </c>
      <c r="AC183" t="s">
        <v>3040</v>
      </c>
    </row>
    <row r="184" spans="1:29" ht="15.6" x14ac:dyDescent="0.3">
      <c r="A184" t="s">
        <v>3539</v>
      </c>
      <c r="B184" t="s">
        <v>926</v>
      </c>
      <c r="C184" t="s">
        <v>923</v>
      </c>
      <c r="D184" t="s">
        <v>60</v>
      </c>
      <c r="E184" t="s">
        <v>925</v>
      </c>
      <c r="F184" t="b">
        <v>1</v>
      </c>
      <c r="G184" t="s">
        <v>3094</v>
      </c>
      <c r="H184" t="s">
        <v>922</v>
      </c>
      <c r="P184" t="s">
        <v>3540</v>
      </c>
      <c r="Q184">
        <v>128382.65</v>
      </c>
      <c r="R184">
        <v>145889.38</v>
      </c>
      <c r="S184">
        <v>17506.73</v>
      </c>
      <c r="T184" t="s">
        <v>3257</v>
      </c>
      <c r="U184" t="s">
        <v>347</v>
      </c>
      <c r="V184">
        <v>2025</v>
      </c>
      <c r="W184" t="s">
        <v>3539</v>
      </c>
      <c r="AC184" t="s">
        <v>3040</v>
      </c>
    </row>
    <row r="185" spans="1:29" ht="15.6" x14ac:dyDescent="0.3">
      <c r="A185" t="s">
        <v>3541</v>
      </c>
      <c r="B185" t="s">
        <v>1081</v>
      </c>
      <c r="C185" t="s">
        <v>1079</v>
      </c>
      <c r="D185" t="s">
        <v>66</v>
      </c>
      <c r="E185" t="s">
        <v>55</v>
      </c>
      <c r="F185" t="b">
        <v>1</v>
      </c>
      <c r="G185" t="s">
        <v>3042</v>
      </c>
      <c r="H185" t="s">
        <v>1078</v>
      </c>
      <c r="P185" t="s">
        <v>3542</v>
      </c>
      <c r="Q185">
        <v>18307.96</v>
      </c>
      <c r="R185">
        <v>20804.5</v>
      </c>
      <c r="S185">
        <v>2496.54</v>
      </c>
      <c r="T185" t="s">
        <v>3257</v>
      </c>
      <c r="U185" t="s">
        <v>382</v>
      </c>
      <c r="V185">
        <v>2025</v>
      </c>
      <c r="W185" t="s">
        <v>3541</v>
      </c>
      <c r="AC185" t="s">
        <v>3040</v>
      </c>
    </row>
    <row r="186" spans="1:29" ht="15.6" x14ac:dyDescent="0.3">
      <c r="A186" t="s">
        <v>3543</v>
      </c>
      <c r="B186" t="s">
        <v>516</v>
      </c>
      <c r="C186" t="s">
        <v>80</v>
      </c>
      <c r="D186" t="s">
        <v>514</v>
      </c>
      <c r="E186" t="s">
        <v>515</v>
      </c>
      <c r="F186" t="b">
        <v>1</v>
      </c>
      <c r="G186" t="s">
        <v>3042</v>
      </c>
      <c r="H186" t="s">
        <v>512</v>
      </c>
      <c r="P186" t="s">
        <v>3544</v>
      </c>
      <c r="Q186">
        <v>199987.04</v>
      </c>
      <c r="R186">
        <v>227258</v>
      </c>
      <c r="S186">
        <v>27270.959999999999</v>
      </c>
      <c r="T186" t="s">
        <v>3257</v>
      </c>
      <c r="U186" t="s">
        <v>3545</v>
      </c>
      <c r="V186">
        <v>2025</v>
      </c>
      <c r="W186" t="s">
        <v>3543</v>
      </c>
      <c r="AC186" t="s">
        <v>3040</v>
      </c>
    </row>
    <row r="187" spans="1:29" ht="15.6" x14ac:dyDescent="0.3">
      <c r="A187" t="s">
        <v>3546</v>
      </c>
      <c r="B187" t="s">
        <v>926</v>
      </c>
      <c r="C187" t="s">
        <v>923</v>
      </c>
      <c r="D187" t="s">
        <v>60</v>
      </c>
      <c r="E187" t="s">
        <v>925</v>
      </c>
      <c r="F187" t="b">
        <v>1</v>
      </c>
      <c r="G187" t="s">
        <v>3042</v>
      </c>
      <c r="H187" t="s">
        <v>922</v>
      </c>
      <c r="P187" t="s">
        <v>3547</v>
      </c>
      <c r="Q187">
        <v>0</v>
      </c>
      <c r="R187">
        <v>0</v>
      </c>
      <c r="S187">
        <v>0</v>
      </c>
      <c r="T187" t="s">
        <v>3257</v>
      </c>
      <c r="U187" t="s">
        <v>3545</v>
      </c>
      <c r="V187">
        <v>2025</v>
      </c>
      <c r="W187" t="s">
        <v>3546</v>
      </c>
      <c r="AC187" t="s">
        <v>3040</v>
      </c>
    </row>
    <row r="188" spans="1:29" ht="15.6" x14ac:dyDescent="0.3">
      <c r="A188" t="s">
        <v>3548</v>
      </c>
      <c r="B188" t="s">
        <v>930</v>
      </c>
      <c r="C188" t="s">
        <v>928</v>
      </c>
      <c r="D188" t="s">
        <v>66</v>
      </c>
      <c r="E188" t="s">
        <v>55</v>
      </c>
      <c r="F188" t="b">
        <v>1</v>
      </c>
      <c r="G188" t="s">
        <v>3042</v>
      </c>
      <c r="H188" t="s">
        <v>927</v>
      </c>
      <c r="P188" t="s">
        <v>3549</v>
      </c>
      <c r="Q188">
        <v>4532.7</v>
      </c>
      <c r="R188">
        <v>5150.8</v>
      </c>
      <c r="S188">
        <v>618.1</v>
      </c>
      <c r="T188" t="s">
        <v>3257</v>
      </c>
      <c r="U188" t="s">
        <v>3550</v>
      </c>
      <c r="V188">
        <v>2025</v>
      </c>
      <c r="W188" t="s">
        <v>3548</v>
      </c>
      <c r="AC188" t="s">
        <v>3040</v>
      </c>
    </row>
    <row r="189" spans="1:29" ht="15.6" x14ac:dyDescent="0.3">
      <c r="A189" t="s">
        <v>3551</v>
      </c>
      <c r="B189" t="s">
        <v>516</v>
      </c>
      <c r="C189" t="s">
        <v>80</v>
      </c>
      <c r="D189" t="s">
        <v>514</v>
      </c>
      <c r="E189" t="s">
        <v>515</v>
      </c>
      <c r="F189" t="b">
        <v>1</v>
      </c>
      <c r="G189" t="s">
        <v>3042</v>
      </c>
      <c r="H189" t="s">
        <v>512</v>
      </c>
      <c r="P189" t="s">
        <v>3552</v>
      </c>
      <c r="Q189">
        <v>199996.72</v>
      </c>
      <c r="R189">
        <v>227269</v>
      </c>
      <c r="S189">
        <v>27272.28</v>
      </c>
      <c r="T189" t="s">
        <v>3257</v>
      </c>
      <c r="U189" t="s">
        <v>3553</v>
      </c>
      <c r="V189">
        <v>2025</v>
      </c>
      <c r="W189" t="s">
        <v>3551</v>
      </c>
      <c r="AC189" t="s">
        <v>3040</v>
      </c>
    </row>
    <row r="190" spans="1:29" ht="15.6" x14ac:dyDescent="0.3">
      <c r="A190" t="s">
        <v>3554</v>
      </c>
      <c r="B190" t="s">
        <v>770</v>
      </c>
      <c r="C190" t="s">
        <v>767</v>
      </c>
      <c r="D190" t="s">
        <v>112</v>
      </c>
      <c r="E190" t="s">
        <v>769</v>
      </c>
      <c r="F190" t="b">
        <v>1</v>
      </c>
      <c r="G190" t="s">
        <v>3042</v>
      </c>
      <c r="H190" t="s">
        <v>766</v>
      </c>
      <c r="P190" t="s">
        <v>3555</v>
      </c>
      <c r="Q190">
        <v>10049.16</v>
      </c>
      <c r="R190">
        <v>11419.5</v>
      </c>
      <c r="S190">
        <v>1370.34</v>
      </c>
      <c r="T190" t="s">
        <v>3257</v>
      </c>
      <c r="U190" t="s">
        <v>3553</v>
      </c>
      <c r="V190">
        <v>2025</v>
      </c>
      <c r="W190" t="s">
        <v>3554</v>
      </c>
      <c r="AC190" t="s">
        <v>3040</v>
      </c>
    </row>
    <row r="191" spans="1:29" ht="15.6" x14ac:dyDescent="0.3">
      <c r="A191" t="s">
        <v>3556</v>
      </c>
      <c r="B191" t="s">
        <v>641</v>
      </c>
      <c r="C191" t="s">
        <v>85</v>
      </c>
      <c r="D191" t="s">
        <v>13</v>
      </c>
      <c r="E191" t="s">
        <v>640</v>
      </c>
      <c r="F191" t="b">
        <v>1</v>
      </c>
      <c r="G191" t="s">
        <v>3042</v>
      </c>
      <c r="H191" t="s">
        <v>638</v>
      </c>
      <c r="P191" t="s">
        <v>3557</v>
      </c>
      <c r="Q191">
        <v>116435.44</v>
      </c>
      <c r="R191">
        <v>132313</v>
      </c>
      <c r="S191">
        <v>15877.56</v>
      </c>
      <c r="T191" t="s">
        <v>3257</v>
      </c>
      <c r="U191" t="s">
        <v>639</v>
      </c>
      <c r="V191">
        <v>2025</v>
      </c>
      <c r="W191" t="s">
        <v>3556</v>
      </c>
      <c r="AC191" t="s">
        <v>3040</v>
      </c>
    </row>
    <row r="192" spans="1:29" ht="15.6" x14ac:dyDescent="0.3">
      <c r="A192" t="s">
        <v>3558</v>
      </c>
      <c r="B192" t="s">
        <v>1024</v>
      </c>
      <c r="C192" t="s">
        <v>1021</v>
      </c>
      <c r="D192" t="s">
        <v>122</v>
      </c>
      <c r="E192" t="s">
        <v>1023</v>
      </c>
      <c r="F192" t="b">
        <v>1</v>
      </c>
      <c r="G192" t="s">
        <v>3108</v>
      </c>
      <c r="H192" t="s">
        <v>1020</v>
      </c>
      <c r="P192" t="s">
        <v>3559</v>
      </c>
      <c r="Q192">
        <v>2640</v>
      </c>
      <c r="R192">
        <v>3000</v>
      </c>
      <c r="S192">
        <v>360</v>
      </c>
      <c r="T192" t="s">
        <v>3257</v>
      </c>
      <c r="U192" t="s">
        <v>639</v>
      </c>
      <c r="V192">
        <v>2025</v>
      </c>
      <c r="W192" t="s">
        <v>3558</v>
      </c>
      <c r="AC192" t="s">
        <v>3040</v>
      </c>
    </row>
    <row r="193" spans="1:29" ht="15.6" x14ac:dyDescent="0.3">
      <c r="A193" t="s">
        <v>3560</v>
      </c>
      <c r="B193" t="s">
        <v>134</v>
      </c>
      <c r="C193" t="s">
        <v>131</v>
      </c>
      <c r="D193" t="s">
        <v>60</v>
      </c>
      <c r="E193" t="s">
        <v>133</v>
      </c>
      <c r="F193" t="b">
        <v>1</v>
      </c>
      <c r="G193" t="s">
        <v>3042</v>
      </c>
      <c r="H193" t="s">
        <v>130</v>
      </c>
      <c r="P193" t="s">
        <v>3561</v>
      </c>
      <c r="Q193">
        <v>63498.97</v>
      </c>
      <c r="R193">
        <v>72157.929999999993</v>
      </c>
      <c r="S193">
        <v>8658.9500000000007</v>
      </c>
      <c r="T193" t="s">
        <v>3257</v>
      </c>
      <c r="U193" t="s">
        <v>1022</v>
      </c>
      <c r="V193">
        <v>2025</v>
      </c>
      <c r="W193" t="s">
        <v>3560</v>
      </c>
      <c r="AC193" t="s">
        <v>3040</v>
      </c>
    </row>
    <row r="194" spans="1:29" ht="15.6" x14ac:dyDescent="0.3">
      <c r="A194" t="s">
        <v>3562</v>
      </c>
      <c r="B194" t="s">
        <v>1554</v>
      </c>
      <c r="C194" t="s">
        <v>1552</v>
      </c>
      <c r="D194" t="s">
        <v>66</v>
      </c>
      <c r="E194" t="s">
        <v>55</v>
      </c>
      <c r="F194" t="b">
        <v>1</v>
      </c>
      <c r="G194" t="s">
        <v>3042</v>
      </c>
      <c r="H194" t="s">
        <v>1551</v>
      </c>
      <c r="P194" t="s">
        <v>3538</v>
      </c>
      <c r="Q194">
        <v>0</v>
      </c>
      <c r="R194">
        <v>0</v>
      </c>
      <c r="S194">
        <v>0</v>
      </c>
      <c r="T194" t="s">
        <v>3257</v>
      </c>
      <c r="U194" t="s">
        <v>3563</v>
      </c>
      <c r="V194">
        <v>2025</v>
      </c>
      <c r="W194" t="s">
        <v>3562</v>
      </c>
      <c r="AC194" t="s">
        <v>3040</v>
      </c>
    </row>
    <row r="195" spans="1:29" ht="15.6" x14ac:dyDescent="0.3">
      <c r="A195" t="s">
        <v>3564</v>
      </c>
      <c r="B195" t="s">
        <v>388</v>
      </c>
      <c r="C195" t="s">
        <v>277</v>
      </c>
      <c r="D195" t="s">
        <v>387</v>
      </c>
      <c r="E195" t="s">
        <v>55</v>
      </c>
      <c r="F195" t="b">
        <v>1</v>
      </c>
      <c r="G195" t="s">
        <v>3094</v>
      </c>
      <c r="H195" t="s">
        <v>385</v>
      </c>
      <c r="P195" t="s">
        <v>3565</v>
      </c>
      <c r="Q195">
        <v>59219.53</v>
      </c>
      <c r="R195">
        <v>67294.92</v>
      </c>
      <c r="S195">
        <v>8075.39</v>
      </c>
      <c r="T195" t="s">
        <v>3257</v>
      </c>
      <c r="U195" t="s">
        <v>3566</v>
      </c>
      <c r="V195">
        <v>2025</v>
      </c>
      <c r="W195" t="s">
        <v>3564</v>
      </c>
      <c r="AC195" t="s">
        <v>3040</v>
      </c>
    </row>
    <row r="196" spans="1:29" ht="15.6" x14ac:dyDescent="0.3">
      <c r="A196" t="s">
        <v>3567</v>
      </c>
      <c r="B196" t="s">
        <v>948</v>
      </c>
      <c r="C196" t="s">
        <v>164</v>
      </c>
      <c r="D196" t="s">
        <v>60</v>
      </c>
      <c r="E196" t="s">
        <v>947</v>
      </c>
      <c r="F196" t="b">
        <v>0</v>
      </c>
      <c r="G196" t="s">
        <v>3042</v>
      </c>
      <c r="H196" t="s">
        <v>945</v>
      </c>
      <c r="P196" t="s">
        <v>3568</v>
      </c>
      <c r="Q196">
        <v>99185</v>
      </c>
      <c r="R196">
        <v>99185</v>
      </c>
      <c r="S196">
        <v>0</v>
      </c>
      <c r="T196" t="s">
        <v>3257</v>
      </c>
      <c r="U196" t="s">
        <v>165</v>
      </c>
      <c r="V196">
        <v>2025</v>
      </c>
      <c r="W196" t="s">
        <v>3567</v>
      </c>
      <c r="AC196" t="s">
        <v>3080</v>
      </c>
    </row>
    <row r="197" spans="1:29" ht="15.6" x14ac:dyDescent="0.3">
      <c r="A197" t="s">
        <v>3569</v>
      </c>
      <c r="B197" t="s">
        <v>243</v>
      </c>
      <c r="C197" t="s">
        <v>152</v>
      </c>
      <c r="D197" t="s">
        <v>66</v>
      </c>
      <c r="E197" t="s">
        <v>55</v>
      </c>
      <c r="F197" t="b">
        <v>0</v>
      </c>
      <c r="G197" t="s">
        <v>3042</v>
      </c>
      <c r="H197" t="s">
        <v>241</v>
      </c>
      <c r="P197" t="s">
        <v>3570</v>
      </c>
      <c r="Q197">
        <v>55145</v>
      </c>
      <c r="R197">
        <v>55145</v>
      </c>
      <c r="S197">
        <v>0</v>
      </c>
      <c r="T197" t="s">
        <v>3257</v>
      </c>
      <c r="U197" t="s">
        <v>3571</v>
      </c>
      <c r="V197">
        <v>2025</v>
      </c>
      <c r="W197" t="s">
        <v>3569</v>
      </c>
      <c r="AC197" t="s">
        <v>3040</v>
      </c>
    </row>
    <row r="198" spans="1:29" ht="15.6" x14ac:dyDescent="0.3">
      <c r="A198" t="s">
        <v>3572</v>
      </c>
      <c r="B198" t="s">
        <v>1183</v>
      </c>
      <c r="C198" t="s">
        <v>976</v>
      </c>
      <c r="D198" t="s">
        <v>13</v>
      </c>
      <c r="E198" t="s">
        <v>1182</v>
      </c>
      <c r="F198" t="b">
        <v>1</v>
      </c>
      <c r="G198" t="s">
        <v>3042</v>
      </c>
      <c r="H198" t="s">
        <v>1181</v>
      </c>
      <c r="P198" t="s">
        <v>3573</v>
      </c>
      <c r="Q198">
        <v>58455.41</v>
      </c>
      <c r="R198">
        <v>66426.600000000006</v>
      </c>
      <c r="S198">
        <v>7971.19</v>
      </c>
      <c r="T198" t="s">
        <v>3257</v>
      </c>
      <c r="U198" t="s">
        <v>343</v>
      </c>
      <c r="V198">
        <v>2025</v>
      </c>
      <c r="W198" t="s">
        <v>3572</v>
      </c>
      <c r="AC198" t="s">
        <v>3040</v>
      </c>
    </row>
    <row r="199" spans="1:29" ht="15.6" x14ac:dyDescent="0.3">
      <c r="A199" t="s">
        <v>3574</v>
      </c>
      <c r="B199" t="s">
        <v>1519</v>
      </c>
      <c r="C199" t="s">
        <v>342</v>
      </c>
      <c r="D199" t="s">
        <v>143</v>
      </c>
      <c r="E199" t="s">
        <v>344</v>
      </c>
      <c r="F199" t="b">
        <v>0</v>
      </c>
      <c r="G199" t="s">
        <v>3026</v>
      </c>
      <c r="H199" t="s">
        <v>1518</v>
      </c>
      <c r="P199" t="s">
        <v>3575</v>
      </c>
      <c r="Q199">
        <v>2980</v>
      </c>
      <c r="R199">
        <v>2980</v>
      </c>
      <c r="S199">
        <v>0</v>
      </c>
      <c r="T199" t="s">
        <v>3257</v>
      </c>
      <c r="U199" t="s">
        <v>343</v>
      </c>
      <c r="V199">
        <v>2025</v>
      </c>
      <c r="W199" t="s">
        <v>3574</v>
      </c>
      <c r="AC199" t="s">
        <v>3080</v>
      </c>
    </row>
    <row r="200" spans="1:29" ht="15.6" x14ac:dyDescent="0.3">
      <c r="A200" t="s">
        <v>3576</v>
      </c>
      <c r="B200" t="s">
        <v>1512</v>
      </c>
      <c r="C200" t="s">
        <v>1478</v>
      </c>
      <c r="D200" t="s">
        <v>122</v>
      </c>
      <c r="E200" t="s">
        <v>21</v>
      </c>
      <c r="F200" t="b">
        <v>1</v>
      </c>
      <c r="G200" t="s">
        <v>3042</v>
      </c>
      <c r="H200" t="s">
        <v>1511</v>
      </c>
      <c r="P200" t="s">
        <v>3577</v>
      </c>
      <c r="Q200">
        <v>17772.04</v>
      </c>
      <c r="R200">
        <v>20195.5</v>
      </c>
      <c r="S200">
        <v>2423.46</v>
      </c>
      <c r="T200" t="s">
        <v>3257</v>
      </c>
      <c r="U200" t="s">
        <v>3578</v>
      </c>
      <c r="V200">
        <v>2025</v>
      </c>
      <c r="W200" t="s">
        <v>3576</v>
      </c>
      <c r="AC200" t="s">
        <v>3040</v>
      </c>
    </row>
    <row r="201" spans="1:29" ht="15.6" x14ac:dyDescent="0.3">
      <c r="A201" t="s">
        <v>3579</v>
      </c>
      <c r="B201" t="s">
        <v>1183</v>
      </c>
      <c r="C201" t="s">
        <v>976</v>
      </c>
      <c r="D201" t="s">
        <v>13</v>
      </c>
      <c r="E201" t="s">
        <v>1182</v>
      </c>
      <c r="F201" t="b">
        <v>1</v>
      </c>
      <c r="G201" t="s">
        <v>3094</v>
      </c>
      <c r="H201" t="s">
        <v>1181</v>
      </c>
      <c r="P201" t="s">
        <v>3580</v>
      </c>
      <c r="Q201">
        <v>55096.9</v>
      </c>
      <c r="R201">
        <v>62610.11</v>
      </c>
      <c r="S201">
        <v>7513.21</v>
      </c>
      <c r="T201" t="s">
        <v>3257</v>
      </c>
      <c r="U201" t="s">
        <v>3581</v>
      </c>
      <c r="V201">
        <v>2025</v>
      </c>
      <c r="W201" t="s">
        <v>3579</v>
      </c>
      <c r="AC201" t="s">
        <v>3040</v>
      </c>
    </row>
    <row r="202" spans="1:29" ht="15.6" x14ac:dyDescent="0.3">
      <c r="A202" t="s">
        <v>3582</v>
      </c>
      <c r="B202" t="s">
        <v>1128</v>
      </c>
      <c r="C202" t="s">
        <v>159</v>
      </c>
      <c r="D202" t="s">
        <v>122</v>
      </c>
      <c r="E202" t="s">
        <v>1127</v>
      </c>
      <c r="F202" t="b">
        <v>1</v>
      </c>
      <c r="G202" t="s">
        <v>3042</v>
      </c>
      <c r="H202" t="s">
        <v>1125</v>
      </c>
      <c r="P202" t="s">
        <v>3583</v>
      </c>
      <c r="Q202">
        <v>261429.08</v>
      </c>
      <c r="R202">
        <v>297078.5</v>
      </c>
      <c r="S202">
        <v>35649.42</v>
      </c>
      <c r="T202" t="s">
        <v>3257</v>
      </c>
      <c r="U202" t="s">
        <v>3584</v>
      </c>
      <c r="V202">
        <v>2025</v>
      </c>
      <c r="W202" t="s">
        <v>3582</v>
      </c>
      <c r="AC202" t="s">
        <v>3040</v>
      </c>
    </row>
    <row r="203" spans="1:29" ht="15.6" x14ac:dyDescent="0.3">
      <c r="A203" t="s">
        <v>3585</v>
      </c>
      <c r="B203" t="s">
        <v>388</v>
      </c>
      <c r="C203" t="s">
        <v>277</v>
      </c>
      <c r="D203" t="s">
        <v>387</v>
      </c>
      <c r="E203" t="s">
        <v>55</v>
      </c>
      <c r="F203" t="b">
        <v>0</v>
      </c>
      <c r="G203" t="s">
        <v>3094</v>
      </c>
      <c r="H203" t="s">
        <v>385</v>
      </c>
      <c r="P203" t="s">
        <v>3586</v>
      </c>
      <c r="Q203">
        <v>0</v>
      </c>
      <c r="R203">
        <v>0</v>
      </c>
      <c r="S203">
        <v>0</v>
      </c>
      <c r="T203" t="s">
        <v>3257</v>
      </c>
      <c r="U203" t="s">
        <v>3587</v>
      </c>
      <c r="V203">
        <v>2025</v>
      </c>
      <c r="W203" t="s">
        <v>3585</v>
      </c>
      <c r="AC203" t="s">
        <v>3080</v>
      </c>
    </row>
    <row r="204" spans="1:29" ht="15.6" x14ac:dyDescent="0.3">
      <c r="A204" t="s">
        <v>3588</v>
      </c>
      <c r="B204" t="s">
        <v>584</v>
      </c>
      <c r="C204" t="s">
        <v>277</v>
      </c>
      <c r="D204" t="s">
        <v>122</v>
      </c>
      <c r="E204" t="s">
        <v>583</v>
      </c>
      <c r="F204" t="b">
        <v>1</v>
      </c>
      <c r="G204" t="s">
        <v>3042</v>
      </c>
      <c r="H204" t="s">
        <v>581</v>
      </c>
      <c r="P204" t="s">
        <v>3589</v>
      </c>
      <c r="Q204">
        <v>9428.32</v>
      </c>
      <c r="R204">
        <v>10714</v>
      </c>
      <c r="S204">
        <v>1285.68</v>
      </c>
      <c r="T204" t="s">
        <v>3257</v>
      </c>
      <c r="U204" t="s">
        <v>3590</v>
      </c>
      <c r="V204">
        <v>2025</v>
      </c>
      <c r="W204" t="s">
        <v>3588</v>
      </c>
      <c r="AC204" t="s">
        <v>3040</v>
      </c>
    </row>
    <row r="205" spans="1:29" ht="15.6" x14ac:dyDescent="0.3">
      <c r="A205" t="s">
        <v>3591</v>
      </c>
      <c r="B205" t="s">
        <v>834</v>
      </c>
      <c r="C205" t="s">
        <v>831</v>
      </c>
      <c r="D205" t="s">
        <v>833</v>
      </c>
      <c r="E205" t="s">
        <v>55</v>
      </c>
      <c r="F205" t="b">
        <v>1</v>
      </c>
      <c r="G205" t="s">
        <v>3042</v>
      </c>
      <c r="H205" t="s">
        <v>830</v>
      </c>
      <c r="P205" t="s">
        <v>3592</v>
      </c>
      <c r="Q205">
        <v>197806.4</v>
      </c>
      <c r="R205">
        <v>224780</v>
      </c>
      <c r="S205">
        <v>26973.599999999999</v>
      </c>
      <c r="T205" t="s">
        <v>3257</v>
      </c>
      <c r="U205" t="s">
        <v>1600</v>
      </c>
      <c r="V205">
        <v>2025</v>
      </c>
      <c r="W205" t="s">
        <v>3591</v>
      </c>
      <c r="AC205" t="s">
        <v>3040</v>
      </c>
    </row>
    <row r="206" spans="1:29" ht="15.6" x14ac:dyDescent="0.3">
      <c r="A206" t="s">
        <v>3593</v>
      </c>
      <c r="B206" t="s">
        <v>1128</v>
      </c>
      <c r="C206" t="s">
        <v>159</v>
      </c>
      <c r="D206" t="s">
        <v>122</v>
      </c>
      <c r="E206" t="s">
        <v>1127</v>
      </c>
      <c r="F206" t="b">
        <v>0</v>
      </c>
      <c r="G206" t="s">
        <v>3094</v>
      </c>
      <c r="H206" t="s">
        <v>1125</v>
      </c>
      <c r="P206" t="s">
        <v>3594</v>
      </c>
      <c r="Q206">
        <v>0</v>
      </c>
      <c r="R206">
        <v>0</v>
      </c>
      <c r="S206">
        <v>0</v>
      </c>
      <c r="T206" t="s">
        <v>3257</v>
      </c>
      <c r="U206" t="s">
        <v>3595</v>
      </c>
      <c r="V206">
        <v>2025</v>
      </c>
      <c r="W206" t="s">
        <v>3593</v>
      </c>
      <c r="AC206" t="s">
        <v>3080</v>
      </c>
    </row>
    <row r="207" spans="1:29" ht="15.6" x14ac:dyDescent="0.3">
      <c r="A207" t="s">
        <v>3596</v>
      </c>
      <c r="B207" t="s">
        <v>1297</v>
      </c>
      <c r="C207" t="s">
        <v>152</v>
      </c>
      <c r="D207" t="s">
        <v>66</v>
      </c>
      <c r="E207" t="s">
        <v>1296</v>
      </c>
      <c r="F207" t="b">
        <v>0</v>
      </c>
      <c r="G207" t="s">
        <v>3042</v>
      </c>
      <c r="H207" t="s">
        <v>1294</v>
      </c>
      <c r="P207" t="s">
        <v>3597</v>
      </c>
      <c r="Q207">
        <v>61255</v>
      </c>
      <c r="R207">
        <v>61255</v>
      </c>
      <c r="S207">
        <v>0</v>
      </c>
      <c r="T207" t="s">
        <v>3257</v>
      </c>
      <c r="U207" t="s">
        <v>3595</v>
      </c>
      <c r="V207">
        <v>2025</v>
      </c>
      <c r="W207" t="s">
        <v>3596</v>
      </c>
      <c r="AC207" t="s">
        <v>3080</v>
      </c>
    </row>
    <row r="208" spans="1:29" ht="15.6" x14ac:dyDescent="0.3">
      <c r="A208" t="s">
        <v>3598</v>
      </c>
      <c r="B208" t="s">
        <v>261</v>
      </c>
      <c r="C208" t="s">
        <v>258</v>
      </c>
      <c r="D208" t="s">
        <v>203</v>
      </c>
      <c r="E208" t="s">
        <v>260</v>
      </c>
      <c r="F208" t="b">
        <v>0</v>
      </c>
      <c r="G208" t="s">
        <v>3042</v>
      </c>
      <c r="H208" t="s">
        <v>257</v>
      </c>
      <c r="P208" t="s">
        <v>3599</v>
      </c>
      <c r="Q208">
        <v>62671.5</v>
      </c>
      <c r="R208">
        <v>62671.5</v>
      </c>
      <c r="S208">
        <v>0</v>
      </c>
      <c r="T208" t="s">
        <v>3257</v>
      </c>
      <c r="U208" t="s">
        <v>3595</v>
      </c>
      <c r="V208">
        <v>2025</v>
      </c>
      <c r="W208" t="s">
        <v>3598</v>
      </c>
      <c r="AC208" t="s">
        <v>3080</v>
      </c>
    </row>
    <row r="209" spans="1:29" ht="15.6" x14ac:dyDescent="0.3">
      <c r="A209" t="s">
        <v>3600</v>
      </c>
      <c r="B209" t="s">
        <v>926</v>
      </c>
      <c r="C209" t="s">
        <v>923</v>
      </c>
      <c r="D209" t="s">
        <v>60</v>
      </c>
      <c r="E209" t="s">
        <v>925</v>
      </c>
      <c r="F209" t="b">
        <v>0</v>
      </c>
      <c r="G209" t="s">
        <v>3601</v>
      </c>
      <c r="H209" t="s">
        <v>922</v>
      </c>
      <c r="P209" t="s">
        <v>3602</v>
      </c>
      <c r="Q209">
        <v>68849.47</v>
      </c>
      <c r="R209">
        <v>68849.47</v>
      </c>
      <c r="S209">
        <v>0</v>
      </c>
      <c r="T209" t="s">
        <v>3257</v>
      </c>
      <c r="U209" t="s">
        <v>3595</v>
      </c>
      <c r="V209">
        <v>2025</v>
      </c>
      <c r="W209" t="s">
        <v>3600</v>
      </c>
      <c r="AC209" t="s">
        <v>3080</v>
      </c>
    </row>
    <row r="210" spans="1:29" ht="15.6" x14ac:dyDescent="0.3">
      <c r="A210" t="s">
        <v>3603</v>
      </c>
      <c r="B210" t="s">
        <v>679</v>
      </c>
      <c r="C210" t="s">
        <v>677</v>
      </c>
      <c r="D210" t="s">
        <v>13</v>
      </c>
      <c r="E210" t="s">
        <v>678</v>
      </c>
      <c r="F210" t="b">
        <v>0</v>
      </c>
      <c r="G210" t="s">
        <v>3094</v>
      </c>
      <c r="H210" t="s">
        <v>676</v>
      </c>
      <c r="P210" t="s">
        <v>3604</v>
      </c>
      <c r="Q210">
        <v>4271</v>
      </c>
      <c r="R210">
        <v>4271</v>
      </c>
      <c r="S210">
        <v>0</v>
      </c>
      <c r="T210" t="s">
        <v>3257</v>
      </c>
      <c r="U210" t="s">
        <v>3605</v>
      </c>
      <c r="V210">
        <v>2025</v>
      </c>
      <c r="W210" t="s">
        <v>3603</v>
      </c>
      <c r="AC210" t="s">
        <v>3080</v>
      </c>
    </row>
    <row r="211" spans="1:29" ht="15.6" x14ac:dyDescent="0.3">
      <c r="A211" t="s">
        <v>3606</v>
      </c>
      <c r="B211" t="s">
        <v>152</v>
      </c>
      <c r="C211" t="s">
        <v>152</v>
      </c>
      <c r="D211" t="s">
        <v>152</v>
      </c>
      <c r="E211" t="s">
        <v>55</v>
      </c>
      <c r="F211" t="b">
        <v>1</v>
      </c>
      <c r="G211" t="s">
        <v>3042</v>
      </c>
      <c r="H211" t="s">
        <v>151</v>
      </c>
      <c r="P211" t="s">
        <v>3607</v>
      </c>
      <c r="Q211">
        <v>11084.04</v>
      </c>
      <c r="R211">
        <v>12595.5</v>
      </c>
      <c r="S211">
        <v>1511.46</v>
      </c>
      <c r="T211" t="s">
        <v>3257</v>
      </c>
      <c r="U211" t="s">
        <v>3608</v>
      </c>
      <c r="V211">
        <v>2025</v>
      </c>
      <c r="W211" t="s">
        <v>3606</v>
      </c>
      <c r="AC211" t="s">
        <v>3040</v>
      </c>
    </row>
    <row r="212" spans="1:29" ht="15.6" x14ac:dyDescent="0.3">
      <c r="A212" t="s">
        <v>3609</v>
      </c>
      <c r="B212" t="s">
        <v>421</v>
      </c>
      <c r="C212" t="s">
        <v>419</v>
      </c>
      <c r="D212" t="s">
        <v>60</v>
      </c>
      <c r="E212" t="s">
        <v>55</v>
      </c>
      <c r="F212" t="b">
        <v>0</v>
      </c>
      <c r="G212" t="s">
        <v>3042</v>
      </c>
      <c r="H212" t="s">
        <v>418</v>
      </c>
      <c r="P212" t="s">
        <v>3610</v>
      </c>
      <c r="Q212">
        <v>8861.5</v>
      </c>
      <c r="R212">
        <v>8861.5</v>
      </c>
      <c r="S212">
        <v>0</v>
      </c>
      <c r="T212" t="s">
        <v>3257</v>
      </c>
      <c r="U212" t="s">
        <v>582</v>
      </c>
      <c r="V212">
        <v>2025</v>
      </c>
      <c r="W212" t="s">
        <v>3609</v>
      </c>
      <c r="AC212" t="s">
        <v>3080</v>
      </c>
    </row>
    <row r="213" spans="1:29" ht="15.6" x14ac:dyDescent="0.3">
      <c r="A213" t="s">
        <v>3611</v>
      </c>
      <c r="B213" t="s">
        <v>912</v>
      </c>
      <c r="C213" t="s">
        <v>131</v>
      </c>
      <c r="D213" t="s">
        <v>13</v>
      </c>
      <c r="E213" t="s">
        <v>911</v>
      </c>
      <c r="F213" t="b">
        <v>1</v>
      </c>
      <c r="G213" t="s">
        <v>3042</v>
      </c>
      <c r="H213" t="s">
        <v>909</v>
      </c>
      <c r="P213" t="s">
        <v>3612</v>
      </c>
      <c r="Q213">
        <v>72149.88</v>
      </c>
      <c r="R213">
        <v>81988.5</v>
      </c>
      <c r="S213">
        <v>9838.6200000000008</v>
      </c>
      <c r="T213" t="s">
        <v>3257</v>
      </c>
      <c r="U213" t="s">
        <v>328</v>
      </c>
      <c r="V213">
        <v>2025</v>
      </c>
      <c r="W213" t="s">
        <v>3611</v>
      </c>
      <c r="AC213" t="s">
        <v>3040</v>
      </c>
    </row>
    <row r="214" spans="1:29" ht="15.6" x14ac:dyDescent="0.3">
      <c r="A214" t="s">
        <v>3613</v>
      </c>
      <c r="B214" t="s">
        <v>261</v>
      </c>
      <c r="C214" t="s">
        <v>258</v>
      </c>
      <c r="D214" t="s">
        <v>203</v>
      </c>
      <c r="E214" t="s">
        <v>260</v>
      </c>
      <c r="F214" t="b">
        <v>0</v>
      </c>
      <c r="G214" t="s">
        <v>3094</v>
      </c>
      <c r="H214" t="s">
        <v>257</v>
      </c>
      <c r="P214" t="s">
        <v>3614</v>
      </c>
      <c r="Q214">
        <v>33313.65</v>
      </c>
      <c r="R214">
        <v>33313.65</v>
      </c>
      <c r="S214">
        <v>0</v>
      </c>
      <c r="T214" t="s">
        <v>3257</v>
      </c>
      <c r="U214" t="s">
        <v>328</v>
      </c>
      <c r="V214">
        <v>2025</v>
      </c>
      <c r="W214" t="s">
        <v>3613</v>
      </c>
      <c r="AC214" t="s">
        <v>3080</v>
      </c>
    </row>
    <row r="215" spans="1:29" ht="15.6" x14ac:dyDescent="0.3">
      <c r="A215" t="s">
        <v>3615</v>
      </c>
      <c r="B215" t="s">
        <v>261</v>
      </c>
      <c r="C215" t="s">
        <v>258</v>
      </c>
      <c r="D215" t="s">
        <v>203</v>
      </c>
      <c r="E215" t="s">
        <v>260</v>
      </c>
      <c r="F215" t="b">
        <v>0</v>
      </c>
      <c r="G215" t="s">
        <v>3042</v>
      </c>
      <c r="H215" t="s">
        <v>257</v>
      </c>
      <c r="P215" t="s">
        <v>3616</v>
      </c>
      <c r="Q215">
        <v>110717.5</v>
      </c>
      <c r="R215">
        <v>110717.5</v>
      </c>
      <c r="S215">
        <v>0</v>
      </c>
      <c r="T215" t="s">
        <v>3257</v>
      </c>
      <c r="U215" t="s">
        <v>328</v>
      </c>
      <c r="V215">
        <v>2025</v>
      </c>
      <c r="W215" t="s">
        <v>3615</v>
      </c>
      <c r="AC215" t="s">
        <v>3080</v>
      </c>
    </row>
    <row r="216" spans="1:29" ht="15.6" x14ac:dyDescent="0.3">
      <c r="A216" t="s">
        <v>3617</v>
      </c>
      <c r="B216" t="s">
        <v>384</v>
      </c>
      <c r="C216" t="s">
        <v>381</v>
      </c>
      <c r="D216" t="s">
        <v>122</v>
      </c>
      <c r="E216" t="s">
        <v>383</v>
      </c>
      <c r="F216" t="b">
        <v>0</v>
      </c>
      <c r="G216" t="s">
        <v>3042</v>
      </c>
      <c r="H216" t="s">
        <v>380</v>
      </c>
      <c r="P216" t="s">
        <v>3618</v>
      </c>
      <c r="Q216">
        <v>0</v>
      </c>
      <c r="R216">
        <v>0</v>
      </c>
      <c r="S216">
        <v>0</v>
      </c>
      <c r="T216" t="s">
        <v>3257</v>
      </c>
      <c r="U216" t="s">
        <v>3619</v>
      </c>
      <c r="V216">
        <v>2025</v>
      </c>
      <c r="W216" t="s">
        <v>3617</v>
      </c>
      <c r="AC216" t="s">
        <v>3080</v>
      </c>
    </row>
    <row r="217" spans="1:29" ht="15.6" x14ac:dyDescent="0.3">
      <c r="A217" t="s">
        <v>3620</v>
      </c>
      <c r="B217" t="s">
        <v>651</v>
      </c>
      <c r="C217" t="s">
        <v>650</v>
      </c>
      <c r="D217" t="s">
        <v>143</v>
      </c>
      <c r="E217" t="s">
        <v>344</v>
      </c>
      <c r="F217" t="b">
        <v>0</v>
      </c>
      <c r="G217" t="s">
        <v>3042</v>
      </c>
      <c r="H217" t="s">
        <v>649</v>
      </c>
      <c r="P217" t="s">
        <v>3621</v>
      </c>
      <c r="Q217">
        <v>54693.5</v>
      </c>
      <c r="R217">
        <v>54693.5</v>
      </c>
      <c r="S217">
        <v>0</v>
      </c>
      <c r="T217" t="s">
        <v>3257</v>
      </c>
      <c r="U217" t="s">
        <v>3622</v>
      </c>
      <c r="V217">
        <v>2025</v>
      </c>
      <c r="W217" t="s">
        <v>3620</v>
      </c>
      <c r="AC217" t="s">
        <v>3080</v>
      </c>
    </row>
    <row r="218" spans="1:29" ht="15.6" x14ac:dyDescent="0.3">
      <c r="A218" t="s">
        <v>3623</v>
      </c>
      <c r="B218" t="s">
        <v>1266</v>
      </c>
      <c r="C218" t="s">
        <v>85</v>
      </c>
      <c r="D218" t="s">
        <v>60</v>
      </c>
      <c r="E218" t="s">
        <v>1265</v>
      </c>
      <c r="F218" t="b">
        <v>1</v>
      </c>
      <c r="G218" t="s">
        <v>3624</v>
      </c>
      <c r="H218" t="s">
        <v>1264</v>
      </c>
      <c r="P218" t="s">
        <v>3625</v>
      </c>
      <c r="Q218">
        <v>135599.20000000001</v>
      </c>
      <c r="R218">
        <v>154090</v>
      </c>
      <c r="S218">
        <v>18490.8</v>
      </c>
      <c r="T218" t="s">
        <v>3257</v>
      </c>
      <c r="U218" t="s">
        <v>273</v>
      </c>
      <c r="V218">
        <v>2025</v>
      </c>
      <c r="W218" t="s">
        <v>3623</v>
      </c>
      <c r="AC218" t="s">
        <v>3040</v>
      </c>
    </row>
    <row r="219" spans="1:29" ht="15.6" x14ac:dyDescent="0.3">
      <c r="A219" t="s">
        <v>3626</v>
      </c>
      <c r="B219" t="s">
        <v>762</v>
      </c>
      <c r="C219" t="s">
        <v>31</v>
      </c>
      <c r="D219" t="s">
        <v>48</v>
      </c>
      <c r="E219" t="s">
        <v>761</v>
      </c>
      <c r="F219" t="b">
        <v>1</v>
      </c>
      <c r="G219" t="s">
        <v>3042</v>
      </c>
      <c r="H219" t="s">
        <v>760</v>
      </c>
      <c r="P219" t="s">
        <v>3627</v>
      </c>
      <c r="Q219">
        <v>49940</v>
      </c>
      <c r="R219">
        <v>56750</v>
      </c>
      <c r="S219">
        <v>6810</v>
      </c>
      <c r="T219" t="s">
        <v>3257</v>
      </c>
      <c r="U219" t="s">
        <v>3628</v>
      </c>
      <c r="V219">
        <v>2025</v>
      </c>
      <c r="W219" t="s">
        <v>3626</v>
      </c>
      <c r="AC219" t="s">
        <v>3040</v>
      </c>
    </row>
    <row r="220" spans="1:29" ht="15.6" x14ac:dyDescent="0.3">
      <c r="A220" t="s">
        <v>3629</v>
      </c>
      <c r="B220" t="s">
        <v>1002</v>
      </c>
      <c r="C220" t="s">
        <v>999</v>
      </c>
      <c r="D220" t="s">
        <v>1001</v>
      </c>
      <c r="E220" t="s">
        <v>55</v>
      </c>
      <c r="F220" t="b">
        <v>1</v>
      </c>
      <c r="G220" t="s">
        <v>3042</v>
      </c>
      <c r="H220" t="s">
        <v>998</v>
      </c>
      <c r="P220" t="s">
        <v>3630</v>
      </c>
      <c r="Q220">
        <v>35299.879999999997</v>
      </c>
      <c r="R220">
        <v>40113.5</v>
      </c>
      <c r="S220">
        <v>4813.62</v>
      </c>
      <c r="T220" t="s">
        <v>3257</v>
      </c>
      <c r="U220" t="s">
        <v>3628</v>
      </c>
      <c r="V220">
        <v>2025</v>
      </c>
      <c r="W220" t="s">
        <v>3629</v>
      </c>
      <c r="AC220" t="s">
        <v>3040</v>
      </c>
    </row>
    <row r="221" spans="1:29" ht="15.6" x14ac:dyDescent="0.3">
      <c r="A221" t="s">
        <v>3631</v>
      </c>
      <c r="B221" t="s">
        <v>1173</v>
      </c>
      <c r="C221" t="s">
        <v>1171</v>
      </c>
      <c r="D221" t="s">
        <v>66</v>
      </c>
      <c r="E221" t="s">
        <v>55</v>
      </c>
      <c r="F221" t="b">
        <v>0</v>
      </c>
      <c r="G221" t="s">
        <v>3042</v>
      </c>
      <c r="H221" t="s">
        <v>1170</v>
      </c>
      <c r="P221" t="s">
        <v>3632</v>
      </c>
      <c r="Q221">
        <v>0</v>
      </c>
      <c r="R221">
        <v>0</v>
      </c>
      <c r="S221">
        <v>0</v>
      </c>
      <c r="T221" t="s">
        <v>3257</v>
      </c>
      <c r="U221" t="s">
        <v>3633</v>
      </c>
      <c r="V221">
        <v>2025</v>
      </c>
      <c r="W221" t="s">
        <v>3631</v>
      </c>
      <c r="AC221" t="s">
        <v>3080</v>
      </c>
    </row>
    <row r="222" spans="1:29" ht="15.6" x14ac:dyDescent="0.3">
      <c r="A222" t="s">
        <v>3634</v>
      </c>
      <c r="B222" t="s">
        <v>1232</v>
      </c>
      <c r="C222" t="s">
        <v>423</v>
      </c>
      <c r="D222" t="s">
        <v>13</v>
      </c>
      <c r="E222" t="s">
        <v>1231</v>
      </c>
      <c r="F222" t="b">
        <v>1</v>
      </c>
      <c r="G222" t="s">
        <v>3042</v>
      </c>
      <c r="H222" t="s">
        <v>1229</v>
      </c>
      <c r="P222" t="s">
        <v>3635</v>
      </c>
      <c r="Q222">
        <v>46991.12</v>
      </c>
      <c r="R222">
        <v>53399</v>
      </c>
      <c r="S222">
        <v>6407.88</v>
      </c>
      <c r="T222" t="s">
        <v>3257</v>
      </c>
      <c r="U222" t="s">
        <v>479</v>
      </c>
      <c r="V222">
        <v>2025</v>
      </c>
      <c r="W222" t="s">
        <v>3634</v>
      </c>
      <c r="AC222" t="s">
        <v>3040</v>
      </c>
    </row>
    <row r="223" spans="1:29" ht="15.6" x14ac:dyDescent="0.3">
      <c r="A223" t="s">
        <v>3636</v>
      </c>
      <c r="B223" t="s">
        <v>846</v>
      </c>
      <c r="C223" t="s">
        <v>844</v>
      </c>
      <c r="D223" t="s">
        <v>152</v>
      </c>
      <c r="E223" t="s">
        <v>55</v>
      </c>
      <c r="F223" t="b">
        <v>0</v>
      </c>
      <c r="G223" t="s">
        <v>3042</v>
      </c>
      <c r="H223" t="s">
        <v>843</v>
      </c>
      <c r="P223" t="s">
        <v>3637</v>
      </c>
      <c r="Q223">
        <v>44137.5</v>
      </c>
      <c r="R223">
        <v>44137.5</v>
      </c>
      <c r="S223">
        <v>0</v>
      </c>
      <c r="T223" t="s">
        <v>3257</v>
      </c>
      <c r="U223" t="s">
        <v>3638</v>
      </c>
      <c r="V223">
        <v>2025</v>
      </c>
      <c r="W223" t="s">
        <v>3636</v>
      </c>
      <c r="AC223" t="s">
        <v>3080</v>
      </c>
    </row>
    <row r="224" spans="1:29" ht="15.6" x14ac:dyDescent="0.3">
      <c r="A224" t="s">
        <v>3639</v>
      </c>
      <c r="B224" t="s">
        <v>266</v>
      </c>
      <c r="C224" t="s">
        <v>263</v>
      </c>
      <c r="D224" t="s">
        <v>13</v>
      </c>
      <c r="E224" t="s">
        <v>265</v>
      </c>
      <c r="F224" t="b">
        <v>1</v>
      </c>
      <c r="G224" t="s">
        <v>3026</v>
      </c>
      <c r="H224" t="s">
        <v>262</v>
      </c>
      <c r="P224" t="s">
        <v>3640</v>
      </c>
      <c r="Q224">
        <v>4426.3999999999996</v>
      </c>
      <c r="R224">
        <v>5030</v>
      </c>
      <c r="S224">
        <v>603.6</v>
      </c>
      <c r="T224" t="s">
        <v>3257</v>
      </c>
      <c r="U224" t="s">
        <v>939</v>
      </c>
      <c r="V224">
        <v>2025</v>
      </c>
      <c r="W224" t="s">
        <v>3639</v>
      </c>
      <c r="AC224" t="s">
        <v>3040</v>
      </c>
    </row>
    <row r="225" spans="1:29" ht="15.6" x14ac:dyDescent="0.3">
      <c r="A225" t="s">
        <v>3641</v>
      </c>
      <c r="B225" t="s">
        <v>384</v>
      </c>
      <c r="C225" t="s">
        <v>381</v>
      </c>
      <c r="D225" t="s">
        <v>122</v>
      </c>
      <c r="E225" t="s">
        <v>383</v>
      </c>
      <c r="F225" t="b">
        <v>1</v>
      </c>
      <c r="G225" t="s">
        <v>3042</v>
      </c>
      <c r="H225" t="s">
        <v>380</v>
      </c>
      <c r="P225" t="s">
        <v>3642</v>
      </c>
      <c r="Q225">
        <v>12214.4</v>
      </c>
      <c r="R225">
        <v>13880</v>
      </c>
      <c r="S225">
        <v>1665.6</v>
      </c>
      <c r="T225" t="s">
        <v>3257</v>
      </c>
      <c r="U225" t="s">
        <v>424</v>
      </c>
      <c r="V225">
        <v>2025</v>
      </c>
      <c r="W225" t="s">
        <v>3641</v>
      </c>
      <c r="AC225" t="s">
        <v>3040</v>
      </c>
    </row>
    <row r="226" spans="1:29" ht="15.6" x14ac:dyDescent="0.3">
      <c r="A226" t="s">
        <v>3643</v>
      </c>
      <c r="B226" t="s">
        <v>1145</v>
      </c>
      <c r="C226" t="s">
        <v>1142</v>
      </c>
      <c r="D226" t="s">
        <v>13</v>
      </c>
      <c r="E226" t="s">
        <v>1144</v>
      </c>
      <c r="F226" t="b">
        <v>1</v>
      </c>
      <c r="G226" t="s">
        <v>3042</v>
      </c>
      <c r="H226" t="s">
        <v>1141</v>
      </c>
      <c r="P226" t="s">
        <v>3644</v>
      </c>
      <c r="Q226">
        <v>15222.24</v>
      </c>
      <c r="R226">
        <v>17298</v>
      </c>
      <c r="S226">
        <v>2075.7600000000002</v>
      </c>
      <c r="T226" t="s">
        <v>3257</v>
      </c>
      <c r="U226" t="s">
        <v>3645</v>
      </c>
      <c r="V226">
        <v>2025</v>
      </c>
      <c r="W226" t="s">
        <v>3643</v>
      </c>
      <c r="AC226" t="s">
        <v>3040</v>
      </c>
    </row>
    <row r="227" spans="1:29" ht="15.6" x14ac:dyDescent="0.3">
      <c r="A227" t="s">
        <v>3646</v>
      </c>
      <c r="B227" t="s">
        <v>1302</v>
      </c>
      <c r="C227" t="s">
        <v>1299</v>
      </c>
      <c r="D227" t="s">
        <v>1301</v>
      </c>
      <c r="E227" t="s">
        <v>55</v>
      </c>
      <c r="F227" t="b">
        <v>0</v>
      </c>
      <c r="G227" t="s">
        <v>3042</v>
      </c>
      <c r="H227" t="s">
        <v>1298</v>
      </c>
      <c r="P227" t="s">
        <v>3647</v>
      </c>
      <c r="Q227">
        <v>0</v>
      </c>
      <c r="R227">
        <v>0</v>
      </c>
      <c r="S227">
        <v>0</v>
      </c>
      <c r="T227" t="s">
        <v>3257</v>
      </c>
      <c r="U227" t="s">
        <v>3648</v>
      </c>
      <c r="V227">
        <v>2025</v>
      </c>
      <c r="W227" t="s">
        <v>3646</v>
      </c>
      <c r="AC227" t="s">
        <v>3080</v>
      </c>
    </row>
    <row r="228" spans="1:29" ht="15.6" x14ac:dyDescent="0.3">
      <c r="A228" t="s">
        <v>3649</v>
      </c>
      <c r="B228" t="s">
        <v>1089</v>
      </c>
      <c r="C228" t="s">
        <v>131</v>
      </c>
      <c r="D228" t="s">
        <v>1088</v>
      </c>
      <c r="E228" t="s">
        <v>55</v>
      </c>
      <c r="F228" t="b">
        <v>0</v>
      </c>
      <c r="G228" t="s">
        <v>3042</v>
      </c>
      <c r="H228" t="s">
        <v>1086</v>
      </c>
      <c r="P228" t="s">
        <v>3650</v>
      </c>
      <c r="Q228">
        <v>0</v>
      </c>
      <c r="R228">
        <v>0</v>
      </c>
      <c r="S228">
        <v>0</v>
      </c>
      <c r="T228" t="s">
        <v>3257</v>
      </c>
      <c r="U228" t="s">
        <v>3651</v>
      </c>
      <c r="V228">
        <v>2025</v>
      </c>
      <c r="W228" t="s">
        <v>3649</v>
      </c>
      <c r="AC228" t="s">
        <v>3080</v>
      </c>
    </row>
    <row r="229" spans="1:29" ht="15.6" x14ac:dyDescent="0.3">
      <c r="A229" t="s">
        <v>3652</v>
      </c>
      <c r="B229" t="s">
        <v>240</v>
      </c>
      <c r="C229" t="s">
        <v>238</v>
      </c>
      <c r="D229" t="s">
        <v>66</v>
      </c>
      <c r="E229" t="s">
        <v>55</v>
      </c>
      <c r="F229" t="b">
        <v>0</v>
      </c>
      <c r="G229" t="s">
        <v>3042</v>
      </c>
      <c r="H229" t="s">
        <v>237</v>
      </c>
      <c r="P229" t="s">
        <v>3653</v>
      </c>
      <c r="Q229">
        <v>12595.5</v>
      </c>
      <c r="R229">
        <v>12595.5</v>
      </c>
      <c r="S229">
        <v>0</v>
      </c>
      <c r="T229" t="s">
        <v>3257</v>
      </c>
      <c r="U229" t="s">
        <v>3654</v>
      </c>
      <c r="V229">
        <v>2025</v>
      </c>
      <c r="W229" t="s">
        <v>3652</v>
      </c>
      <c r="AC229" t="s">
        <v>3080</v>
      </c>
    </row>
    <row r="230" spans="1:29" ht="15.6" x14ac:dyDescent="0.3">
      <c r="A230" t="s">
        <v>3655</v>
      </c>
      <c r="B230" t="s">
        <v>516</v>
      </c>
      <c r="C230" t="s">
        <v>80</v>
      </c>
      <c r="D230" t="s">
        <v>514</v>
      </c>
      <c r="E230" t="s">
        <v>515</v>
      </c>
      <c r="F230" t="b">
        <v>1</v>
      </c>
      <c r="G230" t="s">
        <v>3062</v>
      </c>
      <c r="H230" t="s">
        <v>512</v>
      </c>
      <c r="P230" t="s">
        <v>3656</v>
      </c>
      <c r="Q230">
        <v>141999.44</v>
      </c>
      <c r="R230">
        <v>161363</v>
      </c>
      <c r="S230">
        <v>19363.560000000001</v>
      </c>
      <c r="T230" t="s">
        <v>3257</v>
      </c>
      <c r="U230" t="s">
        <v>3657</v>
      </c>
      <c r="V230">
        <v>2025</v>
      </c>
      <c r="W230" t="s">
        <v>3655</v>
      </c>
      <c r="AC230" t="s">
        <v>3040</v>
      </c>
    </row>
    <row r="231" spans="1:29" ht="15.6" x14ac:dyDescent="0.3">
      <c r="A231" t="s">
        <v>3658</v>
      </c>
      <c r="B231" t="s">
        <v>1411</v>
      </c>
      <c r="C231" t="s">
        <v>1408</v>
      </c>
      <c r="D231" t="s">
        <v>1410</v>
      </c>
      <c r="E231" t="s">
        <v>55</v>
      </c>
      <c r="F231" t="b">
        <v>1</v>
      </c>
      <c r="G231" t="s">
        <v>3042</v>
      </c>
      <c r="H231" t="s">
        <v>1407</v>
      </c>
      <c r="P231" t="s">
        <v>3659</v>
      </c>
      <c r="Q231">
        <v>104305.96</v>
      </c>
      <c r="R231">
        <v>118529.5</v>
      </c>
      <c r="S231">
        <v>14223.54</v>
      </c>
      <c r="T231" t="s">
        <v>3257</v>
      </c>
      <c r="U231" t="s">
        <v>3660</v>
      </c>
      <c r="V231">
        <v>2025</v>
      </c>
      <c r="W231" t="s">
        <v>3658</v>
      </c>
      <c r="AC231" t="s">
        <v>3040</v>
      </c>
    </row>
    <row r="232" spans="1:29" ht="15.6" x14ac:dyDescent="0.3">
      <c r="A232" t="s">
        <v>3661</v>
      </c>
      <c r="B232" t="s">
        <v>567</v>
      </c>
      <c r="C232" t="s">
        <v>564</v>
      </c>
      <c r="D232" t="s">
        <v>112</v>
      </c>
      <c r="E232" t="s">
        <v>566</v>
      </c>
      <c r="F232" t="b">
        <v>1</v>
      </c>
      <c r="G232" t="s">
        <v>3042</v>
      </c>
      <c r="H232" t="s">
        <v>563</v>
      </c>
      <c r="P232" t="s">
        <v>3662</v>
      </c>
      <c r="Q232">
        <v>33745.800000000003</v>
      </c>
      <c r="R232">
        <v>38347.5</v>
      </c>
      <c r="S232">
        <v>4601.7</v>
      </c>
      <c r="T232" t="s">
        <v>3257</v>
      </c>
      <c r="U232" t="s">
        <v>565</v>
      </c>
      <c r="V232">
        <v>2025</v>
      </c>
      <c r="W232" t="s">
        <v>3661</v>
      </c>
      <c r="AC232" t="s">
        <v>3040</v>
      </c>
    </row>
    <row r="233" spans="1:29" ht="15.6" x14ac:dyDescent="0.3">
      <c r="A233" t="s">
        <v>3663</v>
      </c>
      <c r="B233" t="s">
        <v>534</v>
      </c>
      <c r="C233" t="s">
        <v>531</v>
      </c>
      <c r="D233" t="s">
        <v>122</v>
      </c>
      <c r="E233" t="s">
        <v>533</v>
      </c>
      <c r="F233" t="b">
        <v>1</v>
      </c>
      <c r="G233" t="s">
        <v>3042</v>
      </c>
      <c r="H233" t="s">
        <v>530</v>
      </c>
      <c r="P233" t="s">
        <v>3664</v>
      </c>
      <c r="Q233">
        <v>43673.96</v>
      </c>
      <c r="R233">
        <v>49629.5</v>
      </c>
      <c r="S233">
        <v>5955.54</v>
      </c>
      <c r="T233" t="s">
        <v>3257</v>
      </c>
      <c r="U233" t="s">
        <v>3660</v>
      </c>
      <c r="V233">
        <v>2025</v>
      </c>
      <c r="W233" t="s">
        <v>3663</v>
      </c>
      <c r="AC233" t="s">
        <v>3040</v>
      </c>
    </row>
    <row r="234" spans="1:29" ht="15.6" x14ac:dyDescent="0.3">
      <c r="A234" t="s">
        <v>3665</v>
      </c>
      <c r="B234" t="s">
        <v>1280</v>
      </c>
      <c r="C234" t="s">
        <v>1278</v>
      </c>
      <c r="D234" t="s">
        <v>1278</v>
      </c>
      <c r="E234" t="s">
        <v>55</v>
      </c>
      <c r="F234" t="b">
        <v>1</v>
      </c>
      <c r="G234" t="s">
        <v>3042</v>
      </c>
      <c r="H234" t="s">
        <v>1277</v>
      </c>
      <c r="P234" t="s">
        <v>3666</v>
      </c>
      <c r="Q234">
        <v>31133.96</v>
      </c>
      <c r="R234">
        <v>35379.5</v>
      </c>
      <c r="S234">
        <v>4245.54</v>
      </c>
      <c r="T234" t="s">
        <v>3257</v>
      </c>
      <c r="U234" t="s">
        <v>802</v>
      </c>
      <c r="V234">
        <v>2025</v>
      </c>
      <c r="W234" t="s">
        <v>3665</v>
      </c>
      <c r="AC234" t="s">
        <v>3040</v>
      </c>
    </row>
    <row r="235" spans="1:29" ht="15.6" x14ac:dyDescent="0.3">
      <c r="A235" t="s">
        <v>3667</v>
      </c>
      <c r="B235" t="s">
        <v>567</v>
      </c>
      <c r="C235" t="s">
        <v>564</v>
      </c>
      <c r="D235" t="s">
        <v>112</v>
      </c>
      <c r="E235" t="s">
        <v>566</v>
      </c>
      <c r="F235" t="b">
        <v>1</v>
      </c>
      <c r="G235" t="s">
        <v>3042</v>
      </c>
      <c r="H235" t="s">
        <v>563</v>
      </c>
      <c r="P235" t="s">
        <v>3668</v>
      </c>
      <c r="Q235">
        <v>2243.0300000000002</v>
      </c>
      <c r="R235">
        <v>2548.9</v>
      </c>
      <c r="S235">
        <v>305.87</v>
      </c>
      <c r="T235" t="s">
        <v>3257</v>
      </c>
      <c r="U235" t="s">
        <v>802</v>
      </c>
      <c r="V235">
        <v>2025</v>
      </c>
      <c r="W235" t="s">
        <v>3667</v>
      </c>
      <c r="AC235" t="s">
        <v>3040</v>
      </c>
    </row>
    <row r="236" spans="1:29" ht="15.6" x14ac:dyDescent="0.3">
      <c r="A236" t="s">
        <v>3669</v>
      </c>
      <c r="B236" t="s">
        <v>92</v>
      </c>
      <c r="C236" t="s">
        <v>90</v>
      </c>
      <c r="D236" t="s">
        <v>66</v>
      </c>
      <c r="E236" t="s">
        <v>55</v>
      </c>
      <c r="F236" t="b">
        <v>0</v>
      </c>
      <c r="G236" t="s">
        <v>3042</v>
      </c>
      <c r="H236" t="s">
        <v>89</v>
      </c>
      <c r="P236" t="s">
        <v>3670</v>
      </c>
      <c r="Q236">
        <v>6440</v>
      </c>
      <c r="R236">
        <v>6440</v>
      </c>
      <c r="S236">
        <v>0</v>
      </c>
      <c r="T236" t="s">
        <v>3257</v>
      </c>
      <c r="U236" t="s">
        <v>3671</v>
      </c>
      <c r="V236">
        <v>2025</v>
      </c>
      <c r="W236" t="s">
        <v>3669</v>
      </c>
      <c r="AC236" t="s">
        <v>3080</v>
      </c>
    </row>
    <row r="237" spans="1:29" ht="15.6" x14ac:dyDescent="0.3">
      <c r="A237" t="s">
        <v>3672</v>
      </c>
      <c r="B237" t="s">
        <v>1192</v>
      </c>
      <c r="C237" t="s">
        <v>1190</v>
      </c>
      <c r="D237" t="s">
        <v>60</v>
      </c>
      <c r="E237" t="s">
        <v>55</v>
      </c>
      <c r="F237" t="b">
        <v>1</v>
      </c>
      <c r="G237" t="s">
        <v>3094</v>
      </c>
      <c r="H237" t="s">
        <v>1189</v>
      </c>
      <c r="P237" t="s">
        <v>3673</v>
      </c>
      <c r="Q237">
        <v>4366.3</v>
      </c>
      <c r="R237">
        <v>4961.7</v>
      </c>
      <c r="S237">
        <v>595.4</v>
      </c>
      <c r="T237" t="s">
        <v>3257</v>
      </c>
      <c r="U237" t="s">
        <v>3674</v>
      </c>
      <c r="V237">
        <v>2025</v>
      </c>
      <c r="W237" t="s">
        <v>3672</v>
      </c>
      <c r="AC237" t="s">
        <v>3040</v>
      </c>
    </row>
    <row r="238" spans="1:29" ht="15.6" x14ac:dyDescent="0.3">
      <c r="A238" t="s">
        <v>3675</v>
      </c>
      <c r="B238" t="s">
        <v>1072</v>
      </c>
      <c r="C238" t="s">
        <v>1069</v>
      </c>
      <c r="D238" t="s">
        <v>1071</v>
      </c>
      <c r="E238" t="s">
        <v>55</v>
      </c>
      <c r="F238" t="b">
        <v>0</v>
      </c>
      <c r="G238" t="s">
        <v>3042</v>
      </c>
      <c r="H238" t="s">
        <v>1068</v>
      </c>
      <c r="P238" t="s">
        <v>3676</v>
      </c>
      <c r="Q238">
        <v>0</v>
      </c>
      <c r="R238">
        <v>0</v>
      </c>
      <c r="S238">
        <v>0</v>
      </c>
      <c r="T238" t="s">
        <v>3257</v>
      </c>
      <c r="U238" t="s">
        <v>3674</v>
      </c>
      <c r="V238">
        <v>2025</v>
      </c>
      <c r="W238" t="s">
        <v>3675</v>
      </c>
      <c r="AC238" t="s">
        <v>3080</v>
      </c>
    </row>
    <row r="239" spans="1:29" ht="15.6" x14ac:dyDescent="0.3">
      <c r="A239" t="s">
        <v>3677</v>
      </c>
      <c r="B239" t="s">
        <v>800</v>
      </c>
      <c r="C239" t="s">
        <v>797</v>
      </c>
      <c r="D239" t="s">
        <v>60</v>
      </c>
      <c r="E239" t="s">
        <v>799</v>
      </c>
      <c r="F239" t="b">
        <v>1</v>
      </c>
      <c r="G239" t="s">
        <v>3042</v>
      </c>
      <c r="H239" t="s">
        <v>796</v>
      </c>
      <c r="P239" t="s">
        <v>3678</v>
      </c>
      <c r="Q239">
        <v>34983.519999999997</v>
      </c>
      <c r="R239">
        <v>39754</v>
      </c>
      <c r="S239">
        <v>4770.4799999999996</v>
      </c>
      <c r="T239" t="s">
        <v>3257</v>
      </c>
      <c r="U239" t="s">
        <v>3679</v>
      </c>
      <c r="V239">
        <v>2025</v>
      </c>
      <c r="W239" t="s">
        <v>3677</v>
      </c>
      <c r="AC239" t="s">
        <v>3040</v>
      </c>
    </row>
    <row r="240" spans="1:29" ht="15.6" x14ac:dyDescent="0.3">
      <c r="A240" t="s">
        <v>3680</v>
      </c>
      <c r="B240" t="s">
        <v>392</v>
      </c>
      <c r="C240" t="s">
        <v>64</v>
      </c>
      <c r="D240" t="s">
        <v>112</v>
      </c>
      <c r="E240" t="s">
        <v>391</v>
      </c>
      <c r="F240" t="b">
        <v>1</v>
      </c>
      <c r="G240" t="s">
        <v>3042</v>
      </c>
      <c r="H240" t="s">
        <v>389</v>
      </c>
      <c r="P240" t="s">
        <v>3681</v>
      </c>
      <c r="Q240">
        <v>35252.800000000003</v>
      </c>
      <c r="R240">
        <v>40060</v>
      </c>
      <c r="S240">
        <v>4807.2</v>
      </c>
      <c r="T240" t="s">
        <v>3257</v>
      </c>
      <c r="U240" t="s">
        <v>390</v>
      </c>
      <c r="V240">
        <v>2025</v>
      </c>
      <c r="W240" t="s">
        <v>3680</v>
      </c>
      <c r="AC240" t="s">
        <v>3040</v>
      </c>
    </row>
    <row r="241" spans="1:29" ht="15.6" x14ac:dyDescent="0.3">
      <c r="A241" t="s">
        <v>3682</v>
      </c>
      <c r="B241" t="s">
        <v>800</v>
      </c>
      <c r="C241" t="s">
        <v>797</v>
      </c>
      <c r="D241" t="s">
        <v>60</v>
      </c>
      <c r="E241" t="s">
        <v>799</v>
      </c>
      <c r="F241" t="b">
        <v>1</v>
      </c>
      <c r="G241" t="s">
        <v>3042</v>
      </c>
      <c r="H241" t="s">
        <v>796</v>
      </c>
      <c r="P241" t="s">
        <v>3683</v>
      </c>
      <c r="Q241">
        <v>165860.64000000001</v>
      </c>
      <c r="R241">
        <v>188478</v>
      </c>
      <c r="S241">
        <v>22617.360000000001</v>
      </c>
      <c r="T241" t="s">
        <v>3257</v>
      </c>
      <c r="U241" t="s">
        <v>3684</v>
      </c>
      <c r="V241">
        <v>2025</v>
      </c>
      <c r="W241" t="s">
        <v>3682</v>
      </c>
      <c r="AC241" t="s">
        <v>3040</v>
      </c>
    </row>
    <row r="242" spans="1:29" ht="15.6" x14ac:dyDescent="0.3">
      <c r="A242" t="s">
        <v>3685</v>
      </c>
      <c r="B242" t="s">
        <v>97</v>
      </c>
      <c r="C242" t="s">
        <v>94</v>
      </c>
      <c r="D242" t="s">
        <v>96</v>
      </c>
      <c r="E242" t="s">
        <v>55</v>
      </c>
      <c r="F242" t="b">
        <v>1</v>
      </c>
      <c r="G242" t="s">
        <v>3042</v>
      </c>
      <c r="H242" t="s">
        <v>93</v>
      </c>
      <c r="P242" t="s">
        <v>3686</v>
      </c>
      <c r="Q242">
        <v>204228.2</v>
      </c>
      <c r="R242">
        <v>232077.5</v>
      </c>
      <c r="S242">
        <v>27849.3</v>
      </c>
      <c r="T242" t="s">
        <v>3257</v>
      </c>
      <c r="U242" t="s">
        <v>3687</v>
      </c>
      <c r="V242">
        <v>2025</v>
      </c>
      <c r="W242" t="s">
        <v>3685</v>
      </c>
      <c r="AC242" t="s">
        <v>3040</v>
      </c>
    </row>
    <row r="243" spans="1:29" ht="15.6" x14ac:dyDescent="0.3">
      <c r="A243" t="s">
        <v>3688</v>
      </c>
      <c r="B243" t="s">
        <v>322</v>
      </c>
      <c r="C243" t="s">
        <v>159</v>
      </c>
      <c r="D243" t="s">
        <v>122</v>
      </c>
      <c r="E243" t="s">
        <v>21</v>
      </c>
      <c r="F243" t="b">
        <v>1</v>
      </c>
      <c r="G243" t="s">
        <v>3042</v>
      </c>
      <c r="H243" t="s">
        <v>320</v>
      </c>
      <c r="P243" t="s">
        <v>3689</v>
      </c>
      <c r="Q243">
        <v>19487.64</v>
      </c>
      <c r="R243">
        <v>22145.040000000001</v>
      </c>
      <c r="S243">
        <v>2657.4</v>
      </c>
      <c r="T243" t="s">
        <v>3257</v>
      </c>
      <c r="U243" t="s">
        <v>3690</v>
      </c>
      <c r="V243">
        <v>2025</v>
      </c>
      <c r="W243" t="s">
        <v>3688</v>
      </c>
      <c r="AC243" t="s">
        <v>3040</v>
      </c>
    </row>
    <row r="244" spans="1:29" ht="15.6" x14ac:dyDescent="0.3">
      <c r="A244" t="s">
        <v>3691</v>
      </c>
      <c r="B244" t="s">
        <v>322</v>
      </c>
      <c r="C244" t="s">
        <v>159</v>
      </c>
      <c r="D244" t="s">
        <v>122</v>
      </c>
      <c r="E244" t="s">
        <v>21</v>
      </c>
      <c r="F244" t="b">
        <v>1</v>
      </c>
      <c r="G244" t="s">
        <v>3042</v>
      </c>
      <c r="H244" t="s">
        <v>320</v>
      </c>
      <c r="P244" t="s">
        <v>3692</v>
      </c>
      <c r="Q244">
        <v>95038.24</v>
      </c>
      <c r="R244">
        <v>107998</v>
      </c>
      <c r="S244">
        <v>12959.76</v>
      </c>
      <c r="T244" t="s">
        <v>3257</v>
      </c>
      <c r="U244" t="s">
        <v>3693</v>
      </c>
      <c r="V244">
        <v>2025</v>
      </c>
      <c r="W244" t="s">
        <v>3691</v>
      </c>
      <c r="AC244" t="s">
        <v>3040</v>
      </c>
    </row>
    <row r="245" spans="1:29" ht="15.6" x14ac:dyDescent="0.3">
      <c r="A245" t="s">
        <v>3694</v>
      </c>
      <c r="B245" t="s">
        <v>687</v>
      </c>
      <c r="C245" t="s">
        <v>423</v>
      </c>
      <c r="D245" t="s">
        <v>13</v>
      </c>
      <c r="E245" t="s">
        <v>686</v>
      </c>
      <c r="F245" t="b">
        <v>1</v>
      </c>
      <c r="G245" t="s">
        <v>3042</v>
      </c>
      <c r="H245" t="s">
        <v>685</v>
      </c>
      <c r="P245" t="s">
        <v>3695</v>
      </c>
      <c r="Q245">
        <v>9824</v>
      </c>
      <c r="R245">
        <v>9824</v>
      </c>
      <c r="S245">
        <v>0</v>
      </c>
      <c r="T245" t="s">
        <v>3257</v>
      </c>
      <c r="U245" t="s">
        <v>3696</v>
      </c>
      <c r="V245">
        <v>2025</v>
      </c>
      <c r="W245" t="s">
        <v>3694</v>
      </c>
      <c r="AC245" t="s">
        <v>3080</v>
      </c>
    </row>
    <row r="246" spans="1:29" ht="15.6" x14ac:dyDescent="0.3">
      <c r="A246" t="s">
        <v>3697</v>
      </c>
      <c r="B246" t="s">
        <v>97</v>
      </c>
      <c r="C246" t="s">
        <v>94</v>
      </c>
      <c r="D246" t="s">
        <v>96</v>
      </c>
      <c r="E246" t="s">
        <v>55</v>
      </c>
      <c r="F246" t="b">
        <v>1</v>
      </c>
      <c r="G246" t="s">
        <v>3042</v>
      </c>
      <c r="H246" t="s">
        <v>93</v>
      </c>
      <c r="P246" t="s">
        <v>3698</v>
      </c>
      <c r="Q246">
        <v>128888.32000000001</v>
      </c>
      <c r="R246">
        <v>146464</v>
      </c>
      <c r="S246">
        <v>17575.68</v>
      </c>
      <c r="T246" t="s">
        <v>3257</v>
      </c>
      <c r="U246" t="s">
        <v>3699</v>
      </c>
      <c r="V246">
        <v>2025</v>
      </c>
      <c r="W246" t="s">
        <v>3697</v>
      </c>
      <c r="AC246" t="s">
        <v>3040</v>
      </c>
    </row>
    <row r="247" spans="1:29" ht="15.6" x14ac:dyDescent="0.3">
      <c r="A247" t="s">
        <v>3700</v>
      </c>
      <c r="B247" t="s">
        <v>1145</v>
      </c>
      <c r="C247" t="s">
        <v>1142</v>
      </c>
      <c r="D247" t="s">
        <v>13</v>
      </c>
      <c r="E247" t="s">
        <v>1144</v>
      </c>
      <c r="F247" t="b">
        <v>1</v>
      </c>
      <c r="G247" t="s">
        <v>3042</v>
      </c>
      <c r="H247" t="s">
        <v>1141</v>
      </c>
      <c r="P247" t="s">
        <v>3701</v>
      </c>
      <c r="Q247">
        <v>19083.68</v>
      </c>
      <c r="R247">
        <v>21686</v>
      </c>
      <c r="S247">
        <v>2602.3200000000002</v>
      </c>
      <c r="T247" t="s">
        <v>3257</v>
      </c>
      <c r="U247" t="s">
        <v>3702</v>
      </c>
      <c r="V247">
        <v>2025</v>
      </c>
      <c r="W247" t="s">
        <v>3700</v>
      </c>
      <c r="AC247" t="s">
        <v>3040</v>
      </c>
    </row>
    <row r="248" spans="1:29" ht="15.6" x14ac:dyDescent="0.3">
      <c r="A248" t="s">
        <v>3703</v>
      </c>
      <c r="B248" t="s">
        <v>1063</v>
      </c>
      <c r="C248" t="s">
        <v>1060</v>
      </c>
      <c r="D248" t="s">
        <v>1062</v>
      </c>
      <c r="E248" t="s">
        <v>55</v>
      </c>
      <c r="F248" t="b">
        <v>1</v>
      </c>
      <c r="G248" t="s">
        <v>3042</v>
      </c>
      <c r="H248" t="s">
        <v>1059</v>
      </c>
      <c r="P248" t="s">
        <v>3704</v>
      </c>
      <c r="Q248">
        <v>179995.2</v>
      </c>
      <c r="R248">
        <v>204540</v>
      </c>
      <c r="S248">
        <v>24544.799999999999</v>
      </c>
      <c r="T248" t="s">
        <v>3257</v>
      </c>
      <c r="U248" t="s">
        <v>3705</v>
      </c>
      <c r="V248">
        <v>2025</v>
      </c>
      <c r="W248" t="s">
        <v>3703</v>
      </c>
      <c r="AC248" t="s">
        <v>3040</v>
      </c>
    </row>
    <row r="249" spans="1:29" ht="15.6" x14ac:dyDescent="0.3">
      <c r="A249" t="s">
        <v>3706</v>
      </c>
      <c r="B249" t="s">
        <v>1128</v>
      </c>
      <c r="C249" t="s">
        <v>159</v>
      </c>
      <c r="D249" t="s">
        <v>122</v>
      </c>
      <c r="E249" t="s">
        <v>1127</v>
      </c>
      <c r="F249" t="b">
        <v>1</v>
      </c>
      <c r="G249" t="s">
        <v>3042</v>
      </c>
      <c r="H249" t="s">
        <v>1125</v>
      </c>
      <c r="P249" t="s">
        <v>3707</v>
      </c>
      <c r="Q249">
        <v>489793.92</v>
      </c>
      <c r="R249">
        <v>556584</v>
      </c>
      <c r="S249">
        <v>66790.080000000002</v>
      </c>
      <c r="T249" t="s">
        <v>3257</v>
      </c>
      <c r="U249" t="s">
        <v>3705</v>
      </c>
      <c r="V249">
        <v>2025</v>
      </c>
      <c r="W249" t="s">
        <v>3706</v>
      </c>
      <c r="AC249" t="s">
        <v>3040</v>
      </c>
    </row>
    <row r="250" spans="1:29" ht="15.6" x14ac:dyDescent="0.3">
      <c r="A250" t="s">
        <v>3708</v>
      </c>
      <c r="B250" t="s">
        <v>1586</v>
      </c>
      <c r="C250" t="s">
        <v>1583</v>
      </c>
      <c r="D250" t="s">
        <v>1585</v>
      </c>
      <c r="E250" t="s">
        <v>55</v>
      </c>
      <c r="F250" t="b">
        <v>0</v>
      </c>
      <c r="G250" t="s">
        <v>3042</v>
      </c>
      <c r="H250" t="s">
        <v>1582</v>
      </c>
      <c r="P250" t="s">
        <v>3709</v>
      </c>
      <c r="Q250">
        <v>25628</v>
      </c>
      <c r="R250">
        <v>25628</v>
      </c>
      <c r="S250">
        <v>0</v>
      </c>
      <c r="T250" t="s">
        <v>3257</v>
      </c>
      <c r="U250" t="s">
        <v>3705</v>
      </c>
      <c r="V250">
        <v>2025</v>
      </c>
      <c r="W250" t="s">
        <v>3708</v>
      </c>
      <c r="AC250" t="s">
        <v>3080</v>
      </c>
    </row>
    <row r="251" spans="1:29" ht="15.6" x14ac:dyDescent="0.3">
      <c r="A251" t="s">
        <v>3710</v>
      </c>
      <c r="B251" t="s">
        <v>500</v>
      </c>
      <c r="C251" t="s">
        <v>497</v>
      </c>
      <c r="D251" t="s">
        <v>499</v>
      </c>
      <c r="E251" t="s">
        <v>55</v>
      </c>
      <c r="F251" t="b">
        <v>0</v>
      </c>
      <c r="G251" t="s">
        <v>3042</v>
      </c>
      <c r="H251" t="s">
        <v>496</v>
      </c>
      <c r="P251" t="s">
        <v>3711</v>
      </c>
      <c r="Q251">
        <v>60550</v>
      </c>
      <c r="R251">
        <v>60550</v>
      </c>
      <c r="S251">
        <v>0</v>
      </c>
      <c r="T251" t="s">
        <v>3257</v>
      </c>
      <c r="U251" t="s">
        <v>3712</v>
      </c>
      <c r="V251">
        <v>2025</v>
      </c>
      <c r="W251" t="s">
        <v>3710</v>
      </c>
      <c r="AC251" t="s">
        <v>3080</v>
      </c>
    </row>
    <row r="252" spans="1:29" ht="15.6" x14ac:dyDescent="0.3">
      <c r="A252" t="s">
        <v>3713</v>
      </c>
      <c r="B252" t="s">
        <v>1586</v>
      </c>
      <c r="C252" t="s">
        <v>1583</v>
      </c>
      <c r="D252" t="s">
        <v>1585</v>
      </c>
      <c r="E252" t="s">
        <v>55</v>
      </c>
      <c r="F252" t="b">
        <v>0</v>
      </c>
      <c r="G252" t="s">
        <v>3094</v>
      </c>
      <c r="H252" t="s">
        <v>1582</v>
      </c>
      <c r="P252" t="s">
        <v>3714</v>
      </c>
      <c r="Q252">
        <v>2183.48</v>
      </c>
      <c r="R252">
        <v>2183.48</v>
      </c>
      <c r="S252">
        <v>0</v>
      </c>
      <c r="T252" t="s">
        <v>3257</v>
      </c>
      <c r="U252" t="s">
        <v>3712</v>
      </c>
      <c r="V252">
        <v>2025</v>
      </c>
      <c r="W252" t="s">
        <v>3713</v>
      </c>
      <c r="AC252" t="s">
        <v>3080</v>
      </c>
    </row>
    <row r="253" spans="1:29" ht="15.6" x14ac:dyDescent="0.3">
      <c r="A253" t="s">
        <v>3715</v>
      </c>
      <c r="B253" t="s">
        <v>1586</v>
      </c>
      <c r="C253" t="s">
        <v>1583</v>
      </c>
      <c r="D253" t="s">
        <v>1585</v>
      </c>
      <c r="E253" t="s">
        <v>55</v>
      </c>
      <c r="F253" t="b">
        <v>0</v>
      </c>
      <c r="G253" t="s">
        <v>3094</v>
      </c>
      <c r="H253" t="s">
        <v>1582</v>
      </c>
      <c r="P253" t="s">
        <v>3716</v>
      </c>
      <c r="Q253">
        <v>2183.48</v>
      </c>
      <c r="R253">
        <v>2183.48</v>
      </c>
      <c r="S253">
        <v>0</v>
      </c>
      <c r="T253" t="s">
        <v>3257</v>
      </c>
      <c r="U253" t="s">
        <v>3712</v>
      </c>
      <c r="V253">
        <v>2025</v>
      </c>
      <c r="W253" t="s">
        <v>3715</v>
      </c>
      <c r="AC253" t="s">
        <v>3080</v>
      </c>
    </row>
    <row r="254" spans="1:29" ht="15.6" x14ac:dyDescent="0.3">
      <c r="A254" t="s">
        <v>3717</v>
      </c>
      <c r="B254" t="s">
        <v>641</v>
      </c>
      <c r="C254" t="s">
        <v>85</v>
      </c>
      <c r="D254" t="s">
        <v>13</v>
      </c>
      <c r="E254" t="s">
        <v>640</v>
      </c>
      <c r="F254" t="b">
        <v>0</v>
      </c>
      <c r="G254" t="s">
        <v>3094</v>
      </c>
      <c r="H254" t="s">
        <v>638</v>
      </c>
      <c r="P254" t="s">
        <v>3718</v>
      </c>
      <c r="Q254">
        <v>0</v>
      </c>
      <c r="R254">
        <v>0</v>
      </c>
      <c r="S254">
        <v>0</v>
      </c>
      <c r="T254" t="s">
        <v>3257</v>
      </c>
      <c r="U254" t="s">
        <v>3712</v>
      </c>
      <c r="V254">
        <v>2025</v>
      </c>
      <c r="W254" t="s">
        <v>3717</v>
      </c>
      <c r="AC254" t="s">
        <v>3080</v>
      </c>
    </row>
    <row r="255" spans="1:29" ht="15.6" x14ac:dyDescent="0.3">
      <c r="A255" t="s">
        <v>3719</v>
      </c>
      <c r="B255" t="s">
        <v>1063</v>
      </c>
      <c r="C255" t="s">
        <v>1060</v>
      </c>
      <c r="D255" t="s">
        <v>1062</v>
      </c>
      <c r="E255" t="s">
        <v>55</v>
      </c>
      <c r="F255" t="b">
        <v>1</v>
      </c>
      <c r="G255" t="s">
        <v>3094</v>
      </c>
      <c r="H255" t="s">
        <v>1059</v>
      </c>
      <c r="P255" t="s">
        <v>3720</v>
      </c>
      <c r="Q255">
        <v>204545.45</v>
      </c>
      <c r="R255">
        <v>204545.45</v>
      </c>
      <c r="S255">
        <v>0</v>
      </c>
      <c r="T255" t="s">
        <v>3257</v>
      </c>
      <c r="U255" t="s">
        <v>3712</v>
      </c>
      <c r="V255">
        <v>2025</v>
      </c>
      <c r="W255" t="s">
        <v>3719</v>
      </c>
      <c r="AC255" t="s">
        <v>3080</v>
      </c>
    </row>
    <row r="256" spans="1:29" ht="15.6" x14ac:dyDescent="0.3">
      <c r="A256" t="s">
        <v>3721</v>
      </c>
      <c r="B256" t="s">
        <v>500</v>
      </c>
      <c r="C256" t="s">
        <v>497</v>
      </c>
      <c r="D256" t="s">
        <v>499</v>
      </c>
      <c r="E256" t="s">
        <v>55</v>
      </c>
      <c r="F256" t="b">
        <v>0</v>
      </c>
      <c r="G256" t="s">
        <v>3042</v>
      </c>
      <c r="H256" t="s">
        <v>496</v>
      </c>
      <c r="P256" t="s">
        <v>3722</v>
      </c>
      <c r="Q256">
        <v>215434</v>
      </c>
      <c r="R256">
        <v>215434</v>
      </c>
      <c r="S256">
        <v>0</v>
      </c>
      <c r="T256" t="s">
        <v>3257</v>
      </c>
      <c r="U256" t="s">
        <v>3723</v>
      </c>
      <c r="V256">
        <v>2025</v>
      </c>
      <c r="W256" t="s">
        <v>3721</v>
      </c>
      <c r="AC256" t="s">
        <v>3080</v>
      </c>
    </row>
    <row r="257" spans="1:29" ht="15.6" x14ac:dyDescent="0.3">
      <c r="A257" t="s">
        <v>3724</v>
      </c>
      <c r="B257" t="s">
        <v>1038</v>
      </c>
      <c r="C257" t="s">
        <v>152</v>
      </c>
      <c r="D257" t="s">
        <v>66</v>
      </c>
      <c r="E257" t="s">
        <v>55</v>
      </c>
      <c r="F257" t="b">
        <v>1</v>
      </c>
      <c r="G257" t="s">
        <v>3042</v>
      </c>
      <c r="H257" t="s">
        <v>1036</v>
      </c>
      <c r="P257" t="s">
        <v>3725</v>
      </c>
      <c r="Q257">
        <v>40205.440000000002</v>
      </c>
      <c r="R257">
        <v>45688</v>
      </c>
      <c r="S257">
        <v>5482.56</v>
      </c>
      <c r="T257" t="s">
        <v>3257</v>
      </c>
      <c r="U257" t="s">
        <v>3726</v>
      </c>
      <c r="V257">
        <v>2025</v>
      </c>
      <c r="W257" t="s">
        <v>3724</v>
      </c>
      <c r="AC257" t="s">
        <v>3040</v>
      </c>
    </row>
    <row r="258" spans="1:29" ht="15.6" x14ac:dyDescent="0.3">
      <c r="A258" t="s">
        <v>3727</v>
      </c>
      <c r="B258" t="s">
        <v>571</v>
      </c>
      <c r="C258" t="s">
        <v>31</v>
      </c>
      <c r="D258" t="s">
        <v>48</v>
      </c>
      <c r="E258" t="s">
        <v>570</v>
      </c>
      <c r="F258" t="b">
        <v>1</v>
      </c>
      <c r="G258" t="s">
        <v>3042</v>
      </c>
      <c r="H258" t="s">
        <v>568</v>
      </c>
      <c r="P258" t="s">
        <v>3728</v>
      </c>
      <c r="Q258">
        <v>7485.98</v>
      </c>
      <c r="R258">
        <v>8506.7999999999993</v>
      </c>
      <c r="S258">
        <v>1020.82</v>
      </c>
      <c r="T258" t="s">
        <v>3257</v>
      </c>
      <c r="U258" t="s">
        <v>3729</v>
      </c>
      <c r="V258">
        <v>2025</v>
      </c>
      <c r="W258" t="s">
        <v>3727</v>
      </c>
      <c r="AC258" t="s">
        <v>3040</v>
      </c>
    </row>
    <row r="259" spans="1:29" ht="15.6" x14ac:dyDescent="0.3">
      <c r="A259" t="s">
        <v>3730</v>
      </c>
      <c r="B259" t="s">
        <v>1157</v>
      </c>
      <c r="C259" t="s">
        <v>52</v>
      </c>
      <c r="D259" t="s">
        <v>1156</v>
      </c>
      <c r="E259" t="s">
        <v>55</v>
      </c>
      <c r="F259" t="b">
        <v>1</v>
      </c>
      <c r="G259" t="s">
        <v>3042</v>
      </c>
      <c r="H259" t="s">
        <v>1154</v>
      </c>
      <c r="P259" t="s">
        <v>3731</v>
      </c>
      <c r="Q259">
        <v>151248</v>
      </c>
      <c r="R259">
        <v>151248</v>
      </c>
      <c r="S259">
        <v>0</v>
      </c>
      <c r="T259" t="s">
        <v>3257</v>
      </c>
      <c r="U259" t="s">
        <v>3732</v>
      </c>
      <c r="V259">
        <v>2025</v>
      </c>
      <c r="W259" t="s">
        <v>3730</v>
      </c>
      <c r="AC259" t="s">
        <v>3080</v>
      </c>
    </row>
    <row r="260" spans="1:29" ht="15.6" x14ac:dyDescent="0.3">
      <c r="A260" t="s">
        <v>3733</v>
      </c>
      <c r="B260" t="s">
        <v>1157</v>
      </c>
      <c r="C260" t="s">
        <v>52</v>
      </c>
      <c r="D260" t="s">
        <v>1156</v>
      </c>
      <c r="E260" t="s">
        <v>55</v>
      </c>
      <c r="F260" t="b">
        <v>0</v>
      </c>
      <c r="G260" t="s">
        <v>39</v>
      </c>
      <c r="H260" t="s">
        <v>1154</v>
      </c>
      <c r="P260" t="s">
        <v>39</v>
      </c>
      <c r="Q260">
        <v>0</v>
      </c>
      <c r="R260">
        <v>0</v>
      </c>
      <c r="S260">
        <v>0</v>
      </c>
      <c r="T260" t="s">
        <v>3257</v>
      </c>
      <c r="U260" t="s">
        <v>3734</v>
      </c>
      <c r="V260">
        <v>2025</v>
      </c>
      <c r="W260" t="s">
        <v>3733</v>
      </c>
    </row>
    <row r="261" spans="1:29" ht="15.6" x14ac:dyDescent="0.3">
      <c r="A261" t="s">
        <v>3735</v>
      </c>
      <c r="B261" t="s">
        <v>3736</v>
      </c>
      <c r="C261" t="s">
        <v>141</v>
      </c>
      <c r="D261" t="s">
        <v>3737</v>
      </c>
      <c r="E261" t="s">
        <v>555</v>
      </c>
      <c r="F261" t="b">
        <v>1</v>
      </c>
      <c r="G261" t="s">
        <v>3036</v>
      </c>
      <c r="H261" t="s">
        <v>3738</v>
      </c>
      <c r="P261" t="s">
        <v>3739</v>
      </c>
      <c r="Q261">
        <v>2930.4</v>
      </c>
      <c r="R261">
        <v>3330</v>
      </c>
      <c r="S261">
        <v>399.59999999999997</v>
      </c>
      <c r="T261" t="s">
        <v>3740</v>
      </c>
      <c r="U261" t="s">
        <v>3741</v>
      </c>
      <c r="V261">
        <v>2026</v>
      </c>
      <c r="W261" t="s">
        <v>3735</v>
      </c>
    </row>
    <row r="262" spans="1:29" ht="15.6" x14ac:dyDescent="0.3">
      <c r="A262" t="s">
        <v>3742</v>
      </c>
      <c r="B262" t="s">
        <v>362</v>
      </c>
      <c r="C262" t="s">
        <v>175</v>
      </c>
      <c r="D262" t="s">
        <v>66</v>
      </c>
      <c r="E262" t="s">
        <v>361</v>
      </c>
      <c r="F262" t="b">
        <v>1</v>
      </c>
      <c r="G262" t="s">
        <v>3042</v>
      </c>
      <c r="H262" t="s">
        <v>359</v>
      </c>
      <c r="P262" t="s">
        <v>3743</v>
      </c>
      <c r="Q262">
        <v>59544.32</v>
      </c>
      <c r="R262">
        <v>67664</v>
      </c>
      <c r="S262">
        <v>8119.6799999999994</v>
      </c>
      <c r="T262" t="s">
        <v>3744</v>
      </c>
      <c r="U262" t="s">
        <v>3745</v>
      </c>
      <c r="V262">
        <v>2026</v>
      </c>
      <c r="W262" t="s">
        <v>3742</v>
      </c>
    </row>
    <row r="263" spans="1:29" ht="15.6" x14ac:dyDescent="0.3">
      <c r="A263" t="s">
        <v>3746</v>
      </c>
      <c r="B263" t="s">
        <v>362</v>
      </c>
      <c r="C263" t="s">
        <v>175</v>
      </c>
      <c r="D263" t="s">
        <v>66</v>
      </c>
      <c r="E263" t="s">
        <v>361</v>
      </c>
      <c r="F263" t="b">
        <v>1</v>
      </c>
      <c r="G263" t="s">
        <v>3042</v>
      </c>
      <c r="H263" t="s">
        <v>359</v>
      </c>
      <c r="P263" t="s">
        <v>3747</v>
      </c>
      <c r="Q263">
        <v>34464.32</v>
      </c>
      <c r="R263">
        <v>39164</v>
      </c>
      <c r="S263">
        <v>4699.6799999999994</v>
      </c>
      <c r="T263" t="s">
        <v>3744</v>
      </c>
      <c r="U263" t="s">
        <v>3748</v>
      </c>
      <c r="V263">
        <v>2026</v>
      </c>
      <c r="W263" t="s">
        <v>3746</v>
      </c>
    </row>
    <row r="264" spans="1:29" ht="15.6" x14ac:dyDescent="0.3">
      <c r="A264" t="s">
        <v>3749</v>
      </c>
      <c r="B264" t="s">
        <v>3750</v>
      </c>
      <c r="C264" t="s">
        <v>3751</v>
      </c>
      <c r="D264" t="s">
        <v>66</v>
      </c>
      <c r="E264" t="s">
        <v>624</v>
      </c>
      <c r="F264" t="b">
        <v>1</v>
      </c>
      <c r="G264" t="s">
        <v>3042</v>
      </c>
      <c r="H264" t="s">
        <v>3752</v>
      </c>
      <c r="P264" t="s">
        <v>3753</v>
      </c>
      <c r="Q264">
        <v>4523.9040000000005</v>
      </c>
      <c r="R264">
        <v>5140.8</v>
      </c>
      <c r="S264">
        <v>616.89599999999996</v>
      </c>
      <c r="T264" t="s">
        <v>3744</v>
      </c>
      <c r="U264" t="s">
        <v>3754</v>
      </c>
      <c r="V264">
        <v>2026</v>
      </c>
      <c r="W264" t="s">
        <v>3749</v>
      </c>
    </row>
    <row r="265" spans="1:29" ht="15.6" x14ac:dyDescent="0.3">
      <c r="A265" t="s">
        <v>3755</v>
      </c>
      <c r="B265" t="s">
        <v>992</v>
      </c>
      <c r="C265" t="s">
        <v>989</v>
      </c>
      <c r="D265" t="s">
        <v>991</v>
      </c>
      <c r="E265" t="s">
        <v>885</v>
      </c>
      <c r="F265" t="b">
        <v>0</v>
      </c>
      <c r="G265" t="s">
        <v>3042</v>
      </c>
      <c r="H265" t="s">
        <v>988</v>
      </c>
      <c r="P265" t="s">
        <v>3756</v>
      </c>
      <c r="Q265">
        <v>22094</v>
      </c>
      <c r="R265">
        <v>22094</v>
      </c>
      <c r="S265">
        <v>0</v>
      </c>
      <c r="T265" t="s">
        <v>3744</v>
      </c>
      <c r="U265" t="s">
        <v>3757</v>
      </c>
      <c r="V265">
        <v>2026</v>
      </c>
      <c r="W265" t="s">
        <v>3755</v>
      </c>
    </row>
    <row r="266" spans="1:29" ht="15.6" x14ac:dyDescent="0.3">
      <c r="A266" t="s">
        <v>3758</v>
      </c>
      <c r="B266" t="s">
        <v>1495</v>
      </c>
      <c r="C266" t="s">
        <v>175</v>
      </c>
      <c r="D266" t="s">
        <v>66</v>
      </c>
      <c r="E266" t="s">
        <v>1494</v>
      </c>
      <c r="F266" t="b">
        <v>1</v>
      </c>
      <c r="G266" t="s">
        <v>3042</v>
      </c>
      <c r="H266" t="s">
        <v>1492</v>
      </c>
      <c r="P266" t="s">
        <v>3759</v>
      </c>
      <c r="Q266">
        <v>16576.383999999998</v>
      </c>
      <c r="R266">
        <v>18836.8</v>
      </c>
      <c r="S266">
        <v>2260.4159999999997</v>
      </c>
      <c r="T266" t="s">
        <v>3744</v>
      </c>
      <c r="U266" t="s">
        <v>3760</v>
      </c>
      <c r="V266">
        <v>2026</v>
      </c>
      <c r="W266" t="s">
        <v>3758</v>
      </c>
    </row>
    <row r="267" spans="1:29" ht="15.6" x14ac:dyDescent="0.3">
      <c r="A267" t="s">
        <v>3761</v>
      </c>
      <c r="B267" t="s">
        <v>1243</v>
      </c>
      <c r="C267" t="s">
        <v>48</v>
      </c>
      <c r="D267" t="s">
        <v>101</v>
      </c>
      <c r="E267" t="s">
        <v>550</v>
      </c>
      <c r="F267" t="b">
        <v>0</v>
      </c>
      <c r="G267" t="s">
        <v>3042</v>
      </c>
      <c r="H267" t="s">
        <v>1241</v>
      </c>
      <c r="P267" t="s">
        <v>3762</v>
      </c>
      <c r="Q267">
        <v>18836.8</v>
      </c>
      <c r="R267">
        <v>18836.8</v>
      </c>
      <c r="S267">
        <v>0</v>
      </c>
      <c r="T267" t="s">
        <v>3744</v>
      </c>
      <c r="U267" t="s">
        <v>3763</v>
      </c>
      <c r="V267">
        <v>2026</v>
      </c>
      <c r="W267" t="s">
        <v>3761</v>
      </c>
    </row>
    <row r="268" spans="1:29" ht="15.6" x14ac:dyDescent="0.3">
      <c r="A268" t="s">
        <v>3764</v>
      </c>
      <c r="B268" t="s">
        <v>62</v>
      </c>
      <c r="C268" t="s">
        <v>615</v>
      </c>
      <c r="D268" t="s">
        <v>617</v>
      </c>
      <c r="E268" t="s">
        <v>61</v>
      </c>
      <c r="F268" t="b">
        <v>0</v>
      </c>
      <c r="G268" t="s">
        <v>3042</v>
      </c>
      <c r="H268" t="s">
        <v>614</v>
      </c>
      <c r="P268" t="s">
        <v>3765</v>
      </c>
      <c r="Q268">
        <v>46784</v>
      </c>
      <c r="R268">
        <v>46784</v>
      </c>
      <c r="S268">
        <v>0</v>
      </c>
      <c r="T268" t="s">
        <v>3744</v>
      </c>
      <c r="U268" t="s">
        <v>3766</v>
      </c>
      <c r="V268">
        <v>2026</v>
      </c>
      <c r="W268" t="s">
        <v>3764</v>
      </c>
    </row>
    <row r="269" spans="1:29" ht="15.6" x14ac:dyDescent="0.3">
      <c r="A269" t="s">
        <v>3767</v>
      </c>
      <c r="B269" t="s">
        <v>992</v>
      </c>
      <c r="C269" t="s">
        <v>989</v>
      </c>
      <c r="D269" t="s">
        <v>991</v>
      </c>
      <c r="E269" t="s">
        <v>885</v>
      </c>
      <c r="F269" t="b">
        <v>1</v>
      </c>
      <c r="G269" t="s">
        <v>3042</v>
      </c>
      <c r="H269" t="s">
        <v>988</v>
      </c>
      <c r="P269" t="s">
        <v>3768</v>
      </c>
      <c r="Q269">
        <v>34464.32</v>
      </c>
      <c r="R269">
        <v>39164</v>
      </c>
      <c r="S269">
        <v>4699.6799999999994</v>
      </c>
      <c r="T269" t="s">
        <v>3744</v>
      </c>
      <c r="U269" t="s">
        <v>3769</v>
      </c>
      <c r="V269">
        <v>2026</v>
      </c>
      <c r="W269" t="s">
        <v>3767</v>
      </c>
    </row>
    <row r="270" spans="1:29" ht="15.6" x14ac:dyDescent="0.3">
      <c r="A270" t="s">
        <v>3770</v>
      </c>
      <c r="B270" t="s">
        <v>3771</v>
      </c>
      <c r="C270" t="s">
        <v>64</v>
      </c>
      <c r="D270" t="s">
        <v>66</v>
      </c>
      <c r="E270" t="s">
        <v>67</v>
      </c>
      <c r="F270" t="b">
        <v>1</v>
      </c>
      <c r="G270" t="s">
        <v>3042</v>
      </c>
      <c r="H270" t="s">
        <v>3772</v>
      </c>
      <c r="P270" t="s">
        <v>3773</v>
      </c>
      <c r="Q270">
        <v>13789.16</v>
      </c>
      <c r="R270">
        <v>15669.5</v>
      </c>
      <c r="S270">
        <v>1880.34</v>
      </c>
      <c r="T270" t="s">
        <v>3744</v>
      </c>
      <c r="U270" t="s">
        <v>3774</v>
      </c>
      <c r="V270">
        <v>2026</v>
      </c>
      <c r="W270" t="s">
        <v>3770</v>
      </c>
    </row>
    <row r="271" spans="1:29" ht="15.6" x14ac:dyDescent="0.3">
      <c r="A271" t="s">
        <v>3775</v>
      </c>
      <c r="B271" t="s">
        <v>741</v>
      </c>
      <c r="C271" t="s">
        <v>738</v>
      </c>
      <c r="D271" t="s">
        <v>66</v>
      </c>
      <c r="E271" t="s">
        <v>740</v>
      </c>
      <c r="F271" t="b">
        <v>1</v>
      </c>
      <c r="G271" t="s">
        <v>3042</v>
      </c>
      <c r="H271" t="s">
        <v>737</v>
      </c>
      <c r="P271" t="s">
        <v>3776</v>
      </c>
      <c r="Q271">
        <v>4523.9040000000005</v>
      </c>
      <c r="R271">
        <v>5140.8</v>
      </c>
      <c r="S271">
        <v>616.89599999999996</v>
      </c>
      <c r="T271" t="s">
        <v>3744</v>
      </c>
      <c r="U271" t="s">
        <v>3777</v>
      </c>
      <c r="V271">
        <v>2026</v>
      </c>
      <c r="W271" t="s">
        <v>3775</v>
      </c>
    </row>
    <row r="272" spans="1:29" ht="15.6" x14ac:dyDescent="0.3">
      <c r="A272" t="s">
        <v>3778</v>
      </c>
      <c r="B272" t="s">
        <v>326</v>
      </c>
      <c r="C272" t="s">
        <v>324</v>
      </c>
      <c r="D272" t="s">
        <v>66</v>
      </c>
      <c r="E272" t="s">
        <v>177</v>
      </c>
      <c r="F272" t="b">
        <v>1</v>
      </c>
      <c r="G272" t="s">
        <v>3042</v>
      </c>
      <c r="H272" t="s">
        <v>323</v>
      </c>
      <c r="P272" t="s">
        <v>3779</v>
      </c>
      <c r="Q272">
        <v>69533.024000000005</v>
      </c>
      <c r="R272">
        <v>79014.8</v>
      </c>
      <c r="S272">
        <v>9481.7759999999998</v>
      </c>
      <c r="T272" t="s">
        <v>3744</v>
      </c>
      <c r="U272" t="s">
        <v>3780</v>
      </c>
      <c r="V272">
        <v>2026</v>
      </c>
      <c r="W272" t="s">
        <v>3778</v>
      </c>
    </row>
    <row r="273" spans="1:31" ht="15.6" x14ac:dyDescent="0.3">
      <c r="A273" t="s">
        <v>3781</v>
      </c>
      <c r="B273" t="s">
        <v>1495</v>
      </c>
      <c r="C273" t="s">
        <v>175</v>
      </c>
      <c r="D273" t="s">
        <v>66</v>
      </c>
      <c r="E273" t="s">
        <v>1494</v>
      </c>
      <c r="F273" t="b">
        <v>1</v>
      </c>
      <c r="G273" t="s">
        <v>3042</v>
      </c>
      <c r="H273" t="s">
        <v>1492</v>
      </c>
      <c r="P273" t="s">
        <v>3782</v>
      </c>
      <c r="Q273">
        <v>13563.263999999999</v>
      </c>
      <c r="R273">
        <v>15412.8</v>
      </c>
      <c r="S273">
        <v>1849.5359999999998</v>
      </c>
      <c r="T273" t="s">
        <v>3744</v>
      </c>
      <c r="U273" t="s">
        <v>3783</v>
      </c>
      <c r="V273">
        <v>2026</v>
      </c>
      <c r="W273" t="s">
        <v>3781</v>
      </c>
    </row>
    <row r="274" spans="1:31" ht="15.6" x14ac:dyDescent="0.3">
      <c r="A274" t="s">
        <v>3784</v>
      </c>
      <c r="B274" t="s">
        <v>178</v>
      </c>
      <c r="C274" t="s">
        <v>175</v>
      </c>
      <c r="D274" t="s">
        <v>66</v>
      </c>
      <c r="E274" t="s">
        <v>177</v>
      </c>
      <c r="F274" t="b">
        <v>1</v>
      </c>
      <c r="G274" t="s">
        <v>3042</v>
      </c>
      <c r="H274" t="s">
        <v>174</v>
      </c>
      <c r="P274" t="s">
        <v>3785</v>
      </c>
      <c r="Q274">
        <v>25995.200000000001</v>
      </c>
      <c r="R274">
        <v>29540</v>
      </c>
      <c r="S274">
        <v>3544.7999999999997</v>
      </c>
      <c r="T274" t="s">
        <v>3744</v>
      </c>
      <c r="U274" t="s">
        <v>3786</v>
      </c>
      <c r="V274">
        <v>2026</v>
      </c>
      <c r="W274" t="s">
        <v>3784</v>
      </c>
    </row>
    <row r="275" spans="1:31" ht="15.6" x14ac:dyDescent="0.3">
      <c r="A275" t="s">
        <v>3787</v>
      </c>
      <c r="B275" t="s">
        <v>447</v>
      </c>
      <c r="C275" t="s">
        <v>444</v>
      </c>
      <c r="D275" t="s">
        <v>66</v>
      </c>
      <c r="E275" t="s">
        <v>446</v>
      </c>
      <c r="F275" t="b">
        <v>0</v>
      </c>
      <c r="G275" t="s">
        <v>3070</v>
      </c>
      <c r="H275" t="s">
        <v>443</v>
      </c>
      <c r="P275" t="s">
        <v>3788</v>
      </c>
      <c r="Q275">
        <v>7110</v>
      </c>
      <c r="R275">
        <v>7110</v>
      </c>
      <c r="S275">
        <v>0</v>
      </c>
      <c r="T275" t="s">
        <v>3744</v>
      </c>
      <c r="U275" t="s">
        <v>3789</v>
      </c>
      <c r="V275">
        <v>2026</v>
      </c>
      <c r="W275" t="s">
        <v>3787</v>
      </c>
    </row>
    <row r="276" spans="1:31" ht="15.6" x14ac:dyDescent="0.3">
      <c r="A276" t="s">
        <v>3790</v>
      </c>
      <c r="B276" t="s">
        <v>326</v>
      </c>
      <c r="C276" t="s">
        <v>324</v>
      </c>
      <c r="D276" t="s">
        <v>66</v>
      </c>
      <c r="E276" t="s">
        <v>177</v>
      </c>
      <c r="F276" t="b">
        <v>1</v>
      </c>
      <c r="G276" t="s">
        <v>3042</v>
      </c>
      <c r="H276" t="s">
        <v>323</v>
      </c>
      <c r="P276" t="s">
        <v>3791</v>
      </c>
      <c r="Q276">
        <v>25995.200000000001</v>
      </c>
      <c r="R276">
        <v>29540</v>
      </c>
      <c r="S276">
        <v>3544.7999999999997</v>
      </c>
      <c r="T276" t="s">
        <v>3744</v>
      </c>
      <c r="U276" t="s">
        <v>3792</v>
      </c>
      <c r="V276">
        <v>2026</v>
      </c>
      <c r="W276" t="s">
        <v>3790</v>
      </c>
    </row>
    <row r="277" spans="1:31" ht="15.6" x14ac:dyDescent="0.3">
      <c r="A277" t="s">
        <v>3793</v>
      </c>
      <c r="B277" t="s">
        <v>434</v>
      </c>
      <c r="C277" t="s">
        <v>431</v>
      </c>
      <c r="D277" t="s">
        <v>66</v>
      </c>
      <c r="E277" t="s">
        <v>433</v>
      </c>
      <c r="F277" t="b">
        <v>1</v>
      </c>
      <c r="G277" t="s">
        <v>3042</v>
      </c>
      <c r="H277" t="s">
        <v>430</v>
      </c>
      <c r="P277" t="s">
        <v>3794</v>
      </c>
      <c r="Q277">
        <v>4523.9040000000005</v>
      </c>
      <c r="R277">
        <v>5140.8</v>
      </c>
      <c r="S277">
        <v>616.89599999999996</v>
      </c>
      <c r="T277" t="s">
        <v>3744</v>
      </c>
      <c r="U277" t="s">
        <v>3795</v>
      </c>
      <c r="V277">
        <v>2026</v>
      </c>
      <c r="W277" t="s">
        <v>3793</v>
      </c>
    </row>
    <row r="278" spans="1:31" ht="15.6" x14ac:dyDescent="0.3">
      <c r="A278" t="s">
        <v>3796</v>
      </c>
      <c r="B278" t="s">
        <v>1500</v>
      </c>
      <c r="C278" t="s">
        <v>1497</v>
      </c>
      <c r="D278" t="s">
        <v>66</v>
      </c>
      <c r="E278" t="s">
        <v>1499</v>
      </c>
      <c r="F278" t="b">
        <v>1</v>
      </c>
      <c r="G278" t="s">
        <v>3070</v>
      </c>
      <c r="H278" t="s">
        <v>1496</v>
      </c>
      <c r="P278" t="s">
        <v>3797</v>
      </c>
      <c r="Q278">
        <v>53714.144</v>
      </c>
      <c r="R278">
        <v>61038.8</v>
      </c>
      <c r="S278">
        <v>7324.6559999999999</v>
      </c>
      <c r="T278" t="s">
        <v>3744</v>
      </c>
      <c r="U278" t="s">
        <v>3798</v>
      </c>
      <c r="V278">
        <v>2026</v>
      </c>
      <c r="W278" t="s">
        <v>3796</v>
      </c>
    </row>
    <row r="279" spans="1:31" ht="15.6" x14ac:dyDescent="0.3">
      <c r="A279" t="s">
        <v>3799</v>
      </c>
      <c r="B279" t="s">
        <v>62</v>
      </c>
      <c r="C279" t="s">
        <v>58</v>
      </c>
      <c r="D279" t="s">
        <v>60</v>
      </c>
      <c r="E279" t="s">
        <v>61</v>
      </c>
      <c r="F279" t="b">
        <v>0</v>
      </c>
      <c r="G279" t="s">
        <v>3094</v>
      </c>
      <c r="H279" t="s">
        <v>57</v>
      </c>
      <c r="P279" t="s">
        <v>3800</v>
      </c>
      <c r="Q279">
        <v>7909.24</v>
      </c>
      <c r="R279">
        <v>7909.24</v>
      </c>
      <c r="S279">
        <v>0</v>
      </c>
      <c r="T279" t="s">
        <v>3801</v>
      </c>
      <c r="U279" t="s">
        <v>3802</v>
      </c>
      <c r="V279">
        <v>2026</v>
      </c>
      <c r="W279" t="s">
        <v>3799</v>
      </c>
    </row>
    <row r="280" spans="1:31" ht="15.6" x14ac:dyDescent="0.3">
      <c r="A280" t="s">
        <v>3803</v>
      </c>
      <c r="B280" t="s">
        <v>103</v>
      </c>
      <c r="C280" t="s">
        <v>99</v>
      </c>
      <c r="D280" t="s">
        <v>101</v>
      </c>
      <c r="E280" t="s">
        <v>102</v>
      </c>
      <c r="F280" t="b">
        <v>1</v>
      </c>
      <c r="G280" t="s">
        <v>3094</v>
      </c>
      <c r="H280" t="s">
        <v>98</v>
      </c>
      <c r="P280" t="s">
        <v>3804</v>
      </c>
      <c r="Q280">
        <v>8748.3352000000014</v>
      </c>
      <c r="R280">
        <v>9941.2900000000009</v>
      </c>
      <c r="S280">
        <v>1192.9548</v>
      </c>
      <c r="T280" t="s">
        <v>3801</v>
      </c>
      <c r="U280" t="s">
        <v>3805</v>
      </c>
      <c r="V280">
        <v>2026</v>
      </c>
      <c r="W280" t="s">
        <v>3803</v>
      </c>
    </row>
    <row r="281" spans="1:31" ht="15.6" x14ac:dyDescent="0.3">
      <c r="A281" t="s">
        <v>3806</v>
      </c>
      <c r="B281" t="s">
        <v>886</v>
      </c>
      <c r="C281" t="s">
        <v>882</v>
      </c>
      <c r="D281" t="s">
        <v>884</v>
      </c>
      <c r="E281" t="s">
        <v>885</v>
      </c>
      <c r="F281" t="b">
        <v>1</v>
      </c>
      <c r="G281" t="s">
        <v>3094</v>
      </c>
      <c r="H281" t="s">
        <v>881</v>
      </c>
      <c r="P281" t="s">
        <v>3807</v>
      </c>
      <c r="Q281">
        <v>8837.7343999999994</v>
      </c>
      <c r="R281">
        <v>10042.879999999999</v>
      </c>
      <c r="S281">
        <v>1205.1455999999998</v>
      </c>
      <c r="T281" t="s">
        <v>3801</v>
      </c>
      <c r="U281" t="s">
        <v>3808</v>
      </c>
      <c r="V281">
        <v>2026</v>
      </c>
      <c r="W281" t="s">
        <v>3806</v>
      </c>
    </row>
    <row r="282" spans="1:31" ht="15.6" x14ac:dyDescent="0.3">
      <c r="A282" t="s">
        <v>3809</v>
      </c>
      <c r="B282" t="s">
        <v>1507</v>
      </c>
      <c r="C282" t="s">
        <v>1504</v>
      </c>
      <c r="D282" t="s">
        <v>66</v>
      </c>
      <c r="E282" t="s">
        <v>1506</v>
      </c>
      <c r="F282" t="b">
        <v>1</v>
      </c>
      <c r="G282" t="s">
        <v>3094</v>
      </c>
      <c r="H282" t="s">
        <v>1503</v>
      </c>
      <c r="P282" t="s">
        <v>3810</v>
      </c>
      <c r="Q282">
        <v>3480.0655999999999</v>
      </c>
      <c r="R282">
        <v>3954.62</v>
      </c>
      <c r="S282">
        <v>474.55439999999999</v>
      </c>
      <c r="T282" t="s">
        <v>3801</v>
      </c>
      <c r="U282" t="s">
        <v>3811</v>
      </c>
      <c r="V282">
        <v>2026</v>
      </c>
      <c r="W282" t="s">
        <v>3809</v>
      </c>
    </row>
    <row r="283" spans="1:31" ht="15.6" x14ac:dyDescent="0.3">
      <c r="A283" t="s">
        <v>3812</v>
      </c>
      <c r="B283" t="s">
        <v>68</v>
      </c>
      <c r="C283" t="s">
        <v>64</v>
      </c>
      <c r="D283" t="s">
        <v>66</v>
      </c>
      <c r="E283" t="s">
        <v>67</v>
      </c>
      <c r="F283" t="b">
        <v>1</v>
      </c>
      <c r="G283" t="s">
        <v>3094</v>
      </c>
      <c r="H283" t="s">
        <v>63</v>
      </c>
      <c r="P283" t="s">
        <v>3813</v>
      </c>
      <c r="Q283">
        <v>26245.005600000004</v>
      </c>
      <c r="R283">
        <v>29823.870000000003</v>
      </c>
      <c r="S283">
        <v>3578.8644000000004</v>
      </c>
      <c r="T283" t="s">
        <v>3801</v>
      </c>
      <c r="U283" t="s">
        <v>3814</v>
      </c>
      <c r="V283">
        <v>2026</v>
      </c>
      <c r="W283" t="s">
        <v>3812</v>
      </c>
    </row>
    <row r="284" spans="1:31" ht="15.6" x14ac:dyDescent="0.3">
      <c r="A284" t="s">
        <v>3815</v>
      </c>
      <c r="B284" t="s">
        <v>551</v>
      </c>
      <c r="C284" t="s">
        <v>48</v>
      </c>
      <c r="D284" t="s">
        <v>101</v>
      </c>
      <c r="E284" t="s">
        <v>550</v>
      </c>
      <c r="F284" t="b">
        <v>0</v>
      </c>
      <c r="G284" t="s">
        <v>3094</v>
      </c>
      <c r="H284" t="s">
        <v>548</v>
      </c>
      <c r="P284" t="s">
        <v>3816</v>
      </c>
      <c r="Q284">
        <v>2183.48</v>
      </c>
      <c r="R284">
        <v>2183.48</v>
      </c>
      <c r="S284">
        <v>0</v>
      </c>
      <c r="T284" t="s">
        <v>3801</v>
      </c>
      <c r="U284" t="s">
        <v>3817</v>
      </c>
      <c r="V284">
        <v>2026</v>
      </c>
      <c r="W284" t="s">
        <v>3815</v>
      </c>
    </row>
    <row r="285" spans="1:31" ht="15.6" x14ac:dyDescent="0.3">
      <c r="A285" t="s">
        <v>3818</v>
      </c>
      <c r="B285" t="s">
        <v>625</v>
      </c>
      <c r="C285" t="s">
        <v>75</v>
      </c>
      <c r="D285" t="s">
        <v>66</v>
      </c>
      <c r="E285" t="s">
        <v>624</v>
      </c>
      <c r="F285" t="b">
        <v>1</v>
      </c>
      <c r="G285" t="s">
        <v>3094</v>
      </c>
      <c r="H285" t="s">
        <v>622</v>
      </c>
      <c r="P285" t="s">
        <v>3810</v>
      </c>
      <c r="Q285">
        <v>3480.0655999999999</v>
      </c>
      <c r="R285">
        <v>3954.62</v>
      </c>
      <c r="S285">
        <v>474.55439999999999</v>
      </c>
      <c r="T285" t="s">
        <v>3801</v>
      </c>
      <c r="U285" t="s">
        <v>3819</v>
      </c>
      <c r="V285">
        <v>2026</v>
      </c>
      <c r="W285" t="s">
        <v>3818</v>
      </c>
    </row>
    <row r="286" spans="1:31" ht="15.6" x14ac:dyDescent="0.3">
      <c r="A286" t="s">
        <v>3820</v>
      </c>
      <c r="B286" t="s">
        <v>679</v>
      </c>
      <c r="C286" t="s">
        <v>677</v>
      </c>
      <c r="D286" t="s">
        <v>13</v>
      </c>
      <c r="E286" t="s">
        <v>678</v>
      </c>
      <c r="F286" t="b">
        <v>0</v>
      </c>
      <c r="G286" t="s">
        <v>3624</v>
      </c>
      <c r="H286" t="s">
        <v>676</v>
      </c>
      <c r="P286" t="s">
        <v>3821</v>
      </c>
      <c r="Q286">
        <v>179939.82</v>
      </c>
      <c r="R286">
        <v>179939.82</v>
      </c>
      <c r="S286">
        <v>0</v>
      </c>
      <c r="T286" t="s">
        <v>3744</v>
      </c>
      <c r="U286" t="s">
        <v>3822</v>
      </c>
      <c r="V286">
        <v>2026</v>
      </c>
      <c r="W286" t="s">
        <v>3820</v>
      </c>
      <c r="AE286" t="b">
        <v>1</v>
      </c>
    </row>
    <row r="287" spans="1:31" ht="15.6" x14ac:dyDescent="0.3">
      <c r="A287" t="s">
        <v>3823</v>
      </c>
      <c r="B287" t="s">
        <v>679</v>
      </c>
      <c r="C287" t="s">
        <v>677</v>
      </c>
      <c r="D287" t="s">
        <v>13</v>
      </c>
      <c r="E287" t="s">
        <v>678</v>
      </c>
      <c r="F287" t="b">
        <v>0</v>
      </c>
      <c r="G287" t="s">
        <v>3624</v>
      </c>
      <c r="H287" t="s">
        <v>676</v>
      </c>
      <c r="P287" t="s">
        <v>3824</v>
      </c>
      <c r="Q287">
        <v>35978.960000000006</v>
      </c>
      <c r="R287">
        <v>35978.960000000006</v>
      </c>
      <c r="S287">
        <v>0</v>
      </c>
      <c r="T287" t="s">
        <v>3744</v>
      </c>
      <c r="U287" t="s">
        <v>3825</v>
      </c>
      <c r="V287">
        <v>2026</v>
      </c>
      <c r="W287" t="s">
        <v>3823</v>
      </c>
      <c r="AE287" t="b">
        <v>1</v>
      </c>
    </row>
    <row r="288" spans="1:31" ht="15.6" x14ac:dyDescent="0.3">
      <c r="A288" t="s">
        <v>3826</v>
      </c>
      <c r="B288" t="s">
        <v>679</v>
      </c>
      <c r="C288" t="s">
        <v>677</v>
      </c>
      <c r="D288" t="s">
        <v>13</v>
      </c>
      <c r="E288" t="s">
        <v>678</v>
      </c>
      <c r="F288" t="b">
        <v>0</v>
      </c>
      <c r="G288" t="s">
        <v>3624</v>
      </c>
      <c r="H288" t="s">
        <v>676</v>
      </c>
      <c r="P288" t="s">
        <v>3821</v>
      </c>
      <c r="Q288">
        <v>179939.82</v>
      </c>
      <c r="R288">
        <v>179939.82</v>
      </c>
      <c r="S288">
        <v>0</v>
      </c>
      <c r="T288" t="s">
        <v>3744</v>
      </c>
      <c r="U288" t="s">
        <v>3827</v>
      </c>
      <c r="V288">
        <v>2026</v>
      </c>
      <c r="W288" t="s">
        <v>3826</v>
      </c>
      <c r="AE288" t="b">
        <v>1</v>
      </c>
    </row>
    <row r="289" spans="1:31" ht="15.6" x14ac:dyDescent="0.3">
      <c r="A289" t="s">
        <v>3828</v>
      </c>
      <c r="B289" t="s">
        <v>1598</v>
      </c>
      <c r="C289" t="s">
        <v>1595</v>
      </c>
      <c r="D289" t="s">
        <v>66</v>
      </c>
      <c r="E289" t="s">
        <v>1597</v>
      </c>
      <c r="F289" t="b">
        <v>1</v>
      </c>
      <c r="G289" t="s">
        <v>3042</v>
      </c>
      <c r="H289" t="s">
        <v>1594</v>
      </c>
      <c r="P289" t="s">
        <v>3829</v>
      </c>
      <c r="Q289">
        <v>7537.0239999999994</v>
      </c>
      <c r="R289">
        <v>8564.7999999999993</v>
      </c>
      <c r="S289">
        <v>1027.7759999999998</v>
      </c>
      <c r="T289" t="s">
        <v>3744</v>
      </c>
      <c r="U289" t="s">
        <v>3830</v>
      </c>
      <c r="V289">
        <v>2026</v>
      </c>
      <c r="W289" t="s">
        <v>3828</v>
      </c>
      <c r="AE289" t="b">
        <v>0</v>
      </c>
    </row>
    <row r="290" spans="1:31" ht="15.6" x14ac:dyDescent="0.3">
      <c r="A290" t="s">
        <v>3831</v>
      </c>
      <c r="B290" t="s">
        <v>1500</v>
      </c>
      <c r="C290" t="s">
        <v>1497</v>
      </c>
      <c r="D290" t="s">
        <v>66</v>
      </c>
      <c r="E290" t="s">
        <v>1499</v>
      </c>
      <c r="F290" t="b">
        <v>1</v>
      </c>
      <c r="G290" t="s">
        <v>3167</v>
      </c>
      <c r="H290" t="s">
        <v>1496</v>
      </c>
      <c r="P290" t="s">
        <v>3832</v>
      </c>
      <c r="Q290">
        <v>24710.400000000001</v>
      </c>
      <c r="R290">
        <v>28080</v>
      </c>
      <c r="S290">
        <v>3369.6</v>
      </c>
      <c r="T290" t="s">
        <v>3744</v>
      </c>
      <c r="U290" t="s">
        <v>3833</v>
      </c>
      <c r="V290">
        <v>2026</v>
      </c>
      <c r="W290" t="s">
        <v>3831</v>
      </c>
      <c r="AE290" t="b">
        <v>0</v>
      </c>
    </row>
    <row r="291" spans="1:31" ht="15.6" x14ac:dyDescent="0.3">
      <c r="A291" t="s">
        <v>3834</v>
      </c>
      <c r="B291" t="s">
        <v>1636</v>
      </c>
      <c r="C291" t="s">
        <v>1632</v>
      </c>
      <c r="D291" t="s">
        <v>1634</v>
      </c>
      <c r="E291" t="s">
        <v>1635</v>
      </c>
      <c r="F291" t="b">
        <v>0</v>
      </c>
      <c r="G291" t="s">
        <v>3042</v>
      </c>
      <c r="H291" t="s">
        <v>1631</v>
      </c>
      <c r="P291" t="s">
        <v>3835</v>
      </c>
      <c r="Q291">
        <v>5140.8</v>
      </c>
      <c r="R291">
        <v>5140.8</v>
      </c>
      <c r="S291">
        <v>0</v>
      </c>
      <c r="T291" t="s">
        <v>3744</v>
      </c>
      <c r="U291" t="s">
        <v>3836</v>
      </c>
      <c r="V291">
        <v>2026</v>
      </c>
      <c r="W291" t="s">
        <v>3834</v>
      </c>
      <c r="AE291" t="b">
        <v>0</v>
      </c>
    </row>
    <row r="292" spans="1:31" ht="15.6" x14ac:dyDescent="0.3">
      <c r="A292" t="s">
        <v>3837</v>
      </c>
      <c r="B292" t="s">
        <v>294</v>
      </c>
      <c r="C292" t="s">
        <v>291</v>
      </c>
      <c r="D292" t="s">
        <v>66</v>
      </c>
      <c r="E292" t="s">
        <v>293</v>
      </c>
      <c r="F292" t="b">
        <v>1</v>
      </c>
      <c r="G292" t="s">
        <v>3042</v>
      </c>
      <c r="H292" t="s">
        <v>290</v>
      </c>
      <c r="P292" t="s">
        <v>3835</v>
      </c>
      <c r="Q292">
        <v>4523.9040000000005</v>
      </c>
      <c r="R292">
        <v>5140.8</v>
      </c>
      <c r="S292">
        <v>616.89599999999996</v>
      </c>
      <c r="T292" t="s">
        <v>3744</v>
      </c>
      <c r="U292" t="s">
        <v>3838</v>
      </c>
      <c r="V292">
        <v>2026</v>
      </c>
      <c r="W292" t="s">
        <v>3837</v>
      </c>
      <c r="AE292" t="b">
        <v>0</v>
      </c>
    </row>
    <row r="293" spans="1:31" ht="15.6" x14ac:dyDescent="0.3">
      <c r="A293" t="s">
        <v>3839</v>
      </c>
      <c r="B293" t="s">
        <v>822</v>
      </c>
      <c r="C293" t="s">
        <v>819</v>
      </c>
      <c r="D293" t="s">
        <v>66</v>
      </c>
      <c r="E293" t="s">
        <v>821</v>
      </c>
      <c r="F293" t="b">
        <v>1</v>
      </c>
      <c r="G293" t="s">
        <v>3042</v>
      </c>
      <c r="H293" t="s">
        <v>818</v>
      </c>
      <c r="P293" t="s">
        <v>3840</v>
      </c>
      <c r="Q293">
        <v>139186.78399999999</v>
      </c>
      <c r="R293">
        <v>158166.79999999999</v>
      </c>
      <c r="S293">
        <v>18980.016</v>
      </c>
      <c r="T293" t="s">
        <v>3744</v>
      </c>
      <c r="U293" t="s">
        <v>3841</v>
      </c>
      <c r="V293">
        <v>2026</v>
      </c>
      <c r="W293" t="s">
        <v>3839</v>
      </c>
      <c r="AE293" t="b">
        <v>0</v>
      </c>
    </row>
    <row r="294" spans="1:31" ht="15.6" x14ac:dyDescent="0.3">
      <c r="A294" t="s">
        <v>3842</v>
      </c>
      <c r="B294" t="s">
        <v>822</v>
      </c>
      <c r="C294" t="s">
        <v>819</v>
      </c>
      <c r="D294" t="s">
        <v>66</v>
      </c>
      <c r="E294" t="s">
        <v>821</v>
      </c>
      <c r="F294" t="b">
        <v>1</v>
      </c>
      <c r="G294" t="s">
        <v>3026</v>
      </c>
      <c r="H294" t="s">
        <v>818</v>
      </c>
      <c r="P294" t="s">
        <v>3843</v>
      </c>
      <c r="Q294">
        <v>6160</v>
      </c>
      <c r="R294">
        <v>7000</v>
      </c>
      <c r="S294">
        <v>840</v>
      </c>
      <c r="T294" t="s">
        <v>3744</v>
      </c>
      <c r="U294" t="s">
        <v>3844</v>
      </c>
      <c r="V294">
        <v>2026</v>
      </c>
      <c r="W294" t="s">
        <v>3842</v>
      </c>
      <c r="AE294" t="b">
        <v>0</v>
      </c>
    </row>
    <row r="295" spans="1:31" ht="15.6" x14ac:dyDescent="0.3">
      <c r="A295" t="s">
        <v>3845</v>
      </c>
      <c r="B295" t="s">
        <v>62</v>
      </c>
      <c r="C295" t="s">
        <v>58</v>
      </c>
      <c r="D295" t="s">
        <v>60</v>
      </c>
      <c r="E295" t="s">
        <v>61</v>
      </c>
      <c r="F295" t="b">
        <v>0</v>
      </c>
      <c r="G295" t="s">
        <v>3094</v>
      </c>
      <c r="H295" t="s">
        <v>57</v>
      </c>
      <c r="P295" t="s">
        <v>3846</v>
      </c>
      <c r="Q295">
        <v>7909.24</v>
      </c>
      <c r="R295">
        <v>7909.24</v>
      </c>
      <c r="S295">
        <v>0</v>
      </c>
      <c r="T295" t="s">
        <v>3847</v>
      </c>
      <c r="U295" t="s">
        <v>3848</v>
      </c>
      <c r="V295">
        <v>2026</v>
      </c>
      <c r="W295" t="s">
        <v>3845</v>
      </c>
      <c r="AE295" t="b">
        <v>0</v>
      </c>
    </row>
    <row r="296" spans="1:31" ht="15.6" x14ac:dyDescent="0.3">
      <c r="A296" t="s">
        <v>3849</v>
      </c>
      <c r="B296" t="s">
        <v>521</v>
      </c>
      <c r="C296" t="s">
        <v>518</v>
      </c>
      <c r="D296" t="s">
        <v>66</v>
      </c>
      <c r="E296" t="s">
        <v>520</v>
      </c>
      <c r="F296" t="b">
        <v>1</v>
      </c>
      <c r="G296" t="s">
        <v>3042</v>
      </c>
      <c r="H296" t="s">
        <v>517</v>
      </c>
      <c r="P296" t="s">
        <v>3850</v>
      </c>
      <c r="Q296">
        <v>5482.4</v>
      </c>
      <c r="R296">
        <v>6230</v>
      </c>
      <c r="S296">
        <v>747.6</v>
      </c>
      <c r="T296" t="s">
        <v>3744</v>
      </c>
      <c r="U296" t="s">
        <v>3851</v>
      </c>
      <c r="V296">
        <v>2026</v>
      </c>
      <c r="W296" t="s">
        <v>3849</v>
      </c>
      <c r="AE296" t="b">
        <v>0</v>
      </c>
    </row>
    <row r="297" spans="1:31" ht="15.6" x14ac:dyDescent="0.3">
      <c r="A297" t="s">
        <v>3852</v>
      </c>
      <c r="B297" t="s">
        <v>1517</v>
      </c>
      <c r="C297" t="s">
        <v>1514</v>
      </c>
      <c r="D297" t="s">
        <v>884</v>
      </c>
      <c r="E297" t="s">
        <v>1516</v>
      </c>
      <c r="F297" t="b">
        <v>1</v>
      </c>
      <c r="G297" t="s">
        <v>3624</v>
      </c>
      <c r="H297" t="s">
        <v>1513</v>
      </c>
      <c r="P297" t="s">
        <v>3853</v>
      </c>
      <c r="Q297">
        <v>16083.3024</v>
      </c>
      <c r="R297">
        <v>18276.48</v>
      </c>
      <c r="S297">
        <v>2193.1776</v>
      </c>
      <c r="T297" t="s">
        <v>3744</v>
      </c>
      <c r="U297" t="s">
        <v>3854</v>
      </c>
      <c r="V297">
        <v>2026</v>
      </c>
      <c r="W297" t="s">
        <v>3852</v>
      </c>
      <c r="AE297" t="b">
        <v>0</v>
      </c>
    </row>
    <row r="298" spans="1:31" ht="15.6" x14ac:dyDescent="0.3">
      <c r="A298" t="s">
        <v>3855</v>
      </c>
      <c r="B298" t="s">
        <v>1517</v>
      </c>
      <c r="C298" t="s">
        <v>1514</v>
      </c>
      <c r="D298" t="s">
        <v>884</v>
      </c>
      <c r="E298" t="s">
        <v>1516</v>
      </c>
      <c r="F298" t="b">
        <v>1</v>
      </c>
      <c r="G298" t="s">
        <v>3624</v>
      </c>
      <c r="H298" t="s">
        <v>1513</v>
      </c>
      <c r="P298" t="s">
        <v>3856</v>
      </c>
      <c r="Q298">
        <v>21090.502400000001</v>
      </c>
      <c r="R298">
        <v>23966.48</v>
      </c>
      <c r="S298">
        <v>2875.9775999999997</v>
      </c>
      <c r="T298" t="s">
        <v>3744</v>
      </c>
      <c r="U298" t="s">
        <v>3857</v>
      </c>
      <c r="V298">
        <v>2026</v>
      </c>
      <c r="W298" t="s">
        <v>3855</v>
      </c>
      <c r="AE298" t="b">
        <v>0</v>
      </c>
    </row>
    <row r="299" spans="1:31" ht="15.6" x14ac:dyDescent="0.3">
      <c r="A299" t="s">
        <v>3858</v>
      </c>
      <c r="B299" t="s">
        <v>1517</v>
      </c>
      <c r="C299" t="s">
        <v>1514</v>
      </c>
      <c r="D299" t="s">
        <v>884</v>
      </c>
      <c r="E299" t="s">
        <v>1516</v>
      </c>
      <c r="F299" t="b">
        <v>1</v>
      </c>
      <c r="G299" t="s">
        <v>3624</v>
      </c>
      <c r="H299" t="s">
        <v>1513</v>
      </c>
      <c r="P299" t="s">
        <v>3859</v>
      </c>
      <c r="Q299">
        <v>26825.286399999997</v>
      </c>
      <c r="R299">
        <v>30483.279999999999</v>
      </c>
      <c r="S299">
        <v>3657.9935999999998</v>
      </c>
      <c r="T299" t="s">
        <v>3744</v>
      </c>
      <c r="U299" t="s">
        <v>3860</v>
      </c>
      <c r="V299">
        <v>2026</v>
      </c>
      <c r="W299" t="s">
        <v>3858</v>
      </c>
      <c r="AE299" t="b">
        <v>0</v>
      </c>
    </row>
    <row r="300" spans="1:31" ht="15.6" x14ac:dyDescent="0.3">
      <c r="A300" t="s">
        <v>3861</v>
      </c>
      <c r="B300" t="s">
        <v>746</v>
      </c>
      <c r="C300" t="s">
        <v>743</v>
      </c>
      <c r="D300" t="s">
        <v>48</v>
      </c>
      <c r="E300" t="s">
        <v>745</v>
      </c>
      <c r="F300" t="b">
        <v>0</v>
      </c>
      <c r="G300" t="s">
        <v>3862</v>
      </c>
      <c r="H300" t="s">
        <v>742</v>
      </c>
      <c r="P300" t="s">
        <v>3863</v>
      </c>
      <c r="Q300">
        <v>2559614</v>
      </c>
      <c r="R300">
        <v>2559614</v>
      </c>
      <c r="S300">
        <v>0</v>
      </c>
      <c r="T300" t="s">
        <v>3744</v>
      </c>
      <c r="U300" t="s">
        <v>3864</v>
      </c>
      <c r="V300">
        <v>2026</v>
      </c>
      <c r="W300" t="s">
        <v>3861</v>
      </c>
      <c r="AE300" t="b">
        <v>0</v>
      </c>
    </row>
    <row r="301" spans="1:31" ht="15.6" x14ac:dyDescent="0.3">
      <c r="A301" t="s">
        <v>3865</v>
      </c>
      <c r="B301" t="s">
        <v>314</v>
      </c>
      <c r="C301" t="s">
        <v>311</v>
      </c>
      <c r="D301" t="s">
        <v>77</v>
      </c>
      <c r="E301" t="s">
        <v>313</v>
      </c>
      <c r="F301" t="b">
        <v>0</v>
      </c>
      <c r="G301" t="s">
        <v>3624</v>
      </c>
      <c r="H301" t="s">
        <v>310</v>
      </c>
      <c r="P301" t="s">
        <v>3866</v>
      </c>
      <c r="Q301">
        <v>20756.879999999997</v>
      </c>
      <c r="R301">
        <v>20756.879999999997</v>
      </c>
      <c r="S301">
        <v>0</v>
      </c>
      <c r="T301" t="s">
        <v>3744</v>
      </c>
      <c r="U301" t="s">
        <v>3867</v>
      </c>
      <c r="V301">
        <v>2026</v>
      </c>
      <c r="W301" t="s">
        <v>3865</v>
      </c>
      <c r="AE301" t="b">
        <v>0</v>
      </c>
    </row>
    <row r="302" spans="1:31" ht="15.6" x14ac:dyDescent="0.3">
      <c r="A302" t="s">
        <v>3868</v>
      </c>
      <c r="B302" t="s">
        <v>308</v>
      </c>
      <c r="C302" t="s">
        <v>305</v>
      </c>
      <c r="D302" t="s">
        <v>77</v>
      </c>
      <c r="E302" t="s">
        <v>307</v>
      </c>
      <c r="F302" t="b">
        <v>0</v>
      </c>
      <c r="G302" t="s">
        <v>3167</v>
      </c>
      <c r="H302" t="s">
        <v>304</v>
      </c>
      <c r="P302" t="s">
        <v>3869</v>
      </c>
      <c r="Q302">
        <v>11610</v>
      </c>
      <c r="R302">
        <v>11610</v>
      </c>
      <c r="S302">
        <v>0</v>
      </c>
      <c r="T302" t="s">
        <v>3744</v>
      </c>
      <c r="U302" t="s">
        <v>3870</v>
      </c>
      <c r="V302">
        <v>2026</v>
      </c>
      <c r="W302" t="s">
        <v>3868</v>
      </c>
      <c r="AE302" t="b">
        <v>0</v>
      </c>
    </row>
  </sheetData>
  <pageMargins left="0.7" right="0.7" top="0.75" bottom="0.75" header="0.3" footer="0.3"/>
  <ignoredErrors>
    <ignoredError sqref="A1:AE30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4"/>
  <sheetViews>
    <sheetView workbookViewId="0"/>
  </sheetViews>
  <sheetFormatPr defaultRowHeight="14.4" x14ac:dyDescent="0.3"/>
  <sheetData>
    <row r="1" spans="1:25" ht="15.6" x14ac:dyDescent="0.3">
      <c r="A1" t="s">
        <v>0</v>
      </c>
      <c r="B1" t="s">
        <v>3015</v>
      </c>
      <c r="C1" t="s">
        <v>3871</v>
      </c>
      <c r="D1" t="s">
        <v>3872</v>
      </c>
      <c r="E1" t="s">
        <v>1983</v>
      </c>
      <c r="F1" t="s">
        <v>3873</v>
      </c>
      <c r="G1" t="s">
        <v>3013</v>
      </c>
      <c r="H1" t="s">
        <v>3874</v>
      </c>
      <c r="I1" t="s">
        <v>3875</v>
      </c>
      <c r="J1" t="s">
        <v>3876</v>
      </c>
      <c r="K1" t="s">
        <v>3877</v>
      </c>
      <c r="L1" t="s">
        <v>3010</v>
      </c>
      <c r="M1" t="s">
        <v>3878</v>
      </c>
      <c r="N1" t="s">
        <v>2</v>
      </c>
      <c r="O1" t="s">
        <v>3011</v>
      </c>
      <c r="P1" t="s">
        <v>3012</v>
      </c>
      <c r="Q1" t="s">
        <v>3879</v>
      </c>
      <c r="R1" t="s">
        <v>3003</v>
      </c>
      <c r="S1" t="s">
        <v>3880</v>
      </c>
      <c r="T1" t="s">
        <v>1663</v>
      </c>
      <c r="U1" t="s">
        <v>8</v>
      </c>
      <c r="V1" t="s">
        <v>3881</v>
      </c>
      <c r="W1" t="s">
        <v>3014</v>
      </c>
      <c r="X1" t="s">
        <v>3016</v>
      </c>
      <c r="Y1" t="s">
        <v>3024</v>
      </c>
    </row>
    <row r="2" spans="1:25" ht="15.6" x14ac:dyDescent="0.3">
      <c r="A2" t="s">
        <v>3882</v>
      </c>
      <c r="B2" t="s">
        <v>1666</v>
      </c>
      <c r="C2" t="s">
        <v>1666</v>
      </c>
      <c r="D2" t="s">
        <v>1666</v>
      </c>
      <c r="E2" t="s">
        <v>1666</v>
      </c>
      <c r="F2" t="s">
        <v>3883</v>
      </c>
      <c r="G2" t="s">
        <v>1666</v>
      </c>
      <c r="H2" t="s">
        <v>3884</v>
      </c>
      <c r="I2" t="s">
        <v>3885</v>
      </c>
      <c r="J2" t="s">
        <v>3886</v>
      </c>
      <c r="K2" t="s">
        <v>1666</v>
      </c>
      <c r="L2" t="s">
        <v>2000</v>
      </c>
      <c r="M2" t="s">
        <v>1666</v>
      </c>
      <c r="N2" t="s">
        <v>1666</v>
      </c>
      <c r="O2">
        <v>8597.6</v>
      </c>
      <c r="P2">
        <v>0</v>
      </c>
      <c r="Q2" t="s">
        <v>3887</v>
      </c>
      <c r="R2" t="s">
        <v>3888</v>
      </c>
      <c r="S2" t="s">
        <v>3882</v>
      </c>
      <c r="T2" t="s">
        <v>1676</v>
      </c>
      <c r="U2" t="s">
        <v>3889</v>
      </c>
    </row>
    <row r="3" spans="1:25" ht="15.6" x14ac:dyDescent="0.3">
      <c r="A3" t="s">
        <v>3890</v>
      </c>
      <c r="B3" t="s">
        <v>1666</v>
      </c>
      <c r="C3" t="s">
        <v>1666</v>
      </c>
      <c r="D3" t="s">
        <v>1666</v>
      </c>
      <c r="E3" t="s">
        <v>1666</v>
      </c>
      <c r="F3" t="s">
        <v>3883</v>
      </c>
      <c r="G3" t="s">
        <v>1666</v>
      </c>
      <c r="H3" t="s">
        <v>3891</v>
      </c>
      <c r="I3" t="s">
        <v>3885</v>
      </c>
      <c r="J3" t="s">
        <v>3886</v>
      </c>
      <c r="K3" t="s">
        <v>3892</v>
      </c>
      <c r="L3" t="s">
        <v>2000</v>
      </c>
      <c r="M3" t="s">
        <v>3893</v>
      </c>
      <c r="N3" t="s">
        <v>1666</v>
      </c>
      <c r="O3">
        <v>7335.24</v>
      </c>
      <c r="P3">
        <v>0</v>
      </c>
      <c r="Q3" t="s">
        <v>3894</v>
      </c>
      <c r="R3" t="s">
        <v>3888</v>
      </c>
      <c r="S3" t="s">
        <v>3890</v>
      </c>
      <c r="T3" t="s">
        <v>1676</v>
      </c>
      <c r="U3" t="s">
        <v>3889</v>
      </c>
    </row>
    <row r="4" spans="1:25" ht="15.6" x14ac:dyDescent="0.3">
      <c r="A4" t="s">
        <v>3895</v>
      </c>
      <c r="B4" t="s">
        <v>1666</v>
      </c>
      <c r="C4" t="s">
        <v>1666</v>
      </c>
      <c r="D4" t="s">
        <v>1666</v>
      </c>
      <c r="E4" t="s">
        <v>1666</v>
      </c>
      <c r="F4" t="s">
        <v>3883</v>
      </c>
      <c r="G4" t="s">
        <v>1666</v>
      </c>
      <c r="H4" t="s">
        <v>3896</v>
      </c>
      <c r="I4" t="s">
        <v>3885</v>
      </c>
      <c r="J4" t="s">
        <v>3886</v>
      </c>
      <c r="K4" t="s">
        <v>3897</v>
      </c>
      <c r="L4" t="s">
        <v>2000</v>
      </c>
      <c r="M4" t="s">
        <v>3898</v>
      </c>
      <c r="N4" t="s">
        <v>1666</v>
      </c>
      <c r="O4">
        <v>24210.2</v>
      </c>
      <c r="P4">
        <v>0</v>
      </c>
      <c r="Q4" t="s">
        <v>3894</v>
      </c>
      <c r="R4" t="s">
        <v>3888</v>
      </c>
      <c r="S4" t="s">
        <v>3895</v>
      </c>
      <c r="T4" t="s">
        <v>1676</v>
      </c>
      <c r="U4" t="s">
        <v>3889</v>
      </c>
    </row>
    <row r="5" spans="1:25" ht="15.6" x14ac:dyDescent="0.3">
      <c r="A5" t="s">
        <v>3899</v>
      </c>
      <c r="B5" t="s">
        <v>1666</v>
      </c>
      <c r="C5" t="s">
        <v>1666</v>
      </c>
      <c r="D5" t="s">
        <v>1666</v>
      </c>
      <c r="E5" t="s">
        <v>1666</v>
      </c>
      <c r="F5" t="s">
        <v>3883</v>
      </c>
      <c r="G5" t="s">
        <v>1666</v>
      </c>
      <c r="H5" t="s">
        <v>3900</v>
      </c>
      <c r="I5" t="s">
        <v>3885</v>
      </c>
      <c r="J5" t="s">
        <v>3886</v>
      </c>
      <c r="K5" t="s">
        <v>3901</v>
      </c>
      <c r="L5" t="s">
        <v>2000</v>
      </c>
      <c r="M5" t="s">
        <v>3902</v>
      </c>
      <c r="N5" t="s">
        <v>1666</v>
      </c>
      <c r="O5">
        <v>24210.2</v>
      </c>
      <c r="P5">
        <v>0</v>
      </c>
      <c r="Q5" t="s">
        <v>3894</v>
      </c>
      <c r="R5" t="s">
        <v>3888</v>
      </c>
      <c r="S5" t="s">
        <v>3899</v>
      </c>
      <c r="T5" t="s">
        <v>1676</v>
      </c>
      <c r="U5" t="s">
        <v>3889</v>
      </c>
    </row>
    <row r="6" spans="1:25" ht="15.6" x14ac:dyDescent="0.3">
      <c r="A6" t="s">
        <v>3903</v>
      </c>
      <c r="B6" t="s">
        <v>1666</v>
      </c>
      <c r="C6" t="s">
        <v>1666</v>
      </c>
      <c r="D6" t="s">
        <v>1666</v>
      </c>
      <c r="E6" t="s">
        <v>1666</v>
      </c>
      <c r="F6" t="s">
        <v>3883</v>
      </c>
      <c r="G6" t="s">
        <v>1666</v>
      </c>
      <c r="H6" t="s">
        <v>3904</v>
      </c>
      <c r="I6" t="s">
        <v>3905</v>
      </c>
      <c r="J6" t="s">
        <v>3906</v>
      </c>
      <c r="K6" t="s">
        <v>3907</v>
      </c>
      <c r="L6" t="s">
        <v>3908</v>
      </c>
      <c r="M6" t="s">
        <v>3909</v>
      </c>
      <c r="N6" t="s">
        <v>1666</v>
      </c>
      <c r="O6">
        <v>600000.85</v>
      </c>
      <c r="P6">
        <v>0</v>
      </c>
      <c r="Q6" t="s">
        <v>3910</v>
      </c>
      <c r="R6" t="s">
        <v>3911</v>
      </c>
      <c r="S6" t="s">
        <v>3903</v>
      </c>
      <c r="T6" t="s">
        <v>1680</v>
      </c>
      <c r="U6" t="s">
        <v>3889</v>
      </c>
    </row>
    <row r="7" spans="1:25" ht="15.6" x14ac:dyDescent="0.3">
      <c r="A7" t="s">
        <v>3912</v>
      </c>
      <c r="B7" t="s">
        <v>1666</v>
      </c>
      <c r="C7" t="s">
        <v>1666</v>
      </c>
      <c r="D7" t="s">
        <v>1666</v>
      </c>
      <c r="E7" t="s">
        <v>3913</v>
      </c>
      <c r="F7" t="s">
        <v>3883</v>
      </c>
      <c r="G7" t="s">
        <v>1666</v>
      </c>
      <c r="H7" t="s">
        <v>48</v>
      </c>
      <c r="I7" t="s">
        <v>3914</v>
      </c>
      <c r="J7" t="s">
        <v>3915</v>
      </c>
      <c r="K7" t="s">
        <v>1666</v>
      </c>
      <c r="L7" t="s">
        <v>3916</v>
      </c>
      <c r="M7" t="s">
        <v>1666</v>
      </c>
      <c r="N7" t="s">
        <v>1666</v>
      </c>
      <c r="O7">
        <v>0</v>
      </c>
      <c r="P7">
        <v>0</v>
      </c>
      <c r="Q7" t="s">
        <v>3917</v>
      </c>
      <c r="R7" t="s">
        <v>3918</v>
      </c>
      <c r="S7" t="s">
        <v>3912</v>
      </c>
      <c r="T7" t="s">
        <v>1681</v>
      </c>
      <c r="U7" t="s">
        <v>3919</v>
      </c>
    </row>
    <row r="8" spans="1:25" ht="15.6" x14ac:dyDescent="0.3">
      <c r="A8" t="s">
        <v>3920</v>
      </c>
      <c r="B8" t="s">
        <v>1666</v>
      </c>
      <c r="C8" t="s">
        <v>1666</v>
      </c>
      <c r="D8" t="s">
        <v>1666</v>
      </c>
      <c r="E8" t="s">
        <v>3921</v>
      </c>
      <c r="F8" t="s">
        <v>3883</v>
      </c>
      <c r="G8" t="s">
        <v>1666</v>
      </c>
      <c r="H8" t="s">
        <v>48</v>
      </c>
      <c r="I8" t="s">
        <v>3914</v>
      </c>
      <c r="J8" t="s">
        <v>3915</v>
      </c>
      <c r="K8" t="s">
        <v>1666</v>
      </c>
      <c r="L8" t="s">
        <v>3916</v>
      </c>
      <c r="M8" t="s">
        <v>1666</v>
      </c>
      <c r="N8" t="s">
        <v>1666</v>
      </c>
      <c r="O8">
        <v>0</v>
      </c>
      <c r="P8">
        <v>0</v>
      </c>
      <c r="Q8" t="s">
        <v>3917</v>
      </c>
      <c r="R8" t="s">
        <v>3918</v>
      </c>
      <c r="S8" t="s">
        <v>3920</v>
      </c>
      <c r="T8" t="s">
        <v>1681</v>
      </c>
      <c r="U8" t="s">
        <v>3919</v>
      </c>
    </row>
    <row r="9" spans="1:25" ht="15.6" x14ac:dyDescent="0.3">
      <c r="A9" t="s">
        <v>3922</v>
      </c>
      <c r="B9" t="s">
        <v>1666</v>
      </c>
      <c r="C9" t="s">
        <v>1666</v>
      </c>
      <c r="D9" t="s">
        <v>1666</v>
      </c>
      <c r="E9" t="s">
        <v>3923</v>
      </c>
      <c r="F9" t="s">
        <v>3883</v>
      </c>
      <c r="G9" t="s">
        <v>1666</v>
      </c>
      <c r="H9" t="s">
        <v>48</v>
      </c>
      <c r="I9" t="s">
        <v>3914</v>
      </c>
      <c r="J9" t="s">
        <v>3915</v>
      </c>
      <c r="K9" t="s">
        <v>1666</v>
      </c>
      <c r="L9" t="s">
        <v>3916</v>
      </c>
      <c r="M9" t="s">
        <v>1666</v>
      </c>
      <c r="N9" t="s">
        <v>1666</v>
      </c>
      <c r="O9">
        <v>0</v>
      </c>
      <c r="P9">
        <v>0</v>
      </c>
      <c r="Q9" t="s">
        <v>3917</v>
      </c>
      <c r="R9" t="s">
        <v>3918</v>
      </c>
      <c r="S9" t="s">
        <v>3922</v>
      </c>
      <c r="T9" t="s">
        <v>1681</v>
      </c>
      <c r="U9" t="s">
        <v>3919</v>
      </c>
    </row>
    <row r="10" spans="1:25" ht="15.6" x14ac:dyDescent="0.3">
      <c r="A10" t="s">
        <v>3924</v>
      </c>
      <c r="B10" t="s">
        <v>1666</v>
      </c>
      <c r="C10" t="s">
        <v>1666</v>
      </c>
      <c r="D10" t="s">
        <v>1666</v>
      </c>
      <c r="E10" t="s">
        <v>3925</v>
      </c>
      <c r="F10" t="s">
        <v>3883</v>
      </c>
      <c r="G10" t="s">
        <v>1666</v>
      </c>
      <c r="H10" t="s">
        <v>48</v>
      </c>
      <c r="I10" t="s">
        <v>3914</v>
      </c>
      <c r="J10" t="s">
        <v>3915</v>
      </c>
      <c r="K10" t="s">
        <v>1666</v>
      </c>
      <c r="L10" t="s">
        <v>3916</v>
      </c>
      <c r="M10" t="s">
        <v>1666</v>
      </c>
      <c r="N10" t="s">
        <v>1666</v>
      </c>
      <c r="O10">
        <v>0</v>
      </c>
      <c r="P10">
        <v>0</v>
      </c>
      <c r="Q10" t="s">
        <v>3917</v>
      </c>
      <c r="R10" t="s">
        <v>3918</v>
      </c>
      <c r="S10" t="s">
        <v>3924</v>
      </c>
      <c r="T10" t="s">
        <v>1681</v>
      </c>
      <c r="U10" t="s">
        <v>3919</v>
      </c>
    </row>
    <row r="11" spans="1:25" ht="15.6" x14ac:dyDescent="0.3">
      <c r="A11" t="s">
        <v>3926</v>
      </c>
      <c r="B11" t="s">
        <v>1666</v>
      </c>
      <c r="C11" t="s">
        <v>1666</v>
      </c>
      <c r="D11" t="s">
        <v>1666</v>
      </c>
      <c r="E11" t="s">
        <v>1666</v>
      </c>
      <c r="F11" t="s">
        <v>3883</v>
      </c>
      <c r="G11" t="s">
        <v>1666</v>
      </c>
      <c r="H11" t="s">
        <v>48</v>
      </c>
      <c r="I11" t="s">
        <v>3885</v>
      </c>
      <c r="J11" t="s">
        <v>3886</v>
      </c>
      <c r="K11" t="s">
        <v>1666</v>
      </c>
      <c r="L11" t="s">
        <v>2000</v>
      </c>
      <c r="M11" t="s">
        <v>1666</v>
      </c>
      <c r="N11" t="s">
        <v>1666</v>
      </c>
      <c r="O11">
        <v>24210.2</v>
      </c>
      <c r="P11">
        <v>0</v>
      </c>
      <c r="Q11" t="s">
        <v>3894</v>
      </c>
      <c r="R11" t="s">
        <v>3888</v>
      </c>
      <c r="S11" t="s">
        <v>3926</v>
      </c>
      <c r="T11" t="s">
        <v>1676</v>
      </c>
      <c r="U11" t="s">
        <v>3919</v>
      </c>
    </row>
    <row r="12" spans="1:25" ht="15.6" x14ac:dyDescent="0.3">
      <c r="A12" t="s">
        <v>3927</v>
      </c>
      <c r="B12" t="s">
        <v>1666</v>
      </c>
      <c r="C12" t="s">
        <v>1666</v>
      </c>
      <c r="D12" t="s">
        <v>1666</v>
      </c>
      <c r="E12" t="s">
        <v>1666</v>
      </c>
      <c r="F12" t="s">
        <v>3883</v>
      </c>
      <c r="G12" t="s">
        <v>1666</v>
      </c>
      <c r="H12" t="s">
        <v>3928</v>
      </c>
      <c r="I12" t="s">
        <v>3885</v>
      </c>
      <c r="J12" t="s">
        <v>3886</v>
      </c>
      <c r="K12" t="s">
        <v>3929</v>
      </c>
      <c r="L12" t="s">
        <v>2000</v>
      </c>
      <c r="M12" t="s">
        <v>3930</v>
      </c>
      <c r="N12" t="s">
        <v>1666</v>
      </c>
      <c r="O12">
        <v>8800</v>
      </c>
      <c r="P12">
        <v>0</v>
      </c>
      <c r="Q12" t="s">
        <v>3894</v>
      </c>
      <c r="R12" t="s">
        <v>3888</v>
      </c>
      <c r="S12" t="s">
        <v>3927</v>
      </c>
      <c r="T12" t="s">
        <v>1676</v>
      </c>
      <c r="U12" t="s">
        <v>3889</v>
      </c>
    </row>
    <row r="13" spans="1:25" ht="15.6" x14ac:dyDescent="0.3">
      <c r="A13" t="s">
        <v>3931</v>
      </c>
      <c r="B13" t="s">
        <v>1666</v>
      </c>
      <c r="C13" t="s">
        <v>1666</v>
      </c>
      <c r="D13" t="s">
        <v>1666</v>
      </c>
      <c r="E13" t="s">
        <v>1666</v>
      </c>
      <c r="F13" t="s">
        <v>3883</v>
      </c>
      <c r="G13" t="s">
        <v>1666</v>
      </c>
      <c r="H13" t="s">
        <v>3932</v>
      </c>
      <c r="I13" t="s">
        <v>3933</v>
      </c>
      <c r="J13" t="s">
        <v>3934</v>
      </c>
      <c r="K13" t="s">
        <v>1666</v>
      </c>
      <c r="L13" t="s">
        <v>3935</v>
      </c>
      <c r="M13" t="s">
        <v>1666</v>
      </c>
      <c r="N13" t="s">
        <v>1666</v>
      </c>
      <c r="O13">
        <v>76402.48</v>
      </c>
      <c r="P13">
        <v>0</v>
      </c>
      <c r="Q13" t="s">
        <v>3936</v>
      </c>
      <c r="R13" t="s">
        <v>3918</v>
      </c>
      <c r="S13" t="s">
        <v>3931</v>
      </c>
      <c r="T13" t="s">
        <v>1672</v>
      </c>
      <c r="U13" t="s">
        <v>1666</v>
      </c>
    </row>
    <row r="14" spans="1:25" ht="15.6" x14ac:dyDescent="0.3">
      <c r="A14" t="s">
        <v>3937</v>
      </c>
      <c r="B14" t="s">
        <v>1666</v>
      </c>
      <c r="C14" t="s">
        <v>1666</v>
      </c>
      <c r="D14" t="s">
        <v>1666</v>
      </c>
      <c r="E14" t="s">
        <v>1666</v>
      </c>
      <c r="F14" t="s">
        <v>3883</v>
      </c>
      <c r="G14" t="s">
        <v>1666</v>
      </c>
      <c r="H14" t="s">
        <v>3932</v>
      </c>
      <c r="I14" t="s">
        <v>3938</v>
      </c>
      <c r="J14" t="s">
        <v>3939</v>
      </c>
      <c r="K14" t="s">
        <v>3940</v>
      </c>
      <c r="L14" t="s">
        <v>3941</v>
      </c>
      <c r="M14" t="s">
        <v>3942</v>
      </c>
      <c r="N14" t="s">
        <v>1666</v>
      </c>
      <c r="O14">
        <v>1320</v>
      </c>
      <c r="P14">
        <v>0</v>
      </c>
      <c r="Q14" t="s">
        <v>3943</v>
      </c>
      <c r="R14" t="s">
        <v>3888</v>
      </c>
      <c r="S14" t="s">
        <v>3937</v>
      </c>
      <c r="T14" t="s">
        <v>1683</v>
      </c>
      <c r="U14" t="s">
        <v>3889</v>
      </c>
    </row>
    <row r="15" spans="1:25" ht="15.6" x14ac:dyDescent="0.3">
      <c r="A15" t="s">
        <v>3944</v>
      </c>
      <c r="B15" t="s">
        <v>1666</v>
      </c>
      <c r="C15" t="s">
        <v>1666</v>
      </c>
      <c r="D15" t="s">
        <v>1666</v>
      </c>
      <c r="E15" t="s">
        <v>1666</v>
      </c>
      <c r="F15" t="s">
        <v>3883</v>
      </c>
      <c r="G15" t="s">
        <v>1666</v>
      </c>
      <c r="H15" t="s">
        <v>3945</v>
      </c>
      <c r="I15" t="s">
        <v>3946</v>
      </c>
      <c r="J15" t="s">
        <v>3947</v>
      </c>
      <c r="K15" t="s">
        <v>1666</v>
      </c>
      <c r="L15" t="s">
        <v>3948</v>
      </c>
      <c r="M15" t="s">
        <v>1666</v>
      </c>
      <c r="N15" t="s">
        <v>1666</v>
      </c>
      <c r="O15">
        <v>1205944.96</v>
      </c>
      <c r="P15">
        <v>0</v>
      </c>
      <c r="Q15" t="s">
        <v>3949</v>
      </c>
      <c r="R15" t="s">
        <v>3911</v>
      </c>
      <c r="S15" t="s">
        <v>3944</v>
      </c>
      <c r="T15" t="s">
        <v>1674</v>
      </c>
      <c r="U15" t="s">
        <v>3889</v>
      </c>
    </row>
    <row r="16" spans="1:25" ht="15.6" x14ac:dyDescent="0.3">
      <c r="A16" t="s">
        <v>3950</v>
      </c>
      <c r="B16" t="s">
        <v>1666</v>
      </c>
      <c r="C16" t="s">
        <v>1666</v>
      </c>
      <c r="D16" t="s">
        <v>1666</v>
      </c>
      <c r="E16" t="s">
        <v>1666</v>
      </c>
      <c r="F16" t="s">
        <v>3883</v>
      </c>
      <c r="G16" t="s">
        <v>1666</v>
      </c>
      <c r="H16" t="s">
        <v>3932</v>
      </c>
      <c r="I16" t="s">
        <v>3951</v>
      </c>
      <c r="J16" t="s">
        <v>3952</v>
      </c>
      <c r="K16" t="s">
        <v>3953</v>
      </c>
      <c r="L16" t="s">
        <v>2000</v>
      </c>
      <c r="M16" t="s">
        <v>3954</v>
      </c>
      <c r="N16" t="s">
        <v>1666</v>
      </c>
      <c r="O16">
        <v>3033.36</v>
      </c>
      <c r="P16">
        <v>0</v>
      </c>
      <c r="Q16" t="s">
        <v>3955</v>
      </c>
      <c r="R16" t="s">
        <v>3888</v>
      </c>
      <c r="S16" t="s">
        <v>3950</v>
      </c>
      <c r="T16" t="s">
        <v>1671</v>
      </c>
      <c r="U16" t="s">
        <v>3889</v>
      </c>
    </row>
    <row r="17" spans="1:21" ht="15.6" x14ac:dyDescent="0.3">
      <c r="A17" t="s">
        <v>3956</v>
      </c>
      <c r="B17" t="s">
        <v>1666</v>
      </c>
      <c r="C17" t="s">
        <v>1666</v>
      </c>
      <c r="D17" t="s">
        <v>1666</v>
      </c>
      <c r="E17" t="s">
        <v>1666</v>
      </c>
      <c r="F17" t="s">
        <v>3883</v>
      </c>
      <c r="G17" t="s">
        <v>1666</v>
      </c>
      <c r="H17" t="s">
        <v>3932</v>
      </c>
      <c r="I17" t="s">
        <v>3938</v>
      </c>
      <c r="J17" t="s">
        <v>3939</v>
      </c>
      <c r="K17" t="s">
        <v>3957</v>
      </c>
      <c r="L17" t="s">
        <v>3941</v>
      </c>
      <c r="M17" t="s">
        <v>3958</v>
      </c>
      <c r="N17" t="s">
        <v>1666</v>
      </c>
      <c r="O17">
        <v>1320</v>
      </c>
      <c r="P17">
        <v>0</v>
      </c>
      <c r="Q17" t="s">
        <v>3943</v>
      </c>
      <c r="R17" t="s">
        <v>3888</v>
      </c>
      <c r="S17" t="s">
        <v>3956</v>
      </c>
      <c r="T17" t="s">
        <v>1683</v>
      </c>
      <c r="U17" t="s">
        <v>3889</v>
      </c>
    </row>
    <row r="18" spans="1:21" ht="15.6" x14ac:dyDescent="0.3">
      <c r="A18" t="s">
        <v>3959</v>
      </c>
      <c r="B18" t="s">
        <v>1666</v>
      </c>
      <c r="C18" t="s">
        <v>1666</v>
      </c>
      <c r="D18" t="s">
        <v>1666</v>
      </c>
      <c r="E18" t="s">
        <v>1666</v>
      </c>
      <c r="F18" t="s">
        <v>3883</v>
      </c>
      <c r="G18" t="s">
        <v>1666</v>
      </c>
      <c r="H18" t="s">
        <v>3932</v>
      </c>
      <c r="I18" t="s">
        <v>3905</v>
      </c>
      <c r="J18" t="s">
        <v>3906</v>
      </c>
      <c r="K18" t="s">
        <v>3960</v>
      </c>
      <c r="L18" t="s">
        <v>3908</v>
      </c>
      <c r="M18" t="s">
        <v>3961</v>
      </c>
      <c r="N18" t="s">
        <v>1666</v>
      </c>
      <c r="O18">
        <v>193203.97</v>
      </c>
      <c r="P18">
        <v>0</v>
      </c>
      <c r="Q18" t="s">
        <v>3962</v>
      </c>
      <c r="R18" t="s">
        <v>3911</v>
      </c>
      <c r="S18" t="s">
        <v>3959</v>
      </c>
      <c r="T18" t="s">
        <v>1680</v>
      </c>
      <c r="U18" t="s">
        <v>3889</v>
      </c>
    </row>
    <row r="19" spans="1:21" ht="15.6" x14ac:dyDescent="0.3">
      <c r="A19" t="s">
        <v>3963</v>
      </c>
      <c r="B19" t="s">
        <v>1666</v>
      </c>
      <c r="C19" t="s">
        <v>1666</v>
      </c>
      <c r="D19" t="s">
        <v>1666</v>
      </c>
      <c r="E19" t="s">
        <v>1666</v>
      </c>
      <c r="F19" t="s">
        <v>3883</v>
      </c>
      <c r="G19" t="s">
        <v>1666</v>
      </c>
      <c r="H19" t="s">
        <v>3904</v>
      </c>
      <c r="I19" t="s">
        <v>3964</v>
      </c>
      <c r="J19" t="s">
        <v>3965</v>
      </c>
      <c r="K19" t="s">
        <v>3966</v>
      </c>
      <c r="L19" t="s">
        <v>3967</v>
      </c>
      <c r="M19" t="s">
        <v>3968</v>
      </c>
      <c r="N19" t="s">
        <v>1666</v>
      </c>
      <c r="O19">
        <v>123497</v>
      </c>
      <c r="P19">
        <v>0</v>
      </c>
      <c r="Q19" t="s">
        <v>3969</v>
      </c>
      <c r="R19" t="s">
        <v>3911</v>
      </c>
      <c r="S19" t="s">
        <v>3963</v>
      </c>
      <c r="T19" t="s">
        <v>1684</v>
      </c>
      <c r="U19" t="s">
        <v>3889</v>
      </c>
    </row>
    <row r="20" spans="1:21" ht="15.6" x14ac:dyDescent="0.3">
      <c r="A20" t="s">
        <v>3970</v>
      </c>
      <c r="B20" t="s">
        <v>1666</v>
      </c>
      <c r="C20" t="s">
        <v>1666</v>
      </c>
      <c r="D20" t="s">
        <v>1666</v>
      </c>
      <c r="E20" t="s">
        <v>3971</v>
      </c>
      <c r="F20" t="s">
        <v>3883</v>
      </c>
      <c r="G20" t="s">
        <v>1666</v>
      </c>
      <c r="H20" t="s">
        <v>3932</v>
      </c>
      <c r="I20" t="s">
        <v>3972</v>
      </c>
      <c r="J20" t="s">
        <v>3973</v>
      </c>
      <c r="K20" t="s">
        <v>3974</v>
      </c>
      <c r="L20" t="s">
        <v>2848</v>
      </c>
      <c r="M20" t="s">
        <v>3975</v>
      </c>
      <c r="N20" t="s">
        <v>1666</v>
      </c>
      <c r="O20">
        <v>58367.86</v>
      </c>
      <c r="P20">
        <v>0</v>
      </c>
      <c r="Q20" t="s">
        <v>3976</v>
      </c>
      <c r="R20" t="s">
        <v>3888</v>
      </c>
      <c r="S20" t="s">
        <v>3970</v>
      </c>
      <c r="T20" t="s">
        <v>1686</v>
      </c>
      <c r="U20" t="s">
        <v>3889</v>
      </c>
    </row>
    <row r="21" spans="1:21" ht="15.6" x14ac:dyDescent="0.3">
      <c r="A21" t="s">
        <v>3977</v>
      </c>
      <c r="B21" t="s">
        <v>1666</v>
      </c>
      <c r="C21" t="s">
        <v>1666</v>
      </c>
      <c r="D21" t="s">
        <v>1666</v>
      </c>
      <c r="E21" t="s">
        <v>1666</v>
      </c>
      <c r="F21" t="s">
        <v>3883</v>
      </c>
      <c r="G21" t="s">
        <v>1666</v>
      </c>
      <c r="H21" t="s">
        <v>3978</v>
      </c>
      <c r="I21" t="s">
        <v>3979</v>
      </c>
      <c r="J21" t="s">
        <v>3980</v>
      </c>
      <c r="K21" t="s">
        <v>3981</v>
      </c>
      <c r="L21" t="s">
        <v>3982</v>
      </c>
      <c r="M21" t="s">
        <v>3983</v>
      </c>
      <c r="N21" t="s">
        <v>1666</v>
      </c>
      <c r="O21">
        <v>569499.72</v>
      </c>
      <c r="P21">
        <v>0</v>
      </c>
      <c r="Q21" t="s">
        <v>3984</v>
      </c>
      <c r="R21" t="s">
        <v>3911</v>
      </c>
      <c r="S21" t="s">
        <v>3977</v>
      </c>
      <c r="T21" t="s">
        <v>1682</v>
      </c>
      <c r="U21" t="s">
        <v>3889</v>
      </c>
    </row>
    <row r="22" spans="1:21" ht="15.6" x14ac:dyDescent="0.3">
      <c r="A22" t="s">
        <v>3985</v>
      </c>
      <c r="B22" t="s">
        <v>1666</v>
      </c>
      <c r="C22" t="s">
        <v>1666</v>
      </c>
      <c r="D22" t="s">
        <v>1666</v>
      </c>
      <c r="E22" t="s">
        <v>3986</v>
      </c>
      <c r="F22" t="s">
        <v>3883</v>
      </c>
      <c r="G22" t="s">
        <v>1666</v>
      </c>
      <c r="H22" t="s">
        <v>48</v>
      </c>
      <c r="I22" t="s">
        <v>3987</v>
      </c>
      <c r="J22" t="s">
        <v>3988</v>
      </c>
      <c r="K22" t="s">
        <v>48</v>
      </c>
      <c r="L22" t="s">
        <v>3982</v>
      </c>
      <c r="M22" t="s">
        <v>48</v>
      </c>
      <c r="N22" t="s">
        <v>1666</v>
      </c>
      <c r="O22">
        <v>126740.68</v>
      </c>
      <c r="P22">
        <v>0</v>
      </c>
      <c r="Q22" t="s">
        <v>3989</v>
      </c>
      <c r="R22" t="s">
        <v>3918</v>
      </c>
      <c r="S22" t="s">
        <v>3985</v>
      </c>
      <c r="T22" t="s">
        <v>1685</v>
      </c>
      <c r="U22" t="s">
        <v>3919</v>
      </c>
    </row>
    <row r="23" spans="1:21" ht="15.6" x14ac:dyDescent="0.3">
      <c r="A23" t="s">
        <v>3990</v>
      </c>
      <c r="B23" t="s">
        <v>1666</v>
      </c>
      <c r="C23" t="s">
        <v>1666</v>
      </c>
      <c r="D23" t="s">
        <v>1666</v>
      </c>
      <c r="E23" t="s">
        <v>1666</v>
      </c>
      <c r="F23" t="s">
        <v>3883</v>
      </c>
      <c r="G23" t="s">
        <v>1666</v>
      </c>
      <c r="H23" t="s">
        <v>3991</v>
      </c>
      <c r="I23" t="s">
        <v>3987</v>
      </c>
      <c r="J23" t="s">
        <v>3988</v>
      </c>
      <c r="K23" t="s">
        <v>3992</v>
      </c>
      <c r="L23" t="s">
        <v>3982</v>
      </c>
      <c r="M23" t="s">
        <v>3993</v>
      </c>
      <c r="N23" t="s">
        <v>1666</v>
      </c>
      <c r="O23">
        <v>140870.31</v>
      </c>
      <c r="P23">
        <v>0</v>
      </c>
      <c r="Q23" t="s">
        <v>3989</v>
      </c>
      <c r="R23" t="s">
        <v>3911</v>
      </c>
      <c r="S23" t="s">
        <v>3990</v>
      </c>
      <c r="T23" t="s">
        <v>1685</v>
      </c>
      <c r="U23" t="s">
        <v>3889</v>
      </c>
    </row>
    <row r="24" spans="1:21" ht="15.6" x14ac:dyDescent="0.3">
      <c r="A24" t="s">
        <v>3994</v>
      </c>
      <c r="B24" t="s">
        <v>1666</v>
      </c>
      <c r="C24" t="s">
        <v>1666</v>
      </c>
      <c r="D24" t="s">
        <v>1666</v>
      </c>
      <c r="E24" t="s">
        <v>1666</v>
      </c>
      <c r="F24" t="s">
        <v>3883</v>
      </c>
      <c r="G24" t="s">
        <v>1666</v>
      </c>
      <c r="H24" t="s">
        <v>2805</v>
      </c>
      <c r="I24" t="s">
        <v>3946</v>
      </c>
      <c r="J24" t="s">
        <v>3947</v>
      </c>
      <c r="K24" t="s">
        <v>1666</v>
      </c>
      <c r="L24" t="s">
        <v>3948</v>
      </c>
      <c r="M24" t="s">
        <v>1666</v>
      </c>
      <c r="N24" t="s">
        <v>1666</v>
      </c>
      <c r="O24">
        <v>420582.18</v>
      </c>
      <c r="P24">
        <v>0</v>
      </c>
      <c r="Q24" t="s">
        <v>3995</v>
      </c>
      <c r="R24" t="s">
        <v>3918</v>
      </c>
      <c r="S24" t="s">
        <v>3994</v>
      </c>
      <c r="T24" t="s">
        <v>1674</v>
      </c>
      <c r="U24" t="s">
        <v>3919</v>
      </c>
    </row>
    <row r="25" spans="1:21" ht="15.6" x14ac:dyDescent="0.3">
      <c r="A25" t="s">
        <v>3996</v>
      </c>
      <c r="B25" t="s">
        <v>1666</v>
      </c>
      <c r="C25" t="s">
        <v>1666</v>
      </c>
      <c r="D25" t="s">
        <v>1666</v>
      </c>
      <c r="E25" t="s">
        <v>1666</v>
      </c>
      <c r="F25" t="s">
        <v>3883</v>
      </c>
      <c r="G25" t="s">
        <v>1666</v>
      </c>
      <c r="H25" t="s">
        <v>3904</v>
      </c>
      <c r="I25" t="s">
        <v>3997</v>
      </c>
      <c r="J25" t="s">
        <v>3998</v>
      </c>
      <c r="K25" t="s">
        <v>3999</v>
      </c>
      <c r="L25" t="s">
        <v>4000</v>
      </c>
      <c r="M25" t="s">
        <v>4001</v>
      </c>
      <c r="N25" t="s">
        <v>1666</v>
      </c>
      <c r="O25">
        <v>173723.9</v>
      </c>
      <c r="P25">
        <v>0</v>
      </c>
      <c r="Q25" t="s">
        <v>4002</v>
      </c>
      <c r="R25" t="s">
        <v>3888</v>
      </c>
      <c r="S25" t="s">
        <v>3996</v>
      </c>
      <c r="T25" t="s">
        <v>1679</v>
      </c>
      <c r="U25" t="s">
        <v>3889</v>
      </c>
    </row>
    <row r="26" spans="1:21" ht="15.6" x14ac:dyDescent="0.3">
      <c r="A26" t="s">
        <v>4003</v>
      </c>
      <c r="B26" t="s">
        <v>1666</v>
      </c>
      <c r="C26" t="s">
        <v>1666</v>
      </c>
      <c r="D26" t="s">
        <v>1666</v>
      </c>
      <c r="E26" t="s">
        <v>1666</v>
      </c>
      <c r="F26" t="s">
        <v>3883</v>
      </c>
      <c r="G26" t="s">
        <v>1666</v>
      </c>
      <c r="H26" t="s">
        <v>3904</v>
      </c>
      <c r="I26" t="s">
        <v>4004</v>
      </c>
      <c r="J26" t="s">
        <v>4005</v>
      </c>
      <c r="K26" t="s">
        <v>4006</v>
      </c>
      <c r="L26" t="s">
        <v>3908</v>
      </c>
      <c r="M26" t="s">
        <v>4007</v>
      </c>
      <c r="N26" t="s">
        <v>1666</v>
      </c>
      <c r="O26">
        <v>332625.61</v>
      </c>
      <c r="P26">
        <v>0</v>
      </c>
      <c r="Q26" t="s">
        <v>4008</v>
      </c>
      <c r="R26" t="s">
        <v>3911</v>
      </c>
      <c r="S26" t="s">
        <v>4003</v>
      </c>
      <c r="T26" t="s">
        <v>1689</v>
      </c>
      <c r="U26" t="s">
        <v>3889</v>
      </c>
    </row>
    <row r="27" spans="1:21" ht="15.6" x14ac:dyDescent="0.3">
      <c r="A27" t="s">
        <v>4009</v>
      </c>
      <c r="B27" t="s">
        <v>1666</v>
      </c>
      <c r="C27" t="s">
        <v>1666</v>
      </c>
      <c r="D27" t="s">
        <v>1666</v>
      </c>
      <c r="E27" t="s">
        <v>1666</v>
      </c>
      <c r="F27" t="s">
        <v>3883</v>
      </c>
      <c r="G27" t="s">
        <v>1666</v>
      </c>
      <c r="H27" t="s">
        <v>4010</v>
      </c>
      <c r="I27" t="s">
        <v>4011</v>
      </c>
      <c r="J27" t="s">
        <v>4012</v>
      </c>
      <c r="K27" t="s">
        <v>4013</v>
      </c>
      <c r="L27" t="s">
        <v>4014</v>
      </c>
      <c r="M27" t="s">
        <v>4015</v>
      </c>
      <c r="N27" t="s">
        <v>1666</v>
      </c>
      <c r="O27">
        <v>87039.49</v>
      </c>
      <c r="P27">
        <v>0</v>
      </c>
      <c r="Q27" t="s">
        <v>4016</v>
      </c>
      <c r="R27" t="s">
        <v>3888</v>
      </c>
      <c r="S27" t="s">
        <v>4009</v>
      </c>
      <c r="T27" t="s">
        <v>1690</v>
      </c>
      <c r="U27" t="s">
        <v>3889</v>
      </c>
    </row>
    <row r="28" spans="1:21" ht="15.6" x14ac:dyDescent="0.3">
      <c r="A28" t="s">
        <v>4017</v>
      </c>
      <c r="B28" t="s">
        <v>1666</v>
      </c>
      <c r="C28" t="s">
        <v>1666</v>
      </c>
      <c r="D28" t="s">
        <v>1666</v>
      </c>
      <c r="E28" t="s">
        <v>4018</v>
      </c>
      <c r="F28" t="s">
        <v>3883</v>
      </c>
      <c r="G28" t="s">
        <v>1666</v>
      </c>
      <c r="H28" t="s">
        <v>1666</v>
      </c>
      <c r="I28" t="s">
        <v>4019</v>
      </c>
      <c r="J28" t="s">
        <v>4020</v>
      </c>
      <c r="K28" t="s">
        <v>1666</v>
      </c>
      <c r="L28" t="s">
        <v>2000</v>
      </c>
      <c r="M28" t="s">
        <v>1666</v>
      </c>
      <c r="N28" t="s">
        <v>1666</v>
      </c>
      <c r="O28">
        <v>6944.08</v>
      </c>
      <c r="P28">
        <v>0</v>
      </c>
      <c r="Q28" t="s">
        <v>4021</v>
      </c>
      <c r="R28" t="s">
        <v>3918</v>
      </c>
      <c r="S28" t="s">
        <v>4017</v>
      </c>
      <c r="T28" t="s">
        <v>1688</v>
      </c>
      <c r="U28" t="s">
        <v>3919</v>
      </c>
    </row>
    <row r="29" spans="1:21" ht="15.6" x14ac:dyDescent="0.3">
      <c r="A29" t="s">
        <v>4022</v>
      </c>
      <c r="B29" t="s">
        <v>1666</v>
      </c>
      <c r="C29" t="s">
        <v>1666</v>
      </c>
      <c r="D29" t="s">
        <v>1666</v>
      </c>
      <c r="E29" t="s">
        <v>1666</v>
      </c>
      <c r="F29" t="s">
        <v>3883</v>
      </c>
      <c r="G29" t="s">
        <v>1666</v>
      </c>
      <c r="H29" t="s">
        <v>3904</v>
      </c>
      <c r="I29" t="s">
        <v>4019</v>
      </c>
      <c r="J29" t="s">
        <v>4020</v>
      </c>
      <c r="K29" t="s">
        <v>4023</v>
      </c>
      <c r="L29" t="s">
        <v>2000</v>
      </c>
      <c r="M29" t="s">
        <v>4024</v>
      </c>
      <c r="N29" t="s">
        <v>1666</v>
      </c>
      <c r="O29">
        <v>12834.8</v>
      </c>
      <c r="P29">
        <v>0</v>
      </c>
      <c r="Q29" t="s">
        <v>4021</v>
      </c>
      <c r="R29" t="s">
        <v>3888</v>
      </c>
      <c r="S29" t="s">
        <v>4022</v>
      </c>
      <c r="T29" t="s">
        <v>1688</v>
      </c>
      <c r="U29" t="s">
        <v>3889</v>
      </c>
    </row>
    <row r="30" spans="1:21" ht="15.6" x14ac:dyDescent="0.3">
      <c r="A30" t="s">
        <v>4025</v>
      </c>
      <c r="B30" t="s">
        <v>1666</v>
      </c>
      <c r="C30" t="s">
        <v>1666</v>
      </c>
      <c r="D30" t="s">
        <v>1666</v>
      </c>
      <c r="E30" t="s">
        <v>1666</v>
      </c>
      <c r="F30" t="s">
        <v>3883</v>
      </c>
      <c r="G30" t="s">
        <v>1666</v>
      </c>
      <c r="H30" t="s">
        <v>3904</v>
      </c>
      <c r="I30" t="s">
        <v>4026</v>
      </c>
      <c r="J30" t="s">
        <v>4027</v>
      </c>
      <c r="K30" t="s">
        <v>4028</v>
      </c>
      <c r="L30" t="s">
        <v>2000</v>
      </c>
      <c r="M30" t="s">
        <v>4029</v>
      </c>
      <c r="N30" t="s">
        <v>1666</v>
      </c>
      <c r="O30">
        <v>3080</v>
      </c>
      <c r="P30">
        <v>0</v>
      </c>
      <c r="Q30" t="s">
        <v>4030</v>
      </c>
      <c r="R30" t="s">
        <v>3888</v>
      </c>
      <c r="S30" t="s">
        <v>4025</v>
      </c>
      <c r="T30" t="s">
        <v>1693</v>
      </c>
      <c r="U30" t="s">
        <v>3889</v>
      </c>
    </row>
    <row r="31" spans="1:21" ht="15.6" x14ac:dyDescent="0.3">
      <c r="A31" t="s">
        <v>4031</v>
      </c>
      <c r="B31" t="s">
        <v>1666</v>
      </c>
      <c r="C31" t="s">
        <v>1666</v>
      </c>
      <c r="D31" t="s">
        <v>1666</v>
      </c>
      <c r="E31" t="s">
        <v>1666</v>
      </c>
      <c r="F31" t="s">
        <v>3883</v>
      </c>
      <c r="G31" t="s">
        <v>1666</v>
      </c>
      <c r="H31" t="s">
        <v>3904</v>
      </c>
      <c r="I31" t="s">
        <v>4032</v>
      </c>
      <c r="J31" t="s">
        <v>4033</v>
      </c>
      <c r="K31" t="s">
        <v>4034</v>
      </c>
      <c r="L31" t="s">
        <v>2000</v>
      </c>
      <c r="M31" t="s">
        <v>4035</v>
      </c>
      <c r="N31" t="s">
        <v>1666</v>
      </c>
      <c r="O31">
        <v>4004</v>
      </c>
      <c r="P31">
        <v>0</v>
      </c>
      <c r="Q31" t="s">
        <v>4036</v>
      </c>
      <c r="R31" t="s">
        <v>3888</v>
      </c>
      <c r="S31" t="s">
        <v>4031</v>
      </c>
      <c r="T31" t="s">
        <v>1691</v>
      </c>
      <c r="U31" t="s">
        <v>3889</v>
      </c>
    </row>
    <row r="32" spans="1:21" ht="15.6" x14ac:dyDescent="0.3">
      <c r="A32" t="s">
        <v>4037</v>
      </c>
      <c r="B32" t="s">
        <v>1666</v>
      </c>
      <c r="C32" t="s">
        <v>1666</v>
      </c>
      <c r="D32" t="s">
        <v>1666</v>
      </c>
      <c r="E32" t="s">
        <v>1666</v>
      </c>
      <c r="F32" t="s">
        <v>3883</v>
      </c>
      <c r="G32" t="s">
        <v>1666</v>
      </c>
      <c r="H32" t="s">
        <v>3904</v>
      </c>
      <c r="I32" t="s">
        <v>4038</v>
      </c>
      <c r="J32" t="s">
        <v>4039</v>
      </c>
      <c r="K32" t="s">
        <v>4040</v>
      </c>
      <c r="L32" t="s">
        <v>2000</v>
      </c>
      <c r="M32" t="s">
        <v>4041</v>
      </c>
      <c r="N32" t="s">
        <v>1666</v>
      </c>
      <c r="O32">
        <v>4004</v>
      </c>
      <c r="P32">
        <v>0</v>
      </c>
      <c r="Q32" t="s">
        <v>4042</v>
      </c>
      <c r="R32" t="s">
        <v>3888</v>
      </c>
      <c r="S32" t="s">
        <v>4037</v>
      </c>
      <c r="T32" t="s">
        <v>1692</v>
      </c>
      <c r="U32" t="s">
        <v>3889</v>
      </c>
    </row>
    <row r="33" spans="1:21" ht="15.6" x14ac:dyDescent="0.3">
      <c r="A33" t="s">
        <v>4043</v>
      </c>
      <c r="B33" t="s">
        <v>1666</v>
      </c>
      <c r="C33" t="s">
        <v>1666</v>
      </c>
      <c r="D33" t="s">
        <v>1666</v>
      </c>
      <c r="E33" t="s">
        <v>1666</v>
      </c>
      <c r="F33" t="s">
        <v>3883</v>
      </c>
      <c r="G33" t="s">
        <v>1666</v>
      </c>
      <c r="H33" t="s">
        <v>3904</v>
      </c>
      <c r="I33" t="s">
        <v>4044</v>
      </c>
      <c r="J33" t="s">
        <v>4045</v>
      </c>
      <c r="K33" t="s">
        <v>4046</v>
      </c>
      <c r="L33" t="s">
        <v>4047</v>
      </c>
      <c r="M33" t="s">
        <v>4048</v>
      </c>
      <c r="N33" t="s">
        <v>1666</v>
      </c>
      <c r="O33">
        <v>2728</v>
      </c>
      <c r="P33">
        <v>0</v>
      </c>
      <c r="Q33" t="s">
        <v>4049</v>
      </c>
      <c r="R33" t="s">
        <v>3888</v>
      </c>
      <c r="S33" t="s">
        <v>4043</v>
      </c>
      <c r="T33" t="s">
        <v>1695</v>
      </c>
      <c r="U33" t="s">
        <v>3889</v>
      </c>
    </row>
    <row r="34" spans="1:21" ht="15.6" x14ac:dyDescent="0.3">
      <c r="A34" t="s">
        <v>4050</v>
      </c>
      <c r="B34" t="s">
        <v>1666</v>
      </c>
      <c r="C34" t="s">
        <v>1666</v>
      </c>
      <c r="D34" t="s">
        <v>1666</v>
      </c>
      <c r="E34" t="s">
        <v>1666</v>
      </c>
      <c r="F34" t="s">
        <v>3883</v>
      </c>
      <c r="G34" t="s">
        <v>1666</v>
      </c>
      <c r="H34" t="s">
        <v>3904</v>
      </c>
      <c r="I34" t="s">
        <v>4051</v>
      </c>
      <c r="J34" t="s">
        <v>4045</v>
      </c>
      <c r="K34" t="s">
        <v>4052</v>
      </c>
      <c r="L34" t="s">
        <v>4047</v>
      </c>
      <c r="M34" t="s">
        <v>4048</v>
      </c>
      <c r="N34" t="s">
        <v>1666</v>
      </c>
      <c r="O34">
        <v>2728</v>
      </c>
      <c r="P34">
        <v>0</v>
      </c>
      <c r="Q34" t="s">
        <v>4053</v>
      </c>
      <c r="R34" t="s">
        <v>3888</v>
      </c>
      <c r="S34" t="s">
        <v>4050</v>
      </c>
      <c r="T34" t="s">
        <v>1696</v>
      </c>
      <c r="U34" t="s">
        <v>3889</v>
      </c>
    </row>
    <row r="35" spans="1:21" ht="15.6" x14ac:dyDescent="0.3">
      <c r="A35" t="s">
        <v>4054</v>
      </c>
      <c r="B35" t="s">
        <v>1666</v>
      </c>
      <c r="C35" t="s">
        <v>1666</v>
      </c>
      <c r="D35" t="s">
        <v>1666</v>
      </c>
      <c r="E35" t="s">
        <v>1666</v>
      </c>
      <c r="F35" t="s">
        <v>3883</v>
      </c>
      <c r="G35" t="s">
        <v>1666</v>
      </c>
      <c r="H35" t="s">
        <v>3904</v>
      </c>
      <c r="I35" t="s">
        <v>4055</v>
      </c>
      <c r="J35" t="s">
        <v>4056</v>
      </c>
      <c r="K35" t="s">
        <v>4057</v>
      </c>
      <c r="L35" t="s">
        <v>4047</v>
      </c>
      <c r="M35" t="s">
        <v>4048</v>
      </c>
      <c r="N35" t="s">
        <v>1666</v>
      </c>
      <c r="O35">
        <v>3273.6</v>
      </c>
      <c r="P35">
        <v>0</v>
      </c>
      <c r="Q35" t="s">
        <v>4058</v>
      </c>
      <c r="R35" t="s">
        <v>3888</v>
      </c>
      <c r="S35" t="s">
        <v>4054</v>
      </c>
      <c r="T35" t="s">
        <v>1697</v>
      </c>
      <c r="U35" t="s">
        <v>3889</v>
      </c>
    </row>
    <row r="36" spans="1:21" ht="15.6" x14ac:dyDescent="0.3">
      <c r="A36" t="s">
        <v>4059</v>
      </c>
      <c r="B36" t="s">
        <v>1666</v>
      </c>
      <c r="C36" t="s">
        <v>1666</v>
      </c>
      <c r="D36" t="s">
        <v>1666</v>
      </c>
      <c r="E36" t="s">
        <v>1666</v>
      </c>
      <c r="F36" t="s">
        <v>3883</v>
      </c>
      <c r="G36" t="s">
        <v>1666</v>
      </c>
      <c r="H36" t="s">
        <v>3904</v>
      </c>
      <c r="I36" t="s">
        <v>4044</v>
      </c>
      <c r="J36" t="s">
        <v>4045</v>
      </c>
      <c r="K36" t="s">
        <v>4060</v>
      </c>
      <c r="L36" t="s">
        <v>4047</v>
      </c>
      <c r="M36" t="s">
        <v>4048</v>
      </c>
      <c r="N36" t="s">
        <v>1666</v>
      </c>
      <c r="O36">
        <v>2182.4</v>
      </c>
      <c r="P36">
        <v>0</v>
      </c>
      <c r="Q36" t="s">
        <v>4049</v>
      </c>
      <c r="R36" t="s">
        <v>3888</v>
      </c>
      <c r="S36" t="s">
        <v>4059</v>
      </c>
      <c r="T36" t="s">
        <v>1695</v>
      </c>
      <c r="U36" t="s">
        <v>3889</v>
      </c>
    </row>
    <row r="37" spans="1:21" ht="15.6" x14ac:dyDescent="0.3">
      <c r="A37" t="s">
        <v>4061</v>
      </c>
      <c r="B37" t="s">
        <v>1666</v>
      </c>
      <c r="C37" t="s">
        <v>1666</v>
      </c>
      <c r="D37" t="s">
        <v>1666</v>
      </c>
      <c r="E37" t="s">
        <v>1666</v>
      </c>
      <c r="F37" t="s">
        <v>3883</v>
      </c>
      <c r="G37" t="s">
        <v>1666</v>
      </c>
      <c r="H37" t="s">
        <v>3904</v>
      </c>
      <c r="I37" t="s">
        <v>4062</v>
      </c>
      <c r="J37" t="s">
        <v>4063</v>
      </c>
      <c r="K37" t="s">
        <v>4064</v>
      </c>
      <c r="L37" t="s">
        <v>4047</v>
      </c>
      <c r="M37" t="s">
        <v>4065</v>
      </c>
      <c r="N37" t="s">
        <v>1666</v>
      </c>
      <c r="O37">
        <v>1636.8</v>
      </c>
      <c r="P37">
        <v>0</v>
      </c>
      <c r="Q37" t="s">
        <v>4066</v>
      </c>
      <c r="R37" t="s">
        <v>3888</v>
      </c>
      <c r="S37" t="s">
        <v>4061</v>
      </c>
      <c r="T37" t="s">
        <v>1700</v>
      </c>
      <c r="U37" t="s">
        <v>3889</v>
      </c>
    </row>
    <row r="38" spans="1:21" ht="15.6" x14ac:dyDescent="0.3">
      <c r="A38" t="s">
        <v>4067</v>
      </c>
      <c r="B38" t="s">
        <v>1666</v>
      </c>
      <c r="C38" t="s">
        <v>1666</v>
      </c>
      <c r="D38" t="s">
        <v>1666</v>
      </c>
      <c r="E38" t="s">
        <v>1666</v>
      </c>
      <c r="F38" t="s">
        <v>3883</v>
      </c>
      <c r="G38" t="s">
        <v>1666</v>
      </c>
      <c r="H38" t="s">
        <v>3904</v>
      </c>
      <c r="I38" t="s">
        <v>4068</v>
      </c>
      <c r="J38" t="s">
        <v>4069</v>
      </c>
      <c r="K38" t="s">
        <v>4070</v>
      </c>
      <c r="L38" t="s">
        <v>3908</v>
      </c>
      <c r="M38" t="s">
        <v>4071</v>
      </c>
      <c r="N38" t="s">
        <v>1666</v>
      </c>
      <c r="O38">
        <v>21520</v>
      </c>
      <c r="P38">
        <v>0</v>
      </c>
      <c r="Q38" t="s">
        <v>4072</v>
      </c>
      <c r="R38" t="s">
        <v>3888</v>
      </c>
      <c r="S38" t="s">
        <v>4067</v>
      </c>
      <c r="T38" t="s">
        <v>1702</v>
      </c>
      <c r="U38" t="s">
        <v>3889</v>
      </c>
    </row>
    <row r="39" spans="1:21" ht="15.6" x14ac:dyDescent="0.3">
      <c r="A39" t="s">
        <v>4073</v>
      </c>
      <c r="B39" t="s">
        <v>1666</v>
      </c>
      <c r="C39" t="s">
        <v>1666</v>
      </c>
      <c r="D39" t="s">
        <v>1666</v>
      </c>
      <c r="E39" t="s">
        <v>1666</v>
      </c>
      <c r="F39" t="s">
        <v>3883</v>
      </c>
      <c r="G39" t="s">
        <v>1666</v>
      </c>
      <c r="H39" t="s">
        <v>4074</v>
      </c>
      <c r="I39" t="s">
        <v>4075</v>
      </c>
      <c r="J39" t="s">
        <v>4076</v>
      </c>
      <c r="K39" t="s">
        <v>48</v>
      </c>
      <c r="L39" t="s">
        <v>3908</v>
      </c>
      <c r="M39" t="s">
        <v>4077</v>
      </c>
      <c r="N39" t="s">
        <v>1666</v>
      </c>
      <c r="O39">
        <v>199974.72</v>
      </c>
      <c r="P39">
        <v>0</v>
      </c>
      <c r="Q39" t="s">
        <v>4078</v>
      </c>
      <c r="R39" t="s">
        <v>3911</v>
      </c>
      <c r="S39" t="s">
        <v>4073</v>
      </c>
      <c r="T39" t="s">
        <v>1698</v>
      </c>
      <c r="U39" t="s">
        <v>3889</v>
      </c>
    </row>
    <row r="40" spans="1:21" ht="15.6" x14ac:dyDescent="0.3">
      <c r="A40" t="s">
        <v>4079</v>
      </c>
      <c r="B40" t="s">
        <v>1666</v>
      </c>
      <c r="C40" t="s">
        <v>1666</v>
      </c>
      <c r="D40" t="s">
        <v>1666</v>
      </c>
      <c r="E40" t="s">
        <v>1666</v>
      </c>
      <c r="F40" t="s">
        <v>3883</v>
      </c>
      <c r="G40" t="s">
        <v>1666</v>
      </c>
      <c r="H40" t="s">
        <v>3904</v>
      </c>
      <c r="I40" t="s">
        <v>4080</v>
      </c>
      <c r="J40" t="s">
        <v>4081</v>
      </c>
      <c r="K40" t="s">
        <v>4082</v>
      </c>
      <c r="L40" t="s">
        <v>2848</v>
      </c>
      <c r="M40" t="s">
        <v>4083</v>
      </c>
      <c r="N40" t="s">
        <v>1666</v>
      </c>
      <c r="O40">
        <v>11693.35233</v>
      </c>
      <c r="P40">
        <v>0</v>
      </c>
      <c r="Q40" t="s">
        <v>4084</v>
      </c>
      <c r="R40" t="s">
        <v>3888</v>
      </c>
      <c r="S40" t="s">
        <v>4079</v>
      </c>
      <c r="T40" t="s">
        <v>1666</v>
      </c>
      <c r="U40" t="s">
        <v>3889</v>
      </c>
    </row>
    <row r="41" spans="1:21" ht="15.6" x14ac:dyDescent="0.3">
      <c r="A41" t="s">
        <v>4085</v>
      </c>
      <c r="B41" t="s">
        <v>1666</v>
      </c>
      <c r="C41" t="s">
        <v>1666</v>
      </c>
      <c r="D41" t="s">
        <v>1666</v>
      </c>
      <c r="E41" t="s">
        <v>1666</v>
      </c>
      <c r="F41" t="s">
        <v>3883</v>
      </c>
      <c r="G41" t="s">
        <v>1666</v>
      </c>
      <c r="H41" t="s">
        <v>3904</v>
      </c>
      <c r="I41" t="s">
        <v>4086</v>
      </c>
      <c r="J41" t="s">
        <v>4081</v>
      </c>
      <c r="K41" t="s">
        <v>4087</v>
      </c>
      <c r="L41" t="s">
        <v>2848</v>
      </c>
      <c r="M41" t="s">
        <v>4083</v>
      </c>
      <c r="N41" t="s">
        <v>1666</v>
      </c>
      <c r="O41">
        <v>11693.35233</v>
      </c>
      <c r="P41">
        <v>0</v>
      </c>
      <c r="Q41" t="s">
        <v>4088</v>
      </c>
      <c r="R41" t="s">
        <v>3888</v>
      </c>
      <c r="S41" t="s">
        <v>4085</v>
      </c>
      <c r="T41" t="s">
        <v>1666</v>
      </c>
      <c r="U41" t="s">
        <v>3889</v>
      </c>
    </row>
    <row r="42" spans="1:21" ht="15.6" x14ac:dyDescent="0.3">
      <c r="A42" t="s">
        <v>4089</v>
      </c>
      <c r="B42" t="s">
        <v>1666</v>
      </c>
      <c r="C42" t="s">
        <v>1666</v>
      </c>
      <c r="D42" t="s">
        <v>1666</v>
      </c>
      <c r="E42" t="s">
        <v>1666</v>
      </c>
      <c r="F42" t="s">
        <v>3883</v>
      </c>
      <c r="G42" t="s">
        <v>1666</v>
      </c>
      <c r="H42" t="s">
        <v>3904</v>
      </c>
      <c r="I42" t="s">
        <v>4090</v>
      </c>
      <c r="J42" t="s">
        <v>4081</v>
      </c>
      <c r="K42" t="s">
        <v>4091</v>
      </c>
      <c r="L42" t="s">
        <v>2848</v>
      </c>
      <c r="M42" t="s">
        <v>4083</v>
      </c>
      <c r="N42" t="s">
        <v>1666</v>
      </c>
      <c r="O42">
        <v>11693.35233</v>
      </c>
      <c r="P42">
        <v>0</v>
      </c>
      <c r="Q42" t="s">
        <v>4092</v>
      </c>
      <c r="R42" t="s">
        <v>3888</v>
      </c>
      <c r="S42" t="s">
        <v>4089</v>
      </c>
      <c r="T42" t="s">
        <v>1666</v>
      </c>
      <c r="U42" t="s">
        <v>3889</v>
      </c>
    </row>
    <row r="43" spans="1:21" ht="15.6" x14ac:dyDescent="0.3">
      <c r="A43" t="s">
        <v>4093</v>
      </c>
      <c r="B43" t="s">
        <v>1666</v>
      </c>
      <c r="C43" t="s">
        <v>1666</v>
      </c>
      <c r="D43" t="s">
        <v>1666</v>
      </c>
      <c r="E43" t="s">
        <v>1666</v>
      </c>
      <c r="F43" t="s">
        <v>3883</v>
      </c>
      <c r="G43" t="s">
        <v>1666</v>
      </c>
      <c r="H43" t="s">
        <v>3904</v>
      </c>
      <c r="I43" t="s">
        <v>4094</v>
      </c>
      <c r="J43" t="s">
        <v>4081</v>
      </c>
      <c r="K43" t="s">
        <v>4095</v>
      </c>
      <c r="L43" t="s">
        <v>2848</v>
      </c>
      <c r="M43" t="s">
        <v>4083</v>
      </c>
      <c r="N43" t="s">
        <v>1666</v>
      </c>
      <c r="O43">
        <v>11693.35233</v>
      </c>
      <c r="P43">
        <v>0</v>
      </c>
      <c r="Q43" t="s">
        <v>4096</v>
      </c>
      <c r="R43" t="s">
        <v>3888</v>
      </c>
      <c r="S43" t="s">
        <v>4093</v>
      </c>
      <c r="T43" t="s">
        <v>1666</v>
      </c>
      <c r="U43" t="s">
        <v>3889</v>
      </c>
    </row>
    <row r="44" spans="1:21" ht="15.6" x14ac:dyDescent="0.3">
      <c r="A44" t="s">
        <v>4097</v>
      </c>
      <c r="B44" t="s">
        <v>1666</v>
      </c>
      <c r="C44" t="s">
        <v>1666</v>
      </c>
      <c r="D44" t="s">
        <v>1666</v>
      </c>
      <c r="E44" t="s">
        <v>1666</v>
      </c>
      <c r="F44" t="s">
        <v>3883</v>
      </c>
      <c r="G44" t="s">
        <v>1666</v>
      </c>
      <c r="H44" t="s">
        <v>3904</v>
      </c>
      <c r="I44" t="s">
        <v>4098</v>
      </c>
      <c r="J44" t="s">
        <v>4081</v>
      </c>
      <c r="K44" t="s">
        <v>4099</v>
      </c>
      <c r="L44" t="s">
        <v>2848</v>
      </c>
      <c r="M44" t="s">
        <v>4083</v>
      </c>
      <c r="N44" t="s">
        <v>1666</v>
      </c>
      <c r="O44">
        <v>11693.35233</v>
      </c>
      <c r="P44">
        <v>0</v>
      </c>
      <c r="Q44" t="s">
        <v>4100</v>
      </c>
      <c r="R44" t="s">
        <v>3888</v>
      </c>
      <c r="S44" t="s">
        <v>4097</v>
      </c>
      <c r="T44" t="s">
        <v>1666</v>
      </c>
      <c r="U44" t="s">
        <v>3889</v>
      </c>
    </row>
    <row r="45" spans="1:21" ht="15.6" x14ac:dyDescent="0.3">
      <c r="A45" t="s">
        <v>4101</v>
      </c>
      <c r="B45" t="s">
        <v>1666</v>
      </c>
      <c r="C45" t="s">
        <v>1666</v>
      </c>
      <c r="D45" t="s">
        <v>1666</v>
      </c>
      <c r="E45" t="s">
        <v>1666</v>
      </c>
      <c r="F45" t="s">
        <v>3883</v>
      </c>
      <c r="G45" t="s">
        <v>1666</v>
      </c>
      <c r="H45" t="s">
        <v>1666</v>
      </c>
      <c r="I45" t="s">
        <v>4102</v>
      </c>
      <c r="J45" t="s">
        <v>4103</v>
      </c>
      <c r="K45" t="s">
        <v>1666</v>
      </c>
      <c r="L45" t="s">
        <v>2000</v>
      </c>
      <c r="M45" t="s">
        <v>1666</v>
      </c>
      <c r="N45" t="s">
        <v>1666</v>
      </c>
      <c r="O45">
        <v>199883.2</v>
      </c>
      <c r="P45">
        <v>0</v>
      </c>
      <c r="Q45" t="s">
        <v>4104</v>
      </c>
      <c r="R45" t="s">
        <v>3918</v>
      </c>
      <c r="S45" t="s">
        <v>4101</v>
      </c>
      <c r="T45" t="s">
        <v>1705</v>
      </c>
      <c r="U45" t="s">
        <v>3919</v>
      </c>
    </row>
    <row r="46" spans="1:21" ht="15.6" x14ac:dyDescent="0.3">
      <c r="A46" t="s">
        <v>4105</v>
      </c>
      <c r="B46" t="s">
        <v>1666</v>
      </c>
      <c r="C46" t="s">
        <v>1666</v>
      </c>
      <c r="D46" t="s">
        <v>1666</v>
      </c>
      <c r="E46" t="s">
        <v>4106</v>
      </c>
      <c r="F46" t="s">
        <v>3883</v>
      </c>
      <c r="G46" t="s">
        <v>1666</v>
      </c>
      <c r="H46" t="s">
        <v>3904</v>
      </c>
      <c r="I46" t="s">
        <v>4107</v>
      </c>
      <c r="J46" t="s">
        <v>4108</v>
      </c>
      <c r="K46" t="s">
        <v>4109</v>
      </c>
      <c r="L46" t="s">
        <v>4110</v>
      </c>
      <c r="M46" t="s">
        <v>4111</v>
      </c>
      <c r="N46" t="s">
        <v>1666</v>
      </c>
      <c r="O46">
        <v>411000</v>
      </c>
      <c r="P46">
        <v>0</v>
      </c>
      <c r="Q46" t="s">
        <v>4112</v>
      </c>
      <c r="R46" t="s">
        <v>3888</v>
      </c>
      <c r="S46" t="s">
        <v>4105</v>
      </c>
      <c r="T46" t="s">
        <v>1708</v>
      </c>
      <c r="U46" t="s">
        <v>3889</v>
      </c>
    </row>
    <row r="47" spans="1:21" ht="15.6" x14ac:dyDescent="0.3">
      <c r="A47" t="s">
        <v>4113</v>
      </c>
      <c r="B47" t="s">
        <v>1666</v>
      </c>
      <c r="C47" t="s">
        <v>1666</v>
      </c>
      <c r="D47" t="s">
        <v>1666</v>
      </c>
      <c r="E47" t="s">
        <v>1666</v>
      </c>
      <c r="F47" t="s">
        <v>3883</v>
      </c>
      <c r="G47" t="s">
        <v>1666</v>
      </c>
      <c r="H47" t="s">
        <v>3904</v>
      </c>
      <c r="I47" t="s">
        <v>4114</v>
      </c>
      <c r="J47" t="s">
        <v>4115</v>
      </c>
      <c r="K47" t="s">
        <v>4116</v>
      </c>
      <c r="L47" t="s">
        <v>4000</v>
      </c>
      <c r="M47" t="s">
        <v>4117</v>
      </c>
      <c r="N47" t="s">
        <v>1666</v>
      </c>
      <c r="O47">
        <v>195980.67</v>
      </c>
      <c r="P47">
        <v>0</v>
      </c>
      <c r="Q47" t="s">
        <v>4118</v>
      </c>
      <c r="R47" t="s">
        <v>3888</v>
      </c>
      <c r="S47" t="s">
        <v>4113</v>
      </c>
      <c r="T47" t="s">
        <v>1706</v>
      </c>
      <c r="U47" t="s">
        <v>3889</v>
      </c>
    </row>
    <row r="48" spans="1:21" ht="15.6" x14ac:dyDescent="0.3">
      <c r="A48" t="s">
        <v>4119</v>
      </c>
      <c r="B48" t="s">
        <v>1666</v>
      </c>
      <c r="C48" t="s">
        <v>1666</v>
      </c>
      <c r="D48" t="s">
        <v>1666</v>
      </c>
      <c r="E48" t="s">
        <v>1666</v>
      </c>
      <c r="F48" t="s">
        <v>3883</v>
      </c>
      <c r="G48" t="s">
        <v>1666</v>
      </c>
      <c r="H48" t="s">
        <v>4120</v>
      </c>
      <c r="I48" t="s">
        <v>3979</v>
      </c>
      <c r="J48" t="s">
        <v>3980</v>
      </c>
      <c r="K48" t="s">
        <v>4121</v>
      </c>
      <c r="L48" t="s">
        <v>3982</v>
      </c>
      <c r="M48" t="s">
        <v>4122</v>
      </c>
      <c r="N48" t="s">
        <v>1666</v>
      </c>
      <c r="O48">
        <v>43309.98</v>
      </c>
      <c r="P48">
        <v>0</v>
      </c>
      <c r="Q48" t="s">
        <v>3984</v>
      </c>
      <c r="R48" t="s">
        <v>3911</v>
      </c>
      <c r="S48" t="s">
        <v>4119</v>
      </c>
      <c r="T48" t="s">
        <v>1682</v>
      </c>
      <c r="U48" t="s">
        <v>3889</v>
      </c>
    </row>
    <row r="49" spans="1:21" ht="15.6" x14ac:dyDescent="0.3">
      <c r="A49" t="s">
        <v>4123</v>
      </c>
      <c r="B49" t="s">
        <v>1666</v>
      </c>
      <c r="C49" t="s">
        <v>1666</v>
      </c>
      <c r="D49" t="s">
        <v>1666</v>
      </c>
      <c r="E49" t="s">
        <v>4124</v>
      </c>
      <c r="F49" t="s">
        <v>3883</v>
      </c>
      <c r="G49" t="s">
        <v>1666</v>
      </c>
      <c r="H49" t="s">
        <v>1666</v>
      </c>
      <c r="I49" t="s">
        <v>3997</v>
      </c>
      <c r="J49" t="s">
        <v>3998</v>
      </c>
      <c r="K49" t="s">
        <v>1666</v>
      </c>
      <c r="L49" t="s">
        <v>4000</v>
      </c>
      <c r="M49" t="s">
        <v>1666</v>
      </c>
      <c r="N49" t="s">
        <v>1666</v>
      </c>
      <c r="O49">
        <v>0</v>
      </c>
      <c r="P49">
        <v>0</v>
      </c>
      <c r="Q49" t="s">
        <v>4125</v>
      </c>
      <c r="R49" t="s">
        <v>3918</v>
      </c>
      <c r="S49" t="s">
        <v>4123</v>
      </c>
      <c r="T49" t="s">
        <v>1679</v>
      </c>
      <c r="U49" t="s">
        <v>3919</v>
      </c>
    </row>
    <row r="50" spans="1:21" ht="15.6" x14ac:dyDescent="0.3">
      <c r="A50" t="s">
        <v>4126</v>
      </c>
      <c r="B50" t="s">
        <v>1666</v>
      </c>
      <c r="C50" t="s">
        <v>1666</v>
      </c>
      <c r="D50" t="s">
        <v>1666</v>
      </c>
      <c r="E50" t="s">
        <v>1666</v>
      </c>
      <c r="F50" t="s">
        <v>3883</v>
      </c>
      <c r="G50" t="s">
        <v>1666</v>
      </c>
      <c r="H50" t="s">
        <v>4127</v>
      </c>
      <c r="I50" t="s">
        <v>4128</v>
      </c>
      <c r="J50" t="s">
        <v>4129</v>
      </c>
      <c r="K50" t="s">
        <v>48</v>
      </c>
      <c r="L50" t="s">
        <v>2000</v>
      </c>
      <c r="M50" t="s">
        <v>4130</v>
      </c>
      <c r="N50" t="s">
        <v>1666</v>
      </c>
      <c r="O50">
        <v>2710.4</v>
      </c>
      <c r="P50">
        <v>0</v>
      </c>
      <c r="Q50" t="s">
        <v>4131</v>
      </c>
      <c r="R50" t="s">
        <v>3888</v>
      </c>
      <c r="S50" t="s">
        <v>4126</v>
      </c>
      <c r="T50" t="s">
        <v>1704</v>
      </c>
      <c r="U50" t="s">
        <v>3889</v>
      </c>
    </row>
    <row r="51" spans="1:21" ht="15.6" x14ac:dyDescent="0.3">
      <c r="A51" t="s">
        <v>4132</v>
      </c>
      <c r="B51" t="s">
        <v>1666</v>
      </c>
      <c r="C51" t="s">
        <v>1666</v>
      </c>
      <c r="D51" t="s">
        <v>1666</v>
      </c>
      <c r="E51" t="s">
        <v>4133</v>
      </c>
      <c r="F51" t="s">
        <v>3883</v>
      </c>
      <c r="G51" t="s">
        <v>1666</v>
      </c>
      <c r="H51" t="s">
        <v>3904</v>
      </c>
      <c r="I51" t="s">
        <v>4134</v>
      </c>
      <c r="J51" t="s">
        <v>4135</v>
      </c>
      <c r="K51" t="s">
        <v>4136</v>
      </c>
      <c r="L51" t="s">
        <v>3908</v>
      </c>
      <c r="M51" t="s">
        <v>4137</v>
      </c>
      <c r="N51" t="s">
        <v>1666</v>
      </c>
      <c r="O51">
        <v>50000</v>
      </c>
      <c r="P51">
        <v>0</v>
      </c>
      <c r="Q51" t="s">
        <v>4138</v>
      </c>
      <c r="R51" t="s">
        <v>3911</v>
      </c>
      <c r="S51" t="s">
        <v>4132</v>
      </c>
      <c r="T51" t="s">
        <v>1707</v>
      </c>
      <c r="U51" t="s">
        <v>3889</v>
      </c>
    </row>
    <row r="52" spans="1:21" ht="15.6" x14ac:dyDescent="0.3">
      <c r="A52" t="s">
        <v>4139</v>
      </c>
      <c r="B52" t="s">
        <v>1666</v>
      </c>
      <c r="C52" t="s">
        <v>1666</v>
      </c>
      <c r="D52" t="s">
        <v>1666</v>
      </c>
      <c r="E52" t="s">
        <v>4140</v>
      </c>
      <c r="F52" t="s">
        <v>3883</v>
      </c>
      <c r="G52" t="s">
        <v>1666</v>
      </c>
      <c r="H52" t="s">
        <v>3904</v>
      </c>
      <c r="I52" t="s">
        <v>4141</v>
      </c>
      <c r="J52" t="s">
        <v>4142</v>
      </c>
      <c r="K52" t="s">
        <v>4143</v>
      </c>
      <c r="L52" t="s">
        <v>3916</v>
      </c>
      <c r="M52" t="s">
        <v>4144</v>
      </c>
      <c r="N52" t="s">
        <v>1666</v>
      </c>
      <c r="O52">
        <v>1232</v>
      </c>
      <c r="P52">
        <v>0</v>
      </c>
      <c r="Q52" t="s">
        <v>4145</v>
      </c>
      <c r="R52" t="s">
        <v>3888</v>
      </c>
      <c r="S52" t="s">
        <v>4139</v>
      </c>
      <c r="T52" t="s">
        <v>1709</v>
      </c>
      <c r="U52" t="s">
        <v>3889</v>
      </c>
    </row>
    <row r="53" spans="1:21" ht="15.6" x14ac:dyDescent="0.3">
      <c r="A53" t="s">
        <v>4146</v>
      </c>
      <c r="B53" t="s">
        <v>1666</v>
      </c>
      <c r="C53" t="s">
        <v>1666</v>
      </c>
      <c r="D53" t="s">
        <v>1666</v>
      </c>
      <c r="E53" t="s">
        <v>4140</v>
      </c>
      <c r="F53" t="s">
        <v>3883</v>
      </c>
      <c r="G53" t="s">
        <v>1666</v>
      </c>
      <c r="H53" t="s">
        <v>3904</v>
      </c>
      <c r="I53" t="s">
        <v>4147</v>
      </c>
      <c r="J53" t="s">
        <v>4148</v>
      </c>
      <c r="K53" t="s">
        <v>4149</v>
      </c>
      <c r="L53" t="s">
        <v>3916</v>
      </c>
      <c r="M53" t="s">
        <v>4150</v>
      </c>
      <c r="N53" t="s">
        <v>1666</v>
      </c>
      <c r="O53">
        <v>492.8</v>
      </c>
      <c r="P53">
        <v>0</v>
      </c>
      <c r="Q53" t="s">
        <v>4151</v>
      </c>
      <c r="R53" t="s">
        <v>3888</v>
      </c>
      <c r="S53" t="s">
        <v>4146</v>
      </c>
      <c r="T53" t="s">
        <v>1711</v>
      </c>
      <c r="U53" t="s">
        <v>3889</v>
      </c>
    </row>
    <row r="54" spans="1:21" ht="15.6" x14ac:dyDescent="0.3">
      <c r="A54" t="s">
        <v>4152</v>
      </c>
      <c r="B54" t="s">
        <v>1666</v>
      </c>
      <c r="C54" t="s">
        <v>1666</v>
      </c>
      <c r="D54" t="s">
        <v>1666</v>
      </c>
      <c r="E54" t="s">
        <v>4153</v>
      </c>
      <c r="F54" t="s">
        <v>3883</v>
      </c>
      <c r="G54" t="s">
        <v>1666</v>
      </c>
      <c r="H54" t="s">
        <v>1666</v>
      </c>
      <c r="I54" t="s">
        <v>4154</v>
      </c>
      <c r="J54" t="s">
        <v>4155</v>
      </c>
      <c r="K54" t="s">
        <v>1666</v>
      </c>
      <c r="L54" t="s">
        <v>2000</v>
      </c>
      <c r="M54" t="s">
        <v>1666</v>
      </c>
      <c r="N54" t="s">
        <v>1666</v>
      </c>
      <c r="O54">
        <v>204506.72</v>
      </c>
      <c r="P54">
        <v>0</v>
      </c>
      <c r="Q54" t="s">
        <v>4156</v>
      </c>
      <c r="R54" t="s">
        <v>3918</v>
      </c>
      <c r="S54" t="s">
        <v>4152</v>
      </c>
      <c r="T54" t="s">
        <v>1666</v>
      </c>
      <c r="U54" t="s">
        <v>3919</v>
      </c>
    </row>
    <row r="55" spans="1:21" ht="15.6" x14ac:dyDescent="0.3">
      <c r="A55" t="s">
        <v>4157</v>
      </c>
      <c r="B55" t="s">
        <v>1666</v>
      </c>
      <c r="C55" t="s">
        <v>1666</v>
      </c>
      <c r="D55" t="s">
        <v>1666</v>
      </c>
      <c r="E55" t="s">
        <v>1177</v>
      </c>
      <c r="F55" t="s">
        <v>3883</v>
      </c>
      <c r="G55" t="s">
        <v>1666</v>
      </c>
      <c r="H55" t="s">
        <v>3904</v>
      </c>
      <c r="I55" t="s">
        <v>4158</v>
      </c>
      <c r="J55" t="s">
        <v>4159</v>
      </c>
      <c r="K55" t="s">
        <v>4160</v>
      </c>
      <c r="L55" t="s">
        <v>3908</v>
      </c>
      <c r="M55" t="s">
        <v>4161</v>
      </c>
      <c r="N55" t="s">
        <v>1666</v>
      </c>
      <c r="O55">
        <v>8976</v>
      </c>
      <c r="P55">
        <v>0</v>
      </c>
      <c r="Q55" t="s">
        <v>4162</v>
      </c>
      <c r="R55" t="s">
        <v>3888</v>
      </c>
      <c r="S55" t="s">
        <v>4157</v>
      </c>
      <c r="T55" t="s">
        <v>1712</v>
      </c>
      <c r="U55" t="s">
        <v>3889</v>
      </c>
    </row>
    <row r="56" spans="1:21" ht="15.6" x14ac:dyDescent="0.3">
      <c r="A56" t="s">
        <v>4163</v>
      </c>
      <c r="B56" t="s">
        <v>1666</v>
      </c>
      <c r="C56" t="s">
        <v>1666</v>
      </c>
      <c r="D56" t="s">
        <v>1666</v>
      </c>
      <c r="E56" t="s">
        <v>1666</v>
      </c>
      <c r="F56" t="s">
        <v>3883</v>
      </c>
      <c r="G56" t="s">
        <v>1666</v>
      </c>
      <c r="H56" t="s">
        <v>3904</v>
      </c>
      <c r="I56" t="s">
        <v>4107</v>
      </c>
      <c r="J56" t="s">
        <v>4164</v>
      </c>
      <c r="K56" t="s">
        <v>4165</v>
      </c>
      <c r="L56" t="s">
        <v>4166</v>
      </c>
      <c r="M56" t="s">
        <v>4167</v>
      </c>
      <c r="N56" t="s">
        <v>1666</v>
      </c>
      <c r="O56">
        <v>25036</v>
      </c>
      <c r="P56">
        <v>0</v>
      </c>
      <c r="Q56" t="s">
        <v>4168</v>
      </c>
      <c r="R56" t="s">
        <v>3888</v>
      </c>
      <c r="S56" t="s">
        <v>4163</v>
      </c>
      <c r="T56" t="s">
        <v>1708</v>
      </c>
      <c r="U56" t="s">
        <v>3889</v>
      </c>
    </row>
    <row r="57" spans="1:21" ht="15.6" x14ac:dyDescent="0.3">
      <c r="A57" t="s">
        <v>4169</v>
      </c>
      <c r="B57" t="s">
        <v>1666</v>
      </c>
      <c r="C57" t="s">
        <v>1666</v>
      </c>
      <c r="D57" t="s">
        <v>1666</v>
      </c>
      <c r="E57" t="s">
        <v>1666</v>
      </c>
      <c r="F57" t="s">
        <v>3883</v>
      </c>
      <c r="G57" t="s">
        <v>1666</v>
      </c>
      <c r="H57" t="s">
        <v>3904</v>
      </c>
      <c r="I57" t="s">
        <v>4170</v>
      </c>
      <c r="J57" t="s">
        <v>4171</v>
      </c>
      <c r="K57" t="s">
        <v>4172</v>
      </c>
      <c r="L57" t="s">
        <v>4173</v>
      </c>
      <c r="M57" t="s">
        <v>4174</v>
      </c>
      <c r="N57" t="s">
        <v>1666</v>
      </c>
      <c r="O57">
        <v>2175.9</v>
      </c>
      <c r="P57">
        <v>0</v>
      </c>
      <c r="Q57" t="s">
        <v>4175</v>
      </c>
      <c r="R57" t="s">
        <v>3888</v>
      </c>
      <c r="S57" t="s">
        <v>4169</v>
      </c>
      <c r="T57" t="s">
        <v>1713</v>
      </c>
      <c r="U57" t="s">
        <v>3889</v>
      </c>
    </row>
    <row r="58" spans="1:21" ht="15.6" x14ac:dyDescent="0.3">
      <c r="A58" t="s">
        <v>4176</v>
      </c>
      <c r="B58" t="s">
        <v>1666</v>
      </c>
      <c r="C58" t="s">
        <v>1666</v>
      </c>
      <c r="D58" t="s">
        <v>1666</v>
      </c>
      <c r="E58" t="s">
        <v>1666</v>
      </c>
      <c r="F58" t="s">
        <v>3883</v>
      </c>
      <c r="G58" t="s">
        <v>1666</v>
      </c>
      <c r="H58" t="s">
        <v>3904</v>
      </c>
      <c r="I58" t="s">
        <v>4177</v>
      </c>
      <c r="J58" t="s">
        <v>4178</v>
      </c>
      <c r="K58" t="s">
        <v>4179</v>
      </c>
      <c r="L58" t="s">
        <v>3908</v>
      </c>
      <c r="M58" t="s">
        <v>4180</v>
      </c>
      <c r="N58" t="s">
        <v>1666</v>
      </c>
      <c r="O58">
        <v>1839.2</v>
      </c>
      <c r="P58">
        <v>0</v>
      </c>
      <c r="Q58" t="s">
        <v>4181</v>
      </c>
      <c r="R58" t="s">
        <v>3888</v>
      </c>
      <c r="S58" t="s">
        <v>4176</v>
      </c>
      <c r="T58" t="s">
        <v>1714</v>
      </c>
      <c r="U58" t="s">
        <v>3889</v>
      </c>
    </row>
    <row r="59" spans="1:21" ht="15.6" x14ac:dyDescent="0.3">
      <c r="A59" t="s">
        <v>4182</v>
      </c>
      <c r="B59" t="s">
        <v>1666</v>
      </c>
      <c r="C59" t="s">
        <v>1666</v>
      </c>
      <c r="D59" t="s">
        <v>1666</v>
      </c>
      <c r="E59" t="s">
        <v>1666</v>
      </c>
      <c r="F59" t="s">
        <v>3883</v>
      </c>
      <c r="G59" t="s">
        <v>1666</v>
      </c>
      <c r="H59" t="s">
        <v>4183</v>
      </c>
      <c r="I59" t="s">
        <v>4075</v>
      </c>
      <c r="J59" t="s">
        <v>4076</v>
      </c>
      <c r="K59" t="s">
        <v>1666</v>
      </c>
      <c r="L59" t="s">
        <v>3908</v>
      </c>
      <c r="M59" t="s">
        <v>4184</v>
      </c>
      <c r="N59" t="s">
        <v>1666</v>
      </c>
      <c r="O59">
        <v>99040</v>
      </c>
      <c r="P59">
        <v>0</v>
      </c>
      <c r="Q59" t="s">
        <v>4185</v>
      </c>
      <c r="R59" t="s">
        <v>3911</v>
      </c>
      <c r="S59" t="s">
        <v>4182</v>
      </c>
      <c r="T59" t="s">
        <v>1698</v>
      </c>
      <c r="U59" t="s">
        <v>3889</v>
      </c>
    </row>
    <row r="60" spans="1:21" ht="15.6" x14ac:dyDescent="0.3">
      <c r="A60" t="s">
        <v>4186</v>
      </c>
      <c r="B60" t="s">
        <v>1666</v>
      </c>
      <c r="C60" t="s">
        <v>1666</v>
      </c>
      <c r="D60" t="s">
        <v>1666</v>
      </c>
      <c r="E60" t="s">
        <v>1666</v>
      </c>
      <c r="F60" t="s">
        <v>3883</v>
      </c>
      <c r="G60" t="s">
        <v>1666</v>
      </c>
      <c r="H60" t="s">
        <v>3904</v>
      </c>
      <c r="I60" t="s">
        <v>4187</v>
      </c>
      <c r="J60" t="s">
        <v>4188</v>
      </c>
      <c r="K60" t="s">
        <v>4189</v>
      </c>
      <c r="L60" t="s">
        <v>3916</v>
      </c>
      <c r="M60" t="s">
        <v>4190</v>
      </c>
      <c r="N60" t="s">
        <v>1666</v>
      </c>
      <c r="O60">
        <v>1724.8</v>
      </c>
      <c r="P60">
        <v>0</v>
      </c>
      <c r="Q60" t="s">
        <v>4191</v>
      </c>
      <c r="R60" t="s">
        <v>3888</v>
      </c>
      <c r="S60" t="s">
        <v>4186</v>
      </c>
      <c r="T60" t="s">
        <v>1733</v>
      </c>
      <c r="U60" t="s">
        <v>3889</v>
      </c>
    </row>
    <row r="61" spans="1:21" ht="15.6" x14ac:dyDescent="0.3">
      <c r="A61" t="s">
        <v>4192</v>
      </c>
      <c r="B61" t="s">
        <v>1666</v>
      </c>
      <c r="C61" t="s">
        <v>1666</v>
      </c>
      <c r="D61" t="s">
        <v>1666</v>
      </c>
      <c r="E61" t="s">
        <v>1666</v>
      </c>
      <c r="F61" t="s">
        <v>3883</v>
      </c>
      <c r="G61" t="s">
        <v>1666</v>
      </c>
      <c r="H61" t="s">
        <v>3904</v>
      </c>
      <c r="I61" t="s">
        <v>4193</v>
      </c>
      <c r="J61" t="s">
        <v>4194</v>
      </c>
      <c r="K61" t="s">
        <v>4195</v>
      </c>
      <c r="L61" t="s">
        <v>4166</v>
      </c>
      <c r="M61" t="s">
        <v>4190</v>
      </c>
      <c r="N61" t="s">
        <v>1666</v>
      </c>
      <c r="O61">
        <v>19944.32</v>
      </c>
      <c r="P61">
        <v>0</v>
      </c>
      <c r="Q61" t="s">
        <v>4196</v>
      </c>
      <c r="R61" t="s">
        <v>3888</v>
      </c>
      <c r="S61" t="s">
        <v>4192</v>
      </c>
      <c r="T61" t="s">
        <v>1734</v>
      </c>
      <c r="U61" t="s">
        <v>3889</v>
      </c>
    </row>
    <row r="62" spans="1:21" ht="15.6" x14ac:dyDescent="0.3">
      <c r="A62" t="s">
        <v>4197</v>
      </c>
      <c r="B62" t="s">
        <v>1666</v>
      </c>
      <c r="C62" t="s">
        <v>1666</v>
      </c>
      <c r="D62" t="s">
        <v>1666</v>
      </c>
      <c r="E62" t="s">
        <v>4198</v>
      </c>
      <c r="F62" t="s">
        <v>3883</v>
      </c>
      <c r="G62" t="s">
        <v>1666</v>
      </c>
      <c r="H62" t="s">
        <v>1666</v>
      </c>
      <c r="I62" t="s">
        <v>4199</v>
      </c>
      <c r="J62" t="s">
        <v>4200</v>
      </c>
      <c r="K62" t="s">
        <v>1666</v>
      </c>
      <c r="L62" t="s">
        <v>4000</v>
      </c>
      <c r="M62" t="s">
        <v>1666</v>
      </c>
      <c r="N62" t="s">
        <v>1666</v>
      </c>
      <c r="O62">
        <v>140239.9</v>
      </c>
      <c r="P62">
        <v>0</v>
      </c>
      <c r="Q62" t="s">
        <v>4201</v>
      </c>
      <c r="R62" t="s">
        <v>3918</v>
      </c>
      <c r="S62" t="s">
        <v>4197</v>
      </c>
      <c r="T62" t="s">
        <v>1731</v>
      </c>
      <c r="U62" t="s">
        <v>3919</v>
      </c>
    </row>
    <row r="63" spans="1:21" ht="15.6" x14ac:dyDescent="0.3">
      <c r="A63" t="s">
        <v>4202</v>
      </c>
      <c r="B63" t="s">
        <v>1666</v>
      </c>
      <c r="C63" t="s">
        <v>1666</v>
      </c>
      <c r="D63" t="s">
        <v>1666</v>
      </c>
      <c r="E63" t="s">
        <v>1666</v>
      </c>
      <c r="F63" t="s">
        <v>3883</v>
      </c>
      <c r="G63" t="s">
        <v>1666</v>
      </c>
      <c r="H63" t="s">
        <v>1666</v>
      </c>
      <c r="I63" t="s">
        <v>3979</v>
      </c>
      <c r="J63" t="s">
        <v>4203</v>
      </c>
      <c r="K63" t="s">
        <v>1666</v>
      </c>
      <c r="L63" t="s">
        <v>3908</v>
      </c>
      <c r="M63" t="s">
        <v>1666</v>
      </c>
      <c r="N63" t="s">
        <v>1666</v>
      </c>
      <c r="O63">
        <v>199987.04</v>
      </c>
      <c r="P63">
        <v>0</v>
      </c>
      <c r="Q63" t="s">
        <v>4204</v>
      </c>
      <c r="R63" t="s">
        <v>3918</v>
      </c>
      <c r="S63" t="s">
        <v>4202</v>
      </c>
      <c r="T63" t="s">
        <v>1682</v>
      </c>
      <c r="U63" t="s">
        <v>3919</v>
      </c>
    </row>
    <row r="64" spans="1:21" ht="15.6" x14ac:dyDescent="0.3">
      <c r="A64" t="s">
        <v>4205</v>
      </c>
      <c r="B64" t="s">
        <v>1666</v>
      </c>
      <c r="C64" t="s">
        <v>1666</v>
      </c>
      <c r="D64" t="s">
        <v>1666</v>
      </c>
      <c r="E64" t="s">
        <v>4206</v>
      </c>
      <c r="F64" t="s">
        <v>3883</v>
      </c>
      <c r="G64" t="s">
        <v>1666</v>
      </c>
      <c r="H64" t="s">
        <v>48</v>
      </c>
      <c r="I64" t="s">
        <v>4207</v>
      </c>
      <c r="J64" t="s">
        <v>4208</v>
      </c>
      <c r="K64" t="s">
        <v>1666</v>
      </c>
      <c r="L64" t="s">
        <v>4209</v>
      </c>
      <c r="M64" t="s">
        <v>1666</v>
      </c>
      <c r="N64" t="s">
        <v>1666</v>
      </c>
      <c r="O64">
        <v>97979.59</v>
      </c>
      <c r="P64">
        <v>0</v>
      </c>
      <c r="Q64" t="s">
        <v>4210</v>
      </c>
      <c r="R64" t="s">
        <v>3888</v>
      </c>
      <c r="S64" t="s">
        <v>4205</v>
      </c>
      <c r="T64" t="s">
        <v>1736</v>
      </c>
      <c r="U64" t="s">
        <v>3889</v>
      </c>
    </row>
    <row r="65" spans="1:21" ht="15.6" x14ac:dyDescent="0.3">
      <c r="A65" t="s">
        <v>4211</v>
      </c>
      <c r="B65" t="s">
        <v>1666</v>
      </c>
      <c r="C65" t="s">
        <v>1666</v>
      </c>
      <c r="D65" t="s">
        <v>1666</v>
      </c>
      <c r="E65" t="s">
        <v>4212</v>
      </c>
      <c r="F65" t="s">
        <v>3883</v>
      </c>
      <c r="G65" t="s">
        <v>1666</v>
      </c>
      <c r="H65" t="s">
        <v>4213</v>
      </c>
      <c r="I65" t="s">
        <v>4199</v>
      </c>
      <c r="J65" t="s">
        <v>4200</v>
      </c>
      <c r="K65" t="s">
        <v>4214</v>
      </c>
      <c r="L65" t="s">
        <v>4000</v>
      </c>
      <c r="M65" t="s">
        <v>4215</v>
      </c>
      <c r="N65" t="s">
        <v>1666</v>
      </c>
      <c r="O65">
        <v>130996.52</v>
      </c>
      <c r="P65">
        <v>0</v>
      </c>
      <c r="Q65" t="s">
        <v>4201</v>
      </c>
      <c r="R65" t="s">
        <v>3888</v>
      </c>
      <c r="S65" t="s">
        <v>4211</v>
      </c>
      <c r="T65" t="s">
        <v>1731</v>
      </c>
      <c r="U65" t="s">
        <v>3889</v>
      </c>
    </row>
    <row r="66" spans="1:21" ht="15.6" x14ac:dyDescent="0.3">
      <c r="A66" t="s">
        <v>4216</v>
      </c>
      <c r="B66" t="s">
        <v>1666</v>
      </c>
      <c r="C66" t="s">
        <v>1666</v>
      </c>
      <c r="D66" t="s">
        <v>1666</v>
      </c>
      <c r="E66" t="s">
        <v>4217</v>
      </c>
      <c r="F66" t="s">
        <v>3883</v>
      </c>
      <c r="G66" t="s">
        <v>1666</v>
      </c>
      <c r="H66" t="s">
        <v>3904</v>
      </c>
      <c r="I66" t="s">
        <v>4218</v>
      </c>
      <c r="J66" t="s">
        <v>4219</v>
      </c>
      <c r="K66" t="s">
        <v>4220</v>
      </c>
      <c r="L66" t="s">
        <v>4173</v>
      </c>
      <c r="M66" t="s">
        <v>1666</v>
      </c>
      <c r="N66" t="s">
        <v>1666</v>
      </c>
      <c r="O66">
        <v>10096.15</v>
      </c>
      <c r="P66">
        <v>0</v>
      </c>
      <c r="Q66" t="s">
        <v>4221</v>
      </c>
      <c r="R66" t="s">
        <v>3888</v>
      </c>
      <c r="S66" t="s">
        <v>4216</v>
      </c>
      <c r="T66" t="s">
        <v>1666</v>
      </c>
      <c r="U66" t="s">
        <v>3889</v>
      </c>
    </row>
    <row r="67" spans="1:21" ht="15.6" x14ac:dyDescent="0.3">
      <c r="A67" t="s">
        <v>4222</v>
      </c>
      <c r="B67" t="s">
        <v>1666</v>
      </c>
      <c r="C67" t="s">
        <v>1666</v>
      </c>
      <c r="D67" t="s">
        <v>1666</v>
      </c>
      <c r="E67" t="s">
        <v>4223</v>
      </c>
      <c r="F67" t="s">
        <v>3883</v>
      </c>
      <c r="G67" t="s">
        <v>1666</v>
      </c>
      <c r="H67" t="s">
        <v>4224</v>
      </c>
      <c r="I67" t="s">
        <v>4225</v>
      </c>
      <c r="J67" t="s">
        <v>4226</v>
      </c>
      <c r="K67" t="s">
        <v>4227</v>
      </c>
      <c r="L67" t="s">
        <v>3908</v>
      </c>
      <c r="M67" t="s">
        <v>4228</v>
      </c>
      <c r="N67" t="s">
        <v>1666</v>
      </c>
      <c r="O67">
        <v>199996.72</v>
      </c>
      <c r="P67">
        <v>0</v>
      </c>
      <c r="Q67" t="s">
        <v>4229</v>
      </c>
      <c r="R67" t="s">
        <v>3911</v>
      </c>
      <c r="S67" t="s">
        <v>4222</v>
      </c>
      <c r="T67" t="s">
        <v>1703</v>
      </c>
      <c r="U67" t="s">
        <v>3889</v>
      </c>
    </row>
    <row r="68" spans="1:21" ht="15.6" x14ac:dyDescent="0.3">
      <c r="A68" t="s">
        <v>4230</v>
      </c>
      <c r="B68" t="s">
        <v>1666</v>
      </c>
      <c r="C68" t="s">
        <v>1666</v>
      </c>
      <c r="D68" t="s">
        <v>1666</v>
      </c>
      <c r="E68" t="s">
        <v>4231</v>
      </c>
      <c r="F68" t="s">
        <v>3883</v>
      </c>
      <c r="G68" t="s">
        <v>1666</v>
      </c>
      <c r="H68" t="s">
        <v>1666</v>
      </c>
      <c r="I68" t="s">
        <v>4232</v>
      </c>
      <c r="J68" t="s">
        <v>4233</v>
      </c>
      <c r="K68" t="s">
        <v>1666</v>
      </c>
      <c r="L68" t="s">
        <v>4234</v>
      </c>
      <c r="M68" t="s">
        <v>1666</v>
      </c>
      <c r="N68" t="s">
        <v>1666</v>
      </c>
      <c r="O68">
        <v>52162.67</v>
      </c>
      <c r="P68">
        <v>0</v>
      </c>
      <c r="Q68" t="s">
        <v>4235</v>
      </c>
      <c r="R68" t="s">
        <v>3888</v>
      </c>
      <c r="S68" t="s">
        <v>4230</v>
      </c>
      <c r="T68" t="s">
        <v>1729</v>
      </c>
      <c r="U68" t="s">
        <v>4236</v>
      </c>
    </row>
    <row r="69" spans="1:21" ht="15.6" x14ac:dyDescent="0.3">
      <c r="A69" t="s">
        <v>4237</v>
      </c>
      <c r="B69" t="s">
        <v>1666</v>
      </c>
      <c r="C69" t="s">
        <v>1666</v>
      </c>
      <c r="D69" t="s">
        <v>1666</v>
      </c>
      <c r="E69" t="s">
        <v>4238</v>
      </c>
      <c r="F69" t="s">
        <v>3883</v>
      </c>
      <c r="G69" t="s">
        <v>1666</v>
      </c>
      <c r="H69" t="s">
        <v>1666</v>
      </c>
      <c r="I69" t="s">
        <v>4239</v>
      </c>
      <c r="J69" t="s">
        <v>4240</v>
      </c>
      <c r="K69" t="s">
        <v>1666</v>
      </c>
      <c r="L69" t="s">
        <v>4241</v>
      </c>
      <c r="M69" t="s">
        <v>1666</v>
      </c>
      <c r="N69" t="s">
        <v>1666</v>
      </c>
      <c r="O69">
        <v>79966.039999999994</v>
      </c>
      <c r="P69">
        <v>0</v>
      </c>
      <c r="Q69" t="s">
        <v>4242</v>
      </c>
      <c r="R69" t="s">
        <v>3888</v>
      </c>
      <c r="S69" t="s">
        <v>4237</v>
      </c>
      <c r="T69" t="s">
        <v>1737</v>
      </c>
      <c r="U69" t="s">
        <v>4236</v>
      </c>
    </row>
    <row r="70" spans="1:21" ht="15.6" x14ac:dyDescent="0.3">
      <c r="A70" t="s">
        <v>4243</v>
      </c>
      <c r="B70" t="s">
        <v>1666</v>
      </c>
      <c r="C70" t="s">
        <v>1666</v>
      </c>
      <c r="D70" t="s">
        <v>1666</v>
      </c>
      <c r="E70" t="s">
        <v>4244</v>
      </c>
      <c r="F70" t="s">
        <v>3883</v>
      </c>
      <c r="G70" t="s">
        <v>1666</v>
      </c>
      <c r="H70" t="s">
        <v>1725</v>
      </c>
      <c r="I70" t="s">
        <v>4245</v>
      </c>
      <c r="J70" t="s">
        <v>4246</v>
      </c>
      <c r="K70" t="s">
        <v>4247</v>
      </c>
      <c r="L70" t="s">
        <v>4248</v>
      </c>
      <c r="M70" t="s">
        <v>4249</v>
      </c>
      <c r="N70" t="s">
        <v>1666</v>
      </c>
      <c r="O70">
        <v>2640</v>
      </c>
      <c r="P70">
        <v>0</v>
      </c>
      <c r="Q70" t="s">
        <v>4250</v>
      </c>
      <c r="R70" t="s">
        <v>3888</v>
      </c>
      <c r="S70" t="s">
        <v>4243</v>
      </c>
      <c r="T70" t="s">
        <v>1738</v>
      </c>
      <c r="U70" t="s">
        <v>3889</v>
      </c>
    </row>
    <row r="71" spans="1:21" ht="15.6" x14ac:dyDescent="0.3">
      <c r="A71" t="s">
        <v>4251</v>
      </c>
      <c r="B71" t="s">
        <v>1666</v>
      </c>
      <c r="C71" t="s">
        <v>1666</v>
      </c>
      <c r="D71" t="s">
        <v>1666</v>
      </c>
      <c r="E71" t="s">
        <v>4252</v>
      </c>
      <c r="F71" t="s">
        <v>3883</v>
      </c>
      <c r="G71" t="s">
        <v>1666</v>
      </c>
      <c r="H71" t="s">
        <v>4253</v>
      </c>
      <c r="I71" t="s">
        <v>4199</v>
      </c>
      <c r="J71" t="s">
        <v>4254</v>
      </c>
      <c r="K71" t="s">
        <v>1666</v>
      </c>
      <c r="L71" t="s">
        <v>4255</v>
      </c>
      <c r="M71" t="s">
        <v>1666</v>
      </c>
      <c r="N71" t="s">
        <v>1666</v>
      </c>
      <c r="O71">
        <v>89000</v>
      </c>
      <c r="P71">
        <v>0</v>
      </c>
      <c r="Q71" t="s">
        <v>4256</v>
      </c>
      <c r="R71" t="s">
        <v>3888</v>
      </c>
      <c r="S71" t="s">
        <v>4251</v>
      </c>
      <c r="T71" t="s">
        <v>1731</v>
      </c>
      <c r="U71" t="s">
        <v>3889</v>
      </c>
    </row>
    <row r="72" spans="1:21" ht="15.6" x14ac:dyDescent="0.3">
      <c r="A72" t="s">
        <v>4257</v>
      </c>
      <c r="B72" t="s">
        <v>1666</v>
      </c>
      <c r="C72" t="s">
        <v>1666</v>
      </c>
      <c r="D72" t="s">
        <v>1666</v>
      </c>
      <c r="E72" t="s">
        <v>1666</v>
      </c>
      <c r="F72" t="s">
        <v>3883</v>
      </c>
      <c r="G72" t="s">
        <v>1666</v>
      </c>
      <c r="H72" t="s">
        <v>3904</v>
      </c>
      <c r="I72" t="s">
        <v>4258</v>
      </c>
      <c r="J72" t="s">
        <v>4259</v>
      </c>
      <c r="K72" t="s">
        <v>4260</v>
      </c>
      <c r="L72" t="s">
        <v>4261</v>
      </c>
      <c r="M72" t="s">
        <v>4262</v>
      </c>
      <c r="N72" t="s">
        <v>1666</v>
      </c>
      <c r="O72">
        <v>8228</v>
      </c>
      <c r="P72">
        <v>0</v>
      </c>
      <c r="Q72" t="s">
        <v>4263</v>
      </c>
      <c r="R72" t="s">
        <v>3888</v>
      </c>
      <c r="S72" t="s">
        <v>4257</v>
      </c>
      <c r="T72" t="s">
        <v>1716</v>
      </c>
      <c r="U72" t="s">
        <v>3889</v>
      </c>
    </row>
    <row r="73" spans="1:21" ht="15.6" x14ac:dyDescent="0.3">
      <c r="A73" t="s">
        <v>4264</v>
      </c>
      <c r="B73" t="s">
        <v>1666</v>
      </c>
      <c r="C73" t="s">
        <v>1666</v>
      </c>
      <c r="D73" t="s">
        <v>1666</v>
      </c>
      <c r="E73" t="s">
        <v>1666</v>
      </c>
      <c r="F73" t="s">
        <v>3883</v>
      </c>
      <c r="G73" t="s">
        <v>1666</v>
      </c>
      <c r="H73" t="s">
        <v>3904</v>
      </c>
      <c r="I73" t="s">
        <v>4265</v>
      </c>
      <c r="J73" t="s">
        <v>4266</v>
      </c>
      <c r="K73" t="s">
        <v>4267</v>
      </c>
      <c r="L73" t="s">
        <v>3908</v>
      </c>
      <c r="M73" t="s">
        <v>4268</v>
      </c>
      <c r="N73" t="s">
        <v>1666</v>
      </c>
      <c r="O73">
        <v>5579.2</v>
      </c>
      <c r="P73">
        <v>0</v>
      </c>
      <c r="Q73" t="s">
        <v>4269</v>
      </c>
      <c r="R73" t="s">
        <v>3888</v>
      </c>
      <c r="S73" t="s">
        <v>4264</v>
      </c>
      <c r="T73" t="s">
        <v>1719</v>
      </c>
      <c r="U73" t="s">
        <v>3889</v>
      </c>
    </row>
    <row r="74" spans="1:21" ht="15.6" x14ac:dyDescent="0.3">
      <c r="A74" t="s">
        <v>4270</v>
      </c>
      <c r="B74" t="s">
        <v>1666</v>
      </c>
      <c r="C74" t="s">
        <v>1666</v>
      </c>
      <c r="D74" t="s">
        <v>1666</v>
      </c>
      <c r="E74" t="s">
        <v>1666</v>
      </c>
      <c r="F74" t="s">
        <v>3883</v>
      </c>
      <c r="G74" t="s">
        <v>1666</v>
      </c>
      <c r="H74" t="s">
        <v>3904</v>
      </c>
      <c r="I74" t="s">
        <v>4271</v>
      </c>
      <c r="J74" t="s">
        <v>4272</v>
      </c>
      <c r="K74" t="s">
        <v>4273</v>
      </c>
      <c r="L74" t="s">
        <v>4166</v>
      </c>
      <c r="M74" t="s">
        <v>1666</v>
      </c>
      <c r="N74" t="s">
        <v>1666</v>
      </c>
      <c r="O74">
        <v>14989.88</v>
      </c>
      <c r="P74">
        <v>0</v>
      </c>
      <c r="Q74" t="s">
        <v>4274</v>
      </c>
      <c r="R74" t="s">
        <v>3888</v>
      </c>
      <c r="S74" t="s">
        <v>4270</v>
      </c>
      <c r="T74" t="s">
        <v>1718</v>
      </c>
      <c r="U74" t="s">
        <v>3889</v>
      </c>
    </row>
    <row r="75" spans="1:21" ht="15.6" x14ac:dyDescent="0.3">
      <c r="A75" t="s">
        <v>4275</v>
      </c>
      <c r="B75" t="s">
        <v>1666</v>
      </c>
      <c r="C75" t="s">
        <v>1666</v>
      </c>
      <c r="D75" t="s">
        <v>1666</v>
      </c>
      <c r="E75" t="s">
        <v>1666</v>
      </c>
      <c r="F75" t="s">
        <v>3883</v>
      </c>
      <c r="G75" t="s">
        <v>1666</v>
      </c>
      <c r="H75" t="s">
        <v>3904</v>
      </c>
      <c r="I75" t="s">
        <v>4276</v>
      </c>
      <c r="J75" t="s">
        <v>4277</v>
      </c>
      <c r="K75" t="s">
        <v>4278</v>
      </c>
      <c r="L75" t="s">
        <v>3908</v>
      </c>
      <c r="M75" t="s">
        <v>4279</v>
      </c>
      <c r="N75" t="s">
        <v>1666</v>
      </c>
      <c r="O75">
        <v>8976</v>
      </c>
      <c r="P75">
        <v>0</v>
      </c>
      <c r="Q75" t="s">
        <v>4280</v>
      </c>
      <c r="R75" t="s">
        <v>3888</v>
      </c>
      <c r="S75" t="s">
        <v>4275</v>
      </c>
      <c r="T75" t="s">
        <v>1721</v>
      </c>
      <c r="U75" t="s">
        <v>3889</v>
      </c>
    </row>
    <row r="76" spans="1:21" ht="15.6" x14ac:dyDescent="0.3">
      <c r="A76" t="s">
        <v>4281</v>
      </c>
      <c r="B76" t="s">
        <v>1666</v>
      </c>
      <c r="C76" t="s">
        <v>1666</v>
      </c>
      <c r="D76" t="s">
        <v>1666</v>
      </c>
      <c r="E76" t="s">
        <v>4282</v>
      </c>
      <c r="F76" t="s">
        <v>3883</v>
      </c>
      <c r="G76" t="s">
        <v>1666</v>
      </c>
      <c r="H76" t="s">
        <v>4283</v>
      </c>
      <c r="I76" t="s">
        <v>4284</v>
      </c>
      <c r="J76" t="s">
        <v>4285</v>
      </c>
      <c r="K76" t="s">
        <v>4286</v>
      </c>
      <c r="L76" t="s">
        <v>4287</v>
      </c>
      <c r="M76" t="s">
        <v>4288</v>
      </c>
      <c r="N76" t="s">
        <v>1666</v>
      </c>
      <c r="O76">
        <v>249962.9792</v>
      </c>
      <c r="P76">
        <v>0</v>
      </c>
      <c r="Q76" t="s">
        <v>4289</v>
      </c>
      <c r="R76" t="s">
        <v>3911</v>
      </c>
      <c r="S76" t="s">
        <v>4281</v>
      </c>
      <c r="T76" t="s">
        <v>1694</v>
      </c>
      <c r="U76" t="s">
        <v>3889</v>
      </c>
    </row>
    <row r="77" spans="1:21" ht="15.6" x14ac:dyDescent="0.3">
      <c r="A77" t="s">
        <v>4290</v>
      </c>
      <c r="B77" t="s">
        <v>1666</v>
      </c>
      <c r="C77" t="s">
        <v>1666</v>
      </c>
      <c r="D77" t="s">
        <v>1666</v>
      </c>
      <c r="E77" t="s">
        <v>1666</v>
      </c>
      <c r="F77" t="s">
        <v>3883</v>
      </c>
      <c r="G77" t="s">
        <v>1666</v>
      </c>
      <c r="H77" t="s">
        <v>3904</v>
      </c>
      <c r="I77" t="s">
        <v>4291</v>
      </c>
      <c r="J77" t="s">
        <v>4292</v>
      </c>
      <c r="K77" t="s">
        <v>4293</v>
      </c>
      <c r="L77" t="s">
        <v>2000</v>
      </c>
      <c r="M77" t="s">
        <v>4294</v>
      </c>
      <c r="N77" t="s">
        <v>1666</v>
      </c>
      <c r="O77">
        <v>1120</v>
      </c>
      <c r="P77">
        <v>0</v>
      </c>
      <c r="Q77" t="s">
        <v>4295</v>
      </c>
      <c r="R77" t="s">
        <v>3888</v>
      </c>
      <c r="S77" t="s">
        <v>4290</v>
      </c>
      <c r="T77" t="s">
        <v>1723</v>
      </c>
      <c r="U77" t="s">
        <v>3889</v>
      </c>
    </row>
    <row r="78" spans="1:21" ht="15.6" x14ac:dyDescent="0.3">
      <c r="A78" t="s">
        <v>4296</v>
      </c>
      <c r="B78" t="s">
        <v>1666</v>
      </c>
      <c r="C78" t="s">
        <v>1666</v>
      </c>
      <c r="D78" t="s">
        <v>1666</v>
      </c>
      <c r="E78" t="s">
        <v>1666</v>
      </c>
      <c r="F78" t="s">
        <v>3883</v>
      </c>
      <c r="G78" t="s">
        <v>1666</v>
      </c>
      <c r="H78" t="s">
        <v>3904</v>
      </c>
      <c r="I78" t="s">
        <v>4297</v>
      </c>
      <c r="J78" t="s">
        <v>4298</v>
      </c>
      <c r="K78" t="s">
        <v>4299</v>
      </c>
      <c r="L78" t="s">
        <v>3908</v>
      </c>
      <c r="M78" t="s">
        <v>4300</v>
      </c>
      <c r="N78" t="s">
        <v>1666</v>
      </c>
      <c r="O78">
        <v>23943.52</v>
      </c>
      <c r="P78">
        <v>0</v>
      </c>
      <c r="Q78" t="s">
        <v>4301</v>
      </c>
      <c r="R78" t="s">
        <v>3888</v>
      </c>
      <c r="S78" t="s">
        <v>4296</v>
      </c>
      <c r="T78" t="s">
        <v>1724</v>
      </c>
      <c r="U78" t="s">
        <v>3889</v>
      </c>
    </row>
    <row r="79" spans="1:21" ht="15.6" x14ac:dyDescent="0.3">
      <c r="A79" t="s">
        <v>4302</v>
      </c>
      <c r="B79" t="s">
        <v>1666</v>
      </c>
      <c r="C79" t="s">
        <v>1666</v>
      </c>
      <c r="D79" t="s">
        <v>1666</v>
      </c>
      <c r="E79" t="s">
        <v>4303</v>
      </c>
      <c r="F79" t="s">
        <v>3883</v>
      </c>
      <c r="G79" t="s">
        <v>1666</v>
      </c>
      <c r="H79" t="s">
        <v>4304</v>
      </c>
      <c r="I79" t="s">
        <v>4107</v>
      </c>
      <c r="J79" t="s">
        <v>4164</v>
      </c>
      <c r="K79" t="s">
        <v>4305</v>
      </c>
      <c r="L79" t="s">
        <v>4166</v>
      </c>
      <c r="M79" t="s">
        <v>4306</v>
      </c>
      <c r="N79" t="s">
        <v>1666</v>
      </c>
      <c r="O79">
        <v>37878.949999999997</v>
      </c>
      <c r="P79">
        <v>0</v>
      </c>
      <c r="Q79" t="s">
        <v>4168</v>
      </c>
      <c r="R79" t="s">
        <v>3911</v>
      </c>
      <c r="S79" t="s">
        <v>4302</v>
      </c>
      <c r="T79" t="s">
        <v>1708</v>
      </c>
      <c r="U79" t="s">
        <v>3889</v>
      </c>
    </row>
    <row r="80" spans="1:21" ht="15.6" x14ac:dyDescent="0.3">
      <c r="A80" t="s">
        <v>4307</v>
      </c>
      <c r="B80" t="s">
        <v>1666</v>
      </c>
      <c r="C80" t="s">
        <v>1666</v>
      </c>
      <c r="D80" t="s">
        <v>1666</v>
      </c>
      <c r="E80" t="s">
        <v>1666</v>
      </c>
      <c r="F80" t="s">
        <v>3883</v>
      </c>
      <c r="G80" t="s">
        <v>1666</v>
      </c>
      <c r="H80" t="s">
        <v>1666</v>
      </c>
      <c r="I80" t="s">
        <v>4308</v>
      </c>
      <c r="J80" t="s">
        <v>4292</v>
      </c>
      <c r="K80" t="s">
        <v>1666</v>
      </c>
      <c r="L80" t="s">
        <v>2000</v>
      </c>
      <c r="M80" t="s">
        <v>1666</v>
      </c>
      <c r="N80" t="s">
        <v>1666</v>
      </c>
      <c r="O80">
        <v>350</v>
      </c>
      <c r="P80">
        <v>0</v>
      </c>
      <c r="Q80" t="s">
        <v>4309</v>
      </c>
      <c r="R80" t="s">
        <v>3888</v>
      </c>
      <c r="S80" t="s">
        <v>4307</v>
      </c>
      <c r="T80" t="s">
        <v>1727</v>
      </c>
      <c r="U80" t="s">
        <v>1666</v>
      </c>
    </row>
    <row r="81" spans="1:21" ht="15.6" x14ac:dyDescent="0.3">
      <c r="A81" t="s">
        <v>4310</v>
      </c>
      <c r="B81" t="s">
        <v>1666</v>
      </c>
      <c r="C81" t="s">
        <v>1666</v>
      </c>
      <c r="D81" t="s">
        <v>1666</v>
      </c>
      <c r="E81" t="s">
        <v>4311</v>
      </c>
      <c r="F81" t="s">
        <v>3883</v>
      </c>
      <c r="G81" t="s">
        <v>1666</v>
      </c>
      <c r="H81" t="s">
        <v>1666</v>
      </c>
      <c r="I81" t="s">
        <v>4114</v>
      </c>
      <c r="J81" t="s">
        <v>4312</v>
      </c>
      <c r="K81" t="s">
        <v>1666</v>
      </c>
      <c r="L81" t="s">
        <v>4287</v>
      </c>
      <c r="M81" t="s">
        <v>1666</v>
      </c>
      <c r="N81" t="s">
        <v>1666</v>
      </c>
      <c r="O81">
        <v>466170</v>
      </c>
      <c r="P81">
        <v>0</v>
      </c>
      <c r="Q81" t="s">
        <v>4313</v>
      </c>
      <c r="R81" t="s">
        <v>3918</v>
      </c>
      <c r="S81" t="s">
        <v>4310</v>
      </c>
      <c r="T81" t="s">
        <v>1706</v>
      </c>
      <c r="U81" t="s">
        <v>3919</v>
      </c>
    </row>
    <row r="82" spans="1:21" ht="15.6" x14ac:dyDescent="0.3">
      <c r="A82" t="s">
        <v>4314</v>
      </c>
      <c r="B82" t="s">
        <v>1666</v>
      </c>
      <c r="C82" t="s">
        <v>1666</v>
      </c>
      <c r="D82" t="s">
        <v>1666</v>
      </c>
      <c r="E82" t="s">
        <v>4315</v>
      </c>
      <c r="F82" t="s">
        <v>3883</v>
      </c>
      <c r="G82" t="s">
        <v>1666</v>
      </c>
      <c r="H82" t="s">
        <v>48</v>
      </c>
      <c r="I82" t="s">
        <v>4316</v>
      </c>
      <c r="J82" t="s">
        <v>4317</v>
      </c>
      <c r="K82" t="s">
        <v>4318</v>
      </c>
      <c r="L82" t="s">
        <v>4319</v>
      </c>
      <c r="M82" t="s">
        <v>4320</v>
      </c>
      <c r="N82" t="s">
        <v>1666</v>
      </c>
      <c r="O82">
        <v>206965.44</v>
      </c>
      <c r="P82">
        <v>0</v>
      </c>
      <c r="Q82" t="s">
        <v>4321</v>
      </c>
      <c r="R82" t="s">
        <v>3911</v>
      </c>
      <c r="S82" t="s">
        <v>4314</v>
      </c>
      <c r="T82" t="s">
        <v>1720</v>
      </c>
      <c r="U82" t="s">
        <v>3889</v>
      </c>
    </row>
    <row r="83" spans="1:21" ht="15.6" x14ac:dyDescent="0.3">
      <c r="A83" t="s">
        <v>4322</v>
      </c>
      <c r="B83" t="s">
        <v>1666</v>
      </c>
      <c r="C83" t="s">
        <v>1666</v>
      </c>
      <c r="D83" t="s">
        <v>1666</v>
      </c>
      <c r="E83" t="s">
        <v>1666</v>
      </c>
      <c r="F83" t="s">
        <v>3883</v>
      </c>
      <c r="G83" t="s">
        <v>1666</v>
      </c>
      <c r="H83" t="s">
        <v>4323</v>
      </c>
      <c r="I83" t="s">
        <v>4114</v>
      </c>
      <c r="J83" t="s">
        <v>4324</v>
      </c>
      <c r="K83" t="s">
        <v>1666</v>
      </c>
      <c r="L83" t="s">
        <v>4287</v>
      </c>
      <c r="M83" t="s">
        <v>1666</v>
      </c>
      <c r="N83" t="s">
        <v>1666</v>
      </c>
      <c r="O83">
        <v>298625</v>
      </c>
      <c r="P83">
        <v>0</v>
      </c>
      <c r="Q83" t="s">
        <v>4313</v>
      </c>
      <c r="R83" t="s">
        <v>3888</v>
      </c>
      <c r="S83" t="s">
        <v>4322</v>
      </c>
      <c r="T83" t="s">
        <v>1706</v>
      </c>
      <c r="U83" t="s">
        <v>4236</v>
      </c>
    </row>
    <row r="84" spans="1:21" ht="15.6" x14ac:dyDescent="0.3">
      <c r="A84" t="s">
        <v>4325</v>
      </c>
      <c r="B84" t="s">
        <v>1666</v>
      </c>
      <c r="C84" t="s">
        <v>1666</v>
      </c>
      <c r="D84" t="s">
        <v>1666</v>
      </c>
      <c r="E84" t="s">
        <v>1666</v>
      </c>
      <c r="F84" t="s">
        <v>3883</v>
      </c>
      <c r="G84" t="s">
        <v>1666</v>
      </c>
      <c r="H84" t="s">
        <v>4326</v>
      </c>
      <c r="I84" t="s">
        <v>4114</v>
      </c>
      <c r="J84" t="s">
        <v>4327</v>
      </c>
      <c r="K84" t="s">
        <v>1666</v>
      </c>
      <c r="L84" t="s">
        <v>4328</v>
      </c>
      <c r="M84" t="s">
        <v>1666</v>
      </c>
      <c r="N84" t="s">
        <v>1666</v>
      </c>
      <c r="O84">
        <v>146288</v>
      </c>
      <c r="P84">
        <v>0</v>
      </c>
      <c r="Q84" t="s">
        <v>4313</v>
      </c>
      <c r="R84" t="s">
        <v>3888</v>
      </c>
      <c r="S84" t="s">
        <v>4325</v>
      </c>
      <c r="T84" t="s">
        <v>1706</v>
      </c>
      <c r="U84" t="s">
        <v>4236</v>
      </c>
    </row>
    <row r="85" spans="1:21" ht="15.6" x14ac:dyDescent="0.3">
      <c r="A85" t="s">
        <v>4329</v>
      </c>
      <c r="B85" t="s">
        <v>1666</v>
      </c>
      <c r="C85" t="s">
        <v>1666</v>
      </c>
      <c r="D85" t="s">
        <v>1666</v>
      </c>
      <c r="E85" t="s">
        <v>1666</v>
      </c>
      <c r="F85" t="s">
        <v>3883</v>
      </c>
      <c r="G85" t="s">
        <v>1666</v>
      </c>
      <c r="H85" t="s">
        <v>1666</v>
      </c>
      <c r="I85" t="s">
        <v>4114</v>
      </c>
      <c r="J85" t="s">
        <v>4312</v>
      </c>
      <c r="K85" t="s">
        <v>1666</v>
      </c>
      <c r="L85" t="s">
        <v>4328</v>
      </c>
      <c r="M85" t="s">
        <v>1666</v>
      </c>
      <c r="N85" t="s">
        <v>1666</v>
      </c>
      <c r="O85">
        <v>21257.599999999999</v>
      </c>
      <c r="P85">
        <v>0</v>
      </c>
      <c r="Q85" t="s">
        <v>4313</v>
      </c>
      <c r="R85" t="s">
        <v>3918</v>
      </c>
      <c r="S85" t="s">
        <v>4329</v>
      </c>
      <c r="T85" t="s">
        <v>1706</v>
      </c>
      <c r="U85" t="s">
        <v>3919</v>
      </c>
    </row>
    <row r="86" spans="1:21" ht="15.6" x14ac:dyDescent="0.3">
      <c r="A86" t="s">
        <v>4330</v>
      </c>
      <c r="B86" t="s">
        <v>1666</v>
      </c>
      <c r="C86" t="s">
        <v>1666</v>
      </c>
      <c r="D86" t="s">
        <v>1666</v>
      </c>
      <c r="E86" t="s">
        <v>1666</v>
      </c>
      <c r="F86" t="s">
        <v>3883</v>
      </c>
      <c r="G86" t="s">
        <v>1666</v>
      </c>
      <c r="H86" t="s">
        <v>3904</v>
      </c>
      <c r="I86" t="s">
        <v>4107</v>
      </c>
      <c r="J86" t="s">
        <v>4331</v>
      </c>
      <c r="K86" t="s">
        <v>4332</v>
      </c>
      <c r="L86" t="s">
        <v>4328</v>
      </c>
      <c r="M86" t="s">
        <v>4333</v>
      </c>
      <c r="N86" t="s">
        <v>1666</v>
      </c>
      <c r="O86">
        <v>8564.0300000000007</v>
      </c>
      <c r="P86">
        <v>0</v>
      </c>
      <c r="Q86" t="s">
        <v>4168</v>
      </c>
      <c r="R86" t="s">
        <v>3888</v>
      </c>
      <c r="S86" t="s">
        <v>4330</v>
      </c>
      <c r="T86" t="s">
        <v>1708</v>
      </c>
      <c r="U86" t="s">
        <v>3889</v>
      </c>
    </row>
    <row r="87" spans="1:21" ht="15.6" x14ac:dyDescent="0.3">
      <c r="A87" t="s">
        <v>4334</v>
      </c>
      <c r="B87" t="s">
        <v>1666</v>
      </c>
      <c r="C87" t="s">
        <v>1666</v>
      </c>
      <c r="D87" t="s">
        <v>1666</v>
      </c>
      <c r="E87" t="s">
        <v>4335</v>
      </c>
      <c r="F87" t="s">
        <v>3883</v>
      </c>
      <c r="G87" t="s">
        <v>1666</v>
      </c>
      <c r="H87" t="s">
        <v>4336</v>
      </c>
      <c r="I87" t="s">
        <v>4107</v>
      </c>
      <c r="J87" t="s">
        <v>4331</v>
      </c>
      <c r="K87" t="s">
        <v>1666</v>
      </c>
      <c r="L87" t="s">
        <v>4337</v>
      </c>
      <c r="M87" t="s">
        <v>1666</v>
      </c>
      <c r="N87" t="s">
        <v>1666</v>
      </c>
      <c r="O87">
        <v>47958.559999999998</v>
      </c>
      <c r="P87">
        <v>0</v>
      </c>
      <c r="Q87" t="s">
        <v>4168</v>
      </c>
      <c r="R87" t="s">
        <v>3888</v>
      </c>
      <c r="S87" t="s">
        <v>4334</v>
      </c>
      <c r="T87" t="s">
        <v>1708</v>
      </c>
      <c r="U87" t="s">
        <v>3889</v>
      </c>
    </row>
    <row r="88" spans="1:21" ht="15.6" x14ac:dyDescent="0.3">
      <c r="A88" t="s">
        <v>4338</v>
      </c>
      <c r="B88" t="s">
        <v>1666</v>
      </c>
      <c r="C88" t="s">
        <v>1666</v>
      </c>
      <c r="D88" t="s">
        <v>1666</v>
      </c>
      <c r="E88" t="s">
        <v>1666</v>
      </c>
      <c r="F88" t="s">
        <v>3883</v>
      </c>
      <c r="G88" t="s">
        <v>1666</v>
      </c>
      <c r="H88" t="s">
        <v>1666</v>
      </c>
      <c r="I88" t="s">
        <v>4339</v>
      </c>
      <c r="J88" t="s">
        <v>4340</v>
      </c>
      <c r="K88" t="s">
        <v>1666</v>
      </c>
      <c r="L88" t="s">
        <v>3908</v>
      </c>
      <c r="M88" t="s">
        <v>1666</v>
      </c>
      <c r="N88" t="s">
        <v>1666</v>
      </c>
      <c r="O88">
        <v>149943.20000000001</v>
      </c>
      <c r="P88">
        <v>0</v>
      </c>
      <c r="Q88" t="s">
        <v>4341</v>
      </c>
      <c r="R88" t="s">
        <v>3911</v>
      </c>
      <c r="S88" t="s">
        <v>4338</v>
      </c>
      <c r="T88" t="s">
        <v>1678</v>
      </c>
      <c r="U88" t="s">
        <v>3919</v>
      </c>
    </row>
    <row r="89" spans="1:21" ht="15.6" x14ac:dyDescent="0.3">
      <c r="A89" t="s">
        <v>4342</v>
      </c>
      <c r="B89" t="s">
        <v>1666</v>
      </c>
      <c r="C89" t="s">
        <v>1666</v>
      </c>
      <c r="D89" t="s">
        <v>1666</v>
      </c>
      <c r="E89" t="s">
        <v>1666</v>
      </c>
      <c r="F89" t="s">
        <v>3883</v>
      </c>
      <c r="G89" t="s">
        <v>1666</v>
      </c>
      <c r="H89" t="s">
        <v>1666</v>
      </c>
      <c r="I89" t="s">
        <v>4339</v>
      </c>
      <c r="J89" t="s">
        <v>4340</v>
      </c>
      <c r="K89" t="s">
        <v>1666</v>
      </c>
      <c r="L89" t="s">
        <v>3967</v>
      </c>
      <c r="M89" t="s">
        <v>1666</v>
      </c>
      <c r="N89" t="s">
        <v>1666</v>
      </c>
      <c r="O89">
        <v>144851.04</v>
      </c>
      <c r="P89">
        <v>0</v>
      </c>
      <c r="Q89" t="s">
        <v>4341</v>
      </c>
      <c r="R89" t="s">
        <v>3911</v>
      </c>
      <c r="S89" t="s">
        <v>4342</v>
      </c>
      <c r="T89" t="s">
        <v>1678</v>
      </c>
      <c r="U89" t="s">
        <v>3919</v>
      </c>
    </row>
    <row r="90" spans="1:21" ht="15.6" x14ac:dyDescent="0.3">
      <c r="A90" t="s">
        <v>4343</v>
      </c>
      <c r="B90" t="s">
        <v>1666</v>
      </c>
      <c r="C90" t="s">
        <v>1666</v>
      </c>
      <c r="D90" t="s">
        <v>1666</v>
      </c>
      <c r="E90" t="s">
        <v>4344</v>
      </c>
      <c r="F90" t="s">
        <v>3883</v>
      </c>
      <c r="G90" t="s">
        <v>1666</v>
      </c>
      <c r="H90" t="s">
        <v>4345</v>
      </c>
      <c r="I90" t="s">
        <v>4346</v>
      </c>
      <c r="J90" t="s">
        <v>4347</v>
      </c>
      <c r="K90" t="s">
        <v>4348</v>
      </c>
      <c r="L90" t="s">
        <v>3908</v>
      </c>
      <c r="M90" t="s">
        <v>4349</v>
      </c>
      <c r="N90" t="s">
        <v>1666</v>
      </c>
      <c r="O90">
        <v>158526.72</v>
      </c>
      <c r="P90">
        <v>0</v>
      </c>
      <c r="Q90" t="s">
        <v>4350</v>
      </c>
      <c r="R90" t="s">
        <v>3911</v>
      </c>
      <c r="S90" t="s">
        <v>4343</v>
      </c>
      <c r="T90" t="s">
        <v>1730</v>
      </c>
      <c r="U90" t="s">
        <v>3889</v>
      </c>
    </row>
    <row r="91" spans="1:21" ht="15.6" x14ac:dyDescent="0.3">
      <c r="A91" t="s">
        <v>4351</v>
      </c>
      <c r="B91" t="s">
        <v>1666</v>
      </c>
      <c r="C91" t="s">
        <v>1666</v>
      </c>
      <c r="D91" t="s">
        <v>1666</v>
      </c>
      <c r="E91" t="s">
        <v>1666</v>
      </c>
      <c r="F91" t="s">
        <v>3883</v>
      </c>
      <c r="G91" t="s">
        <v>1666</v>
      </c>
      <c r="H91" t="s">
        <v>1666</v>
      </c>
      <c r="I91" t="s">
        <v>4352</v>
      </c>
      <c r="J91" t="s">
        <v>4353</v>
      </c>
      <c r="K91" t="s">
        <v>1666</v>
      </c>
      <c r="L91" t="s">
        <v>4173</v>
      </c>
      <c r="M91" t="s">
        <v>1666</v>
      </c>
      <c r="N91" t="s">
        <v>1666</v>
      </c>
      <c r="O91">
        <v>4343.3100000000004</v>
      </c>
      <c r="P91">
        <v>0</v>
      </c>
      <c r="Q91" t="s">
        <v>4354</v>
      </c>
      <c r="R91" t="s">
        <v>3888</v>
      </c>
      <c r="S91" t="s">
        <v>4351</v>
      </c>
      <c r="T91" t="s">
        <v>1726</v>
      </c>
      <c r="U91" t="s">
        <v>1666</v>
      </c>
    </row>
    <row r="92" spans="1:21" ht="15.6" x14ac:dyDescent="0.3">
      <c r="A92" t="s">
        <v>4355</v>
      </c>
      <c r="B92" t="s">
        <v>1666</v>
      </c>
      <c r="C92" t="s">
        <v>1666</v>
      </c>
      <c r="D92" t="s">
        <v>1666</v>
      </c>
      <c r="E92" t="s">
        <v>4356</v>
      </c>
      <c r="F92" t="s">
        <v>3883</v>
      </c>
      <c r="G92" t="s">
        <v>1666</v>
      </c>
      <c r="H92" t="s">
        <v>1666</v>
      </c>
      <c r="I92" t="s">
        <v>4199</v>
      </c>
      <c r="J92" t="s">
        <v>4357</v>
      </c>
      <c r="K92" t="s">
        <v>1666</v>
      </c>
      <c r="L92" t="s">
        <v>4000</v>
      </c>
      <c r="M92" t="s">
        <v>1666</v>
      </c>
      <c r="N92" t="s">
        <v>1666</v>
      </c>
      <c r="O92">
        <v>151156.51999999999</v>
      </c>
      <c r="P92">
        <v>0</v>
      </c>
      <c r="Q92" t="s">
        <v>4201</v>
      </c>
      <c r="R92" t="s">
        <v>3918</v>
      </c>
      <c r="S92" t="s">
        <v>4355</v>
      </c>
      <c r="T92" t="s">
        <v>1731</v>
      </c>
      <c r="U92" t="s">
        <v>3919</v>
      </c>
    </row>
    <row r="93" spans="1:21" ht="15.6" x14ac:dyDescent="0.3">
      <c r="A93" t="s">
        <v>4358</v>
      </c>
      <c r="B93" t="s">
        <v>1666</v>
      </c>
      <c r="C93" t="s">
        <v>1666</v>
      </c>
      <c r="D93" t="s">
        <v>1666</v>
      </c>
      <c r="E93" t="s">
        <v>4359</v>
      </c>
      <c r="F93" t="s">
        <v>3883</v>
      </c>
      <c r="G93" t="s">
        <v>1666</v>
      </c>
      <c r="H93" t="s">
        <v>1666</v>
      </c>
      <c r="I93" t="s">
        <v>4199</v>
      </c>
      <c r="J93" t="s">
        <v>4357</v>
      </c>
      <c r="K93" t="s">
        <v>1666</v>
      </c>
      <c r="L93" t="s">
        <v>4000</v>
      </c>
      <c r="M93" t="s">
        <v>1666</v>
      </c>
      <c r="N93" t="s">
        <v>1666</v>
      </c>
      <c r="O93">
        <v>130996.52</v>
      </c>
      <c r="P93">
        <v>0</v>
      </c>
      <c r="Q93" t="s">
        <v>4201</v>
      </c>
      <c r="R93" t="s">
        <v>3918</v>
      </c>
      <c r="S93" t="s">
        <v>4358</v>
      </c>
      <c r="T93" t="s">
        <v>1731</v>
      </c>
      <c r="U93" t="s">
        <v>3919</v>
      </c>
    </row>
    <row r="94" spans="1:21" ht="15.6" x14ac:dyDescent="0.3">
      <c r="A94" t="s">
        <v>4360</v>
      </c>
      <c r="B94" t="s">
        <v>1666</v>
      </c>
      <c r="C94" t="s">
        <v>1666</v>
      </c>
      <c r="D94" t="s">
        <v>1666</v>
      </c>
      <c r="E94" t="s">
        <v>4361</v>
      </c>
      <c r="F94" t="s">
        <v>3883</v>
      </c>
      <c r="G94" t="s">
        <v>1666</v>
      </c>
      <c r="H94" t="s">
        <v>1666</v>
      </c>
      <c r="I94" t="s">
        <v>4362</v>
      </c>
      <c r="J94" t="s">
        <v>4363</v>
      </c>
      <c r="K94" t="s">
        <v>1666</v>
      </c>
      <c r="L94" t="s">
        <v>4364</v>
      </c>
      <c r="M94" t="s">
        <v>4320</v>
      </c>
      <c r="N94" t="s">
        <v>1666</v>
      </c>
      <c r="O94">
        <v>1380</v>
      </c>
      <c r="P94">
        <v>0</v>
      </c>
      <c r="Q94" t="s">
        <v>4365</v>
      </c>
      <c r="R94" t="s">
        <v>3888</v>
      </c>
      <c r="S94" t="s">
        <v>4360</v>
      </c>
      <c r="T94" t="s">
        <v>1739</v>
      </c>
      <c r="U94" t="s">
        <v>3889</v>
      </c>
    </row>
    <row r="95" spans="1:21" ht="15.6" x14ac:dyDescent="0.3">
      <c r="A95" t="s">
        <v>4366</v>
      </c>
      <c r="B95" t="s">
        <v>1666</v>
      </c>
      <c r="C95" t="s">
        <v>1666</v>
      </c>
      <c r="D95" t="s">
        <v>1666</v>
      </c>
      <c r="E95" t="s">
        <v>4303</v>
      </c>
      <c r="F95" t="s">
        <v>3883</v>
      </c>
      <c r="G95" t="s">
        <v>1666</v>
      </c>
      <c r="H95" t="s">
        <v>4304</v>
      </c>
      <c r="I95" t="s">
        <v>4107</v>
      </c>
      <c r="J95" t="s">
        <v>4164</v>
      </c>
      <c r="K95" t="s">
        <v>4305</v>
      </c>
      <c r="L95" t="s">
        <v>4367</v>
      </c>
      <c r="M95" t="s">
        <v>4306</v>
      </c>
      <c r="N95" t="s">
        <v>1666</v>
      </c>
      <c r="O95">
        <v>18777.439999999999</v>
      </c>
      <c r="P95">
        <v>0</v>
      </c>
      <c r="Q95" t="s">
        <v>4368</v>
      </c>
      <c r="R95" t="s">
        <v>3888</v>
      </c>
      <c r="S95" t="s">
        <v>4366</v>
      </c>
      <c r="T95" t="s">
        <v>1708</v>
      </c>
      <c r="U95" t="s">
        <v>3889</v>
      </c>
    </row>
    <row r="96" spans="1:21" ht="15.6" x14ac:dyDescent="0.3">
      <c r="A96" t="s">
        <v>4369</v>
      </c>
      <c r="B96" t="s">
        <v>1666</v>
      </c>
      <c r="C96" t="s">
        <v>1666</v>
      </c>
      <c r="D96" t="s">
        <v>1666</v>
      </c>
      <c r="E96" t="s">
        <v>1666</v>
      </c>
      <c r="F96" t="s">
        <v>3883</v>
      </c>
      <c r="G96" t="s">
        <v>1666</v>
      </c>
      <c r="H96" t="s">
        <v>4370</v>
      </c>
      <c r="I96" t="s">
        <v>4371</v>
      </c>
      <c r="J96" t="s">
        <v>4372</v>
      </c>
      <c r="K96" t="s">
        <v>4373</v>
      </c>
      <c r="L96" t="s">
        <v>4374</v>
      </c>
      <c r="M96" t="s">
        <v>4375</v>
      </c>
      <c r="N96" t="s">
        <v>1666</v>
      </c>
      <c r="O96">
        <v>96964.38</v>
      </c>
      <c r="P96">
        <v>0</v>
      </c>
      <c r="Q96" t="s">
        <v>4376</v>
      </c>
      <c r="R96" t="s">
        <v>3888</v>
      </c>
      <c r="S96" t="s">
        <v>4369</v>
      </c>
      <c r="T96" t="s">
        <v>1735</v>
      </c>
      <c r="U96" t="s">
        <v>3889</v>
      </c>
    </row>
    <row r="97" spans="1:21" ht="15.6" x14ac:dyDescent="0.3">
      <c r="A97" t="s">
        <v>4377</v>
      </c>
      <c r="B97" t="s">
        <v>1666</v>
      </c>
      <c r="C97" t="s">
        <v>1666</v>
      </c>
      <c r="D97" t="s">
        <v>1666</v>
      </c>
      <c r="E97" t="s">
        <v>4361</v>
      </c>
      <c r="F97" t="s">
        <v>3883</v>
      </c>
      <c r="G97" t="s">
        <v>1666</v>
      </c>
      <c r="H97" t="s">
        <v>1725</v>
      </c>
      <c r="I97" t="s">
        <v>4378</v>
      </c>
      <c r="J97" t="s">
        <v>4379</v>
      </c>
      <c r="K97" t="s">
        <v>1666</v>
      </c>
      <c r="L97" t="s">
        <v>4380</v>
      </c>
      <c r="M97" t="s">
        <v>1666</v>
      </c>
      <c r="N97" t="s">
        <v>1666</v>
      </c>
      <c r="O97">
        <v>985.6</v>
      </c>
      <c r="P97">
        <v>0</v>
      </c>
      <c r="Q97" t="s">
        <v>4381</v>
      </c>
      <c r="R97" t="s">
        <v>3888</v>
      </c>
      <c r="S97" t="s">
        <v>4377</v>
      </c>
      <c r="T97" t="s">
        <v>1742</v>
      </c>
      <c r="U97" t="s">
        <v>3889</v>
      </c>
    </row>
    <row r="98" spans="1:21" ht="15.6" x14ac:dyDescent="0.3">
      <c r="A98" t="s">
        <v>4382</v>
      </c>
      <c r="B98" t="s">
        <v>1666</v>
      </c>
      <c r="C98" t="s">
        <v>1666</v>
      </c>
      <c r="D98" t="s">
        <v>1666</v>
      </c>
      <c r="E98" t="s">
        <v>1666</v>
      </c>
      <c r="F98" t="s">
        <v>3883</v>
      </c>
      <c r="G98" t="s">
        <v>1666</v>
      </c>
      <c r="H98" t="s">
        <v>1666</v>
      </c>
      <c r="I98" t="s">
        <v>4284</v>
      </c>
      <c r="J98" t="s">
        <v>4383</v>
      </c>
      <c r="K98" t="s">
        <v>1666</v>
      </c>
      <c r="L98" t="s">
        <v>4384</v>
      </c>
      <c r="M98" t="s">
        <v>1666</v>
      </c>
      <c r="N98" t="s">
        <v>1666</v>
      </c>
      <c r="O98">
        <v>249981.6</v>
      </c>
      <c r="P98">
        <v>0</v>
      </c>
      <c r="Q98" t="s">
        <v>4385</v>
      </c>
      <c r="R98" t="s">
        <v>3888</v>
      </c>
      <c r="S98" t="s">
        <v>4382</v>
      </c>
      <c r="T98" t="s">
        <v>1694</v>
      </c>
      <c r="U98" t="s">
        <v>4236</v>
      </c>
    </row>
    <row r="99" spans="1:21" ht="15.6" x14ac:dyDescent="0.3">
      <c r="A99" t="s">
        <v>4386</v>
      </c>
      <c r="B99" t="s">
        <v>1666</v>
      </c>
      <c r="C99" t="s">
        <v>1666</v>
      </c>
      <c r="D99" t="s">
        <v>1666</v>
      </c>
      <c r="E99" t="s">
        <v>4361</v>
      </c>
      <c r="F99" t="s">
        <v>3883</v>
      </c>
      <c r="G99" t="s">
        <v>1666</v>
      </c>
      <c r="H99" t="s">
        <v>4370</v>
      </c>
      <c r="I99" t="s">
        <v>4187</v>
      </c>
      <c r="J99" t="s">
        <v>4387</v>
      </c>
      <c r="K99" t="s">
        <v>1666</v>
      </c>
      <c r="L99" t="s">
        <v>3916</v>
      </c>
      <c r="M99" t="s">
        <v>1666</v>
      </c>
      <c r="N99" t="s">
        <v>1666</v>
      </c>
      <c r="O99">
        <v>985.6</v>
      </c>
      <c r="P99">
        <v>0</v>
      </c>
      <c r="Q99" t="s">
        <v>4388</v>
      </c>
      <c r="R99" t="s">
        <v>3888</v>
      </c>
      <c r="S99" t="s">
        <v>4386</v>
      </c>
      <c r="T99" t="s">
        <v>1733</v>
      </c>
      <c r="U99" t="s">
        <v>3889</v>
      </c>
    </row>
    <row r="100" spans="1:21" ht="15.6" x14ac:dyDescent="0.3">
      <c r="A100" t="s">
        <v>4389</v>
      </c>
      <c r="B100" t="s">
        <v>1666</v>
      </c>
      <c r="C100" t="s">
        <v>1666</v>
      </c>
      <c r="D100" t="s">
        <v>1666</v>
      </c>
      <c r="E100" t="s">
        <v>4361</v>
      </c>
      <c r="F100" t="s">
        <v>3883</v>
      </c>
      <c r="G100" t="s">
        <v>1666</v>
      </c>
      <c r="H100" t="s">
        <v>4370</v>
      </c>
      <c r="I100" t="s">
        <v>4193</v>
      </c>
      <c r="J100" t="s">
        <v>4390</v>
      </c>
      <c r="K100" t="s">
        <v>4391</v>
      </c>
      <c r="L100" t="s">
        <v>2848</v>
      </c>
      <c r="M100" t="s">
        <v>4392</v>
      </c>
      <c r="N100" t="s">
        <v>1666</v>
      </c>
      <c r="O100">
        <v>2084.64</v>
      </c>
      <c r="P100">
        <v>0</v>
      </c>
      <c r="Q100" t="s">
        <v>4393</v>
      </c>
      <c r="R100" t="s">
        <v>3888</v>
      </c>
      <c r="S100" t="s">
        <v>4389</v>
      </c>
      <c r="T100" t="s">
        <v>1734</v>
      </c>
      <c r="U100" t="s">
        <v>3889</v>
      </c>
    </row>
    <row r="101" spans="1:21" ht="15.6" x14ac:dyDescent="0.3">
      <c r="A101" t="s">
        <v>4394</v>
      </c>
      <c r="B101" t="s">
        <v>1666</v>
      </c>
      <c r="C101" t="s">
        <v>1666</v>
      </c>
      <c r="D101" t="s">
        <v>1666</v>
      </c>
      <c r="E101" t="s">
        <v>4395</v>
      </c>
      <c r="F101" t="s">
        <v>3883</v>
      </c>
      <c r="G101" t="s">
        <v>1666</v>
      </c>
      <c r="H101" t="s">
        <v>4370</v>
      </c>
      <c r="I101" t="s">
        <v>4187</v>
      </c>
      <c r="J101" t="s">
        <v>4387</v>
      </c>
      <c r="K101" t="s">
        <v>1666</v>
      </c>
      <c r="L101" t="s">
        <v>3916</v>
      </c>
      <c r="M101" t="s">
        <v>1666</v>
      </c>
      <c r="N101" t="s">
        <v>1666</v>
      </c>
      <c r="O101">
        <v>739.2</v>
      </c>
      <c r="P101">
        <v>0</v>
      </c>
      <c r="Q101" t="s">
        <v>4388</v>
      </c>
      <c r="R101" t="s">
        <v>3888</v>
      </c>
      <c r="S101" t="s">
        <v>4394</v>
      </c>
      <c r="T101" t="s">
        <v>1733</v>
      </c>
      <c r="U101" t="s">
        <v>3889</v>
      </c>
    </row>
    <row r="102" spans="1:21" ht="15.6" x14ac:dyDescent="0.3">
      <c r="A102" t="s">
        <v>4396</v>
      </c>
      <c r="B102" t="s">
        <v>1666</v>
      </c>
      <c r="C102" t="s">
        <v>1666</v>
      </c>
      <c r="D102" t="s">
        <v>1666</v>
      </c>
      <c r="E102" t="s">
        <v>1666</v>
      </c>
      <c r="F102" t="s">
        <v>3883</v>
      </c>
      <c r="G102" t="s">
        <v>1666</v>
      </c>
      <c r="H102" t="s">
        <v>1666</v>
      </c>
      <c r="I102" t="s">
        <v>4397</v>
      </c>
      <c r="J102" t="s">
        <v>4398</v>
      </c>
      <c r="K102" t="s">
        <v>1666</v>
      </c>
      <c r="L102" t="s">
        <v>4399</v>
      </c>
      <c r="M102" t="s">
        <v>1666</v>
      </c>
      <c r="N102" t="s">
        <v>1666</v>
      </c>
      <c r="O102">
        <v>0</v>
      </c>
      <c r="P102">
        <v>0</v>
      </c>
      <c r="Q102" t="s">
        <v>4400</v>
      </c>
      <c r="R102" t="s">
        <v>3888</v>
      </c>
      <c r="S102" t="s">
        <v>4396</v>
      </c>
      <c r="T102" t="s">
        <v>1743</v>
      </c>
      <c r="U102" t="s">
        <v>3919</v>
      </c>
    </row>
    <row r="103" spans="1:21" ht="15.6" x14ac:dyDescent="0.3">
      <c r="A103" t="s">
        <v>4401</v>
      </c>
      <c r="B103" t="s">
        <v>1666</v>
      </c>
      <c r="C103" t="s">
        <v>1666</v>
      </c>
      <c r="D103" t="s">
        <v>1666</v>
      </c>
      <c r="E103" t="s">
        <v>1666</v>
      </c>
      <c r="F103" t="s">
        <v>3883</v>
      </c>
      <c r="G103" t="s">
        <v>1666</v>
      </c>
      <c r="H103" t="s">
        <v>1666</v>
      </c>
      <c r="I103" t="s">
        <v>4225</v>
      </c>
      <c r="J103" t="s">
        <v>4226</v>
      </c>
      <c r="K103" t="s">
        <v>1666</v>
      </c>
      <c r="L103" t="s">
        <v>4402</v>
      </c>
      <c r="M103" t="s">
        <v>1666</v>
      </c>
      <c r="N103" t="s">
        <v>1666</v>
      </c>
      <c r="O103">
        <v>72149.88</v>
      </c>
      <c r="P103">
        <v>0</v>
      </c>
      <c r="Q103" t="s">
        <v>4403</v>
      </c>
      <c r="R103" t="s">
        <v>3888</v>
      </c>
      <c r="S103" t="s">
        <v>4401</v>
      </c>
      <c r="T103" t="s">
        <v>1703</v>
      </c>
      <c r="U103" t="s">
        <v>4236</v>
      </c>
    </row>
    <row r="104" spans="1:21" ht="15.6" x14ac:dyDescent="0.3">
      <c r="A104" t="s">
        <v>4404</v>
      </c>
      <c r="B104" t="s">
        <v>1666</v>
      </c>
      <c r="C104" t="s">
        <v>1666</v>
      </c>
      <c r="D104" t="s">
        <v>1666</v>
      </c>
      <c r="E104" t="s">
        <v>1666</v>
      </c>
      <c r="F104" t="s">
        <v>3883</v>
      </c>
      <c r="G104" t="s">
        <v>1666</v>
      </c>
      <c r="H104" t="s">
        <v>1666</v>
      </c>
      <c r="I104" t="s">
        <v>4107</v>
      </c>
      <c r="J104" t="s">
        <v>4405</v>
      </c>
      <c r="K104" t="s">
        <v>1666</v>
      </c>
      <c r="L104" t="s">
        <v>4406</v>
      </c>
      <c r="M104" t="s">
        <v>1666</v>
      </c>
      <c r="N104" t="s">
        <v>1666</v>
      </c>
      <c r="O104">
        <v>0</v>
      </c>
      <c r="P104">
        <v>0</v>
      </c>
      <c r="Q104" t="s">
        <v>4368</v>
      </c>
      <c r="R104" t="s">
        <v>39</v>
      </c>
      <c r="S104" t="s">
        <v>4404</v>
      </c>
      <c r="T104" t="s">
        <v>1708</v>
      </c>
      <c r="U104" t="s">
        <v>3919</v>
      </c>
    </row>
    <row r="105" spans="1:21" ht="15.6" x14ac:dyDescent="0.3">
      <c r="A105" t="s">
        <v>4407</v>
      </c>
      <c r="B105" t="s">
        <v>1666</v>
      </c>
      <c r="C105" t="s">
        <v>1666</v>
      </c>
      <c r="D105" t="s">
        <v>1666</v>
      </c>
      <c r="E105" t="s">
        <v>1666</v>
      </c>
      <c r="F105" t="s">
        <v>3883</v>
      </c>
      <c r="G105" t="s">
        <v>1666</v>
      </c>
      <c r="H105" t="s">
        <v>48</v>
      </c>
      <c r="I105" t="s">
        <v>4408</v>
      </c>
      <c r="J105" t="s">
        <v>4409</v>
      </c>
      <c r="K105" t="s">
        <v>4410</v>
      </c>
      <c r="L105" t="s">
        <v>4411</v>
      </c>
      <c r="M105" t="s">
        <v>4412</v>
      </c>
      <c r="N105" t="s">
        <v>1666</v>
      </c>
      <c r="O105">
        <v>54284.25</v>
      </c>
      <c r="P105">
        <v>0</v>
      </c>
      <c r="Q105" t="s">
        <v>4413</v>
      </c>
      <c r="R105" t="s">
        <v>3888</v>
      </c>
      <c r="S105" t="s">
        <v>4407</v>
      </c>
      <c r="T105" t="s">
        <v>1745</v>
      </c>
      <c r="U105" t="s">
        <v>3889</v>
      </c>
    </row>
    <row r="106" spans="1:21" ht="15.6" x14ac:dyDescent="0.3">
      <c r="A106" t="s">
        <v>4414</v>
      </c>
      <c r="B106" t="s">
        <v>1666</v>
      </c>
      <c r="C106" t="s">
        <v>1666</v>
      </c>
      <c r="D106" t="s">
        <v>1666</v>
      </c>
      <c r="E106" t="s">
        <v>4415</v>
      </c>
      <c r="F106" t="s">
        <v>3883</v>
      </c>
      <c r="G106" t="s">
        <v>1666</v>
      </c>
      <c r="H106" t="s">
        <v>4370</v>
      </c>
      <c r="I106" t="s">
        <v>4416</v>
      </c>
      <c r="J106" t="s">
        <v>4417</v>
      </c>
      <c r="K106" t="s">
        <v>1666</v>
      </c>
      <c r="L106" t="s">
        <v>4418</v>
      </c>
      <c r="M106" t="s">
        <v>1666</v>
      </c>
      <c r="N106" t="s">
        <v>1666</v>
      </c>
      <c r="O106">
        <v>4271</v>
      </c>
      <c r="P106">
        <v>0</v>
      </c>
      <c r="Q106" t="s">
        <v>4419</v>
      </c>
      <c r="R106" t="s">
        <v>3888</v>
      </c>
      <c r="S106" t="s">
        <v>4414</v>
      </c>
      <c r="T106" t="s">
        <v>1715</v>
      </c>
      <c r="U106" t="s">
        <v>3889</v>
      </c>
    </row>
    <row r="107" spans="1:21" ht="15.6" x14ac:dyDescent="0.3">
      <c r="A107" t="s">
        <v>4420</v>
      </c>
      <c r="B107" t="s">
        <v>1666</v>
      </c>
      <c r="C107" t="s">
        <v>1666</v>
      </c>
      <c r="D107" t="s">
        <v>1666</v>
      </c>
      <c r="E107" t="s">
        <v>4421</v>
      </c>
      <c r="F107" t="s">
        <v>3883</v>
      </c>
      <c r="G107" t="s">
        <v>1666</v>
      </c>
      <c r="H107" t="s">
        <v>4422</v>
      </c>
      <c r="I107" t="s">
        <v>4397</v>
      </c>
      <c r="J107" t="s">
        <v>4398</v>
      </c>
      <c r="K107" t="s">
        <v>4423</v>
      </c>
      <c r="L107" t="s">
        <v>4424</v>
      </c>
      <c r="M107" t="s">
        <v>4425</v>
      </c>
      <c r="N107" t="s">
        <v>1666</v>
      </c>
      <c r="O107">
        <v>49266.41</v>
      </c>
      <c r="P107">
        <v>0</v>
      </c>
      <c r="Q107" t="s">
        <v>4400</v>
      </c>
      <c r="R107" t="s">
        <v>3888</v>
      </c>
      <c r="S107" t="s">
        <v>4420</v>
      </c>
      <c r="T107" t="s">
        <v>1743</v>
      </c>
      <c r="U107" t="s">
        <v>3889</v>
      </c>
    </row>
    <row r="108" spans="1:21" ht="15.6" x14ac:dyDescent="0.3">
      <c r="A108" t="s">
        <v>4426</v>
      </c>
      <c r="B108" t="s">
        <v>1666</v>
      </c>
      <c r="C108" t="s">
        <v>1666</v>
      </c>
      <c r="D108" t="s">
        <v>1666</v>
      </c>
      <c r="E108" t="s">
        <v>1666</v>
      </c>
      <c r="F108" t="s">
        <v>3883</v>
      </c>
      <c r="G108" t="s">
        <v>1666</v>
      </c>
      <c r="H108" t="s">
        <v>1666</v>
      </c>
      <c r="I108" t="s">
        <v>4427</v>
      </c>
      <c r="J108" t="s">
        <v>4428</v>
      </c>
      <c r="K108" t="s">
        <v>1666</v>
      </c>
      <c r="L108" t="s">
        <v>4429</v>
      </c>
      <c r="M108" t="s">
        <v>1666</v>
      </c>
      <c r="N108" t="s">
        <v>1666</v>
      </c>
      <c r="O108">
        <v>4426.3999999999996</v>
      </c>
      <c r="P108">
        <v>0</v>
      </c>
      <c r="Q108" t="s">
        <v>4430</v>
      </c>
      <c r="R108" t="s">
        <v>3911</v>
      </c>
      <c r="S108" t="s">
        <v>4426</v>
      </c>
      <c r="T108" t="s">
        <v>1687</v>
      </c>
      <c r="U108" t="s">
        <v>4236</v>
      </c>
    </row>
    <row r="109" spans="1:21" ht="15.6" x14ac:dyDescent="0.3">
      <c r="A109" t="s">
        <v>4431</v>
      </c>
      <c r="B109" t="s">
        <v>1666</v>
      </c>
      <c r="C109" t="s">
        <v>1666</v>
      </c>
      <c r="D109" t="s">
        <v>1666</v>
      </c>
      <c r="E109" t="s">
        <v>1666</v>
      </c>
      <c r="F109" t="s">
        <v>3883</v>
      </c>
      <c r="G109" t="s">
        <v>1666</v>
      </c>
      <c r="H109" t="s">
        <v>1666</v>
      </c>
      <c r="I109" t="s">
        <v>4432</v>
      </c>
      <c r="J109" t="s">
        <v>4433</v>
      </c>
      <c r="K109" t="s">
        <v>1666</v>
      </c>
      <c r="L109" t="s">
        <v>4434</v>
      </c>
      <c r="M109" t="s">
        <v>1666</v>
      </c>
      <c r="N109" t="s">
        <v>1666</v>
      </c>
      <c r="O109">
        <v>135599.20000000001</v>
      </c>
      <c r="P109">
        <v>0</v>
      </c>
      <c r="Q109" t="s">
        <v>4435</v>
      </c>
      <c r="R109" t="s">
        <v>3888</v>
      </c>
      <c r="S109" t="s">
        <v>4431</v>
      </c>
      <c r="T109" t="s">
        <v>1717</v>
      </c>
      <c r="U109" t="s">
        <v>4236</v>
      </c>
    </row>
    <row r="110" spans="1:21" ht="15.6" x14ac:dyDescent="0.3">
      <c r="A110" t="s">
        <v>4436</v>
      </c>
      <c r="B110" t="s">
        <v>1666</v>
      </c>
      <c r="C110" t="s">
        <v>1666</v>
      </c>
      <c r="D110" t="s">
        <v>1666</v>
      </c>
      <c r="E110" t="s">
        <v>1666</v>
      </c>
      <c r="F110" t="s">
        <v>3883</v>
      </c>
      <c r="G110" t="s">
        <v>1666</v>
      </c>
      <c r="H110" t="s">
        <v>1666</v>
      </c>
      <c r="I110" t="s">
        <v>4075</v>
      </c>
      <c r="J110" t="s">
        <v>4076</v>
      </c>
      <c r="K110" t="s">
        <v>1666</v>
      </c>
      <c r="L110" t="s">
        <v>4234</v>
      </c>
      <c r="M110" t="s">
        <v>1666</v>
      </c>
      <c r="N110" t="s">
        <v>1666</v>
      </c>
      <c r="O110">
        <v>49940</v>
      </c>
      <c r="P110">
        <v>0</v>
      </c>
      <c r="Q110" t="s">
        <v>4437</v>
      </c>
      <c r="R110" t="s">
        <v>3888</v>
      </c>
      <c r="S110" t="s">
        <v>4436</v>
      </c>
      <c r="T110" t="s">
        <v>1698</v>
      </c>
      <c r="U110" t="s">
        <v>4236</v>
      </c>
    </row>
    <row r="111" spans="1:21" ht="15.6" x14ac:dyDescent="0.3">
      <c r="A111" t="s">
        <v>4438</v>
      </c>
      <c r="B111" t="s">
        <v>1666</v>
      </c>
      <c r="C111" t="s">
        <v>1666</v>
      </c>
      <c r="D111" t="s">
        <v>1666</v>
      </c>
      <c r="E111" t="s">
        <v>1666</v>
      </c>
      <c r="F111" t="s">
        <v>3883</v>
      </c>
      <c r="G111" t="s">
        <v>1666</v>
      </c>
      <c r="H111" t="s">
        <v>1666</v>
      </c>
      <c r="I111" t="s">
        <v>4439</v>
      </c>
      <c r="J111" t="s">
        <v>4440</v>
      </c>
      <c r="K111" t="s">
        <v>1666</v>
      </c>
      <c r="L111" t="s">
        <v>4441</v>
      </c>
      <c r="M111" t="s">
        <v>1666</v>
      </c>
      <c r="N111" t="s">
        <v>1666</v>
      </c>
      <c r="O111">
        <v>0</v>
      </c>
      <c r="P111">
        <v>0</v>
      </c>
      <c r="Q111" t="s">
        <v>4442</v>
      </c>
      <c r="R111" t="s">
        <v>39</v>
      </c>
      <c r="S111" t="s">
        <v>4438</v>
      </c>
      <c r="T111" t="s">
        <v>1746</v>
      </c>
      <c r="U111" t="s">
        <v>4236</v>
      </c>
    </row>
    <row r="112" spans="1:21" ht="15.6" x14ac:dyDescent="0.3">
      <c r="A112" t="s">
        <v>4443</v>
      </c>
      <c r="B112" t="s">
        <v>1666</v>
      </c>
      <c r="C112" t="s">
        <v>1666</v>
      </c>
      <c r="D112" t="s">
        <v>1666</v>
      </c>
      <c r="E112" t="s">
        <v>4444</v>
      </c>
      <c r="F112" t="s">
        <v>3883</v>
      </c>
      <c r="G112" t="s">
        <v>1666</v>
      </c>
      <c r="H112" t="s">
        <v>1666</v>
      </c>
      <c r="I112" t="s">
        <v>4445</v>
      </c>
      <c r="J112" t="s">
        <v>4446</v>
      </c>
      <c r="K112" t="s">
        <v>1666</v>
      </c>
      <c r="L112" t="s">
        <v>4441</v>
      </c>
      <c r="M112" t="s">
        <v>1666</v>
      </c>
      <c r="N112" t="s">
        <v>1666</v>
      </c>
      <c r="O112">
        <v>16619.5</v>
      </c>
      <c r="P112">
        <v>0</v>
      </c>
      <c r="Q112" t="s">
        <v>4447</v>
      </c>
      <c r="R112" t="s">
        <v>3888</v>
      </c>
      <c r="S112" t="s">
        <v>4443</v>
      </c>
      <c r="T112" t="s">
        <v>1747</v>
      </c>
      <c r="U112" t="s">
        <v>3919</v>
      </c>
    </row>
    <row r="113" spans="1:21" ht="15.6" x14ac:dyDescent="0.3">
      <c r="A113" t="s">
        <v>4448</v>
      </c>
      <c r="B113" t="s">
        <v>1666</v>
      </c>
      <c r="C113" t="s">
        <v>1666</v>
      </c>
      <c r="D113" t="s">
        <v>1666</v>
      </c>
      <c r="E113" t="s">
        <v>4282</v>
      </c>
      <c r="F113" t="s">
        <v>3883</v>
      </c>
      <c r="G113" t="s">
        <v>1666</v>
      </c>
      <c r="H113" t="s">
        <v>48</v>
      </c>
      <c r="I113" t="s">
        <v>4449</v>
      </c>
      <c r="J113" t="s">
        <v>4450</v>
      </c>
      <c r="K113" t="s">
        <v>4451</v>
      </c>
      <c r="L113" t="s">
        <v>3908</v>
      </c>
      <c r="M113" t="s">
        <v>4452</v>
      </c>
      <c r="N113" t="s">
        <v>1666</v>
      </c>
      <c r="O113">
        <v>24928</v>
      </c>
      <c r="P113">
        <v>0</v>
      </c>
      <c r="Q113" t="s">
        <v>4453</v>
      </c>
      <c r="R113" t="s">
        <v>3888</v>
      </c>
      <c r="S113" t="s">
        <v>4448</v>
      </c>
      <c r="T113" t="s">
        <v>1741</v>
      </c>
      <c r="U113" t="s">
        <v>3889</v>
      </c>
    </row>
    <row r="114" spans="1:21" ht="15.6" x14ac:dyDescent="0.3">
      <c r="A114" t="s">
        <v>4454</v>
      </c>
      <c r="B114" t="s">
        <v>1666</v>
      </c>
      <c r="C114" t="s">
        <v>1666</v>
      </c>
      <c r="D114" t="s">
        <v>1666</v>
      </c>
      <c r="E114" t="s">
        <v>1666</v>
      </c>
      <c r="F114" t="s">
        <v>3883</v>
      </c>
      <c r="G114" t="s">
        <v>1666</v>
      </c>
      <c r="H114" t="s">
        <v>1666</v>
      </c>
      <c r="I114" t="s">
        <v>4455</v>
      </c>
      <c r="J114" t="s">
        <v>4456</v>
      </c>
      <c r="K114" t="s">
        <v>1666</v>
      </c>
      <c r="L114" t="s">
        <v>3908</v>
      </c>
      <c r="M114" t="s">
        <v>1666</v>
      </c>
      <c r="N114" t="s">
        <v>1666</v>
      </c>
      <c r="O114">
        <v>141999.44</v>
      </c>
      <c r="P114">
        <v>0</v>
      </c>
      <c r="Q114" t="s">
        <v>4457</v>
      </c>
      <c r="R114" t="s">
        <v>3888</v>
      </c>
      <c r="S114" t="s">
        <v>4454</v>
      </c>
      <c r="T114" t="s">
        <v>1728</v>
      </c>
      <c r="U114" t="s">
        <v>4236</v>
      </c>
    </row>
    <row r="115" spans="1:21" ht="15.6" x14ac:dyDescent="0.3">
      <c r="A115" t="s">
        <v>4458</v>
      </c>
      <c r="B115" t="s">
        <v>1666</v>
      </c>
      <c r="C115" t="s">
        <v>1666</v>
      </c>
      <c r="D115" t="s">
        <v>1666</v>
      </c>
      <c r="E115" t="s">
        <v>4459</v>
      </c>
      <c r="F115" t="s">
        <v>3883</v>
      </c>
      <c r="G115" t="s">
        <v>1666</v>
      </c>
      <c r="H115" t="s">
        <v>4422</v>
      </c>
      <c r="I115" t="s">
        <v>4460</v>
      </c>
      <c r="J115" t="s">
        <v>4461</v>
      </c>
      <c r="K115" t="s">
        <v>4462</v>
      </c>
      <c r="L115" t="s">
        <v>3967</v>
      </c>
      <c r="M115" t="s">
        <v>4463</v>
      </c>
      <c r="N115" t="s">
        <v>1666</v>
      </c>
      <c r="O115">
        <v>39058.36</v>
      </c>
      <c r="P115">
        <v>0</v>
      </c>
      <c r="Q115" t="s">
        <v>4464</v>
      </c>
      <c r="R115" t="s">
        <v>3888</v>
      </c>
      <c r="S115" t="s">
        <v>4458</v>
      </c>
      <c r="T115" t="s">
        <v>1749</v>
      </c>
      <c r="U115" t="s">
        <v>3889</v>
      </c>
    </row>
    <row r="116" spans="1:21" ht="15.6" x14ac:dyDescent="0.3">
      <c r="A116" t="s">
        <v>4465</v>
      </c>
      <c r="B116" t="s">
        <v>1666</v>
      </c>
      <c r="C116" t="s">
        <v>1666</v>
      </c>
      <c r="D116" t="s">
        <v>1666</v>
      </c>
      <c r="E116" t="s">
        <v>1666</v>
      </c>
      <c r="F116" t="s">
        <v>3883</v>
      </c>
      <c r="G116" t="s">
        <v>1666</v>
      </c>
      <c r="H116" t="s">
        <v>1666</v>
      </c>
      <c r="I116" t="s">
        <v>4466</v>
      </c>
      <c r="J116" t="s">
        <v>4467</v>
      </c>
      <c r="K116" t="s">
        <v>1666</v>
      </c>
      <c r="L116" t="s">
        <v>4468</v>
      </c>
      <c r="M116" t="s">
        <v>1666</v>
      </c>
      <c r="N116" t="s">
        <v>1666</v>
      </c>
      <c r="O116">
        <v>43673.96</v>
      </c>
      <c r="P116">
        <v>0</v>
      </c>
      <c r="Q116" t="s">
        <v>4469</v>
      </c>
      <c r="R116" t="s">
        <v>3888</v>
      </c>
      <c r="S116" t="s">
        <v>4465</v>
      </c>
      <c r="T116" t="s">
        <v>1751</v>
      </c>
      <c r="U116" t="s">
        <v>4236</v>
      </c>
    </row>
    <row r="117" spans="1:21" ht="15.6" x14ac:dyDescent="0.3">
      <c r="A117" t="s">
        <v>4470</v>
      </c>
      <c r="B117" t="s">
        <v>1666</v>
      </c>
      <c r="C117" t="s">
        <v>1666</v>
      </c>
      <c r="D117" t="s">
        <v>1666</v>
      </c>
      <c r="E117" t="s">
        <v>4471</v>
      </c>
      <c r="F117" t="s">
        <v>3883</v>
      </c>
      <c r="G117" t="s">
        <v>1666</v>
      </c>
      <c r="H117" t="s">
        <v>1666</v>
      </c>
      <c r="I117" t="s">
        <v>4193</v>
      </c>
      <c r="J117" t="s">
        <v>4472</v>
      </c>
      <c r="K117" t="s">
        <v>4473</v>
      </c>
      <c r="L117" t="s">
        <v>4474</v>
      </c>
      <c r="M117" t="s">
        <v>4475</v>
      </c>
      <c r="N117" t="s">
        <v>1666</v>
      </c>
      <c r="O117">
        <v>12214.4</v>
      </c>
      <c r="P117">
        <v>0</v>
      </c>
      <c r="Q117" t="s">
        <v>4393</v>
      </c>
      <c r="R117" t="s">
        <v>3888</v>
      </c>
      <c r="S117" t="s">
        <v>4470</v>
      </c>
      <c r="T117" t="s">
        <v>1734</v>
      </c>
      <c r="U117" t="s">
        <v>3889</v>
      </c>
    </row>
    <row r="118" spans="1:21" ht="15.6" x14ac:dyDescent="0.3">
      <c r="A118" t="s">
        <v>4476</v>
      </c>
      <c r="B118" t="s">
        <v>1666</v>
      </c>
      <c r="C118" t="s">
        <v>1666</v>
      </c>
      <c r="D118" t="s">
        <v>1666</v>
      </c>
      <c r="E118" t="s">
        <v>4444</v>
      </c>
      <c r="F118" t="s">
        <v>3883</v>
      </c>
      <c r="G118" t="s">
        <v>1666</v>
      </c>
      <c r="H118" t="s">
        <v>1666</v>
      </c>
      <c r="I118" t="s">
        <v>4445</v>
      </c>
      <c r="J118" t="s">
        <v>4477</v>
      </c>
      <c r="K118" t="s">
        <v>1666</v>
      </c>
      <c r="L118" t="s">
        <v>4478</v>
      </c>
      <c r="M118" t="s">
        <v>1666</v>
      </c>
      <c r="N118" t="s">
        <v>1666</v>
      </c>
      <c r="O118">
        <v>16619.5</v>
      </c>
      <c r="P118">
        <v>0</v>
      </c>
      <c r="Q118" t="s">
        <v>4447</v>
      </c>
      <c r="R118" t="s">
        <v>3888</v>
      </c>
      <c r="S118" t="s">
        <v>4476</v>
      </c>
      <c r="T118" t="s">
        <v>1747</v>
      </c>
      <c r="U118" t="s">
        <v>3919</v>
      </c>
    </row>
    <row r="119" spans="1:21" ht="15.6" x14ac:dyDescent="0.3">
      <c r="A119" t="s">
        <v>4479</v>
      </c>
      <c r="B119" t="s">
        <v>1666</v>
      </c>
      <c r="C119" t="s">
        <v>1666</v>
      </c>
      <c r="D119" t="s">
        <v>1666</v>
      </c>
      <c r="E119" t="s">
        <v>1666</v>
      </c>
      <c r="F119" t="s">
        <v>3883</v>
      </c>
      <c r="G119" t="s">
        <v>1666</v>
      </c>
      <c r="H119" t="s">
        <v>1666</v>
      </c>
      <c r="I119" t="s">
        <v>4480</v>
      </c>
      <c r="J119" t="s">
        <v>4481</v>
      </c>
      <c r="K119" t="s">
        <v>4482</v>
      </c>
      <c r="L119" t="s">
        <v>4483</v>
      </c>
      <c r="M119" t="s">
        <v>4484</v>
      </c>
      <c r="N119" t="s">
        <v>1666</v>
      </c>
      <c r="O119">
        <v>9782.9599999999991</v>
      </c>
      <c r="P119">
        <v>0</v>
      </c>
      <c r="Q119" t="s">
        <v>4485</v>
      </c>
      <c r="R119" t="s">
        <v>3888</v>
      </c>
      <c r="S119" t="s">
        <v>4479</v>
      </c>
      <c r="T119" t="s">
        <v>1744</v>
      </c>
      <c r="U119" t="s">
        <v>3889</v>
      </c>
    </row>
    <row r="120" spans="1:21" ht="15.6" x14ac:dyDescent="0.3">
      <c r="A120" t="s">
        <v>4486</v>
      </c>
      <c r="B120" t="s">
        <v>1666</v>
      </c>
      <c r="C120" t="s">
        <v>1666</v>
      </c>
      <c r="D120" t="s">
        <v>1666</v>
      </c>
      <c r="E120" t="s">
        <v>4282</v>
      </c>
      <c r="F120" t="s">
        <v>3883</v>
      </c>
      <c r="G120" t="s">
        <v>1666</v>
      </c>
      <c r="H120" t="s">
        <v>1666</v>
      </c>
      <c r="I120" t="s">
        <v>4276</v>
      </c>
      <c r="J120" t="s">
        <v>4277</v>
      </c>
      <c r="K120" t="s">
        <v>4487</v>
      </c>
      <c r="L120" t="s">
        <v>4488</v>
      </c>
      <c r="M120" t="s">
        <v>4475</v>
      </c>
      <c r="N120" t="s">
        <v>1666</v>
      </c>
      <c r="O120">
        <v>15222.24</v>
      </c>
      <c r="P120">
        <v>0</v>
      </c>
      <c r="Q120" t="s">
        <v>4489</v>
      </c>
      <c r="R120" t="s">
        <v>3888</v>
      </c>
      <c r="S120" t="s">
        <v>4486</v>
      </c>
      <c r="T120" t="s">
        <v>1721</v>
      </c>
      <c r="U120" t="s">
        <v>3889</v>
      </c>
    </row>
    <row r="121" spans="1:21" ht="15.6" x14ac:dyDescent="0.3">
      <c r="A121" t="s">
        <v>4490</v>
      </c>
      <c r="B121" t="s">
        <v>1666</v>
      </c>
      <c r="C121" t="s">
        <v>1666</v>
      </c>
      <c r="D121" t="s">
        <v>1666</v>
      </c>
      <c r="E121" t="s">
        <v>1666</v>
      </c>
      <c r="F121" t="s">
        <v>3883</v>
      </c>
      <c r="G121" t="s">
        <v>1666</v>
      </c>
      <c r="H121" t="s">
        <v>1666</v>
      </c>
      <c r="I121" t="s">
        <v>4491</v>
      </c>
      <c r="J121" t="s">
        <v>4492</v>
      </c>
      <c r="K121" t="s">
        <v>1666</v>
      </c>
      <c r="L121" t="s">
        <v>4493</v>
      </c>
      <c r="M121" t="s">
        <v>1666</v>
      </c>
      <c r="N121" t="s">
        <v>1666</v>
      </c>
      <c r="O121">
        <v>35719.68</v>
      </c>
      <c r="P121">
        <v>0</v>
      </c>
      <c r="Q121" t="s">
        <v>4494</v>
      </c>
      <c r="R121" t="s">
        <v>3888</v>
      </c>
      <c r="S121" t="s">
        <v>4490</v>
      </c>
      <c r="T121" t="s">
        <v>1750</v>
      </c>
      <c r="U121" t="s">
        <v>4236</v>
      </c>
    </row>
    <row r="122" spans="1:21" ht="15.6" x14ac:dyDescent="0.3">
      <c r="A122" t="s">
        <v>4495</v>
      </c>
      <c r="B122" t="s">
        <v>1666</v>
      </c>
      <c r="C122" t="s">
        <v>1666</v>
      </c>
      <c r="D122" t="s">
        <v>1666</v>
      </c>
      <c r="E122" t="s">
        <v>4496</v>
      </c>
      <c r="F122" t="s">
        <v>3883</v>
      </c>
      <c r="G122" t="s">
        <v>1666</v>
      </c>
      <c r="H122" t="s">
        <v>1666</v>
      </c>
      <c r="I122" t="s">
        <v>4497</v>
      </c>
      <c r="J122" t="s">
        <v>4498</v>
      </c>
      <c r="K122" t="s">
        <v>4499</v>
      </c>
      <c r="L122" t="s">
        <v>4500</v>
      </c>
      <c r="M122" t="s">
        <v>4501</v>
      </c>
      <c r="N122" t="s">
        <v>1666</v>
      </c>
      <c r="O122">
        <v>11968</v>
      </c>
      <c r="P122">
        <v>0</v>
      </c>
      <c r="Q122" t="s">
        <v>4502</v>
      </c>
      <c r="R122" t="s">
        <v>3888</v>
      </c>
      <c r="S122" t="s">
        <v>4495</v>
      </c>
      <c r="T122" t="s">
        <v>1710</v>
      </c>
      <c r="U122" t="s">
        <v>3889</v>
      </c>
    </row>
    <row r="123" spans="1:21" ht="15.6" x14ac:dyDescent="0.3">
      <c r="A123" t="s">
        <v>4503</v>
      </c>
      <c r="B123" t="s">
        <v>1666</v>
      </c>
      <c r="C123" t="s">
        <v>1666</v>
      </c>
      <c r="D123" t="s">
        <v>1666</v>
      </c>
      <c r="E123" t="s">
        <v>1666</v>
      </c>
      <c r="F123" t="s">
        <v>3883</v>
      </c>
      <c r="G123" t="s">
        <v>1666</v>
      </c>
      <c r="H123" t="s">
        <v>1666</v>
      </c>
      <c r="I123" t="s">
        <v>4504</v>
      </c>
      <c r="J123" t="s">
        <v>4505</v>
      </c>
      <c r="K123" t="s">
        <v>1666</v>
      </c>
      <c r="L123" t="s">
        <v>4506</v>
      </c>
      <c r="M123" t="s">
        <v>1666</v>
      </c>
      <c r="N123" t="s">
        <v>1666</v>
      </c>
      <c r="O123">
        <v>38759.94</v>
      </c>
      <c r="P123">
        <v>0</v>
      </c>
      <c r="Q123" t="s">
        <v>4507</v>
      </c>
      <c r="R123" t="s">
        <v>3888</v>
      </c>
      <c r="S123" t="s">
        <v>4503</v>
      </c>
      <c r="T123" t="s">
        <v>1755</v>
      </c>
      <c r="U123" t="s">
        <v>4236</v>
      </c>
    </row>
    <row r="124" spans="1:21" ht="15.6" x14ac:dyDescent="0.3">
      <c r="A124" t="s">
        <v>4508</v>
      </c>
      <c r="B124" t="s">
        <v>1666</v>
      </c>
      <c r="C124" t="s">
        <v>1666</v>
      </c>
      <c r="D124" t="s">
        <v>1666</v>
      </c>
      <c r="E124" t="s">
        <v>4509</v>
      </c>
      <c r="F124" t="s">
        <v>3883</v>
      </c>
      <c r="G124" t="s">
        <v>1666</v>
      </c>
      <c r="H124" t="s">
        <v>1666</v>
      </c>
      <c r="I124" t="s">
        <v>4510</v>
      </c>
      <c r="J124" t="s">
        <v>4511</v>
      </c>
      <c r="K124" t="s">
        <v>4512</v>
      </c>
      <c r="L124" t="s">
        <v>4513</v>
      </c>
      <c r="M124" t="s">
        <v>4514</v>
      </c>
      <c r="N124" t="s">
        <v>1666</v>
      </c>
      <c r="O124">
        <v>44871.199999999997</v>
      </c>
      <c r="P124">
        <v>0</v>
      </c>
      <c r="Q124" t="s">
        <v>4515</v>
      </c>
      <c r="R124" t="s">
        <v>3888</v>
      </c>
      <c r="S124" t="s">
        <v>4508</v>
      </c>
      <c r="T124" t="s">
        <v>1753</v>
      </c>
      <c r="U124" t="s">
        <v>3889</v>
      </c>
    </row>
    <row r="125" spans="1:21" ht="15.6" x14ac:dyDescent="0.3">
      <c r="A125" t="s">
        <v>4516</v>
      </c>
      <c r="B125" t="s">
        <v>1666</v>
      </c>
      <c r="C125" t="s">
        <v>1666</v>
      </c>
      <c r="D125" t="s">
        <v>1666</v>
      </c>
      <c r="E125" t="s">
        <v>4517</v>
      </c>
      <c r="F125" t="s">
        <v>3883</v>
      </c>
      <c r="G125" t="s">
        <v>1666</v>
      </c>
      <c r="H125" t="s">
        <v>1666</v>
      </c>
      <c r="I125" t="s">
        <v>4445</v>
      </c>
      <c r="J125" t="s">
        <v>4518</v>
      </c>
      <c r="K125" t="s">
        <v>4519</v>
      </c>
      <c r="L125" t="s">
        <v>4513</v>
      </c>
      <c r="M125" t="s">
        <v>4520</v>
      </c>
      <c r="N125" t="s">
        <v>1666</v>
      </c>
      <c r="O125">
        <v>2720</v>
      </c>
      <c r="P125">
        <v>0</v>
      </c>
      <c r="Q125" t="s">
        <v>4521</v>
      </c>
      <c r="R125" t="s">
        <v>3888</v>
      </c>
      <c r="S125" t="s">
        <v>4516</v>
      </c>
      <c r="T125" t="s">
        <v>1747</v>
      </c>
      <c r="U125" t="s">
        <v>3889</v>
      </c>
    </row>
    <row r="126" spans="1:21" ht="15.6" x14ac:dyDescent="0.3">
      <c r="A126" t="s">
        <v>4522</v>
      </c>
      <c r="B126" t="s">
        <v>1666</v>
      </c>
      <c r="C126" t="s">
        <v>1666</v>
      </c>
      <c r="D126" t="s">
        <v>1666</v>
      </c>
      <c r="E126" t="s">
        <v>4523</v>
      </c>
      <c r="F126" t="s">
        <v>3883</v>
      </c>
      <c r="G126" t="s">
        <v>1666</v>
      </c>
      <c r="H126" t="s">
        <v>1666</v>
      </c>
      <c r="I126" t="s">
        <v>4445</v>
      </c>
      <c r="J126" t="s">
        <v>4518</v>
      </c>
      <c r="K126" t="s">
        <v>4524</v>
      </c>
      <c r="L126" t="s">
        <v>4513</v>
      </c>
      <c r="M126" t="s">
        <v>4525</v>
      </c>
      <c r="N126" t="s">
        <v>1666</v>
      </c>
      <c r="O126">
        <v>3660</v>
      </c>
      <c r="P126">
        <v>0</v>
      </c>
      <c r="Q126" t="s">
        <v>4521</v>
      </c>
      <c r="R126" t="s">
        <v>3888</v>
      </c>
      <c r="S126" t="s">
        <v>4522</v>
      </c>
      <c r="T126" t="s">
        <v>1747</v>
      </c>
      <c r="U126" t="s">
        <v>3889</v>
      </c>
    </row>
    <row r="127" spans="1:21" ht="15.6" x14ac:dyDescent="0.3">
      <c r="A127" t="s">
        <v>4526</v>
      </c>
      <c r="B127" t="s">
        <v>1666</v>
      </c>
      <c r="C127" t="s">
        <v>1666</v>
      </c>
      <c r="D127" t="s">
        <v>1666</v>
      </c>
      <c r="E127" t="s">
        <v>1666</v>
      </c>
      <c r="F127" t="s">
        <v>3883</v>
      </c>
      <c r="G127" t="s">
        <v>1666</v>
      </c>
      <c r="H127" t="s">
        <v>1666</v>
      </c>
      <c r="I127" t="s">
        <v>4527</v>
      </c>
      <c r="J127" t="s">
        <v>4528</v>
      </c>
      <c r="K127" t="s">
        <v>1666</v>
      </c>
      <c r="L127" t="s">
        <v>4506</v>
      </c>
      <c r="M127" t="s">
        <v>1666</v>
      </c>
      <c r="N127" t="s">
        <v>1666</v>
      </c>
      <c r="O127">
        <v>68849.47</v>
      </c>
      <c r="P127">
        <v>0</v>
      </c>
      <c r="Q127" t="s">
        <v>4529</v>
      </c>
      <c r="R127" t="s">
        <v>3888</v>
      </c>
      <c r="S127" t="s">
        <v>4526</v>
      </c>
      <c r="T127" t="s">
        <v>1748</v>
      </c>
      <c r="U127" t="s">
        <v>4236</v>
      </c>
    </row>
    <row r="128" spans="1:21" ht="15.6" x14ac:dyDescent="0.3">
      <c r="A128" t="s">
        <v>4530</v>
      </c>
      <c r="B128" t="s">
        <v>1666</v>
      </c>
      <c r="C128" t="s">
        <v>1666</v>
      </c>
      <c r="D128" t="s">
        <v>1666</v>
      </c>
      <c r="E128" t="s">
        <v>1666</v>
      </c>
      <c r="F128" t="s">
        <v>3883</v>
      </c>
      <c r="G128" t="s">
        <v>1666</v>
      </c>
      <c r="H128" t="s">
        <v>1666</v>
      </c>
      <c r="I128" t="s">
        <v>4276</v>
      </c>
      <c r="J128" t="s">
        <v>4277</v>
      </c>
      <c r="K128" t="s">
        <v>1666</v>
      </c>
      <c r="L128" t="s">
        <v>4531</v>
      </c>
      <c r="M128" t="s">
        <v>1666</v>
      </c>
      <c r="N128" t="s">
        <v>1666</v>
      </c>
      <c r="O128">
        <v>19083.68</v>
      </c>
      <c r="P128">
        <v>0</v>
      </c>
      <c r="Q128" t="s">
        <v>4489</v>
      </c>
      <c r="R128" t="s">
        <v>3888</v>
      </c>
      <c r="S128" t="s">
        <v>4530</v>
      </c>
      <c r="T128" t="s">
        <v>1721</v>
      </c>
      <c r="U128" t="s">
        <v>4236</v>
      </c>
    </row>
    <row r="129" spans="1:21" ht="15.6" x14ac:dyDescent="0.3">
      <c r="A129" t="s">
        <v>4532</v>
      </c>
      <c r="B129" t="s">
        <v>1666</v>
      </c>
      <c r="C129" t="s">
        <v>1666</v>
      </c>
      <c r="D129" t="s">
        <v>1666</v>
      </c>
      <c r="E129" t="s">
        <v>1666</v>
      </c>
      <c r="F129" t="s">
        <v>3883</v>
      </c>
      <c r="G129" t="s">
        <v>1666</v>
      </c>
      <c r="H129" t="s">
        <v>4533</v>
      </c>
      <c r="I129" t="s">
        <v>4534</v>
      </c>
      <c r="J129" t="s">
        <v>4535</v>
      </c>
      <c r="K129" t="s">
        <v>1666</v>
      </c>
      <c r="L129" t="s">
        <v>4536</v>
      </c>
      <c r="M129" t="s">
        <v>1666</v>
      </c>
      <c r="N129" t="s">
        <v>1666</v>
      </c>
      <c r="O129">
        <v>34983.519999999997</v>
      </c>
      <c r="P129">
        <v>0</v>
      </c>
      <c r="Q129" t="s">
        <v>4537</v>
      </c>
      <c r="R129" t="s">
        <v>3888</v>
      </c>
      <c r="S129" t="s">
        <v>4532</v>
      </c>
      <c r="T129" t="s">
        <v>1754</v>
      </c>
      <c r="U129" t="s">
        <v>3889</v>
      </c>
    </row>
    <row r="130" spans="1:21" ht="15.6" x14ac:dyDescent="0.3">
      <c r="A130" t="s">
        <v>4538</v>
      </c>
      <c r="B130" t="s">
        <v>1666</v>
      </c>
      <c r="C130" t="s">
        <v>1666</v>
      </c>
      <c r="D130" t="s">
        <v>1666</v>
      </c>
      <c r="E130" t="s">
        <v>1666</v>
      </c>
      <c r="F130" t="s">
        <v>3883</v>
      </c>
      <c r="G130" t="s">
        <v>1666</v>
      </c>
      <c r="H130" t="s">
        <v>4533</v>
      </c>
      <c r="I130" t="s">
        <v>4539</v>
      </c>
      <c r="J130" t="s">
        <v>4540</v>
      </c>
      <c r="K130" t="s">
        <v>4541</v>
      </c>
      <c r="L130" t="s">
        <v>39</v>
      </c>
      <c r="M130" t="s">
        <v>4542</v>
      </c>
      <c r="N130" t="s">
        <v>1666</v>
      </c>
      <c r="O130">
        <v>2244</v>
      </c>
      <c r="P130">
        <v>0</v>
      </c>
      <c r="Q130" t="s">
        <v>4543</v>
      </c>
      <c r="R130" t="s">
        <v>3888</v>
      </c>
      <c r="S130" t="s">
        <v>4538</v>
      </c>
      <c r="T130" t="s">
        <v>1759</v>
      </c>
      <c r="U130" t="s">
        <v>3889</v>
      </c>
    </row>
    <row r="131" spans="1:21" ht="15.6" x14ac:dyDescent="0.3">
      <c r="A131" t="s">
        <v>4544</v>
      </c>
      <c r="B131" t="s">
        <v>1666</v>
      </c>
      <c r="C131" t="s">
        <v>1666</v>
      </c>
      <c r="D131" t="s">
        <v>1666</v>
      </c>
      <c r="E131" t="s">
        <v>1666</v>
      </c>
      <c r="F131" t="s">
        <v>3883</v>
      </c>
      <c r="G131" t="s">
        <v>1666</v>
      </c>
      <c r="H131" t="s">
        <v>4533</v>
      </c>
      <c r="I131" t="s">
        <v>4545</v>
      </c>
      <c r="J131" t="s">
        <v>4546</v>
      </c>
      <c r="K131" t="s">
        <v>4547</v>
      </c>
      <c r="L131" t="s">
        <v>4548</v>
      </c>
      <c r="M131" t="s">
        <v>1666</v>
      </c>
      <c r="N131" t="s">
        <v>1666</v>
      </c>
      <c r="O131">
        <v>6394.08</v>
      </c>
      <c r="P131">
        <v>0</v>
      </c>
      <c r="Q131" t="s">
        <v>4549</v>
      </c>
      <c r="R131" t="s">
        <v>3888</v>
      </c>
      <c r="S131" t="s">
        <v>4544</v>
      </c>
      <c r="T131" t="s">
        <v>1699</v>
      </c>
      <c r="U131" t="s">
        <v>3889</v>
      </c>
    </row>
    <row r="132" spans="1:21" ht="15.6" x14ac:dyDescent="0.3">
      <c r="A132" t="s">
        <v>4550</v>
      </c>
      <c r="B132" t="s">
        <v>1666</v>
      </c>
      <c r="C132" t="s">
        <v>1666</v>
      </c>
      <c r="D132" t="s">
        <v>4551</v>
      </c>
      <c r="E132" t="s">
        <v>1666</v>
      </c>
      <c r="F132" t="s">
        <v>3883</v>
      </c>
      <c r="G132" t="s">
        <v>1666</v>
      </c>
      <c r="H132" t="s">
        <v>4552</v>
      </c>
      <c r="I132" t="s">
        <v>4553</v>
      </c>
      <c r="J132" t="s">
        <v>4554</v>
      </c>
      <c r="K132" t="s">
        <v>4555</v>
      </c>
      <c r="L132" t="s">
        <v>4556</v>
      </c>
      <c r="M132" t="s">
        <v>4557</v>
      </c>
      <c r="N132" t="s">
        <v>1666</v>
      </c>
      <c r="O132">
        <v>143950.29</v>
      </c>
      <c r="P132">
        <v>0</v>
      </c>
      <c r="Q132" t="s">
        <v>4558</v>
      </c>
      <c r="R132" t="s">
        <v>3888</v>
      </c>
      <c r="S132" t="s">
        <v>4550</v>
      </c>
      <c r="T132" t="s">
        <v>1752</v>
      </c>
      <c r="U132" t="s">
        <v>4559</v>
      </c>
    </row>
    <row r="133" spans="1:21" ht="15.6" x14ac:dyDescent="0.3">
      <c r="A133" t="s">
        <v>4560</v>
      </c>
      <c r="B133" t="s">
        <v>1666</v>
      </c>
      <c r="C133" t="s">
        <v>1666</v>
      </c>
      <c r="D133" t="s">
        <v>1666</v>
      </c>
      <c r="E133" t="s">
        <v>1666</v>
      </c>
      <c r="F133" t="s">
        <v>3883</v>
      </c>
      <c r="G133" t="s">
        <v>1666</v>
      </c>
      <c r="H133" t="s">
        <v>1666</v>
      </c>
      <c r="I133" t="s">
        <v>4199</v>
      </c>
      <c r="J133" t="s">
        <v>4561</v>
      </c>
      <c r="K133" t="s">
        <v>1666</v>
      </c>
      <c r="L133" t="s">
        <v>4548</v>
      </c>
      <c r="M133" t="s">
        <v>1666</v>
      </c>
      <c r="N133" t="s">
        <v>1666</v>
      </c>
      <c r="O133">
        <v>31732.799999999999</v>
      </c>
      <c r="P133">
        <v>0</v>
      </c>
      <c r="Q133" t="s">
        <v>4562</v>
      </c>
      <c r="R133" t="s">
        <v>3888</v>
      </c>
      <c r="S133" t="s">
        <v>4560</v>
      </c>
      <c r="T133" t="s">
        <v>1731</v>
      </c>
      <c r="U133" t="s">
        <v>4236</v>
      </c>
    </row>
    <row r="134" spans="1:21" ht="15.6" x14ac:dyDescent="0.3">
      <c r="A134" t="s">
        <v>4563</v>
      </c>
      <c r="B134" t="s">
        <v>1666</v>
      </c>
      <c r="C134" t="s">
        <v>1666</v>
      </c>
      <c r="D134" t="s">
        <v>1666</v>
      </c>
      <c r="E134" t="s">
        <v>1666</v>
      </c>
      <c r="F134" t="s">
        <v>3883</v>
      </c>
      <c r="G134" t="s">
        <v>1666</v>
      </c>
      <c r="H134" t="s">
        <v>1666</v>
      </c>
      <c r="I134" t="s">
        <v>4239</v>
      </c>
      <c r="J134" t="s">
        <v>4564</v>
      </c>
      <c r="K134" t="s">
        <v>1666</v>
      </c>
      <c r="L134" t="s">
        <v>4565</v>
      </c>
      <c r="M134" t="s">
        <v>1666</v>
      </c>
      <c r="N134" t="s">
        <v>1666</v>
      </c>
      <c r="O134">
        <v>79939.199999999997</v>
      </c>
      <c r="P134">
        <v>0</v>
      </c>
      <c r="Q134" t="s">
        <v>4566</v>
      </c>
      <c r="R134" t="s">
        <v>3888</v>
      </c>
      <c r="S134" t="s">
        <v>4563</v>
      </c>
      <c r="T134" t="s">
        <v>1737</v>
      </c>
      <c r="U134" t="s">
        <v>4236</v>
      </c>
    </row>
    <row r="135" spans="1:21" ht="15.6" x14ac:dyDescent="0.3">
      <c r="A135" t="s">
        <v>4567</v>
      </c>
      <c r="B135" t="s">
        <v>1666</v>
      </c>
      <c r="C135" t="s">
        <v>1666</v>
      </c>
      <c r="D135" t="s">
        <v>1666</v>
      </c>
      <c r="E135" t="s">
        <v>1666</v>
      </c>
      <c r="F135" t="s">
        <v>3883</v>
      </c>
      <c r="G135" t="s">
        <v>1666</v>
      </c>
      <c r="H135" t="s">
        <v>4568</v>
      </c>
      <c r="I135" t="s">
        <v>4569</v>
      </c>
      <c r="J135" t="s">
        <v>4570</v>
      </c>
      <c r="K135" t="s">
        <v>4571</v>
      </c>
      <c r="L135" t="s">
        <v>4572</v>
      </c>
      <c r="M135" t="s">
        <v>4573</v>
      </c>
      <c r="N135" t="s">
        <v>1666</v>
      </c>
      <c r="O135">
        <v>39558.97</v>
      </c>
      <c r="P135">
        <v>0</v>
      </c>
      <c r="Q135" t="s">
        <v>4574</v>
      </c>
      <c r="R135" t="s">
        <v>3888</v>
      </c>
      <c r="S135" t="s">
        <v>4567</v>
      </c>
      <c r="T135" t="s">
        <v>1764</v>
      </c>
      <c r="U135" t="s">
        <v>3889</v>
      </c>
    </row>
    <row r="136" spans="1:21" ht="15.6" x14ac:dyDescent="0.3">
      <c r="A136" t="s">
        <v>4575</v>
      </c>
      <c r="B136" t="s">
        <v>1666</v>
      </c>
      <c r="C136" t="s">
        <v>1666</v>
      </c>
      <c r="D136" t="s">
        <v>1666</v>
      </c>
      <c r="E136" t="s">
        <v>1666</v>
      </c>
      <c r="F136" t="s">
        <v>3883</v>
      </c>
      <c r="G136" t="s">
        <v>1666</v>
      </c>
      <c r="H136" t="s">
        <v>4568</v>
      </c>
      <c r="I136" t="s">
        <v>4576</v>
      </c>
      <c r="J136" t="s">
        <v>4577</v>
      </c>
      <c r="K136" t="s">
        <v>4578</v>
      </c>
      <c r="L136" t="s">
        <v>3908</v>
      </c>
      <c r="M136" t="s">
        <v>4573</v>
      </c>
      <c r="N136" t="s">
        <v>1666</v>
      </c>
      <c r="O136">
        <v>10932</v>
      </c>
      <c r="P136">
        <v>0</v>
      </c>
      <c r="Q136" t="s">
        <v>4579</v>
      </c>
      <c r="R136" t="s">
        <v>3888</v>
      </c>
      <c r="S136" t="s">
        <v>4575</v>
      </c>
      <c r="T136" t="s">
        <v>1761</v>
      </c>
      <c r="U136" t="s">
        <v>3889</v>
      </c>
    </row>
    <row r="137" spans="1:21" ht="15.6" x14ac:dyDescent="0.3">
      <c r="A137" t="s">
        <v>4580</v>
      </c>
      <c r="B137" t="s">
        <v>1666</v>
      </c>
      <c r="C137" t="s">
        <v>1666</v>
      </c>
      <c r="D137" t="s">
        <v>1666</v>
      </c>
      <c r="E137" t="s">
        <v>1666</v>
      </c>
      <c r="F137" t="s">
        <v>3883</v>
      </c>
      <c r="G137" t="s">
        <v>1666</v>
      </c>
      <c r="H137" t="s">
        <v>1666</v>
      </c>
      <c r="I137" t="s">
        <v>4416</v>
      </c>
      <c r="J137" t="s">
        <v>4581</v>
      </c>
      <c r="K137" t="s">
        <v>1666</v>
      </c>
      <c r="L137" t="s">
        <v>4582</v>
      </c>
      <c r="M137" t="s">
        <v>1666</v>
      </c>
      <c r="N137" t="s">
        <v>1666</v>
      </c>
      <c r="O137">
        <v>9041.5</v>
      </c>
      <c r="P137">
        <v>0</v>
      </c>
      <c r="Q137" t="s">
        <v>4583</v>
      </c>
      <c r="R137" t="s">
        <v>3888</v>
      </c>
      <c r="S137" t="s">
        <v>4580</v>
      </c>
      <c r="T137" t="s">
        <v>1715</v>
      </c>
      <c r="U137" t="s">
        <v>4236</v>
      </c>
    </row>
    <row r="138" spans="1:21" ht="15.6" x14ac:dyDescent="0.3">
      <c r="A138" t="s">
        <v>4584</v>
      </c>
      <c r="B138" t="s">
        <v>1666</v>
      </c>
      <c r="C138" t="s">
        <v>1666</v>
      </c>
      <c r="D138" t="s">
        <v>1666</v>
      </c>
      <c r="E138" t="s">
        <v>1666</v>
      </c>
      <c r="F138" t="s">
        <v>3883</v>
      </c>
      <c r="G138" t="s">
        <v>1666</v>
      </c>
      <c r="H138" t="s">
        <v>1666</v>
      </c>
      <c r="I138" t="s">
        <v>4416</v>
      </c>
      <c r="J138" t="s">
        <v>4585</v>
      </c>
      <c r="K138" t="s">
        <v>1666</v>
      </c>
      <c r="L138" t="s">
        <v>4586</v>
      </c>
      <c r="M138" t="s">
        <v>1666</v>
      </c>
      <c r="N138" t="s">
        <v>1666</v>
      </c>
      <c r="O138">
        <v>12124.77</v>
      </c>
      <c r="P138">
        <v>0</v>
      </c>
      <c r="Q138" t="s">
        <v>4583</v>
      </c>
      <c r="R138" t="s">
        <v>3888</v>
      </c>
      <c r="S138" t="s">
        <v>4584</v>
      </c>
      <c r="T138" t="s">
        <v>1715</v>
      </c>
      <c r="U138" t="s">
        <v>4236</v>
      </c>
    </row>
    <row r="139" spans="1:21" ht="15.6" x14ac:dyDescent="0.3">
      <c r="A139" t="s">
        <v>4587</v>
      </c>
      <c r="B139" t="s">
        <v>1666</v>
      </c>
      <c r="C139" t="s">
        <v>1666</v>
      </c>
      <c r="D139" t="s">
        <v>1666</v>
      </c>
      <c r="E139" t="s">
        <v>1666</v>
      </c>
      <c r="F139" t="s">
        <v>3883</v>
      </c>
      <c r="G139" t="s">
        <v>1666</v>
      </c>
      <c r="H139" t="s">
        <v>4588</v>
      </c>
      <c r="I139" t="s">
        <v>4589</v>
      </c>
      <c r="J139" t="s">
        <v>4590</v>
      </c>
      <c r="K139" t="s">
        <v>4591</v>
      </c>
      <c r="L139" t="s">
        <v>4592</v>
      </c>
      <c r="M139" t="s">
        <v>4593</v>
      </c>
      <c r="N139" t="s">
        <v>1666</v>
      </c>
      <c r="O139">
        <v>28863.03</v>
      </c>
      <c r="P139">
        <v>0</v>
      </c>
      <c r="Q139" t="s">
        <v>4594</v>
      </c>
      <c r="R139" t="s">
        <v>3888</v>
      </c>
      <c r="S139" t="s">
        <v>4587</v>
      </c>
      <c r="T139" t="s">
        <v>1763</v>
      </c>
      <c r="U139" t="s">
        <v>3889</v>
      </c>
    </row>
    <row r="140" spans="1:21" ht="15.6" x14ac:dyDescent="0.3">
      <c r="A140" t="s">
        <v>4595</v>
      </c>
      <c r="B140" t="s">
        <v>1666</v>
      </c>
      <c r="C140" t="s">
        <v>1666</v>
      </c>
      <c r="D140" t="s">
        <v>1666</v>
      </c>
      <c r="E140" t="s">
        <v>1666</v>
      </c>
      <c r="F140" t="s">
        <v>3883</v>
      </c>
      <c r="G140" t="s">
        <v>1666</v>
      </c>
      <c r="H140" t="s">
        <v>1666</v>
      </c>
      <c r="I140" t="s">
        <v>4596</v>
      </c>
      <c r="J140" t="s">
        <v>4597</v>
      </c>
      <c r="K140" t="s">
        <v>1666</v>
      </c>
      <c r="L140" t="s">
        <v>4531</v>
      </c>
      <c r="M140" t="s">
        <v>1666</v>
      </c>
      <c r="N140" t="s">
        <v>1666</v>
      </c>
      <c r="O140">
        <v>299868.79999999999</v>
      </c>
      <c r="P140">
        <v>0</v>
      </c>
      <c r="Q140" t="s">
        <v>4598</v>
      </c>
      <c r="R140" t="s">
        <v>3888</v>
      </c>
      <c r="S140" t="s">
        <v>4595</v>
      </c>
      <c r="T140" t="s">
        <v>1756</v>
      </c>
      <c r="U140" t="s">
        <v>4236</v>
      </c>
    </row>
    <row r="141" spans="1:21" ht="15.6" x14ac:dyDescent="0.3">
      <c r="A141" t="s">
        <v>4599</v>
      </c>
      <c r="B141" t="s">
        <v>1666</v>
      </c>
      <c r="C141" t="s">
        <v>1666</v>
      </c>
      <c r="D141" t="s">
        <v>1666</v>
      </c>
      <c r="E141" t="s">
        <v>4600</v>
      </c>
      <c r="F141" t="s">
        <v>3883</v>
      </c>
      <c r="G141" t="s">
        <v>1666</v>
      </c>
      <c r="H141" t="s">
        <v>4588</v>
      </c>
      <c r="I141" t="s">
        <v>4601</v>
      </c>
      <c r="J141" t="s">
        <v>4602</v>
      </c>
      <c r="K141" t="s">
        <v>4603</v>
      </c>
      <c r="L141" t="s">
        <v>4604</v>
      </c>
      <c r="M141" t="s">
        <v>4605</v>
      </c>
      <c r="N141" t="s">
        <v>1666</v>
      </c>
      <c r="O141">
        <v>440</v>
      </c>
      <c r="P141">
        <v>0</v>
      </c>
      <c r="Q141" t="s">
        <v>4606</v>
      </c>
      <c r="R141" t="s">
        <v>3888</v>
      </c>
      <c r="S141" t="s">
        <v>4599</v>
      </c>
      <c r="T141" t="s">
        <v>1769</v>
      </c>
      <c r="U141" t="s">
        <v>3889</v>
      </c>
    </row>
    <row r="142" spans="1:21" ht="15.6" x14ac:dyDescent="0.3">
      <c r="A142" t="s">
        <v>4607</v>
      </c>
      <c r="B142" t="s">
        <v>1666</v>
      </c>
      <c r="C142" t="s">
        <v>1666</v>
      </c>
      <c r="D142" t="s">
        <v>1666</v>
      </c>
      <c r="E142" t="s">
        <v>1666</v>
      </c>
      <c r="F142" t="s">
        <v>3883</v>
      </c>
      <c r="G142" t="s">
        <v>1666</v>
      </c>
      <c r="H142" t="s">
        <v>1666</v>
      </c>
      <c r="I142" t="s">
        <v>4608</v>
      </c>
      <c r="J142" t="s">
        <v>4609</v>
      </c>
      <c r="K142" t="s">
        <v>1666</v>
      </c>
      <c r="L142" t="s">
        <v>39</v>
      </c>
      <c r="M142" t="s">
        <v>1666</v>
      </c>
      <c r="N142" t="s">
        <v>1666</v>
      </c>
      <c r="O142">
        <v>499782.1</v>
      </c>
      <c r="P142">
        <v>0</v>
      </c>
      <c r="Q142" t="s">
        <v>4610</v>
      </c>
      <c r="R142" t="s">
        <v>39</v>
      </c>
      <c r="S142" t="s">
        <v>4607</v>
      </c>
      <c r="T142" t="s">
        <v>1701</v>
      </c>
      <c r="U142" t="s">
        <v>4236</v>
      </c>
    </row>
    <row r="143" spans="1:21" ht="15.6" x14ac:dyDescent="0.3">
      <c r="A143" t="s">
        <v>4611</v>
      </c>
      <c r="B143" t="s">
        <v>1666</v>
      </c>
      <c r="C143" t="s">
        <v>1666</v>
      </c>
      <c r="D143" t="s">
        <v>1666</v>
      </c>
      <c r="E143" t="s">
        <v>1666</v>
      </c>
      <c r="F143" t="s">
        <v>3883</v>
      </c>
      <c r="G143" t="s">
        <v>1666</v>
      </c>
      <c r="H143" t="s">
        <v>1666</v>
      </c>
      <c r="I143" t="s">
        <v>4497</v>
      </c>
      <c r="J143" t="s">
        <v>4612</v>
      </c>
      <c r="K143" t="s">
        <v>1666</v>
      </c>
      <c r="L143" t="s">
        <v>39</v>
      </c>
      <c r="M143" t="s">
        <v>1666</v>
      </c>
      <c r="N143" t="s">
        <v>1666</v>
      </c>
      <c r="O143">
        <v>110381.07</v>
      </c>
      <c r="P143">
        <v>0</v>
      </c>
      <c r="Q143" t="s">
        <v>4502</v>
      </c>
      <c r="R143" t="s">
        <v>39</v>
      </c>
      <c r="S143" t="s">
        <v>4611</v>
      </c>
      <c r="T143" t="s">
        <v>1710</v>
      </c>
      <c r="U143" t="s">
        <v>4236</v>
      </c>
    </row>
    <row r="144" spans="1:21" ht="15.6" x14ac:dyDescent="0.3">
      <c r="A144" t="s">
        <v>4613</v>
      </c>
      <c r="B144" t="s">
        <v>1666</v>
      </c>
      <c r="C144" t="s">
        <v>1666</v>
      </c>
      <c r="D144" t="s">
        <v>1666</v>
      </c>
      <c r="E144" t="s">
        <v>1666</v>
      </c>
      <c r="F144" t="s">
        <v>3883</v>
      </c>
      <c r="G144" t="s">
        <v>1666</v>
      </c>
      <c r="H144" t="s">
        <v>1666</v>
      </c>
      <c r="I144" t="s">
        <v>4614</v>
      </c>
      <c r="J144" t="s">
        <v>4615</v>
      </c>
      <c r="K144" t="s">
        <v>1666</v>
      </c>
      <c r="L144" t="s">
        <v>39</v>
      </c>
      <c r="M144" t="s">
        <v>1666</v>
      </c>
      <c r="N144" t="s">
        <v>1666</v>
      </c>
      <c r="O144">
        <v>79960.28</v>
      </c>
      <c r="P144">
        <v>0</v>
      </c>
      <c r="Q144" t="s">
        <v>4616</v>
      </c>
      <c r="R144" t="s">
        <v>39</v>
      </c>
      <c r="S144" t="s">
        <v>4613</v>
      </c>
      <c r="T144" t="s">
        <v>1766</v>
      </c>
      <c r="U144" t="s">
        <v>4236</v>
      </c>
    </row>
    <row r="145" spans="1:25" ht="15.6" x14ac:dyDescent="0.3">
      <c r="A145" t="s">
        <v>4617</v>
      </c>
      <c r="B145" t="s">
        <v>1666</v>
      </c>
      <c r="C145" t="s">
        <v>1666</v>
      </c>
      <c r="D145" t="s">
        <v>1666</v>
      </c>
      <c r="E145" t="s">
        <v>1666</v>
      </c>
      <c r="F145" t="s">
        <v>3883</v>
      </c>
      <c r="G145" t="s">
        <v>1666</v>
      </c>
      <c r="H145" t="s">
        <v>4588</v>
      </c>
      <c r="I145" t="s">
        <v>4539</v>
      </c>
      <c r="J145" t="s">
        <v>4292</v>
      </c>
      <c r="K145" t="s">
        <v>4618</v>
      </c>
      <c r="L145" t="s">
        <v>4619</v>
      </c>
      <c r="M145" t="s">
        <v>4620</v>
      </c>
      <c r="N145" t="s">
        <v>1666</v>
      </c>
      <c r="O145">
        <v>2690</v>
      </c>
      <c r="P145">
        <v>0</v>
      </c>
      <c r="Q145" t="s">
        <v>4621</v>
      </c>
      <c r="R145" t="s">
        <v>3888</v>
      </c>
      <c r="S145" t="s">
        <v>4617</v>
      </c>
      <c r="T145" t="s">
        <v>1759</v>
      </c>
      <c r="U145" t="s">
        <v>3889</v>
      </c>
    </row>
    <row r="146" spans="1:25" ht="15.6" x14ac:dyDescent="0.3">
      <c r="A146" t="s">
        <v>4622</v>
      </c>
      <c r="B146" t="s">
        <v>1666</v>
      </c>
      <c r="C146" t="s">
        <v>1666</v>
      </c>
      <c r="E146" t="s">
        <v>1666</v>
      </c>
      <c r="F146" t="s">
        <v>3883</v>
      </c>
      <c r="G146" t="s">
        <v>1666</v>
      </c>
      <c r="H146" t="s">
        <v>1666</v>
      </c>
      <c r="I146" t="s">
        <v>4199</v>
      </c>
      <c r="J146" t="s">
        <v>4623</v>
      </c>
      <c r="K146" t="s">
        <v>1666</v>
      </c>
      <c r="L146" t="s">
        <v>39</v>
      </c>
      <c r="N146" t="s">
        <v>1666</v>
      </c>
      <c r="O146">
        <v>67968.42</v>
      </c>
      <c r="P146">
        <v>0</v>
      </c>
      <c r="Q146" t="s">
        <v>4562</v>
      </c>
      <c r="R146" t="s">
        <v>39</v>
      </c>
      <c r="S146" t="s">
        <v>4622</v>
      </c>
      <c r="T146" t="s">
        <v>1731</v>
      </c>
      <c r="U146" t="s">
        <v>4624</v>
      </c>
    </row>
    <row r="147" spans="1:25" ht="15.6" x14ac:dyDescent="0.3">
      <c r="A147" t="s">
        <v>4625</v>
      </c>
      <c r="B147" t="s">
        <v>1666</v>
      </c>
      <c r="C147" t="s">
        <v>1666</v>
      </c>
      <c r="E147" t="s">
        <v>1666</v>
      </c>
      <c r="F147" t="s">
        <v>3883</v>
      </c>
      <c r="G147" t="s">
        <v>1666</v>
      </c>
      <c r="H147" t="s">
        <v>1666</v>
      </c>
      <c r="I147" t="s">
        <v>4626</v>
      </c>
      <c r="J147" t="s">
        <v>4627</v>
      </c>
      <c r="K147" t="s">
        <v>1666</v>
      </c>
      <c r="L147" t="s">
        <v>39</v>
      </c>
      <c r="N147" t="s">
        <v>1666</v>
      </c>
      <c r="O147">
        <v>0</v>
      </c>
      <c r="P147">
        <v>0</v>
      </c>
      <c r="Q147" t="s">
        <v>4628</v>
      </c>
      <c r="R147" t="s">
        <v>39</v>
      </c>
      <c r="S147" t="s">
        <v>4625</v>
      </c>
      <c r="T147" t="s">
        <v>1772</v>
      </c>
      <c r="U147" t="s">
        <v>4624</v>
      </c>
    </row>
    <row r="148" spans="1:25" ht="15.6" x14ac:dyDescent="0.3">
      <c r="A148" t="s">
        <v>4629</v>
      </c>
      <c r="B148" t="s">
        <v>4630</v>
      </c>
      <c r="C148" t="b">
        <v>1</v>
      </c>
      <c r="F148" t="s">
        <v>3883</v>
      </c>
      <c r="G148">
        <v>1813.5359999999998</v>
      </c>
      <c r="I148" t="s">
        <v>4631</v>
      </c>
      <c r="J148" t="s">
        <v>4632</v>
      </c>
      <c r="K148" t="s">
        <v>1666</v>
      </c>
      <c r="L148" t="s">
        <v>4633</v>
      </c>
      <c r="N148" t="s">
        <v>4634</v>
      </c>
      <c r="O148">
        <v>13299.263999999999</v>
      </c>
      <c r="P148">
        <v>15112.8</v>
      </c>
      <c r="Q148" t="s">
        <v>4635</v>
      </c>
      <c r="R148" t="s">
        <v>4636</v>
      </c>
      <c r="S148" t="s">
        <v>4629</v>
      </c>
      <c r="T148" t="s">
        <v>1771</v>
      </c>
      <c r="V148" t="s">
        <v>2825</v>
      </c>
      <c r="W148" t="s">
        <v>3744</v>
      </c>
      <c r="X148" t="s">
        <v>4629</v>
      </c>
    </row>
    <row r="149" spans="1:25" ht="15.6" x14ac:dyDescent="0.3">
      <c r="A149" t="s">
        <v>4637</v>
      </c>
      <c r="B149" t="s">
        <v>4638</v>
      </c>
      <c r="C149" t="b">
        <v>1</v>
      </c>
      <c r="D149" t="s">
        <v>4639</v>
      </c>
      <c r="E149" t="s">
        <v>1666</v>
      </c>
      <c r="F149" t="s">
        <v>3883</v>
      </c>
      <c r="G149">
        <v>5126.3999999999996</v>
      </c>
      <c r="H149" t="s">
        <v>48</v>
      </c>
      <c r="I149" t="s">
        <v>4640</v>
      </c>
      <c r="J149" t="s">
        <v>4641</v>
      </c>
      <c r="K149" t="s">
        <v>4642</v>
      </c>
      <c r="L149" t="s">
        <v>4643</v>
      </c>
      <c r="M149" t="s">
        <v>4644</v>
      </c>
      <c r="N149" t="s">
        <v>4645</v>
      </c>
      <c r="O149">
        <v>37593.599999999999</v>
      </c>
      <c r="P149">
        <v>42720</v>
      </c>
      <c r="Q149" t="s">
        <v>4646</v>
      </c>
      <c r="R149" t="s">
        <v>4647</v>
      </c>
      <c r="S149" t="s">
        <v>4637</v>
      </c>
      <c r="T149" t="s">
        <v>1722</v>
      </c>
      <c r="U149" t="s">
        <v>4559</v>
      </c>
      <c r="V149" t="s">
        <v>2544</v>
      </c>
      <c r="W149" t="s">
        <v>3744</v>
      </c>
      <c r="X149" t="s">
        <v>4637</v>
      </c>
    </row>
    <row r="150" spans="1:25" ht="15.6" x14ac:dyDescent="0.3">
      <c r="A150" t="s">
        <v>4648</v>
      </c>
      <c r="B150" t="s">
        <v>4649</v>
      </c>
      <c r="C150" t="b">
        <v>0</v>
      </c>
      <c r="D150" t="s">
        <v>4650</v>
      </c>
      <c r="E150" t="s">
        <v>1666</v>
      </c>
      <c r="F150" t="s">
        <v>3883</v>
      </c>
      <c r="G150">
        <v>0</v>
      </c>
      <c r="H150" t="s">
        <v>48</v>
      </c>
      <c r="I150" t="s">
        <v>4651</v>
      </c>
      <c r="J150" t="s">
        <v>4652</v>
      </c>
      <c r="K150" t="s">
        <v>4653</v>
      </c>
      <c r="L150" t="s">
        <v>4654</v>
      </c>
      <c r="M150" t="s">
        <v>4655</v>
      </c>
      <c r="N150" t="s">
        <v>4656</v>
      </c>
      <c r="O150">
        <v>46784</v>
      </c>
      <c r="P150">
        <v>46784</v>
      </c>
      <c r="Q150" t="s">
        <v>4657</v>
      </c>
      <c r="R150" t="s">
        <v>4658</v>
      </c>
      <c r="S150" t="s">
        <v>4648</v>
      </c>
      <c r="T150" t="s">
        <v>1803</v>
      </c>
      <c r="U150" t="s">
        <v>4559</v>
      </c>
      <c r="V150" t="s">
        <v>2892</v>
      </c>
      <c r="W150" t="s">
        <v>3744</v>
      </c>
      <c r="X150" t="s">
        <v>4648</v>
      </c>
    </row>
    <row r="151" spans="1:25" ht="15.6" x14ac:dyDescent="0.3">
      <c r="A151" t="s">
        <v>4659</v>
      </c>
      <c r="B151" t="s">
        <v>4660</v>
      </c>
      <c r="C151" t="b">
        <v>1</v>
      </c>
      <c r="E151" t="s">
        <v>1666</v>
      </c>
      <c r="F151" t="s">
        <v>3883</v>
      </c>
      <c r="G151">
        <v>27260.399999999998</v>
      </c>
      <c r="H151" t="s">
        <v>1666</v>
      </c>
      <c r="I151" t="s">
        <v>4631</v>
      </c>
      <c r="J151" t="s">
        <v>4661</v>
      </c>
      <c r="K151" t="s">
        <v>1666</v>
      </c>
      <c r="L151" t="s">
        <v>4662</v>
      </c>
      <c r="N151" t="s">
        <v>4663</v>
      </c>
      <c r="O151">
        <v>199909.6</v>
      </c>
      <c r="P151">
        <v>227170</v>
      </c>
      <c r="Q151" t="s">
        <v>4661</v>
      </c>
      <c r="R151" t="s">
        <v>4664</v>
      </c>
      <c r="S151" t="s">
        <v>4659</v>
      </c>
      <c r="T151" t="s">
        <v>1698</v>
      </c>
      <c r="U151" t="s">
        <v>4665</v>
      </c>
      <c r="V151" t="s">
        <v>2314</v>
      </c>
      <c r="W151" t="s">
        <v>3744</v>
      </c>
      <c r="X151" t="s">
        <v>4659</v>
      </c>
    </row>
    <row r="152" spans="1:25" ht="15.6" x14ac:dyDescent="0.3">
      <c r="A152" t="s">
        <v>4666</v>
      </c>
      <c r="B152" t="s">
        <v>4667</v>
      </c>
      <c r="C152" t="b">
        <v>1</v>
      </c>
      <c r="D152" t="s">
        <v>4668</v>
      </c>
      <c r="E152" t="s">
        <v>4669</v>
      </c>
      <c r="F152" t="s">
        <v>3883</v>
      </c>
      <c r="G152">
        <v>2651.2799999999997</v>
      </c>
      <c r="H152" t="s">
        <v>48</v>
      </c>
      <c r="I152" t="s">
        <v>4670</v>
      </c>
      <c r="J152" t="s">
        <v>4671</v>
      </c>
      <c r="K152" t="s">
        <v>4672</v>
      </c>
      <c r="L152" t="s">
        <v>4673</v>
      </c>
      <c r="M152" t="s">
        <v>2934</v>
      </c>
      <c r="N152" t="s">
        <v>4674</v>
      </c>
      <c r="O152">
        <v>19442.72</v>
      </c>
      <c r="P152">
        <v>22094</v>
      </c>
      <c r="Q152" t="s">
        <v>4675</v>
      </c>
      <c r="R152" t="s">
        <v>4658</v>
      </c>
      <c r="S152" t="s">
        <v>4666</v>
      </c>
      <c r="T152" t="s">
        <v>1792</v>
      </c>
      <c r="U152" t="s">
        <v>4559</v>
      </c>
      <c r="V152" t="s">
        <v>2885</v>
      </c>
      <c r="W152" t="s">
        <v>3744</v>
      </c>
      <c r="X152" t="s">
        <v>4666</v>
      </c>
    </row>
    <row r="153" spans="1:25" ht="15.6" x14ac:dyDescent="0.3">
      <c r="A153" t="s">
        <v>4676</v>
      </c>
      <c r="B153" t="s">
        <v>4677</v>
      </c>
      <c r="C153" t="b">
        <v>1</v>
      </c>
      <c r="D153" t="s">
        <v>4678</v>
      </c>
      <c r="E153" t="s">
        <v>1666</v>
      </c>
      <c r="F153" t="s">
        <v>3883</v>
      </c>
      <c r="G153">
        <v>1849.5359999999998</v>
      </c>
      <c r="H153" t="s">
        <v>48</v>
      </c>
      <c r="I153" t="s">
        <v>4679</v>
      </c>
      <c r="J153" t="s">
        <v>4680</v>
      </c>
      <c r="K153" t="s">
        <v>4681</v>
      </c>
      <c r="L153" t="s">
        <v>4682</v>
      </c>
      <c r="M153" t="s">
        <v>2965</v>
      </c>
      <c r="N153" t="s">
        <v>4683</v>
      </c>
      <c r="O153">
        <v>13563.263999999999</v>
      </c>
      <c r="P153">
        <v>15412.8</v>
      </c>
      <c r="Q153" t="s">
        <v>4684</v>
      </c>
      <c r="R153" t="s">
        <v>4685</v>
      </c>
      <c r="S153" t="s">
        <v>4676</v>
      </c>
      <c r="T153" t="s">
        <v>1815</v>
      </c>
      <c r="U153" t="s">
        <v>4559</v>
      </c>
      <c r="V153" t="s">
        <v>2900</v>
      </c>
      <c r="W153" t="s">
        <v>3744</v>
      </c>
      <c r="X153" t="s">
        <v>4676</v>
      </c>
    </row>
    <row r="154" spans="1:25" ht="15.6" x14ac:dyDescent="0.3">
      <c r="A154" t="s">
        <v>4686</v>
      </c>
      <c r="B154" t="s">
        <v>4687</v>
      </c>
      <c r="C154" t="b">
        <v>0</v>
      </c>
      <c r="D154" t="s">
        <v>4688</v>
      </c>
      <c r="E154" t="s">
        <v>1666</v>
      </c>
      <c r="F154" t="s">
        <v>3883</v>
      </c>
      <c r="G154">
        <v>0</v>
      </c>
      <c r="H154" t="s">
        <v>48</v>
      </c>
      <c r="I154" t="s">
        <v>4689</v>
      </c>
      <c r="J154" t="s">
        <v>4690</v>
      </c>
      <c r="K154" t="s">
        <v>4691</v>
      </c>
      <c r="L154" t="s">
        <v>4692</v>
      </c>
      <c r="M154" t="s">
        <v>2917</v>
      </c>
      <c r="N154" t="s">
        <v>4687</v>
      </c>
      <c r="O154">
        <v>32435</v>
      </c>
      <c r="P154">
        <v>32435</v>
      </c>
      <c r="Q154" t="s">
        <v>4693</v>
      </c>
      <c r="R154" t="s">
        <v>4694</v>
      </c>
      <c r="S154" t="s">
        <v>4686</v>
      </c>
      <c r="T154" t="s">
        <v>1732</v>
      </c>
      <c r="U154" t="s">
        <v>4559</v>
      </c>
      <c r="V154" t="s">
        <v>2818</v>
      </c>
      <c r="W154" t="s">
        <v>3744</v>
      </c>
      <c r="X154" t="s">
        <v>4686</v>
      </c>
    </row>
    <row r="155" spans="1:25" ht="15.6" x14ac:dyDescent="0.3">
      <c r="A155" t="s">
        <v>4695</v>
      </c>
      <c r="B155" t="s">
        <v>4696</v>
      </c>
      <c r="C155" t="b">
        <v>1</v>
      </c>
      <c r="E155" t="s">
        <v>1666</v>
      </c>
      <c r="F155" t="s">
        <v>3883</v>
      </c>
      <c r="G155">
        <v>3544.7999999999997</v>
      </c>
      <c r="H155" t="s">
        <v>1666</v>
      </c>
      <c r="I155" t="s">
        <v>4697</v>
      </c>
      <c r="J155" t="s">
        <v>4698</v>
      </c>
      <c r="K155" t="s">
        <v>1666</v>
      </c>
      <c r="L155" t="s">
        <v>4699</v>
      </c>
      <c r="N155" t="s">
        <v>4696</v>
      </c>
      <c r="O155">
        <v>25995.200000000001</v>
      </c>
      <c r="P155">
        <v>29540</v>
      </c>
      <c r="Q155" t="s">
        <v>4700</v>
      </c>
      <c r="R155" t="s">
        <v>4701</v>
      </c>
      <c r="S155" t="s">
        <v>4695</v>
      </c>
      <c r="T155" t="s">
        <v>1827</v>
      </c>
      <c r="U155" t="s">
        <v>4665</v>
      </c>
      <c r="V155" t="s">
        <v>2913</v>
      </c>
      <c r="W155" t="s">
        <v>3744</v>
      </c>
      <c r="X155" t="s">
        <v>4695</v>
      </c>
    </row>
    <row r="156" spans="1:25" ht="15.6" x14ac:dyDescent="0.3">
      <c r="A156" t="s">
        <v>4702</v>
      </c>
      <c r="B156" t="s">
        <v>4703</v>
      </c>
      <c r="C156" t="b">
        <v>1</v>
      </c>
      <c r="F156" t="s">
        <v>3883</v>
      </c>
      <c r="G156">
        <v>2496.48</v>
      </c>
      <c r="I156" t="s">
        <v>4697</v>
      </c>
      <c r="J156" t="s">
        <v>4698</v>
      </c>
      <c r="K156" t="s">
        <v>1666</v>
      </c>
      <c r="L156" t="s">
        <v>4704</v>
      </c>
      <c r="N156" t="s">
        <v>4705</v>
      </c>
      <c r="O156">
        <v>18307.52</v>
      </c>
      <c r="P156">
        <v>20804</v>
      </c>
      <c r="Q156" t="s">
        <v>4700</v>
      </c>
      <c r="R156" t="s">
        <v>4701</v>
      </c>
      <c r="S156" t="s">
        <v>4702</v>
      </c>
      <c r="T156" t="s">
        <v>1827</v>
      </c>
      <c r="V156" t="s">
        <v>2913</v>
      </c>
      <c r="W156" t="s">
        <v>3744</v>
      </c>
      <c r="X156" t="s">
        <v>4702</v>
      </c>
    </row>
    <row r="157" spans="1:25" ht="15.6" x14ac:dyDescent="0.3">
      <c r="A157" t="s">
        <v>4706</v>
      </c>
      <c r="B157" t="s">
        <v>4707</v>
      </c>
      <c r="C157" t="b">
        <v>1</v>
      </c>
      <c r="F157" t="s">
        <v>3883</v>
      </c>
      <c r="G157">
        <v>20455.2</v>
      </c>
      <c r="I157" t="s">
        <v>4708</v>
      </c>
      <c r="J157" t="s">
        <v>4709</v>
      </c>
      <c r="K157" t="s">
        <v>1666</v>
      </c>
      <c r="L157" t="s">
        <v>4710</v>
      </c>
      <c r="N157" t="s">
        <v>4707</v>
      </c>
      <c r="O157">
        <v>150004.79999999999</v>
      </c>
      <c r="P157">
        <v>170460</v>
      </c>
      <c r="Q157" t="s">
        <v>4711</v>
      </c>
      <c r="R157" t="s">
        <v>4664</v>
      </c>
      <c r="S157" t="s">
        <v>4706</v>
      </c>
      <c r="T157" t="s">
        <v>1698</v>
      </c>
      <c r="V157" t="s">
        <v>2314</v>
      </c>
      <c r="W157" t="s">
        <v>3744</v>
      </c>
      <c r="X157" t="s">
        <v>4706</v>
      </c>
    </row>
    <row r="158" spans="1:25" ht="15.6" x14ac:dyDescent="0.3">
      <c r="A158" t="s">
        <v>4712</v>
      </c>
      <c r="B158" t="s">
        <v>4713</v>
      </c>
      <c r="C158" t="b">
        <v>1</v>
      </c>
      <c r="D158" t="s">
        <v>4714</v>
      </c>
      <c r="E158" t="s">
        <v>4669</v>
      </c>
      <c r="F158" t="s">
        <v>3883</v>
      </c>
      <c r="G158">
        <v>2260.4159999999997</v>
      </c>
      <c r="H158" t="s">
        <v>48</v>
      </c>
      <c r="I158" t="s">
        <v>4715</v>
      </c>
      <c r="J158" t="s">
        <v>4716</v>
      </c>
      <c r="K158" t="s">
        <v>4717</v>
      </c>
      <c r="L158" t="s">
        <v>4718</v>
      </c>
      <c r="M158" t="s">
        <v>4719</v>
      </c>
      <c r="N158" t="s">
        <v>4713</v>
      </c>
      <c r="O158">
        <v>16576.383999999998</v>
      </c>
      <c r="P158">
        <v>18836.8</v>
      </c>
      <c r="Q158" t="s">
        <v>4720</v>
      </c>
      <c r="R158" t="s">
        <v>4685</v>
      </c>
      <c r="S158" t="s">
        <v>4712</v>
      </c>
      <c r="T158" t="s">
        <v>1821</v>
      </c>
      <c r="U158" t="s">
        <v>4559</v>
      </c>
      <c r="V158" t="s">
        <v>2907</v>
      </c>
      <c r="W158" t="s">
        <v>3744</v>
      </c>
      <c r="X158" t="s">
        <v>4712</v>
      </c>
    </row>
    <row r="159" spans="1:25" ht="15.6" x14ac:dyDescent="0.3">
      <c r="A159" t="s">
        <v>4721</v>
      </c>
      <c r="B159" t="s">
        <v>4722</v>
      </c>
      <c r="C159" t="b">
        <v>1</v>
      </c>
      <c r="D159" t="s">
        <v>4723</v>
      </c>
      <c r="E159" t="s">
        <v>1666</v>
      </c>
      <c r="F159" t="s">
        <v>3883</v>
      </c>
      <c r="G159">
        <v>2048.4</v>
      </c>
      <c r="H159" t="s">
        <v>48</v>
      </c>
      <c r="I159" t="s">
        <v>4670</v>
      </c>
      <c r="J159" t="s">
        <v>4724</v>
      </c>
      <c r="K159" t="s">
        <v>4725</v>
      </c>
      <c r="L159" t="s">
        <v>4726</v>
      </c>
      <c r="M159" t="s">
        <v>4727</v>
      </c>
      <c r="N159" t="s">
        <v>4728</v>
      </c>
      <c r="O159">
        <v>15021.6</v>
      </c>
      <c r="P159">
        <v>17070</v>
      </c>
      <c r="Q159" t="s">
        <v>4729</v>
      </c>
      <c r="R159" t="s">
        <v>4730</v>
      </c>
      <c r="S159" t="s">
        <v>4721</v>
      </c>
      <c r="T159" t="s">
        <v>1792</v>
      </c>
      <c r="U159" t="s">
        <v>4559</v>
      </c>
      <c r="V159" t="s">
        <v>2885</v>
      </c>
      <c r="W159" t="s">
        <v>3744</v>
      </c>
      <c r="X159" t="s">
        <v>4721</v>
      </c>
      <c r="Y159" t="b">
        <v>0</v>
      </c>
    </row>
    <row r="160" spans="1:25" ht="15.6" x14ac:dyDescent="0.3">
      <c r="A160" t="s">
        <v>4731</v>
      </c>
      <c r="B160" t="s">
        <v>4732</v>
      </c>
      <c r="C160" t="b">
        <v>0</v>
      </c>
      <c r="D160" t="s">
        <v>4733</v>
      </c>
      <c r="E160" t="s">
        <v>1666</v>
      </c>
      <c r="F160" t="s">
        <v>3883</v>
      </c>
      <c r="G160">
        <v>0</v>
      </c>
      <c r="H160" t="s">
        <v>48</v>
      </c>
      <c r="I160" t="s">
        <v>4734</v>
      </c>
      <c r="J160" t="s">
        <v>4735</v>
      </c>
      <c r="K160" t="s">
        <v>4736</v>
      </c>
      <c r="L160" t="s">
        <v>4737</v>
      </c>
      <c r="M160" t="s">
        <v>4738</v>
      </c>
      <c r="N160" t="s">
        <v>4732</v>
      </c>
      <c r="O160">
        <v>5140.8</v>
      </c>
      <c r="P160">
        <v>5140.8</v>
      </c>
      <c r="Q160" t="s">
        <v>4739</v>
      </c>
      <c r="R160" t="s">
        <v>4685</v>
      </c>
      <c r="S160" t="s">
        <v>4731</v>
      </c>
      <c r="T160" t="s">
        <v>1854</v>
      </c>
      <c r="U160" t="s">
        <v>4559</v>
      </c>
      <c r="V160" t="s">
        <v>2943</v>
      </c>
      <c r="W160" t="s">
        <v>3744</v>
      </c>
      <c r="X160" t="s">
        <v>4731</v>
      </c>
      <c r="Y160" t="b">
        <v>1</v>
      </c>
    </row>
    <row r="161" spans="1:25" ht="15.6" x14ac:dyDescent="0.3">
      <c r="A161" t="s">
        <v>4740</v>
      </c>
      <c r="B161" t="s">
        <v>4741</v>
      </c>
      <c r="C161" t="b">
        <v>1</v>
      </c>
      <c r="F161" t="s">
        <v>3883</v>
      </c>
      <c r="G161">
        <v>1048.32</v>
      </c>
      <c r="I161" t="s">
        <v>4742</v>
      </c>
      <c r="J161" t="s">
        <v>4743</v>
      </c>
      <c r="K161" t="s">
        <v>1666</v>
      </c>
      <c r="L161" t="s">
        <v>4744</v>
      </c>
      <c r="N161" t="s">
        <v>4741</v>
      </c>
      <c r="O161">
        <v>7687.68</v>
      </c>
      <c r="P161">
        <v>8736</v>
      </c>
      <c r="Q161" t="s">
        <v>4745</v>
      </c>
      <c r="R161" t="s">
        <v>4746</v>
      </c>
      <c r="S161" t="s">
        <v>4740</v>
      </c>
      <c r="T161" t="s">
        <v>1827</v>
      </c>
      <c r="V161" t="s">
        <v>2913</v>
      </c>
      <c r="W161" t="s">
        <v>3744</v>
      </c>
      <c r="X161" t="s">
        <v>4740</v>
      </c>
      <c r="Y161" t="b">
        <v>0</v>
      </c>
    </row>
    <row r="162" spans="1:25" ht="15.6" x14ac:dyDescent="0.3">
      <c r="A162" t="s">
        <v>4747</v>
      </c>
      <c r="B162" t="s">
        <v>4748</v>
      </c>
      <c r="C162" t="b">
        <v>1</v>
      </c>
      <c r="D162" t="s">
        <v>4749</v>
      </c>
      <c r="E162" t="s">
        <v>1666</v>
      </c>
      <c r="F162" t="s">
        <v>3883</v>
      </c>
      <c r="G162">
        <v>474.55439999999999</v>
      </c>
      <c r="H162" t="s">
        <v>48</v>
      </c>
      <c r="I162" t="s">
        <v>4670</v>
      </c>
      <c r="J162" t="s">
        <v>4750</v>
      </c>
      <c r="K162" t="s">
        <v>4751</v>
      </c>
      <c r="L162" t="s">
        <v>4752</v>
      </c>
      <c r="M162" t="s">
        <v>4753</v>
      </c>
      <c r="N162" t="s">
        <v>4754</v>
      </c>
      <c r="O162">
        <v>3480.0655999999999</v>
      </c>
      <c r="P162">
        <v>3954.62</v>
      </c>
      <c r="Q162" t="s">
        <v>4755</v>
      </c>
      <c r="R162" t="s">
        <v>3094</v>
      </c>
      <c r="S162" t="s">
        <v>4747</v>
      </c>
      <c r="T162" t="s">
        <v>1792</v>
      </c>
      <c r="U162" t="s">
        <v>4559</v>
      </c>
      <c r="V162" t="s">
        <v>2885</v>
      </c>
      <c r="W162" t="s">
        <v>4756</v>
      </c>
      <c r="X162" t="s">
        <v>4747</v>
      </c>
      <c r="Y162" t="b">
        <v>0</v>
      </c>
    </row>
    <row r="163" spans="1:25" ht="15.6" x14ac:dyDescent="0.3">
      <c r="A163" t="s">
        <v>4757</v>
      </c>
      <c r="B163" t="s">
        <v>4758</v>
      </c>
      <c r="C163" t="b">
        <v>0</v>
      </c>
      <c r="F163" t="s">
        <v>3883</v>
      </c>
      <c r="G163">
        <v>0</v>
      </c>
      <c r="I163" t="s">
        <v>4759</v>
      </c>
      <c r="J163" t="s">
        <v>4760</v>
      </c>
      <c r="K163" t="s">
        <v>1666</v>
      </c>
      <c r="L163" t="s">
        <v>4761</v>
      </c>
      <c r="N163" t="s">
        <v>4758</v>
      </c>
      <c r="O163">
        <v>2559614</v>
      </c>
      <c r="P163">
        <v>2559614</v>
      </c>
      <c r="Q163" t="s">
        <v>4762</v>
      </c>
      <c r="R163" t="s">
        <v>3862</v>
      </c>
      <c r="S163" t="s">
        <v>4757</v>
      </c>
      <c r="T163" t="s">
        <v>1896</v>
      </c>
      <c r="V163" t="s">
        <v>2966</v>
      </c>
      <c r="W163" t="s">
        <v>3744</v>
      </c>
      <c r="X163" t="s">
        <v>4757</v>
      </c>
      <c r="Y163" t="b">
        <v>0</v>
      </c>
    </row>
    <row r="164" spans="1:25" ht="15.6" x14ac:dyDescent="0.3">
      <c r="A164" t="s">
        <v>4763</v>
      </c>
      <c r="B164" t="s">
        <v>4764</v>
      </c>
      <c r="C164" t="b">
        <v>1</v>
      </c>
      <c r="F164" t="s">
        <v>3883</v>
      </c>
      <c r="G164">
        <v>2054.4</v>
      </c>
      <c r="I164" t="s">
        <v>4715</v>
      </c>
      <c r="J164" t="s">
        <v>4765</v>
      </c>
      <c r="K164" t="s">
        <v>1666</v>
      </c>
      <c r="L164" t="s">
        <v>4766</v>
      </c>
      <c r="N164" t="s">
        <v>4764</v>
      </c>
      <c r="O164">
        <v>15065.6</v>
      </c>
      <c r="P164">
        <v>17120</v>
      </c>
      <c r="Q164" t="s">
        <v>4767</v>
      </c>
      <c r="R164" t="s">
        <v>4701</v>
      </c>
      <c r="S164" t="s">
        <v>4763</v>
      </c>
      <c r="T164" t="s">
        <v>1821</v>
      </c>
      <c r="V164" t="s">
        <v>2907</v>
      </c>
      <c r="W164" t="s">
        <v>3744</v>
      </c>
      <c r="X164" t="s">
        <v>4763</v>
      </c>
      <c r="Y164" t="b">
        <v>0</v>
      </c>
    </row>
  </sheetData>
  <pageMargins left="0.7" right="0.7" top="0.75" bottom="0.75" header="0.3" footer="0.3"/>
  <ignoredErrors>
    <ignoredError sqref="A1:Y16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inquiries</vt:lpstr>
      <vt:lpstr>clients</vt:lpstr>
      <vt:lpstr>projects</vt:lpstr>
      <vt:lpstr>quotations</vt:lpstr>
      <vt:lpstr>chargeSlips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PGCV</cp:lastModifiedBy>
  <dcterms:modified xsi:type="dcterms:W3CDTF">2026-03-03T07:15:44Z</dcterms:modified>
</cp:coreProperties>
</file>